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defaultThemeVersion="166925"/>
  <mc:AlternateContent xmlns:mc="http://schemas.openxmlformats.org/markup-compatibility/2006">
    <mc:Choice Requires="x15">
      <x15ac:absPath xmlns:x15ac="http://schemas.microsoft.com/office/spreadsheetml/2010/11/ac" url="D:\Shinning Star\Jan\"/>
    </mc:Choice>
  </mc:AlternateContent>
  <xr:revisionPtr revIDLastSave="0" documentId="13_ncr:1_{6A5B6969-0C6D-42E1-ACA5-1F37B72C6765}" xr6:coauthVersionLast="44" xr6:coauthVersionMax="47" xr10:uidLastSave="{00000000-0000-0000-0000-000000000000}"/>
  <bookViews>
    <workbookView xWindow="-120" yWindow="-120" windowWidth="20730" windowHeight="11160" firstSheet="1" activeTab="2" xr2:uid="{00000000-000D-0000-FFFF-FFFF00000000}"/>
  </bookViews>
  <sheets>
    <sheet name="info" sheetId="7" state="veryHidden" r:id="rId1"/>
    <sheet name="Def" sheetId="6" r:id="rId2"/>
    <sheet name="PHC" sheetId="1" r:id="rId3"/>
    <sheet name="MCH" sheetId="9" r:id="rId4"/>
    <sheet name="FamilyPlanning" sheetId="10" state="veryHidden" r:id="rId5"/>
    <sheet name="Cooking_Demo_Database" sheetId="17" state="veryHidden" r:id="rId6"/>
    <sheet name="IYCF Counselling_Database" sheetId="16" r:id="rId7"/>
    <sheet name="AwarenessRaising" sheetId="11" r:id="rId8"/>
    <sheet name="Nutrition Screening Under 5yr" sheetId="12" r:id="rId9"/>
    <sheet name="Referral" sheetId="20" r:id="rId10"/>
    <sheet name="Data_validation" sheetId="5" r:id="rId11"/>
    <sheet name="Meeting" sheetId="15" r:id="rId12"/>
    <sheet name="Nutrition Screening (PLW)" sheetId="13" r:id="rId13"/>
    <sheet name="Distribution_Items_Database" sheetId="18" state="veryHidden" r:id="rId14"/>
    <sheet name="CFRM" sheetId="14" r:id="rId15"/>
    <sheet name="Assistive Device Support" sheetId="21" r:id="rId16"/>
    <sheet name="Location" sheetId="2"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0" hidden="1">info!$X$1:$AA$192</definedName>
    <definedName name="_xlnm._FilterDatabase" localSheetId="16" hidden="1">Location!$E$1:$I$788</definedName>
    <definedName name="add">[1]Dropdownlist!$Y$2:$Y$3</definedName>
    <definedName name="ag">info!$H$2:$H$6</definedName>
    <definedName name="age_group" localSheetId="5">[2]datavalidation!$K$2:$K$7</definedName>
    <definedName name="Agegp">[1]Dropdownlist!$Q$2:$Q$7</definedName>
    <definedName name="bawlake">Location!$I$2:$I$10</definedName>
    <definedName name="Beneficiary">#REF!</definedName>
    <definedName name="cash_org">[3]Dropdownlist!$A$12:$A$20</definedName>
    <definedName name="CD_orgname" localSheetId="5">#REF!</definedName>
    <definedName name="CD_orgname" localSheetId="13">#REF!</definedName>
    <definedName name="CD_orgname" localSheetId="6">#REF!</definedName>
    <definedName name="CD_orgname">[4]Dropdownlist!$A$10:$A$12</definedName>
    <definedName name="Comments">#REF!</definedName>
    <definedName name="communityEH" localSheetId="5">#REF!</definedName>
    <definedName name="communityEH" localSheetId="13">#REF!</definedName>
    <definedName name="communityEH" localSheetId="6">#REF!</definedName>
    <definedName name="communityEH">[4]Dropdownlist!$A$123:$A$128</definedName>
    <definedName name="constructionfacilities">#REF!</definedName>
    <definedName name="covid" localSheetId="5">[5]Dropdown!$D$3:$D$6</definedName>
    <definedName name="covid">[6]Dropdown!$D$3:$D$6</definedName>
    <definedName name="CSO">[7]Info!$P$2:$P$22</definedName>
    <definedName name="Cut_off_score">#REF!</definedName>
    <definedName name="del">[1]Dropdownlist!$P$2:$P$5</definedName>
    <definedName name="Delivery" localSheetId="5">[5]Dropdown!$T$3:$T$6</definedName>
    <definedName name="Delivery">[6]Dropdown!$T$3:$T$6</definedName>
    <definedName name="demoso">Location!$I$11:$I$36</definedName>
    <definedName name="dsfsafa">#REF!</definedName>
    <definedName name="eawfa">#REF!</definedName>
    <definedName name="ECC">Table4[ECC]</definedName>
    <definedName name="EmOC">Data_validation!$R$2:$R$93</definedName>
    <definedName name="ess">Location!$B$16:$B$30</definedName>
    <definedName name="ethnicity" localSheetId="5">[2]datavalidation!$M$2:$M$8</definedName>
    <definedName name="ethnicity" localSheetId="13">[6]Dropdown!$G$3:$G$9</definedName>
    <definedName name="ethnicity" localSheetId="6">[6]Dropdown!$G$3:$G$9</definedName>
    <definedName name="ethnicity">Data_validation!$I$2:$I$15</definedName>
    <definedName name="event1">[7]list!$H$3:$H$6</definedName>
    <definedName name="EXIT">#REF!</definedName>
    <definedName name="Exit_reason">#REF!</definedName>
    <definedName name="Exit_reasons">#REF!</definedName>
    <definedName name="facility_type">Data_validation!$G$2:$G$3</definedName>
    <definedName name="familytype">#REF!</definedName>
    <definedName name="fb">[1]Dropdownlist!$X$2:$X$5</definedName>
    <definedName name="Formula_start">#REF!</definedName>
    <definedName name="fp_method">Data_validation!$N$2:$N$10</definedName>
    <definedName name="health_org">Data_validation!$C$2:$C$7</definedName>
    <definedName name="HH_type" localSheetId="5">#REF!</definedName>
    <definedName name="HH_type" localSheetId="13">#REF!</definedName>
    <definedName name="HH_type" localSheetId="6">#REF!</definedName>
    <definedName name="HH_type">[4]Dropdownlist!$A$15:$A$18</definedName>
    <definedName name="ho_tawng_ho_tao">Location!$I$141:$I$145</definedName>
    <definedName name="hopong">Location!$I$365:$I$386</definedName>
    <definedName name="hospital_type" localSheetId="5">[2]datavalidation!$O$2:$O$4</definedName>
    <definedName name="how" localSheetId="5">[2]datavalidation!$AK$2:$AK$11</definedName>
    <definedName name="how">[6]Dropdown!$V$2:$V$9</definedName>
    <definedName name="hpasawng">Location!$I$37:$I$44</definedName>
    <definedName name="hpruso">Location!$I$45:$I$58</definedName>
    <definedName name="hrp" localSheetId="5">[8]info!$P$2:$P$10</definedName>
    <definedName name="hrp" localSheetId="13">[8]info!$P$2:$P$10</definedName>
    <definedName name="hrp" localSheetId="6">[8]info!$P$2:$P$10</definedName>
    <definedName name="hrp">Data_validation!$K$2:$K$10</definedName>
    <definedName name="hsihseng">Location!$I$387:$I$399</definedName>
    <definedName name="Intensity" localSheetId="5">[5]Dropdown!$A$3:$A$6</definedName>
    <definedName name="Intensity">[6]Dropdown!$A$3:$A$6</definedName>
    <definedName name="item">[9]Validation!$X$2:$X$51</definedName>
    <definedName name="items" localSheetId="5">#REF!</definedName>
    <definedName name="items" localSheetId="13">#REF!</definedName>
    <definedName name="items" localSheetId="6">#REF!</definedName>
    <definedName name="items">[4]Dropdownlist!$A$25:$A$54</definedName>
    <definedName name="kalaw">Location!$I$400:$I$425</definedName>
    <definedName name="Kayah" localSheetId="5">#REF!</definedName>
    <definedName name="Kayah" localSheetId="13">#REF!</definedName>
    <definedName name="Kayah" localSheetId="6">#REF!</definedName>
    <definedName name="kayah">Location!$B$2:$B$8</definedName>
    <definedName name="kayin">Location!$B$9:$B$15</definedName>
    <definedName name="kengtung">Location!$I$146:$I$176</definedName>
    <definedName name="ktcbhw">#REF!</definedName>
    <definedName name="kunghing">Location!$I$426:$I$439</definedName>
    <definedName name="Kyauktaw">info!$B$2:$B$20</definedName>
    <definedName name="kyethi">Location!$I$440:$I$471</definedName>
    <definedName name="kytv23_">[1]Tsps_dtail_Requinfo!$G$143:$G$14843:'[1]Tsps_dtail_Requinfo'!$G$147</definedName>
    <definedName name="laihka">Location!$I$472:$I$490</definedName>
    <definedName name="langkho">Location!$I$491:$I$504</definedName>
    <definedName name="lawksawk">Location!$I$505:$I$522</definedName>
    <definedName name="lkCBHW">#REF!</definedName>
    <definedName name="Location">#REF!</definedName>
    <definedName name="loikaw">Location!$I$59:$I$71</definedName>
    <definedName name="loilen">Location!$I$523:$I$541</definedName>
    <definedName name="Malnutrition">Data_validation!$X$2:$X$3</definedName>
    <definedName name="mawkmai">Location!$I$542:$I$549</definedName>
    <definedName name="mean" localSheetId="5">[5]Dropdown!$AE$2:$AE$5</definedName>
    <definedName name="mean">[6]Dropdown!$AE$2:$AE$5</definedName>
    <definedName name="means">[1]Dropdownlist!$W$2:$W$5</definedName>
    <definedName name="meet" localSheetId="5">[1]Dropdownlist!$S$2:$S$14</definedName>
    <definedName name="meet">[6]Dropdown!$X$2:$X$21</definedName>
    <definedName name="mese">Location!$I$72:$I$77</definedName>
    <definedName name="met" localSheetId="5">[8]info!$H$18:$H$22</definedName>
    <definedName name="met" localSheetId="13">[8]info!$H$18:$H$22</definedName>
    <definedName name="met" localSheetId="6">[8]info!$H$18:$H$22</definedName>
    <definedName name="met" localSheetId="3">[10]info!$H$18:$H$22</definedName>
    <definedName name="met">info!$H$18:$H$22</definedName>
    <definedName name="migrate" localSheetId="5">[5]Dropdown!$C$3:$C$5</definedName>
    <definedName name="migrate">[6]Dropdown!$C$3:$C$5</definedName>
    <definedName name="mkcbhw">#REF!</definedName>
    <definedName name="mmcbhw">#REF!</definedName>
    <definedName name="mobile" localSheetId="5">[5]Dropdown!$B$3:$B$5</definedName>
    <definedName name="mobile">[6]Dropdown!$B$3:$B$5</definedName>
    <definedName name="mong_hpen">Location!$I$177:$I$182</definedName>
    <definedName name="mong_hpyak">Location!$I$193:$I$214</definedName>
    <definedName name="mong_pawk">Location!$I$186:$I$192</definedName>
    <definedName name="monghsat">Location!$I$215:$I$241</definedName>
    <definedName name="monghsu">Location!$I$550:$I$566</definedName>
    <definedName name="mongkaing">Location!$I$567:$I$590</definedName>
    <definedName name="mongkar">Location!$I$183:$I$185</definedName>
    <definedName name="mongkhet">Location!$I$242:$I$257</definedName>
    <definedName name="mongla">Location!$I$258:$I$266</definedName>
    <definedName name="mongnai">Location!$I$591:$I$605</definedName>
    <definedName name="mongpan">Location!$I$606:$I$616</definedName>
    <definedName name="mongping">Location!$I$267:$I$295</definedName>
    <definedName name="mongton">Location!$I$296:$I$312</definedName>
    <definedName name="mongyang">Location!$I$313:$I$327</definedName>
    <definedName name="mongyawng">Location!$I$328:$I$347</definedName>
    <definedName name="month" localSheetId="5">[1]Dropdownlist!$U$2:$U$13</definedName>
    <definedName name="month">[6]Dropdown!$AB$2:$AB$13</definedName>
    <definedName name="MPCD">[4]!cashdistribution12[#All]</definedName>
    <definedName name="MraukU">info!$B$21:$B$30</definedName>
    <definedName name="mscbhw">#REF!</definedName>
    <definedName name="mth">[11]List!$I$2:$I$13</definedName>
    <definedName name="Muslim">Data_validation!$I$2:$I$15</definedName>
    <definedName name="Myebon">info!$B$31:$B$42</definedName>
    <definedName name="namHpai">Location!$I$348:$I$351</definedName>
    <definedName name="nangsang">Location!$I$617:$I$636</definedName>
    <definedName name="Northern_Shan">[7]Info!$N$2:$N$11</definedName>
    <definedName name="nss">Location!$B$31:$B$75</definedName>
    <definedName name="nyaungshwe">Location!$I$637:$I$671</definedName>
    <definedName name="Occ">[1]Dropdownlist!$B$2:$B$25</definedName>
    <definedName name="occupation" localSheetId="5">[5]Dropdown!$H$3:$H$27</definedName>
    <definedName name="occupation">[6]Dropdown!$H$3:$H$26</definedName>
    <definedName name="oct" localSheetId="5">[8]info!$H$10:$H$15</definedName>
    <definedName name="oct" localSheetId="13">[8]info!$H$10:$H$15</definedName>
    <definedName name="oct" localSheetId="6">[8]info!$H$10:$H$15</definedName>
    <definedName name="oct" localSheetId="3">[10]info!$H$10:$H$15</definedName>
    <definedName name="oct">info!$H$10:$H$15</definedName>
    <definedName name="orate" localSheetId="5">[8]info!$F$18:$F$21</definedName>
    <definedName name="orate" localSheetId="13">[8]info!$F$18:$F$21</definedName>
    <definedName name="orate" localSheetId="6">[8]info!$F$18:$F$21</definedName>
    <definedName name="orate" localSheetId="3">[10]info!$F$18:$F$21</definedName>
    <definedName name="orate">info!$F$18:$F$21</definedName>
    <definedName name="org_cbo" localSheetId="5">#REF!</definedName>
    <definedName name="org_cbo" localSheetId="13">#REF!</definedName>
    <definedName name="org_cbo" localSheetId="6">#REF!</definedName>
    <definedName name="org_cbo">[4]Dropdownlist!$A$2:$A$7</definedName>
    <definedName name="org_name">Data_validation!$A$2:$A$12</definedName>
    <definedName name="Orgname" localSheetId="5">#REF!</definedName>
    <definedName name="Orgname" localSheetId="13">#REF!</definedName>
    <definedName name="Orgname" localSheetId="6">#REF!</definedName>
    <definedName name="orgname">[3]Dropdownlist!$A$2:$A$9</definedName>
    <definedName name="Other">Data_validation!$V$2:$V$19</definedName>
    <definedName name="part">[1]Dropdownlist!$T$2:$T$11</definedName>
    <definedName name="Partners" localSheetId="5">[5]Dropdown!$Z$2:$Z$11</definedName>
    <definedName name="Partners">[6]Dropdown!$Z$2:$Z$11</definedName>
    <definedName name="PDS_NO">#REF!</definedName>
    <definedName name="PDS_YES_NO">#REF!</definedName>
    <definedName name="PE" localSheetId="5">[5]Dropdown!$AG$2:$AG$11</definedName>
    <definedName name="PE">[6]Dropdown!$AG$2:$AG$11</definedName>
    <definedName name="PE_Name">[12]!Table15[PE name]</definedName>
    <definedName name="pekon">Location!$I$672:$I$683</definedName>
    <definedName name="Period">[13]Coding!$B$2:$B$9</definedName>
    <definedName name="pindaya">Location!$I$684:$I$710</definedName>
    <definedName name="pinlaung">Location!$I$711:$I$735</definedName>
    <definedName name="Place_type" localSheetId="14">[4]Dropdownlist!$A$128:$A$130</definedName>
    <definedName name="Place_type" localSheetId="5">#REF!</definedName>
    <definedName name="Place_type" localSheetId="13">#REF!</definedName>
    <definedName name="Place_type" localSheetId="6">#REF!</definedName>
    <definedName name="Place_type" localSheetId="11">[4]Dropdownlist!$A$128:$A$130</definedName>
    <definedName name="place_type">Data_validation!$E$2:$E$4</definedName>
    <definedName name="positionmonitol" localSheetId="5">[2]datavalidation!$AI$2:$AI$10</definedName>
    <definedName name="post_mobile" localSheetId="5">[2]datavalidation!$AU$2:$AU$5</definedName>
    <definedName name="PP_1">#REF!</definedName>
    <definedName name="PP_2">#REF!</definedName>
    <definedName name="PP_3">#REF!</definedName>
    <definedName name="PP_4">#REF!</definedName>
    <definedName name="PP_5">#REF!</definedName>
    <definedName name="pwd" localSheetId="15">[9]Info!$R$2:$R$7</definedName>
    <definedName name="pwd">info!$V$2:$V$7</definedName>
    <definedName name="q" localSheetId="5">[8]info!$R$2:$R$5</definedName>
    <definedName name="q" localSheetId="13">[8]info!$R$2:$R$5</definedName>
    <definedName name="q" localSheetId="6">[8]info!$R$2:$R$5</definedName>
    <definedName name="q" localSheetId="3">[10]info!$R$2:$R$5</definedName>
    <definedName name="q">info!$R$2:$R$5</definedName>
    <definedName name="Rakhine">[14]info!$F$2:$F$3</definedName>
    <definedName name="Reason_for_Exit">#REF!</definedName>
    <definedName name="refer">[1]Dropdownlist!$C$2:$C$13</definedName>
    <definedName name="referby" localSheetId="5">[5]Dropdown!$I$3:$I$15</definedName>
    <definedName name="referby">[6]Dropdown!$I$3:$I$15</definedName>
    <definedName name="referral_type" localSheetId="5">[2]datavalidation!$T$2:$T$4</definedName>
    <definedName name="referral_type">[9]Info!$Z$2:$Z$4</definedName>
    <definedName name="referred_by" localSheetId="5">[2]datavalidation!$Q$2:$Q$14</definedName>
    <definedName name="sc_1">#REF!</definedName>
    <definedName name="sc_10">#REF!</definedName>
    <definedName name="sc_100">#REF!</definedName>
    <definedName name="sc_101">#REF!</definedName>
    <definedName name="sc_102">#REF!</definedName>
    <definedName name="sc_103">#REF!</definedName>
    <definedName name="sc_104">#REF!</definedName>
    <definedName name="sc_105">#REF!</definedName>
    <definedName name="sc_106">#REF!</definedName>
    <definedName name="sc_107">#REF!</definedName>
    <definedName name="sc_108">#REF!</definedName>
    <definedName name="sc_109">#REF!</definedName>
    <definedName name="sc_11">#REF!</definedName>
    <definedName name="sc_110">#REF!</definedName>
    <definedName name="sc_111">#REF!</definedName>
    <definedName name="sc_112">#REF!</definedName>
    <definedName name="sc_113">#REF!</definedName>
    <definedName name="sc_114">#REF!</definedName>
    <definedName name="sc_115">#REF!</definedName>
    <definedName name="sc_116">#REF!</definedName>
    <definedName name="sc_117">#REF!</definedName>
    <definedName name="sc_118">#REF!</definedName>
    <definedName name="sc_119">#REF!</definedName>
    <definedName name="sc_12">#REF!</definedName>
    <definedName name="sc_120">#REF!</definedName>
    <definedName name="sc_121">#REF!</definedName>
    <definedName name="sc_122">#REF!</definedName>
    <definedName name="sc_123">#REF!</definedName>
    <definedName name="sc_124">#REF!</definedName>
    <definedName name="sc_125">#REF!</definedName>
    <definedName name="sc_126">#REF!</definedName>
    <definedName name="sc_127">#REF!</definedName>
    <definedName name="sc_128">#REF!</definedName>
    <definedName name="sc_129">#REF!</definedName>
    <definedName name="sc_13">#REF!</definedName>
    <definedName name="sc_130">#REF!</definedName>
    <definedName name="sc_131">#REF!</definedName>
    <definedName name="sc_132">#REF!</definedName>
    <definedName name="sc_133">#REF!</definedName>
    <definedName name="sc_14">#REF!</definedName>
    <definedName name="sc_15">#REF!</definedName>
    <definedName name="sc_16">#REF!</definedName>
    <definedName name="sc_17">#REF!</definedName>
    <definedName name="sc_18">#REF!</definedName>
    <definedName name="sc_19">#REF!</definedName>
    <definedName name="sc_2">#REF!</definedName>
    <definedName name="sc_20">#REF!</definedName>
    <definedName name="sc_21">#REF!</definedName>
    <definedName name="sc_22">#REF!</definedName>
    <definedName name="sc_23">#REF!</definedName>
    <definedName name="sc_24">#REF!</definedName>
    <definedName name="sc_25">#REF!</definedName>
    <definedName name="sc_26">#REF!</definedName>
    <definedName name="sc_27">#REF!</definedName>
    <definedName name="sc_28">#REF!</definedName>
    <definedName name="sc_29">#REF!</definedName>
    <definedName name="sc_3">#REF!</definedName>
    <definedName name="sc_30">#REF!</definedName>
    <definedName name="sc_31">#REF!</definedName>
    <definedName name="sc_32">#REF!</definedName>
    <definedName name="sc_33">#REF!</definedName>
    <definedName name="sc_34">#REF!</definedName>
    <definedName name="sc_35">#REF!</definedName>
    <definedName name="sc_36">#REF!</definedName>
    <definedName name="sc_37">#REF!</definedName>
    <definedName name="sc_38">#REF!</definedName>
    <definedName name="sc_39">#REF!</definedName>
    <definedName name="sc_4">#REF!</definedName>
    <definedName name="sc_40">#REF!</definedName>
    <definedName name="sc_41">#REF!</definedName>
    <definedName name="sc_42">#REF!</definedName>
    <definedName name="sc_43">#REF!</definedName>
    <definedName name="sc_44">#REF!</definedName>
    <definedName name="sc_45">#REF!</definedName>
    <definedName name="sc_46">#REF!</definedName>
    <definedName name="sc_47">#REF!</definedName>
    <definedName name="sc_48">#REF!</definedName>
    <definedName name="sc_49">#REF!</definedName>
    <definedName name="sc_5">#REF!</definedName>
    <definedName name="sc_50">#REF!</definedName>
    <definedName name="sc_51">#REF!</definedName>
    <definedName name="sc_52">#REF!</definedName>
    <definedName name="sc_53">#REF!</definedName>
    <definedName name="sc_54">#REF!</definedName>
    <definedName name="sc_55">#REF!</definedName>
    <definedName name="sc_56">#REF!</definedName>
    <definedName name="sc_57">#REF!</definedName>
    <definedName name="sc_58">#REF!</definedName>
    <definedName name="sc_59">#REF!</definedName>
    <definedName name="sc_6">#REF!</definedName>
    <definedName name="sc_60">#REF!</definedName>
    <definedName name="sc_61">#REF!</definedName>
    <definedName name="sc_62">#REF!</definedName>
    <definedName name="sc_63">#REF!</definedName>
    <definedName name="sc_64">#REF!</definedName>
    <definedName name="sc_65">#REF!</definedName>
    <definedName name="sc_66">#REF!</definedName>
    <definedName name="sc_67">#REF!</definedName>
    <definedName name="sc_68">#REF!</definedName>
    <definedName name="sc_69">#REF!</definedName>
    <definedName name="sc_7">#REF!</definedName>
    <definedName name="sc_70">#REF!</definedName>
    <definedName name="sc_71">#REF!</definedName>
    <definedName name="sc_72">#REF!</definedName>
    <definedName name="sc_73">#REF!</definedName>
    <definedName name="sc_74">#REF!</definedName>
    <definedName name="sc_75">#REF!</definedName>
    <definedName name="sc_76">#REF!</definedName>
    <definedName name="sc_77">#REF!</definedName>
    <definedName name="sc_78">#REF!</definedName>
    <definedName name="sc_79">#REF!</definedName>
    <definedName name="sc_8">#REF!</definedName>
    <definedName name="sc_80">#REF!</definedName>
    <definedName name="sc_81">#REF!</definedName>
    <definedName name="sc_82">#REF!</definedName>
    <definedName name="sc_83">#REF!</definedName>
    <definedName name="sc_84">#REF!</definedName>
    <definedName name="sc_85">#REF!</definedName>
    <definedName name="sc_86">#REF!</definedName>
    <definedName name="sc_87">#REF!</definedName>
    <definedName name="sc_88">#REF!</definedName>
    <definedName name="sc_89">#REF!</definedName>
    <definedName name="sc_9">#REF!</definedName>
    <definedName name="sc_90">#REF!</definedName>
    <definedName name="sc_91">#REF!</definedName>
    <definedName name="sc_92">#REF!</definedName>
    <definedName name="sc_93">#REF!</definedName>
    <definedName name="sc_94">#REF!</definedName>
    <definedName name="sc_95">#REF!</definedName>
    <definedName name="sc_96">#REF!</definedName>
    <definedName name="sc_97">#REF!</definedName>
    <definedName name="sc_98">#REF!</definedName>
    <definedName name="sc_99">#REF!</definedName>
    <definedName name="sectir">[9]Validation!$AA$2:$AA$5</definedName>
    <definedName name="Semester">[13]Coding!$D$2:$D$5</definedName>
    <definedName name="shadaw">Location!$I$78:$I$81</definedName>
    <definedName name="source" localSheetId="5">[5]Dropdown!$AD$2:$AD$9</definedName>
    <definedName name="source">[6]Dropdown!$AD$2:$AD$9</definedName>
    <definedName name="source_of_feedback" localSheetId="5">#REF!</definedName>
    <definedName name="source_of_feedback" localSheetId="13">#REF!</definedName>
    <definedName name="source_of_feedback" localSheetId="6">#REF!</definedName>
    <definedName name="source_of_feedback">[4]Dropdownlist!$A$142:$A$150</definedName>
    <definedName name="Southern_Shan">#REF!</definedName>
    <definedName name="sss" localSheetId="5">[2]datavalidation!$C$2:$C$9</definedName>
    <definedName name="sss">Location!$B$76:$B$96</definedName>
    <definedName name="state">[9]Location!$N$4:$N$21</definedName>
    <definedName name="state_name" localSheetId="14">[3]Dropdownlist!$C$2:$C$6</definedName>
    <definedName name="state_name" localSheetId="11">[3]Dropdownlist!$C$2:$C$6</definedName>
    <definedName name="state_name">Location!$K$2:$K$5</definedName>
    <definedName name="state_region" localSheetId="5">#REF!</definedName>
    <definedName name="state_region" localSheetId="13">#REF!</definedName>
    <definedName name="state_region" localSheetId="6">#REF!</definedName>
    <definedName name="state_region">[4]Dropdownlist!$A$134:$A$135</definedName>
    <definedName name="sub" localSheetId="5">[8]info!$K$2:$K$167</definedName>
    <definedName name="sub" localSheetId="13">[8]info!$K$2:$K$167</definedName>
    <definedName name="sub" localSheetId="6">[8]info!$K$2:$K$167</definedName>
    <definedName name="sub" localSheetId="3">[10]info!$K$2:$K$167</definedName>
    <definedName name="sub">info!$K$2:$K$167</definedName>
    <definedName name="subcat">[9]Info!$U$2:$U$193</definedName>
    <definedName name="subcat_emoc">[15]datavalidation!$N$3:$N$94</definedName>
    <definedName name="t_awareness">Table5[]</definedName>
    <definedName name="t_nutri_plw">Table7[]</definedName>
    <definedName name="t_u5nutriscreening">Table6[]</definedName>
    <definedName name="tachileik">Location!$I$352:$I$364</definedName>
    <definedName name="taunggyi">Location!$I$736:$I$759</definedName>
    <definedName name="test">#REF!</definedName>
    <definedName name="thandaunggyi">Location!$I$82:$I$140</definedName>
    <definedName name="topics">#REF!</definedName>
    <definedName name="Township">[13]Coding!$C$2:$C$10</definedName>
    <definedName name="training">#REF!</definedName>
    <definedName name="trate" localSheetId="5">[8]info!$F$10:$F$14</definedName>
    <definedName name="trate" localSheetId="13">[8]info!$F$10:$F$14</definedName>
    <definedName name="trate" localSheetId="6">[8]info!$F$10:$F$14</definedName>
    <definedName name="trate" localSheetId="3">[10]info!$F$10:$F$14</definedName>
    <definedName name="trate">info!$F$10:$F$14</definedName>
    <definedName name="TS_1">#REF!</definedName>
    <definedName name="TS_10">#REF!</definedName>
    <definedName name="TS_11">#REF!</definedName>
    <definedName name="TS_12">#REF!</definedName>
    <definedName name="TS_13">#REF!</definedName>
    <definedName name="TS_14">#REF!</definedName>
    <definedName name="TS_15">#REF!</definedName>
    <definedName name="TS_16">#REF!</definedName>
    <definedName name="TS_17">#REF!</definedName>
    <definedName name="TS_18">#REF!</definedName>
    <definedName name="TS_19">#REF!</definedName>
    <definedName name="TS_2">#REF!</definedName>
    <definedName name="TS_20">#REF!</definedName>
    <definedName name="TS_21">#REF!</definedName>
    <definedName name="TS_3">#REF!</definedName>
    <definedName name="TS_4">#REF!</definedName>
    <definedName name="TS_5">#REF!</definedName>
    <definedName name="TS_6">#REF!</definedName>
    <definedName name="TS_7">#REF!</definedName>
    <definedName name="TS_8">#REF!</definedName>
    <definedName name="TS_9">#REF!</definedName>
    <definedName name="Tsp" localSheetId="5">[5]Referencing!$A$2:$A$12</definedName>
    <definedName name="Tsp" localSheetId="13">[5]Referencing!$A$2:$A$12</definedName>
    <definedName name="Tsp" localSheetId="6">[5]Referencing!$A$2:$A$12</definedName>
    <definedName name="tsp">info!$F$2:$F$4</definedName>
    <definedName name="type">[1]Dropdownlist!$D$2:$D$4</definedName>
    <definedName name="typeofdelivery" localSheetId="5">[2]datavalidation!$AF$2:$AF$5</definedName>
    <definedName name="types_of_delivery_cases">Data_validation!$AA$2:$AA$7</definedName>
    <definedName name="wash">#REF!</definedName>
    <definedName name="wash_awareness" localSheetId="15">[16]Dropdownlist!$A$85:$A$91</definedName>
    <definedName name="wash_awareness" localSheetId="5">#REF!</definedName>
    <definedName name="wash_awareness" localSheetId="13">#REF!</definedName>
    <definedName name="wash_awareness" localSheetId="6">#REF!</definedName>
    <definedName name="wash_awareness">[4]Dropdownlist!$A$85:$A$91</definedName>
    <definedName name="ywangan">Location!$I$760:$I$788</definedName>
    <definedName name="yyy">#REF!</definedName>
    <definedName name="z_score">[11]info!$T$2:$T$5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13" i="1" l="1"/>
  <c r="M914" i="1"/>
  <c r="M915" i="1"/>
  <c r="M916" i="1"/>
  <c r="M917" i="1"/>
  <c r="M918" i="1"/>
  <c r="S913" i="1"/>
  <c r="S914" i="1"/>
  <c r="S915" i="1"/>
  <c r="S916" i="1"/>
  <c r="S917" i="1"/>
  <c r="S918" i="1"/>
  <c r="Y913" i="1"/>
  <c r="Y914" i="1"/>
  <c r="Y915" i="1"/>
  <c r="Y916" i="1"/>
  <c r="Z916" i="1" s="1" a="1"/>
  <c r="Z916" i="1" s="1"/>
  <c r="Y917" i="1"/>
  <c r="Y918" i="1"/>
  <c r="Z913" i="1" a="1"/>
  <c r="Z913" i="1"/>
  <c r="Z914" i="1" a="1"/>
  <c r="Z914" i="1" s="1"/>
  <c r="Z915" i="1" a="1"/>
  <c r="Z915" i="1"/>
  <c r="Z917" i="1" a="1"/>
  <c r="Z917" i="1"/>
  <c r="Z918" i="1" a="1"/>
  <c r="Z918" i="1" s="1"/>
  <c r="AM913" i="1"/>
  <c r="AM914" i="1"/>
  <c r="AM915" i="1"/>
  <c r="AM916" i="1"/>
  <c r="AM917" i="1"/>
  <c r="AM918" i="1"/>
  <c r="AN913" i="1"/>
  <c r="AN914" i="1"/>
  <c r="AN915" i="1"/>
  <c r="AN916" i="1"/>
  <c r="AN917" i="1"/>
  <c r="AN918" i="1"/>
  <c r="M911" i="1"/>
  <c r="M912" i="1"/>
  <c r="S911" i="1"/>
  <c r="S912" i="1"/>
  <c r="Y911" i="1"/>
  <c r="Z911" i="1" s="1" a="1"/>
  <c r="Z911" i="1" s="1"/>
  <c r="Y912" i="1"/>
  <c r="Z912" i="1" s="1" a="1"/>
  <c r="Z912" i="1" s="1"/>
  <c r="AM911" i="1"/>
  <c r="AM912" i="1"/>
  <c r="AN911" i="1"/>
  <c r="AN912" i="1"/>
  <c r="J53" i="13" l="1"/>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J41" i="13"/>
  <c r="J42" i="13"/>
  <c r="J43" i="13"/>
  <c r="J44" i="13"/>
  <c r="J45" i="13"/>
  <c r="J46" i="13"/>
  <c r="J47" i="13"/>
  <c r="J48" i="13"/>
  <c r="J49" i="13"/>
  <c r="J50" i="13"/>
  <c r="J51" i="13"/>
  <c r="J52" i="13"/>
  <c r="K41" i="13"/>
  <c r="K42" i="13"/>
  <c r="K43" i="13"/>
  <c r="K44" i="13"/>
  <c r="K45" i="13"/>
  <c r="K46" i="13"/>
  <c r="K47" i="13"/>
  <c r="K48" i="13"/>
  <c r="K49" i="13"/>
  <c r="K50" i="13"/>
  <c r="K51" i="13"/>
  <c r="K52" i="13"/>
  <c r="L41" i="13"/>
  <c r="L42" i="13"/>
  <c r="L43" i="13"/>
  <c r="L44" i="13"/>
  <c r="L45" i="13"/>
  <c r="L46" i="13"/>
  <c r="L47" i="13"/>
  <c r="L48" i="13"/>
  <c r="L49" i="13"/>
  <c r="L50" i="13"/>
  <c r="L51" i="13"/>
  <c r="L52" i="13"/>
  <c r="T41" i="13"/>
  <c r="T42" i="13"/>
  <c r="T43" i="13"/>
  <c r="T44" i="13"/>
  <c r="T45" i="13"/>
  <c r="T46" i="13"/>
  <c r="T47" i="13"/>
  <c r="T48" i="13"/>
  <c r="T49" i="13"/>
  <c r="T50" i="13"/>
  <c r="T51" i="13"/>
  <c r="T52" i="13"/>
  <c r="T27" i="13"/>
  <c r="T3" i="13"/>
  <c r="T4" i="13"/>
  <c r="T5" i="13"/>
  <c r="T6" i="13"/>
  <c r="T7" i="13"/>
  <c r="T8" i="13"/>
  <c r="T9" i="13"/>
  <c r="T10" i="13"/>
  <c r="T11" i="13"/>
  <c r="T12" i="13"/>
  <c r="T13" i="13"/>
  <c r="T14" i="13"/>
  <c r="T15" i="13"/>
  <c r="T16" i="13"/>
  <c r="T17" i="13"/>
  <c r="T18" i="13"/>
  <c r="T19" i="13"/>
  <c r="T20" i="13"/>
  <c r="T21" i="13"/>
  <c r="T22" i="13"/>
  <c r="T23" i="13"/>
  <c r="T24" i="13"/>
  <c r="T25" i="13"/>
  <c r="T26" i="13"/>
  <c r="T28" i="13"/>
  <c r="T29" i="13"/>
  <c r="T30" i="13"/>
  <c r="T31" i="13"/>
  <c r="T32" i="13"/>
  <c r="T33" i="13"/>
  <c r="T34" i="13"/>
  <c r="T35" i="13"/>
  <c r="T36" i="13"/>
  <c r="T37" i="13"/>
  <c r="T38" i="13"/>
  <c r="T39" i="13"/>
  <c r="T40" i="13"/>
  <c r="J19" i="13"/>
  <c r="J20" i="13"/>
  <c r="J21" i="13"/>
  <c r="J22" i="13"/>
  <c r="J23" i="13"/>
  <c r="J24" i="13"/>
  <c r="J25" i="13"/>
  <c r="J26" i="13"/>
  <c r="J27" i="13"/>
  <c r="J28" i="13"/>
  <c r="J29" i="13"/>
  <c r="J30" i="13"/>
  <c r="J31" i="13"/>
  <c r="J32" i="13"/>
  <c r="J33" i="13"/>
  <c r="J34" i="13"/>
  <c r="J35" i="13"/>
  <c r="J36" i="13"/>
  <c r="J37" i="13"/>
  <c r="J38" i="13"/>
  <c r="J39" i="13"/>
  <c r="J40" i="13"/>
  <c r="K19" i="13"/>
  <c r="K20" i="13"/>
  <c r="K21" i="13"/>
  <c r="K22" i="13"/>
  <c r="K23" i="13"/>
  <c r="K24" i="13"/>
  <c r="K25" i="13"/>
  <c r="K26" i="13"/>
  <c r="K27" i="13"/>
  <c r="K28" i="13"/>
  <c r="K29" i="13"/>
  <c r="K30" i="13"/>
  <c r="K31" i="13"/>
  <c r="K32" i="13"/>
  <c r="K33" i="13"/>
  <c r="K34" i="13"/>
  <c r="K35" i="13"/>
  <c r="K36" i="13"/>
  <c r="K37" i="13"/>
  <c r="K38" i="13"/>
  <c r="K39" i="13"/>
  <c r="K40" i="13"/>
  <c r="L19" i="13"/>
  <c r="L20" i="13"/>
  <c r="L21" i="13"/>
  <c r="L22" i="13"/>
  <c r="L23" i="13"/>
  <c r="L24" i="13"/>
  <c r="L25" i="13"/>
  <c r="L26" i="13"/>
  <c r="L27" i="13"/>
  <c r="L28" i="13"/>
  <c r="L29" i="13"/>
  <c r="L30" i="13"/>
  <c r="L31" i="13"/>
  <c r="L32" i="13"/>
  <c r="L33" i="13"/>
  <c r="L34" i="13"/>
  <c r="L35" i="13"/>
  <c r="L36" i="13"/>
  <c r="L37" i="13"/>
  <c r="L38" i="13"/>
  <c r="L39" i="13"/>
  <c r="L40" i="13"/>
  <c r="L3" i="13"/>
  <c r="K3" i="13"/>
  <c r="J3" i="13"/>
  <c r="U16" i="11" l="1"/>
  <c r="X16" i="11"/>
  <c r="U14" i="11"/>
  <c r="X14" i="11"/>
  <c r="AV71" i="20"/>
  <c r="BF3" i="20"/>
  <c r="BE3"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U73" i="20"/>
  <c r="U74" i="20"/>
  <c r="U75" i="20"/>
  <c r="U76" i="20"/>
  <c r="U77" i="20"/>
  <c r="U78" i="20"/>
  <c r="U79" i="20"/>
  <c r="U80" i="20"/>
  <c r="U81" i="20"/>
  <c r="U82" i="20"/>
  <c r="U83" i="20"/>
  <c r="U84" i="20"/>
  <c r="U85" i="20"/>
  <c r="U86" i="20"/>
  <c r="U87" i="20"/>
  <c r="U88" i="20"/>
  <c r="U89" i="20"/>
  <c r="U90" i="20"/>
  <c r="U91" i="20"/>
  <c r="U92" i="20"/>
  <c r="U93" i="20"/>
  <c r="U94" i="20"/>
  <c r="U95" i="20"/>
  <c r="U96" i="20"/>
  <c r="U97" i="20"/>
  <c r="U98" i="20"/>
  <c r="U99" i="20"/>
  <c r="U100" i="20"/>
  <c r="U101" i="20"/>
  <c r="U102" i="20"/>
  <c r="U103" i="20"/>
  <c r="U104" i="20"/>
  <c r="U105" i="20"/>
  <c r="U106" i="20"/>
  <c r="AD73" i="20"/>
  <c r="AR73" i="20" s="1"/>
  <c r="AD74" i="20"/>
  <c r="AD75" i="20"/>
  <c r="AR75" i="20" s="1"/>
  <c r="AD76" i="20"/>
  <c r="AR76" i="20" s="1"/>
  <c r="AD77" i="20"/>
  <c r="AR77" i="20" s="1"/>
  <c r="AD78" i="20"/>
  <c r="AR78" i="20" s="1"/>
  <c r="AD79" i="20"/>
  <c r="AR79" i="20" s="1"/>
  <c r="AD80" i="20"/>
  <c r="AR80" i="20" s="1"/>
  <c r="AD81" i="20"/>
  <c r="AR81" i="20" s="1"/>
  <c r="AD82" i="20"/>
  <c r="AD83" i="20"/>
  <c r="AD84" i="20"/>
  <c r="AR84" i="20" s="1"/>
  <c r="AD85" i="20"/>
  <c r="AR85" i="20" s="1"/>
  <c r="AD86" i="20"/>
  <c r="AR86" i="20" s="1"/>
  <c r="AD87" i="20"/>
  <c r="AR87" i="20" s="1"/>
  <c r="AD88" i="20"/>
  <c r="AR88" i="20" s="1"/>
  <c r="AD89" i="20"/>
  <c r="AR89" i="20" s="1"/>
  <c r="AD90" i="20"/>
  <c r="AD91" i="20"/>
  <c r="AR91" i="20" s="1"/>
  <c r="AD92" i="20"/>
  <c r="AR92" i="20" s="1"/>
  <c r="AD93" i="20"/>
  <c r="AR93" i="20" s="1"/>
  <c r="AD94" i="20"/>
  <c r="AD95" i="20"/>
  <c r="AD96" i="20"/>
  <c r="AR96" i="20" s="1"/>
  <c r="AD97" i="20"/>
  <c r="AR97" i="20" s="1"/>
  <c r="AD98" i="20"/>
  <c r="AD99" i="20"/>
  <c r="AR99" i="20" s="1"/>
  <c r="AD100" i="20"/>
  <c r="AR100" i="20" s="1"/>
  <c r="AD101" i="20"/>
  <c r="AR101" i="20" s="1"/>
  <c r="AD102" i="20"/>
  <c r="AR102" i="20" s="1"/>
  <c r="AD103" i="20"/>
  <c r="AR103" i="20" s="1"/>
  <c r="AD104" i="20"/>
  <c r="AR104" i="20" s="1"/>
  <c r="AD105" i="20"/>
  <c r="AR105" i="20" s="1"/>
  <c r="AD106" i="20"/>
  <c r="AR106" i="20" s="1"/>
  <c r="AG73" i="20" a="1"/>
  <c r="AG73" i="20" s="1"/>
  <c r="AG74" i="20" a="1"/>
  <c r="AG74" i="20" s="1"/>
  <c r="AG75" i="20" a="1"/>
  <c r="AG75" i="20" s="1"/>
  <c r="AG76" i="20" a="1"/>
  <c r="AG76" i="20" s="1"/>
  <c r="AG77" i="20" a="1"/>
  <c r="AG77" i="20" s="1"/>
  <c r="AG78" i="20" a="1"/>
  <c r="AG78" i="20" s="1"/>
  <c r="AG79" i="20" a="1"/>
  <c r="AG79" i="20" s="1"/>
  <c r="AG80" i="20" a="1"/>
  <c r="AG80" i="20" s="1"/>
  <c r="AG81" i="20" a="1"/>
  <c r="AG81" i="20" s="1"/>
  <c r="AG82" i="20" a="1"/>
  <c r="AG82" i="20" s="1"/>
  <c r="AG83" i="20" a="1"/>
  <c r="AG83" i="20" s="1"/>
  <c r="AG84" i="20" a="1"/>
  <c r="AG84" i="20"/>
  <c r="AG85" i="20" a="1"/>
  <c r="AG85" i="20" s="1"/>
  <c r="AG86" i="20" a="1"/>
  <c r="AG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c r="AG101" i="20" a="1"/>
  <c r="AG101" i="20" s="1"/>
  <c r="AG102" i="20" a="1"/>
  <c r="AG102" i="20" s="1"/>
  <c r="AG103" i="20" a="1"/>
  <c r="AG103" i="20" s="1"/>
  <c r="AG104" i="20" a="1"/>
  <c r="AG104" i="20" s="1"/>
  <c r="AG105" i="20" a="1"/>
  <c r="AG105" i="20" s="1"/>
  <c r="AG106" i="20" a="1"/>
  <c r="AG106" i="20" s="1"/>
  <c r="AO73" i="20"/>
  <c r="AO74" i="20"/>
  <c r="AO75" i="20"/>
  <c r="AO76" i="20"/>
  <c r="AO77" i="20"/>
  <c r="AO78" i="20"/>
  <c r="AO79" i="20"/>
  <c r="AO80" i="20"/>
  <c r="AO81" i="20"/>
  <c r="AO82" i="20"/>
  <c r="AO83" i="20"/>
  <c r="AO84" i="20"/>
  <c r="AO85" i="20"/>
  <c r="AO86" i="20"/>
  <c r="AO87" i="20"/>
  <c r="AO88" i="20"/>
  <c r="AO89" i="20"/>
  <c r="AO90" i="20"/>
  <c r="AO91" i="20"/>
  <c r="AO92" i="20"/>
  <c r="AO93" i="20"/>
  <c r="AO94" i="20"/>
  <c r="AO95" i="20"/>
  <c r="AO96" i="20"/>
  <c r="AO97" i="20"/>
  <c r="AO98" i="20"/>
  <c r="AO99" i="20"/>
  <c r="AO100" i="20"/>
  <c r="AO101" i="20"/>
  <c r="AO102" i="20"/>
  <c r="AO103" i="20"/>
  <c r="AO104" i="20"/>
  <c r="AO105" i="20"/>
  <c r="AO106" i="20"/>
  <c r="AP73" i="20"/>
  <c r="AP74" i="20"/>
  <c r="AP75" i="20"/>
  <c r="AP76" i="20"/>
  <c r="AP77" i="20"/>
  <c r="AP78" i="20"/>
  <c r="AP79" i="20"/>
  <c r="AP80" i="20"/>
  <c r="AP81" i="20"/>
  <c r="AP82" i="20"/>
  <c r="AP83" i="20"/>
  <c r="AP84" i="20"/>
  <c r="AP85" i="20"/>
  <c r="AP86" i="20"/>
  <c r="AP87" i="20"/>
  <c r="AP88" i="20"/>
  <c r="AP89" i="20"/>
  <c r="AP90" i="20"/>
  <c r="AP91" i="20"/>
  <c r="AP92" i="20"/>
  <c r="AP93" i="20"/>
  <c r="AP94" i="20"/>
  <c r="AP95" i="20"/>
  <c r="AP96" i="20"/>
  <c r="AP97" i="20"/>
  <c r="AP98" i="20"/>
  <c r="AP99" i="20"/>
  <c r="AP100" i="20"/>
  <c r="AP101" i="20"/>
  <c r="AP102" i="20"/>
  <c r="AP103" i="20"/>
  <c r="AP104" i="20"/>
  <c r="AP105" i="20"/>
  <c r="AP106" i="20"/>
  <c r="AQ73" i="20"/>
  <c r="AQ74" i="20"/>
  <c r="AQ75" i="20"/>
  <c r="AQ76" i="20"/>
  <c r="AQ77" i="20"/>
  <c r="AQ78" i="20"/>
  <c r="AQ79" i="20"/>
  <c r="AQ80" i="20"/>
  <c r="AQ81" i="20"/>
  <c r="AQ82" i="20"/>
  <c r="AQ83" i="20"/>
  <c r="AQ84" i="20"/>
  <c r="AQ85" i="20"/>
  <c r="AQ86" i="20"/>
  <c r="AQ87" i="20"/>
  <c r="AQ88" i="20"/>
  <c r="AQ89" i="20"/>
  <c r="AQ90" i="20"/>
  <c r="AQ91" i="20"/>
  <c r="AQ92" i="20"/>
  <c r="AQ93" i="20"/>
  <c r="AQ94" i="20"/>
  <c r="AQ95" i="20"/>
  <c r="AQ96" i="20"/>
  <c r="AQ97" i="20"/>
  <c r="AQ98" i="20"/>
  <c r="AQ99" i="20"/>
  <c r="AQ100" i="20"/>
  <c r="AQ101" i="20"/>
  <c r="AQ102" i="20"/>
  <c r="AQ103" i="20"/>
  <c r="AQ104" i="20"/>
  <c r="AQ105" i="20"/>
  <c r="AQ106" i="20"/>
  <c r="AR74" i="20"/>
  <c r="AR82" i="20"/>
  <c r="AR83" i="20"/>
  <c r="AR90" i="20"/>
  <c r="AR94" i="20"/>
  <c r="AR95" i="20"/>
  <c r="AR98" i="20"/>
  <c r="AV73" i="20"/>
  <c r="AV74" i="20"/>
  <c r="AV75" i="20"/>
  <c r="AV76" i="20"/>
  <c r="AV77" i="20"/>
  <c r="AV78" i="20"/>
  <c r="AV79" i="20"/>
  <c r="AV80" i="20"/>
  <c r="AV81" i="20"/>
  <c r="AV82" i="20"/>
  <c r="AV83" i="20"/>
  <c r="AV84" i="20"/>
  <c r="AV85" i="20"/>
  <c r="AV86" i="20"/>
  <c r="AV87" i="20"/>
  <c r="AV88" i="20"/>
  <c r="AV89" i="20"/>
  <c r="AV90" i="20"/>
  <c r="AV91" i="20"/>
  <c r="AV92" i="20"/>
  <c r="AV93" i="20"/>
  <c r="AV94" i="20"/>
  <c r="AV95" i="20"/>
  <c r="AV96" i="20"/>
  <c r="AV97" i="20"/>
  <c r="AV98" i="20"/>
  <c r="AV99" i="20"/>
  <c r="AV100" i="20"/>
  <c r="AV101" i="20"/>
  <c r="AV102" i="20"/>
  <c r="AV103" i="20"/>
  <c r="AV104" i="20"/>
  <c r="AV105" i="20"/>
  <c r="AV106" i="20"/>
  <c r="BE73" i="20"/>
  <c r="BE74" i="20"/>
  <c r="BE75" i="20"/>
  <c r="BE76" i="20"/>
  <c r="BE77" i="20"/>
  <c r="BE78" i="20"/>
  <c r="BE79" i="20"/>
  <c r="BE80" i="20"/>
  <c r="BE81" i="20"/>
  <c r="BE82" i="20"/>
  <c r="BE83" i="20"/>
  <c r="BE84" i="20"/>
  <c r="BE85" i="20"/>
  <c r="BE86" i="20"/>
  <c r="BE87" i="20"/>
  <c r="BE88" i="20"/>
  <c r="BE89" i="20"/>
  <c r="BE90" i="20"/>
  <c r="BE91" i="20"/>
  <c r="BE92" i="20"/>
  <c r="BE93" i="20"/>
  <c r="BE94" i="20"/>
  <c r="BE95" i="20"/>
  <c r="BE96" i="20"/>
  <c r="BE97" i="20"/>
  <c r="BG97" i="20" s="1"/>
  <c r="BE98" i="20"/>
  <c r="BE99" i="20"/>
  <c r="BE100" i="20"/>
  <c r="BE101" i="20"/>
  <c r="BG101" i="20" s="1"/>
  <c r="BE102" i="20"/>
  <c r="BE103" i="20"/>
  <c r="BE104" i="20"/>
  <c r="BE105" i="20"/>
  <c r="BG105" i="20" s="1"/>
  <c r="BE106" i="20"/>
  <c r="BF73" i="20"/>
  <c r="BF74" i="20"/>
  <c r="BG74" i="20" s="1"/>
  <c r="BF75" i="20"/>
  <c r="BG75" i="20" s="1"/>
  <c r="BF76" i="20"/>
  <c r="BF77" i="20"/>
  <c r="BF78" i="20"/>
  <c r="BF79" i="20"/>
  <c r="BG79" i="20" s="1"/>
  <c r="BF80" i="20"/>
  <c r="BF81" i="20"/>
  <c r="BF82" i="20"/>
  <c r="BF83" i="20"/>
  <c r="BG83" i="20" s="1"/>
  <c r="BF84" i="20"/>
  <c r="BF85" i="20"/>
  <c r="BF86" i="20"/>
  <c r="BF87" i="20"/>
  <c r="BG87" i="20" s="1"/>
  <c r="BF88" i="20"/>
  <c r="BF89" i="20"/>
  <c r="BF90" i="20"/>
  <c r="BF91" i="20"/>
  <c r="BG91" i="20" s="1"/>
  <c r="BF92" i="20"/>
  <c r="BF93" i="20"/>
  <c r="BF94" i="20"/>
  <c r="BF95" i="20"/>
  <c r="BG95" i="20" s="1"/>
  <c r="BF96" i="20"/>
  <c r="BF97" i="20"/>
  <c r="BF98" i="20"/>
  <c r="BF99" i="20"/>
  <c r="BG99" i="20" s="1"/>
  <c r="BF100" i="20"/>
  <c r="BF101" i="20"/>
  <c r="BF102" i="20"/>
  <c r="BF103" i="20"/>
  <c r="BG103" i="20" s="1"/>
  <c r="BF104" i="20"/>
  <c r="BF105" i="20"/>
  <c r="BF106" i="20"/>
  <c r="BG106" i="20" s="1"/>
  <c r="BG73" i="20"/>
  <c r="BG104" i="20" l="1"/>
  <c r="BG100" i="20"/>
  <c r="BG96" i="20"/>
  <c r="BG92" i="20"/>
  <c r="BG88" i="20"/>
  <c r="BG84" i="20"/>
  <c r="BG80" i="20"/>
  <c r="BG76" i="20"/>
  <c r="BG102" i="20"/>
  <c r="BG98" i="20"/>
  <c r="BG94" i="20"/>
  <c r="BG90" i="20"/>
  <c r="BG86" i="20"/>
  <c r="BG82" i="20"/>
  <c r="BG78" i="20"/>
  <c r="BG93" i="20"/>
  <c r="BG89" i="20"/>
  <c r="BG85" i="20"/>
  <c r="BG81" i="20"/>
  <c r="BG77" i="20"/>
  <c r="J8" i="13"/>
  <c r="J9" i="13"/>
  <c r="J10" i="13"/>
  <c r="J11" i="13"/>
  <c r="J12" i="13"/>
  <c r="J13" i="13"/>
  <c r="J14" i="13"/>
  <c r="J15" i="13"/>
  <c r="J16" i="13"/>
  <c r="J17" i="13"/>
  <c r="J18" i="13"/>
  <c r="K8" i="13"/>
  <c r="K9" i="13"/>
  <c r="K10" i="13"/>
  <c r="K11" i="13"/>
  <c r="K12" i="13"/>
  <c r="K13" i="13"/>
  <c r="K14" i="13"/>
  <c r="K15" i="13"/>
  <c r="K16" i="13"/>
  <c r="K17" i="13"/>
  <c r="K18" i="13"/>
  <c r="L8" i="13"/>
  <c r="L9" i="13"/>
  <c r="L10" i="13"/>
  <c r="L11" i="13"/>
  <c r="L12" i="13"/>
  <c r="L13" i="13"/>
  <c r="L14" i="13"/>
  <c r="L15" i="13"/>
  <c r="L16" i="13"/>
  <c r="L17" i="13"/>
  <c r="L18" i="13"/>
  <c r="U6" i="9"/>
  <c r="J62" i="12"/>
  <c r="J63" i="12"/>
  <c r="J64" i="12"/>
  <c r="J65" i="12"/>
  <c r="J66" i="12"/>
  <c r="K62" i="12"/>
  <c r="K63" i="12"/>
  <c r="K64" i="12"/>
  <c r="K65" i="12"/>
  <c r="K66" i="12"/>
  <c r="L62" i="12"/>
  <c r="L63" i="12"/>
  <c r="L64" i="12"/>
  <c r="L65" i="12"/>
  <c r="L66" i="12"/>
  <c r="V62" i="12"/>
  <c r="V63" i="12"/>
  <c r="V64" i="12"/>
  <c r="V65" i="12"/>
  <c r="V66" i="12"/>
  <c r="J34" i="12"/>
  <c r="J35" i="12"/>
  <c r="J36" i="12"/>
  <c r="J37" i="12"/>
  <c r="J38" i="12"/>
  <c r="J39" i="12"/>
  <c r="J40" i="12"/>
  <c r="J41" i="12"/>
  <c r="J42" i="12"/>
  <c r="J43" i="12"/>
  <c r="J44" i="12"/>
  <c r="J45" i="12"/>
  <c r="J46" i="12"/>
  <c r="K34" i="12"/>
  <c r="K35" i="12"/>
  <c r="K36" i="12"/>
  <c r="K37" i="12"/>
  <c r="K38" i="12"/>
  <c r="K39" i="12"/>
  <c r="K40" i="12"/>
  <c r="K41" i="12"/>
  <c r="K42" i="12"/>
  <c r="K43" i="12"/>
  <c r="K44" i="12"/>
  <c r="K45" i="12"/>
  <c r="K46" i="12"/>
  <c r="L34" i="12"/>
  <c r="L35" i="12"/>
  <c r="L36" i="12"/>
  <c r="L37" i="12"/>
  <c r="L38" i="12"/>
  <c r="L39" i="12"/>
  <c r="L40" i="12"/>
  <c r="L41" i="12"/>
  <c r="L42" i="12"/>
  <c r="L43" i="12"/>
  <c r="L44" i="12"/>
  <c r="L45" i="12"/>
  <c r="L46" i="12"/>
  <c r="V34" i="12"/>
  <c r="V35" i="12"/>
  <c r="V36" i="12"/>
  <c r="V37" i="12"/>
  <c r="V38" i="12"/>
  <c r="V39" i="12"/>
  <c r="V40" i="12"/>
  <c r="V41" i="12"/>
  <c r="V42" i="12"/>
  <c r="V43" i="12"/>
  <c r="V44" i="12"/>
  <c r="V45" i="12"/>
  <c r="V46" i="12"/>
  <c r="J47" i="12"/>
  <c r="J48" i="12"/>
  <c r="J49" i="12"/>
  <c r="J50" i="12"/>
  <c r="J51" i="12"/>
  <c r="J52" i="12"/>
  <c r="J53" i="12"/>
  <c r="J54" i="12"/>
  <c r="J55" i="12"/>
  <c r="K47" i="12"/>
  <c r="K48" i="12"/>
  <c r="K49" i="12"/>
  <c r="K50" i="12"/>
  <c r="K51" i="12"/>
  <c r="K52" i="12"/>
  <c r="K53" i="12"/>
  <c r="K54" i="12"/>
  <c r="K55" i="12"/>
  <c r="L47" i="12"/>
  <c r="L48" i="12"/>
  <c r="L49" i="12"/>
  <c r="L50" i="12"/>
  <c r="L51" i="12"/>
  <c r="L52" i="12"/>
  <c r="L53" i="12"/>
  <c r="L54" i="12"/>
  <c r="L55" i="12"/>
  <c r="V47" i="12"/>
  <c r="V48" i="12"/>
  <c r="V49" i="12"/>
  <c r="V50" i="12"/>
  <c r="V51" i="12"/>
  <c r="V52" i="12"/>
  <c r="V53" i="12"/>
  <c r="V54" i="12"/>
  <c r="V55" i="12"/>
  <c r="J23" i="12"/>
  <c r="J24" i="12"/>
  <c r="J25" i="12"/>
  <c r="J26" i="12"/>
  <c r="J27" i="12"/>
  <c r="J28" i="12"/>
  <c r="J29" i="12"/>
  <c r="J30" i="12"/>
  <c r="J31" i="12"/>
  <c r="J32" i="12"/>
  <c r="K23" i="12"/>
  <c r="K24" i="12"/>
  <c r="K25" i="12"/>
  <c r="K26" i="12"/>
  <c r="K27" i="12"/>
  <c r="K28" i="12"/>
  <c r="K29" i="12"/>
  <c r="K30" i="12"/>
  <c r="K31" i="12"/>
  <c r="K32" i="12"/>
  <c r="L23" i="12"/>
  <c r="L24" i="12"/>
  <c r="L25" i="12"/>
  <c r="L26" i="12"/>
  <c r="L27" i="12"/>
  <c r="L28" i="12"/>
  <c r="L29" i="12"/>
  <c r="L30" i="12"/>
  <c r="L31" i="12"/>
  <c r="L32" i="12"/>
  <c r="V23" i="12"/>
  <c r="V24" i="12"/>
  <c r="V25" i="12"/>
  <c r="V26" i="12"/>
  <c r="V27" i="12"/>
  <c r="V28" i="12"/>
  <c r="V29" i="12"/>
  <c r="V30" i="12"/>
  <c r="V31" i="12"/>
  <c r="V32" i="12"/>
  <c r="J33" i="12"/>
  <c r="J56" i="12"/>
  <c r="J57" i="12"/>
  <c r="J58" i="12"/>
  <c r="J59" i="12"/>
  <c r="K33" i="12"/>
  <c r="K56" i="12"/>
  <c r="K57" i="12"/>
  <c r="K58" i="12"/>
  <c r="K59" i="12"/>
  <c r="L33" i="12"/>
  <c r="L56" i="12"/>
  <c r="L57" i="12"/>
  <c r="L58" i="12"/>
  <c r="L59" i="12"/>
  <c r="V33" i="12"/>
  <c r="V56" i="12"/>
  <c r="V57" i="12"/>
  <c r="V58" i="12"/>
  <c r="V59" i="12"/>
  <c r="V70" i="12"/>
  <c r="L70" i="12"/>
  <c r="K70" i="12"/>
  <c r="J70" i="12"/>
  <c r="V69" i="12"/>
  <c r="L69" i="12"/>
  <c r="K69" i="12"/>
  <c r="J69" i="12"/>
  <c r="V68" i="12"/>
  <c r="L68" i="12"/>
  <c r="K68" i="12"/>
  <c r="J68" i="12"/>
  <c r="V67" i="12"/>
  <c r="L67" i="12"/>
  <c r="K67" i="12"/>
  <c r="J67" i="12"/>
  <c r="J22" i="12"/>
  <c r="J60" i="12"/>
  <c r="J61" i="12"/>
  <c r="K22" i="12"/>
  <c r="K60" i="12"/>
  <c r="K61" i="12"/>
  <c r="L22" i="12"/>
  <c r="L60" i="12"/>
  <c r="L61" i="12"/>
  <c r="V22" i="12"/>
  <c r="V60" i="12"/>
  <c r="V61" i="12"/>
  <c r="M824" i="1" l="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Y824" i="1"/>
  <c r="Z824" i="1" s="1" a="1"/>
  <c r="Z824" i="1" s="1"/>
  <c r="Y825" i="1"/>
  <c r="Z825" i="1" s="1" a="1"/>
  <c r="Z825" i="1" s="1"/>
  <c r="Y826" i="1"/>
  <c r="Z826" i="1" s="1" a="1"/>
  <c r="Z826" i="1" s="1"/>
  <c r="Y827" i="1"/>
  <c r="Y828" i="1"/>
  <c r="Y829" i="1"/>
  <c r="Z829" i="1" s="1" a="1"/>
  <c r="Z829" i="1" s="1"/>
  <c r="Y830" i="1"/>
  <c r="Z830" i="1" s="1" a="1"/>
  <c r="Z830" i="1" s="1"/>
  <c r="Y831" i="1"/>
  <c r="Y832" i="1"/>
  <c r="Z832" i="1" s="1" a="1"/>
  <c r="Z832" i="1" s="1"/>
  <c r="Y833" i="1"/>
  <c r="Z833" i="1" s="1" a="1"/>
  <c r="Z833" i="1" s="1"/>
  <c r="Y834" i="1"/>
  <c r="Z834" i="1" s="1" a="1"/>
  <c r="Z834" i="1" s="1"/>
  <c r="Y835" i="1"/>
  <c r="Y836" i="1"/>
  <c r="Z836" i="1" s="1" a="1"/>
  <c r="Z836" i="1" s="1"/>
  <c r="Y837" i="1"/>
  <c r="Z837" i="1" s="1" a="1"/>
  <c r="Z837" i="1" s="1"/>
  <c r="Y838" i="1"/>
  <c r="Z838" i="1" s="1" a="1"/>
  <c r="Z838" i="1" s="1"/>
  <c r="Y839" i="1"/>
  <c r="Y840" i="1"/>
  <c r="Z840" i="1" s="1" a="1"/>
  <c r="Z840" i="1" s="1"/>
  <c r="Y841" i="1"/>
  <c r="Z841" i="1" s="1" a="1"/>
  <c r="Z841" i="1" s="1"/>
  <c r="Y842" i="1"/>
  <c r="Z842" i="1" s="1" a="1"/>
  <c r="Z842" i="1" s="1"/>
  <c r="Y843" i="1"/>
  <c r="Y844" i="1"/>
  <c r="Y845" i="1"/>
  <c r="Z845" i="1" s="1" a="1"/>
  <c r="Z845" i="1" s="1"/>
  <c r="Y846" i="1"/>
  <c r="Z846" i="1" s="1" a="1"/>
  <c r="Z846" i="1" s="1"/>
  <c r="Y847" i="1"/>
  <c r="Y848" i="1"/>
  <c r="Z848" i="1" s="1" a="1"/>
  <c r="Z848" i="1" s="1"/>
  <c r="Y849" i="1"/>
  <c r="Z849" i="1" s="1" a="1"/>
  <c r="Z849" i="1" s="1"/>
  <c r="Y850" i="1"/>
  <c r="Z850" i="1" s="1" a="1"/>
  <c r="Z850" i="1" s="1"/>
  <c r="Y851" i="1"/>
  <c r="Y852" i="1"/>
  <c r="Y853" i="1"/>
  <c r="Z853" i="1" s="1" a="1"/>
  <c r="Z853" i="1" s="1"/>
  <c r="Y854" i="1"/>
  <c r="Y855" i="1"/>
  <c r="Y856" i="1"/>
  <c r="Z856" i="1" s="1" a="1"/>
  <c r="Z856" i="1" s="1"/>
  <c r="Y857" i="1"/>
  <c r="Z857" i="1" s="1" a="1"/>
  <c r="Z857" i="1" s="1"/>
  <c r="Y858" i="1"/>
  <c r="Z858" i="1" s="1" a="1"/>
  <c r="Z858" i="1" s="1"/>
  <c r="Y859" i="1"/>
  <c r="Y860" i="1"/>
  <c r="Y861" i="1"/>
  <c r="Z861" i="1" s="1" a="1"/>
  <c r="Z861" i="1" s="1"/>
  <c r="Y862" i="1"/>
  <c r="Z862" i="1" s="1" a="1"/>
  <c r="Z862" i="1" s="1"/>
  <c r="Y863" i="1"/>
  <c r="Y864" i="1"/>
  <c r="Z864" i="1" s="1" a="1"/>
  <c r="Z864" i="1" s="1"/>
  <c r="Y865" i="1"/>
  <c r="Z865" i="1" s="1" a="1"/>
  <c r="Z865" i="1" s="1"/>
  <c r="Y866" i="1"/>
  <c r="Z866" i="1" s="1" a="1"/>
  <c r="Z866" i="1" s="1"/>
  <c r="Y867" i="1"/>
  <c r="Y868" i="1"/>
  <c r="Y869" i="1"/>
  <c r="Z869" i="1" s="1" a="1"/>
  <c r="Z869" i="1" s="1"/>
  <c r="Y870" i="1"/>
  <c r="Z870" i="1" s="1" a="1"/>
  <c r="Z870" i="1" s="1"/>
  <c r="Y871" i="1"/>
  <c r="Y872" i="1"/>
  <c r="Z872" i="1" s="1" a="1"/>
  <c r="Z872" i="1" s="1"/>
  <c r="Y873" i="1"/>
  <c r="Z873" i="1" s="1" a="1"/>
  <c r="Z873" i="1" s="1"/>
  <c r="Y874" i="1"/>
  <c r="Z874" i="1" s="1" a="1"/>
  <c r="Z874" i="1" s="1"/>
  <c r="Y875" i="1"/>
  <c r="Y876" i="1"/>
  <c r="Y877" i="1"/>
  <c r="Z877" i="1" s="1" a="1"/>
  <c r="Z877" i="1" s="1"/>
  <c r="Y878" i="1"/>
  <c r="Z878" i="1" s="1" a="1"/>
  <c r="Z878" i="1" s="1"/>
  <c r="Y879" i="1"/>
  <c r="Y880" i="1"/>
  <c r="Z880" i="1" s="1" a="1"/>
  <c r="Z880" i="1" s="1"/>
  <c r="Y881" i="1"/>
  <c r="Z881" i="1" s="1" a="1"/>
  <c r="Z881" i="1" s="1"/>
  <c r="Y882" i="1"/>
  <c r="Y883" i="1"/>
  <c r="Y884" i="1"/>
  <c r="Z884" i="1" s="1" a="1"/>
  <c r="Z884" i="1" s="1"/>
  <c r="Y885" i="1"/>
  <c r="Z885" i="1" s="1" a="1"/>
  <c r="Z885" i="1" s="1"/>
  <c r="Y886" i="1"/>
  <c r="Z886" i="1" s="1" a="1"/>
  <c r="Z886" i="1" s="1"/>
  <c r="Y887" i="1"/>
  <c r="Y888" i="1"/>
  <c r="Z888" i="1" s="1" a="1"/>
  <c r="Z888" i="1" s="1"/>
  <c r="Y889" i="1"/>
  <c r="Z889" i="1" s="1" a="1"/>
  <c r="Z889" i="1" s="1"/>
  <c r="Y890" i="1"/>
  <c r="Z890" i="1" s="1" a="1"/>
  <c r="Z890" i="1" s="1"/>
  <c r="Y891" i="1"/>
  <c r="Y892" i="1"/>
  <c r="Z892" i="1" s="1" a="1"/>
  <c r="Z892" i="1" s="1"/>
  <c r="Y893" i="1"/>
  <c r="Z893" i="1" s="1" a="1"/>
  <c r="Z893" i="1" s="1"/>
  <c r="Y894" i="1"/>
  <c r="Z894" i="1" s="1" a="1"/>
  <c r="Z894" i="1" s="1"/>
  <c r="Y895" i="1"/>
  <c r="Y896" i="1"/>
  <c r="Z896" i="1" s="1" a="1"/>
  <c r="Z896" i="1" s="1"/>
  <c r="Y897" i="1"/>
  <c r="Z897" i="1" s="1" a="1"/>
  <c r="Z897" i="1" s="1"/>
  <c r="Y898" i="1"/>
  <c r="Z898" i="1" s="1" a="1"/>
  <c r="Z898" i="1" s="1"/>
  <c r="Y899" i="1"/>
  <c r="Y900" i="1"/>
  <c r="Z900" i="1" s="1" a="1"/>
  <c r="Z900" i="1" s="1"/>
  <c r="Y901" i="1"/>
  <c r="Z901" i="1" s="1" a="1"/>
  <c r="Z901" i="1" s="1"/>
  <c r="Y902" i="1"/>
  <c r="Z902" i="1" s="1" a="1"/>
  <c r="Z902" i="1" s="1"/>
  <c r="Y903" i="1"/>
  <c r="Y904" i="1"/>
  <c r="Y905" i="1"/>
  <c r="Z905" i="1" s="1" a="1"/>
  <c r="Z905" i="1" s="1"/>
  <c r="Y906" i="1"/>
  <c r="Z906" i="1" s="1" a="1"/>
  <c r="Z906" i="1" s="1"/>
  <c r="Y907" i="1"/>
  <c r="Y908" i="1"/>
  <c r="Z908" i="1" s="1" a="1"/>
  <c r="Z908" i="1" s="1"/>
  <c r="Y909" i="1"/>
  <c r="Z909" i="1" s="1" a="1"/>
  <c r="Z909" i="1" s="1"/>
  <c r="Y910" i="1"/>
  <c r="Z910" i="1" s="1" a="1"/>
  <c r="Z910" i="1" s="1"/>
  <c r="Z827" i="1" a="1"/>
  <c r="Z827" i="1" s="1"/>
  <c r="Z828" i="1" a="1"/>
  <c r="Z828" i="1" s="1"/>
  <c r="Z831" i="1" a="1"/>
  <c r="Z831" i="1" s="1"/>
  <c r="Z835" i="1" a="1"/>
  <c r="Z835" i="1" s="1"/>
  <c r="Z839" i="1" a="1"/>
  <c r="Z839" i="1" s="1"/>
  <c r="Z843" i="1" a="1"/>
  <c r="Z843" i="1" s="1"/>
  <c r="Z844" i="1" a="1"/>
  <c r="Z844" i="1" s="1"/>
  <c r="Z847" i="1" a="1"/>
  <c r="Z847" i="1" s="1"/>
  <c r="Z851" i="1" a="1"/>
  <c r="Z851" i="1" s="1"/>
  <c r="Z852" i="1" a="1"/>
  <c r="Z852" i="1" s="1"/>
  <c r="Z854" i="1" a="1"/>
  <c r="Z854" i="1" s="1"/>
  <c r="Z855" i="1" a="1"/>
  <c r="Z855" i="1" s="1"/>
  <c r="Z859" i="1" a="1"/>
  <c r="Z859" i="1" s="1"/>
  <c r="Z860" i="1" a="1"/>
  <c r="Z860" i="1" s="1"/>
  <c r="Z863" i="1" a="1"/>
  <c r="Z863" i="1" s="1"/>
  <c r="Z867" i="1" a="1"/>
  <c r="Z867" i="1" s="1"/>
  <c r="Z868" i="1" a="1"/>
  <c r="Z868" i="1" s="1"/>
  <c r="Z871" i="1" a="1"/>
  <c r="Z871" i="1" s="1"/>
  <c r="Z875" i="1" a="1"/>
  <c r="Z875" i="1" s="1"/>
  <c r="Z876" i="1" a="1"/>
  <c r="Z876" i="1" s="1"/>
  <c r="Z879" i="1" a="1"/>
  <c r="Z879" i="1" s="1"/>
  <c r="Z882" i="1" a="1"/>
  <c r="Z882" i="1" s="1"/>
  <c r="Z883" i="1" a="1"/>
  <c r="Z883" i="1" s="1"/>
  <c r="Z887" i="1" a="1"/>
  <c r="Z887" i="1" s="1"/>
  <c r="Z891" i="1" a="1"/>
  <c r="Z891" i="1" s="1"/>
  <c r="Z895" i="1" a="1"/>
  <c r="Z895" i="1" s="1"/>
  <c r="Z899" i="1" a="1"/>
  <c r="Z899" i="1" s="1"/>
  <c r="Z903" i="1" a="1"/>
  <c r="Z903" i="1" s="1"/>
  <c r="Z904" i="1" a="1"/>
  <c r="Z904" i="1" s="1"/>
  <c r="Z907" i="1" a="1"/>
  <c r="Z907" i="1" s="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Y783" i="1"/>
  <c r="Z783" i="1" s="1" a="1"/>
  <c r="Z783" i="1" s="1"/>
  <c r="Y784" i="1"/>
  <c r="Z784" i="1" s="1" a="1"/>
  <c r="Z784" i="1" s="1"/>
  <c r="Y785" i="1"/>
  <c r="Z785" i="1" s="1" a="1"/>
  <c r="Z785" i="1" s="1"/>
  <c r="Y786" i="1"/>
  <c r="Z786" i="1" s="1" a="1"/>
  <c r="Z786" i="1" s="1"/>
  <c r="Y787" i="1"/>
  <c r="Z787" i="1" s="1" a="1"/>
  <c r="Z787" i="1" s="1"/>
  <c r="Y788" i="1"/>
  <c r="Z788" i="1" s="1" a="1"/>
  <c r="Z788" i="1" s="1"/>
  <c r="Y789" i="1"/>
  <c r="Z789" i="1" s="1" a="1"/>
  <c r="Z789" i="1" s="1"/>
  <c r="Y790" i="1"/>
  <c r="Z790" i="1" s="1" a="1"/>
  <c r="Z790" i="1" s="1"/>
  <c r="Y791" i="1"/>
  <c r="Z791" i="1" s="1" a="1"/>
  <c r="Z791" i="1" s="1"/>
  <c r="Y792" i="1"/>
  <c r="Z792" i="1" s="1" a="1"/>
  <c r="Z792" i="1" s="1"/>
  <c r="Y793" i="1"/>
  <c r="Z793" i="1" s="1" a="1"/>
  <c r="Z793" i="1" s="1"/>
  <c r="Y794" i="1"/>
  <c r="Z794" i="1" s="1" a="1"/>
  <c r="Z794" i="1" s="1"/>
  <c r="Y795" i="1"/>
  <c r="Z795" i="1" s="1" a="1"/>
  <c r="Z795" i="1" s="1"/>
  <c r="Y796" i="1"/>
  <c r="Z796" i="1" s="1" a="1"/>
  <c r="Z796" i="1" s="1"/>
  <c r="Y797" i="1"/>
  <c r="Z797" i="1" s="1" a="1"/>
  <c r="Z797" i="1" s="1"/>
  <c r="Y798" i="1"/>
  <c r="Z798" i="1" s="1" a="1"/>
  <c r="Z798" i="1" s="1"/>
  <c r="Y799" i="1"/>
  <c r="Z799" i="1" s="1" a="1"/>
  <c r="Z799" i="1" s="1"/>
  <c r="Y800" i="1"/>
  <c r="Z800" i="1" s="1" a="1"/>
  <c r="Z800" i="1" s="1"/>
  <c r="Y801" i="1"/>
  <c r="Z801" i="1" s="1" a="1"/>
  <c r="Z801" i="1" s="1"/>
  <c r="Y802" i="1"/>
  <c r="Z802" i="1" s="1" a="1"/>
  <c r="Z802" i="1" s="1"/>
  <c r="Y803" i="1"/>
  <c r="Z803" i="1" s="1" a="1"/>
  <c r="Z803" i="1" s="1"/>
  <c r="Y804" i="1"/>
  <c r="Z804" i="1" s="1" a="1"/>
  <c r="Z804" i="1" s="1"/>
  <c r="Y805" i="1"/>
  <c r="Z805" i="1" s="1" a="1"/>
  <c r="Z805" i="1" s="1"/>
  <c r="Y806" i="1"/>
  <c r="Z806" i="1" s="1" a="1"/>
  <c r="Z806" i="1" s="1"/>
  <c r="Y807" i="1"/>
  <c r="Z807" i="1" s="1" a="1"/>
  <c r="Z807" i="1" s="1"/>
  <c r="Y808" i="1"/>
  <c r="Z808" i="1" s="1" a="1"/>
  <c r="Z808" i="1" s="1"/>
  <c r="Y809" i="1"/>
  <c r="Z809" i="1" s="1" a="1"/>
  <c r="Z809" i="1" s="1"/>
  <c r="Y810" i="1"/>
  <c r="Z810" i="1" s="1" a="1"/>
  <c r="Z810" i="1" s="1"/>
  <c r="Y811" i="1"/>
  <c r="Z811" i="1" s="1" a="1"/>
  <c r="Z811" i="1" s="1"/>
  <c r="Y812" i="1"/>
  <c r="Z812" i="1" s="1" a="1"/>
  <c r="Z812" i="1" s="1"/>
  <c r="Y813" i="1"/>
  <c r="Z813" i="1" s="1" a="1"/>
  <c r="Z813" i="1" s="1"/>
  <c r="Y814" i="1"/>
  <c r="Z814" i="1" s="1" a="1"/>
  <c r="Z814" i="1" s="1"/>
  <c r="Y815" i="1"/>
  <c r="Z815" i="1" s="1" a="1"/>
  <c r="Z815" i="1" s="1"/>
  <c r="Y816" i="1"/>
  <c r="Z816" i="1" s="1" a="1"/>
  <c r="Z816" i="1" s="1"/>
  <c r="Y817" i="1"/>
  <c r="Z817" i="1" s="1" a="1"/>
  <c r="Z817" i="1" s="1"/>
  <c r="Y818" i="1"/>
  <c r="Z818" i="1" s="1" a="1"/>
  <c r="Z818" i="1" s="1"/>
  <c r="Y819" i="1"/>
  <c r="Z819" i="1" s="1" a="1"/>
  <c r="Z819" i="1" s="1"/>
  <c r="Y820" i="1"/>
  <c r="Z820" i="1" s="1" a="1"/>
  <c r="Z820" i="1" s="1"/>
  <c r="Y821" i="1"/>
  <c r="Z821" i="1" s="1" a="1"/>
  <c r="Z821" i="1" s="1"/>
  <c r="Y822" i="1"/>
  <c r="Z822" i="1" s="1" a="1"/>
  <c r="Z822" i="1" s="1"/>
  <c r="Y823" i="1"/>
  <c r="Z823" i="1" s="1" a="1"/>
  <c r="Z823" i="1" s="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M774" i="1"/>
  <c r="M775" i="1"/>
  <c r="M776" i="1"/>
  <c r="M777" i="1"/>
  <c r="M778" i="1"/>
  <c r="M779" i="1"/>
  <c r="M780" i="1"/>
  <c r="M781" i="1"/>
  <c r="M782" i="1"/>
  <c r="S774" i="1"/>
  <c r="S775" i="1"/>
  <c r="S776" i="1"/>
  <c r="S777" i="1"/>
  <c r="S778" i="1"/>
  <c r="S779" i="1"/>
  <c r="S780" i="1"/>
  <c r="S781" i="1"/>
  <c r="S782" i="1"/>
  <c r="Y774" i="1"/>
  <c r="Z774" i="1" s="1" a="1"/>
  <c r="Z774" i="1" s="1"/>
  <c r="Y775" i="1"/>
  <c r="Z775" i="1" s="1" a="1"/>
  <c r="Z775" i="1" s="1"/>
  <c r="Y776" i="1"/>
  <c r="Z776" i="1" s="1" a="1"/>
  <c r="Z776" i="1" s="1"/>
  <c r="Y777" i="1"/>
  <c r="Z777" i="1" s="1" a="1"/>
  <c r="Z777" i="1" s="1"/>
  <c r="Y778" i="1"/>
  <c r="Z778" i="1" s="1" a="1"/>
  <c r="Z778" i="1" s="1"/>
  <c r="Y779" i="1"/>
  <c r="Z779" i="1" s="1" a="1"/>
  <c r="Z779" i="1" s="1"/>
  <c r="Y780" i="1"/>
  <c r="Z780" i="1" s="1" a="1"/>
  <c r="Z780" i="1" s="1"/>
  <c r="Y781" i="1"/>
  <c r="Z781" i="1" s="1" a="1"/>
  <c r="Z781" i="1" s="1"/>
  <c r="Y782" i="1"/>
  <c r="Z782" i="1" s="1" a="1"/>
  <c r="Z782" i="1" s="1"/>
  <c r="AM774" i="1"/>
  <c r="AM775" i="1"/>
  <c r="AM776" i="1"/>
  <c r="AM777" i="1"/>
  <c r="AM778" i="1"/>
  <c r="AM779" i="1"/>
  <c r="AM780" i="1"/>
  <c r="AM781" i="1"/>
  <c r="AM782" i="1"/>
  <c r="AN774" i="1"/>
  <c r="AN775" i="1"/>
  <c r="AN776" i="1"/>
  <c r="AN777" i="1"/>
  <c r="AN778" i="1"/>
  <c r="AN779" i="1"/>
  <c r="AN780" i="1"/>
  <c r="AN781" i="1"/>
  <c r="AN782" i="1"/>
  <c r="M753" i="1"/>
  <c r="M754" i="1"/>
  <c r="M755" i="1"/>
  <c r="M756" i="1"/>
  <c r="M757" i="1"/>
  <c r="M758" i="1"/>
  <c r="M759" i="1"/>
  <c r="M760" i="1"/>
  <c r="M761" i="1"/>
  <c r="M762" i="1"/>
  <c r="M763" i="1"/>
  <c r="M764" i="1"/>
  <c r="M765" i="1"/>
  <c r="M766" i="1"/>
  <c r="M767" i="1"/>
  <c r="M768" i="1"/>
  <c r="M769" i="1"/>
  <c r="M770" i="1"/>
  <c r="M771" i="1"/>
  <c r="M772" i="1"/>
  <c r="M773" i="1"/>
  <c r="S753" i="1"/>
  <c r="S754" i="1"/>
  <c r="S755" i="1"/>
  <c r="S756" i="1"/>
  <c r="S757" i="1"/>
  <c r="S758" i="1"/>
  <c r="S759" i="1"/>
  <c r="S760" i="1"/>
  <c r="S761" i="1"/>
  <c r="S762" i="1"/>
  <c r="S763" i="1"/>
  <c r="S764" i="1"/>
  <c r="S765" i="1"/>
  <c r="S766" i="1"/>
  <c r="S767" i="1"/>
  <c r="S768" i="1"/>
  <c r="S769" i="1"/>
  <c r="S770" i="1"/>
  <c r="S771" i="1"/>
  <c r="S772" i="1"/>
  <c r="S773" i="1"/>
  <c r="Y753" i="1"/>
  <c r="Z753" i="1" s="1" a="1"/>
  <c r="Z753" i="1" s="1"/>
  <c r="Y754" i="1"/>
  <c r="Z754" i="1" s="1" a="1"/>
  <c r="Z754" i="1" s="1"/>
  <c r="Y755" i="1"/>
  <c r="Z755" i="1" s="1" a="1"/>
  <c r="Z755" i="1" s="1"/>
  <c r="Y756" i="1"/>
  <c r="Z756" i="1" s="1" a="1"/>
  <c r="Z756" i="1" s="1"/>
  <c r="Y757" i="1"/>
  <c r="Z757" i="1" s="1" a="1"/>
  <c r="Z757" i="1" s="1"/>
  <c r="Y758" i="1"/>
  <c r="Z758" i="1" s="1" a="1"/>
  <c r="Z758" i="1" s="1"/>
  <c r="Y759" i="1"/>
  <c r="Z759" i="1" s="1" a="1"/>
  <c r="Z759" i="1" s="1"/>
  <c r="Y760" i="1"/>
  <c r="Z760" i="1" s="1" a="1"/>
  <c r="Z760" i="1" s="1"/>
  <c r="Y761" i="1"/>
  <c r="Z761" i="1" s="1" a="1"/>
  <c r="Z761" i="1" s="1"/>
  <c r="Y762" i="1"/>
  <c r="Z762" i="1" s="1" a="1"/>
  <c r="Z762" i="1" s="1"/>
  <c r="Y763" i="1"/>
  <c r="Z763" i="1" s="1" a="1"/>
  <c r="Z763" i="1" s="1"/>
  <c r="Y764" i="1"/>
  <c r="Z764" i="1" s="1" a="1"/>
  <c r="Z764" i="1" s="1"/>
  <c r="Y765" i="1"/>
  <c r="Z765" i="1" s="1" a="1"/>
  <c r="Z765" i="1" s="1"/>
  <c r="Y766" i="1"/>
  <c r="Z766" i="1" s="1" a="1"/>
  <c r="Z766" i="1" s="1"/>
  <c r="Y767" i="1"/>
  <c r="Z767" i="1" s="1" a="1"/>
  <c r="Z767" i="1" s="1"/>
  <c r="Y768" i="1"/>
  <c r="Z768" i="1" s="1" a="1"/>
  <c r="Z768" i="1" s="1"/>
  <c r="Y769" i="1"/>
  <c r="Z769" i="1" s="1" a="1"/>
  <c r="Z769" i="1" s="1"/>
  <c r="Y770" i="1"/>
  <c r="Z770" i="1" s="1" a="1"/>
  <c r="Z770" i="1" s="1"/>
  <c r="Y771" i="1"/>
  <c r="Z771" i="1" s="1" a="1"/>
  <c r="Z771" i="1" s="1"/>
  <c r="Y772" i="1"/>
  <c r="Z772" i="1" s="1" a="1"/>
  <c r="Z772" i="1" s="1"/>
  <c r="Y773" i="1"/>
  <c r="Z773" i="1" s="1" a="1"/>
  <c r="Z773" i="1" s="1"/>
  <c r="AM753" i="1"/>
  <c r="AM754" i="1"/>
  <c r="AM755" i="1"/>
  <c r="AM756" i="1"/>
  <c r="AM757" i="1"/>
  <c r="AM758" i="1"/>
  <c r="AM759" i="1"/>
  <c r="AM760" i="1"/>
  <c r="AM761" i="1"/>
  <c r="AM762" i="1"/>
  <c r="AM763" i="1"/>
  <c r="AM764" i="1"/>
  <c r="AM765" i="1"/>
  <c r="AM766" i="1"/>
  <c r="AM767" i="1"/>
  <c r="AM768" i="1"/>
  <c r="AM769" i="1"/>
  <c r="AM770" i="1"/>
  <c r="AM771" i="1"/>
  <c r="AM772" i="1"/>
  <c r="AM773" i="1"/>
  <c r="AN753" i="1"/>
  <c r="AN754" i="1"/>
  <c r="AN755" i="1"/>
  <c r="AN756" i="1"/>
  <c r="AN757" i="1"/>
  <c r="AN758" i="1"/>
  <c r="AN759" i="1"/>
  <c r="AN760" i="1"/>
  <c r="AN761" i="1"/>
  <c r="AN762" i="1"/>
  <c r="AN763" i="1"/>
  <c r="AN764" i="1"/>
  <c r="AN765" i="1"/>
  <c r="AN766" i="1"/>
  <c r="AN767" i="1"/>
  <c r="AN768" i="1"/>
  <c r="AN769" i="1"/>
  <c r="AN770" i="1"/>
  <c r="AN771" i="1"/>
  <c r="AN772" i="1"/>
  <c r="AN773" i="1"/>
  <c r="M737" i="1"/>
  <c r="M738" i="1"/>
  <c r="M739" i="1"/>
  <c r="M740" i="1"/>
  <c r="M741" i="1"/>
  <c r="M742" i="1"/>
  <c r="M743" i="1"/>
  <c r="M744" i="1"/>
  <c r="M745" i="1"/>
  <c r="M746" i="1"/>
  <c r="M747" i="1"/>
  <c r="M748" i="1"/>
  <c r="M749" i="1"/>
  <c r="M750" i="1"/>
  <c r="M751" i="1"/>
  <c r="M752" i="1"/>
  <c r="S737" i="1"/>
  <c r="S738" i="1"/>
  <c r="S739" i="1"/>
  <c r="S740" i="1"/>
  <c r="S741" i="1"/>
  <c r="S742" i="1"/>
  <c r="S743" i="1"/>
  <c r="S744" i="1"/>
  <c r="S745" i="1"/>
  <c r="S746" i="1"/>
  <c r="S747" i="1"/>
  <c r="S748" i="1"/>
  <c r="S749" i="1"/>
  <c r="S750" i="1"/>
  <c r="S751" i="1"/>
  <c r="S752" i="1"/>
  <c r="Y737" i="1"/>
  <c r="Z737" i="1" s="1" a="1"/>
  <c r="Z737" i="1" s="1"/>
  <c r="Y738" i="1"/>
  <c r="Z738" i="1" s="1" a="1"/>
  <c r="Z738" i="1" s="1"/>
  <c r="Y739" i="1"/>
  <c r="Z739" i="1" s="1" a="1"/>
  <c r="Z739" i="1" s="1"/>
  <c r="Y740" i="1"/>
  <c r="Z740" i="1" s="1" a="1"/>
  <c r="Z740" i="1" s="1"/>
  <c r="Y741" i="1"/>
  <c r="Z741" i="1" s="1" a="1"/>
  <c r="Z741" i="1" s="1"/>
  <c r="Y742" i="1"/>
  <c r="Z742" i="1" s="1" a="1"/>
  <c r="Z742" i="1" s="1"/>
  <c r="Y743" i="1"/>
  <c r="Z743" i="1" s="1" a="1"/>
  <c r="Z743" i="1" s="1"/>
  <c r="Y744" i="1"/>
  <c r="Z744" i="1" s="1" a="1"/>
  <c r="Z744" i="1" s="1"/>
  <c r="Y745" i="1"/>
  <c r="Z745" i="1" s="1" a="1"/>
  <c r="Z745" i="1" s="1"/>
  <c r="Y746" i="1"/>
  <c r="Z746" i="1" s="1" a="1"/>
  <c r="Z746" i="1" s="1"/>
  <c r="Y747" i="1"/>
  <c r="Z747" i="1" s="1" a="1"/>
  <c r="Z747" i="1" s="1"/>
  <c r="Y748" i="1"/>
  <c r="Z748" i="1" s="1" a="1"/>
  <c r="Z748" i="1" s="1"/>
  <c r="Y749" i="1"/>
  <c r="Z749" i="1" s="1" a="1"/>
  <c r="Z749" i="1" s="1"/>
  <c r="Y750" i="1"/>
  <c r="Z750" i="1" s="1" a="1"/>
  <c r="Z750" i="1" s="1"/>
  <c r="Y751" i="1"/>
  <c r="Z751" i="1" s="1" a="1"/>
  <c r="Z751" i="1" s="1"/>
  <c r="Y752" i="1"/>
  <c r="Z752" i="1" s="1" a="1"/>
  <c r="Z752" i="1" s="1"/>
  <c r="AM737" i="1"/>
  <c r="AM738" i="1"/>
  <c r="AM739" i="1"/>
  <c r="AM740" i="1"/>
  <c r="AM741" i="1"/>
  <c r="AM742" i="1"/>
  <c r="AM743" i="1"/>
  <c r="AM744" i="1"/>
  <c r="AM745" i="1"/>
  <c r="AM746" i="1"/>
  <c r="AM747" i="1"/>
  <c r="AM748" i="1"/>
  <c r="AM749" i="1"/>
  <c r="AM750" i="1"/>
  <c r="AM751" i="1"/>
  <c r="AM752" i="1"/>
  <c r="AN737" i="1"/>
  <c r="AN738" i="1"/>
  <c r="AN739" i="1"/>
  <c r="AN740" i="1"/>
  <c r="AN741" i="1"/>
  <c r="AN742" i="1"/>
  <c r="AN743" i="1"/>
  <c r="AN744" i="1"/>
  <c r="AN745" i="1"/>
  <c r="AN746" i="1"/>
  <c r="AN747" i="1"/>
  <c r="AN748" i="1"/>
  <c r="AN749" i="1"/>
  <c r="AN750" i="1"/>
  <c r="AN751" i="1"/>
  <c r="AN752" i="1"/>
  <c r="M729" i="1"/>
  <c r="M730" i="1"/>
  <c r="M731" i="1"/>
  <c r="M732" i="1"/>
  <c r="M733" i="1"/>
  <c r="M734" i="1"/>
  <c r="M735" i="1"/>
  <c r="M736" i="1"/>
  <c r="S729" i="1"/>
  <c r="S730" i="1"/>
  <c r="S731" i="1"/>
  <c r="S732" i="1"/>
  <c r="S733" i="1"/>
  <c r="S734" i="1"/>
  <c r="S735" i="1"/>
  <c r="S736" i="1"/>
  <c r="Y729" i="1"/>
  <c r="Z729" i="1" s="1" a="1"/>
  <c r="Z729" i="1" s="1"/>
  <c r="Y730" i="1"/>
  <c r="Z730" i="1" s="1" a="1"/>
  <c r="Z730" i="1" s="1"/>
  <c r="Y731" i="1"/>
  <c r="Z731" i="1" s="1" a="1"/>
  <c r="Z731" i="1" s="1"/>
  <c r="Y732" i="1"/>
  <c r="Z732" i="1" s="1" a="1"/>
  <c r="Z732" i="1" s="1"/>
  <c r="Y733" i="1"/>
  <c r="Z733" i="1" s="1" a="1"/>
  <c r="Z733" i="1" s="1"/>
  <c r="Y734" i="1"/>
  <c r="Z734" i="1" s="1" a="1"/>
  <c r="Z734" i="1" s="1"/>
  <c r="Y735" i="1"/>
  <c r="Z735" i="1" s="1" a="1"/>
  <c r="Z735" i="1" s="1"/>
  <c r="Y736" i="1"/>
  <c r="Z736" i="1" s="1" a="1"/>
  <c r="Z736" i="1" s="1"/>
  <c r="AM729" i="1"/>
  <c r="AM730" i="1"/>
  <c r="AM731" i="1"/>
  <c r="AM732" i="1"/>
  <c r="AM733" i="1"/>
  <c r="AM734" i="1"/>
  <c r="AM735" i="1"/>
  <c r="AM736" i="1"/>
  <c r="AN729" i="1"/>
  <c r="AN730" i="1"/>
  <c r="AN731" i="1"/>
  <c r="AN732" i="1"/>
  <c r="AN733" i="1"/>
  <c r="AN734" i="1"/>
  <c r="AN735" i="1"/>
  <c r="AN736" i="1"/>
  <c r="M666" i="1" l="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Y666" i="1"/>
  <c r="Z666" i="1" s="1" a="1"/>
  <c r="Z666" i="1" s="1"/>
  <c r="Y667" i="1"/>
  <c r="Z667" i="1" s="1" a="1"/>
  <c r="Z667" i="1" s="1"/>
  <c r="Y668" i="1"/>
  <c r="Z668" i="1" s="1" a="1"/>
  <c r="Z668" i="1" s="1"/>
  <c r="Y669" i="1"/>
  <c r="Z669" i="1" s="1" a="1"/>
  <c r="Z669" i="1" s="1"/>
  <c r="Y670" i="1"/>
  <c r="Z670" i="1" s="1" a="1"/>
  <c r="Z670" i="1" s="1"/>
  <c r="Y671" i="1"/>
  <c r="Z671" i="1" s="1" a="1"/>
  <c r="Z671" i="1" s="1"/>
  <c r="Y672" i="1"/>
  <c r="Z672" i="1" s="1" a="1"/>
  <c r="Z672" i="1" s="1"/>
  <c r="Y673" i="1"/>
  <c r="Z673" i="1" s="1" a="1"/>
  <c r="Z673" i="1" s="1"/>
  <c r="Y674" i="1"/>
  <c r="Z674" i="1" s="1" a="1"/>
  <c r="Z674" i="1" s="1"/>
  <c r="Y675" i="1"/>
  <c r="Z675" i="1" s="1" a="1"/>
  <c r="Z675" i="1" s="1"/>
  <c r="Y676" i="1"/>
  <c r="Z676" i="1" s="1" a="1"/>
  <c r="Z676" i="1" s="1"/>
  <c r="Y677" i="1"/>
  <c r="Z677" i="1" s="1" a="1"/>
  <c r="Z677" i="1" s="1"/>
  <c r="Y678" i="1"/>
  <c r="Z678" i="1" s="1" a="1"/>
  <c r="Z678" i="1" s="1"/>
  <c r="Y679" i="1"/>
  <c r="Z679" i="1" s="1" a="1"/>
  <c r="Z679" i="1" s="1"/>
  <c r="Y680" i="1"/>
  <c r="Z680" i="1" s="1" a="1"/>
  <c r="Z680" i="1" s="1"/>
  <c r="Y681" i="1"/>
  <c r="Z681" i="1" s="1" a="1"/>
  <c r="Z681" i="1" s="1"/>
  <c r="Y682" i="1"/>
  <c r="Z682" i="1" s="1" a="1"/>
  <c r="Z682" i="1" s="1"/>
  <c r="Y683" i="1"/>
  <c r="Z683" i="1" s="1" a="1"/>
  <c r="Z683" i="1" s="1"/>
  <c r="Y684" i="1"/>
  <c r="Z684" i="1" s="1" a="1"/>
  <c r="Z684" i="1" s="1"/>
  <c r="Y685" i="1"/>
  <c r="Z685" i="1" s="1" a="1"/>
  <c r="Z685" i="1" s="1"/>
  <c r="Y686" i="1"/>
  <c r="Z686" i="1" s="1" a="1"/>
  <c r="Z686" i="1" s="1"/>
  <c r="Y687" i="1"/>
  <c r="Z687" i="1" s="1" a="1"/>
  <c r="Z687" i="1" s="1"/>
  <c r="Y688" i="1"/>
  <c r="Z688" i="1" s="1" a="1"/>
  <c r="Z688" i="1" s="1"/>
  <c r="Y689" i="1"/>
  <c r="Z689" i="1" s="1" a="1"/>
  <c r="Z689" i="1" s="1"/>
  <c r="Y690" i="1"/>
  <c r="Z690" i="1" s="1" a="1"/>
  <c r="Z690" i="1" s="1"/>
  <c r="Y691" i="1"/>
  <c r="Z691" i="1" s="1" a="1"/>
  <c r="Z691" i="1" s="1"/>
  <c r="Y692" i="1"/>
  <c r="Z692" i="1" s="1" a="1"/>
  <c r="Z692" i="1" s="1"/>
  <c r="Y693" i="1"/>
  <c r="Z693" i="1" s="1" a="1"/>
  <c r="Z693" i="1" s="1"/>
  <c r="Y694" i="1"/>
  <c r="Z694" i="1" s="1" a="1"/>
  <c r="Z694" i="1" s="1"/>
  <c r="Y695" i="1"/>
  <c r="Z695" i="1" s="1" a="1"/>
  <c r="Z695" i="1" s="1"/>
  <c r="Y696" i="1"/>
  <c r="Z696" i="1" s="1" a="1"/>
  <c r="Z696" i="1" s="1"/>
  <c r="Y697" i="1"/>
  <c r="Z697" i="1" s="1" a="1"/>
  <c r="Z697" i="1" s="1"/>
  <c r="Y698" i="1"/>
  <c r="Z698" i="1" s="1" a="1"/>
  <c r="Z698" i="1" s="1"/>
  <c r="Y699" i="1"/>
  <c r="Z699" i="1" s="1" a="1"/>
  <c r="Z699" i="1" s="1"/>
  <c r="Y700" i="1"/>
  <c r="Z700" i="1" s="1" a="1"/>
  <c r="Z700" i="1" s="1"/>
  <c r="Y701" i="1"/>
  <c r="Z701" i="1" s="1" a="1"/>
  <c r="Z701" i="1" s="1"/>
  <c r="Y702" i="1"/>
  <c r="Z702" i="1" s="1" a="1"/>
  <c r="Z702" i="1" s="1"/>
  <c r="Y703" i="1"/>
  <c r="Z703" i="1" s="1" a="1"/>
  <c r="Z703" i="1" s="1"/>
  <c r="Y704" i="1"/>
  <c r="Z704" i="1" s="1" a="1"/>
  <c r="Z704" i="1" s="1"/>
  <c r="Y705" i="1"/>
  <c r="Z705" i="1" s="1" a="1"/>
  <c r="Z705" i="1" s="1"/>
  <c r="Y706" i="1"/>
  <c r="Z706" i="1" s="1" a="1"/>
  <c r="Z706" i="1" s="1"/>
  <c r="Y707" i="1"/>
  <c r="Z707" i="1" s="1" a="1"/>
  <c r="Z707" i="1" s="1"/>
  <c r="Y708" i="1"/>
  <c r="Z708" i="1" s="1" a="1"/>
  <c r="Z708" i="1" s="1"/>
  <c r="Y709" i="1"/>
  <c r="Z709" i="1" s="1" a="1"/>
  <c r="Z709" i="1" s="1"/>
  <c r="Y710" i="1"/>
  <c r="Z710" i="1" s="1" a="1"/>
  <c r="Z710" i="1" s="1"/>
  <c r="Y711" i="1"/>
  <c r="Z711" i="1" s="1" a="1"/>
  <c r="Z711" i="1" s="1"/>
  <c r="Y712" i="1"/>
  <c r="Z712" i="1" s="1" a="1"/>
  <c r="Z712" i="1" s="1"/>
  <c r="Y713" i="1"/>
  <c r="Z713" i="1" s="1" a="1"/>
  <c r="Z713" i="1" s="1"/>
  <c r="Y714" i="1"/>
  <c r="Z714" i="1" s="1" a="1"/>
  <c r="Z714" i="1" s="1"/>
  <c r="Y715" i="1"/>
  <c r="Z715" i="1" s="1" a="1"/>
  <c r="Z715" i="1" s="1"/>
  <c r="Y716" i="1"/>
  <c r="Z716" i="1" s="1" a="1"/>
  <c r="Z716" i="1" s="1"/>
  <c r="Y717" i="1"/>
  <c r="Z717" i="1" s="1" a="1"/>
  <c r="Z717" i="1" s="1"/>
  <c r="Y718" i="1"/>
  <c r="Z718" i="1" s="1" a="1"/>
  <c r="Z718" i="1" s="1"/>
  <c r="Y719" i="1"/>
  <c r="Z719" i="1" s="1" a="1"/>
  <c r="Z719" i="1" s="1"/>
  <c r="Y720" i="1"/>
  <c r="Z720" i="1" s="1" a="1"/>
  <c r="Z720" i="1" s="1"/>
  <c r="Y721" i="1"/>
  <c r="Y722" i="1"/>
  <c r="Z722" i="1" s="1" a="1"/>
  <c r="Z722" i="1" s="1"/>
  <c r="Y723" i="1"/>
  <c r="Z723" i="1" s="1" a="1"/>
  <c r="Z723" i="1" s="1"/>
  <c r="Y724" i="1"/>
  <c r="Z724" i="1" s="1" a="1"/>
  <c r="Z724" i="1" s="1"/>
  <c r="Y725" i="1"/>
  <c r="Z725" i="1" s="1" a="1"/>
  <c r="Z725" i="1" s="1"/>
  <c r="Y726" i="1"/>
  <c r="Z726" i="1" s="1" a="1"/>
  <c r="Z726" i="1" s="1"/>
  <c r="Y727" i="1"/>
  <c r="Z727" i="1" s="1" a="1"/>
  <c r="Z727" i="1" s="1"/>
  <c r="Y728" i="1"/>
  <c r="Z728" i="1" s="1" a="1"/>
  <c r="Z728" i="1" s="1"/>
  <c r="Z721" i="1" a="1"/>
  <c r="Z721" i="1" s="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Y632" i="1"/>
  <c r="Z632" i="1" s="1" a="1"/>
  <c r="Z632" i="1" s="1"/>
  <c r="Y633" i="1"/>
  <c r="Z633" i="1" s="1" a="1"/>
  <c r="Z633" i="1" s="1"/>
  <c r="Y634" i="1"/>
  <c r="Z634" i="1" s="1" a="1"/>
  <c r="Z634" i="1" s="1"/>
  <c r="Y635" i="1"/>
  <c r="Z635" i="1" s="1" a="1"/>
  <c r="Z635" i="1" s="1"/>
  <c r="Y636" i="1"/>
  <c r="Z636" i="1" s="1" a="1"/>
  <c r="Z636" i="1" s="1"/>
  <c r="Y637" i="1"/>
  <c r="Z637" i="1" s="1" a="1"/>
  <c r="Z637" i="1" s="1"/>
  <c r="Y638" i="1"/>
  <c r="Z638" i="1" s="1" a="1"/>
  <c r="Z638" i="1" s="1"/>
  <c r="Y639" i="1"/>
  <c r="Z639" i="1" s="1" a="1"/>
  <c r="Z639" i="1" s="1"/>
  <c r="Y640" i="1"/>
  <c r="Z640" i="1" s="1" a="1"/>
  <c r="Z640" i="1" s="1"/>
  <c r="Y641" i="1"/>
  <c r="Z641" i="1" s="1" a="1"/>
  <c r="Z641" i="1" s="1"/>
  <c r="Y642" i="1"/>
  <c r="Z642" i="1" s="1" a="1"/>
  <c r="Z642" i="1" s="1"/>
  <c r="Y643" i="1"/>
  <c r="Z643" i="1" s="1" a="1"/>
  <c r="Z643" i="1" s="1"/>
  <c r="Y644" i="1"/>
  <c r="Z644" i="1" s="1" a="1"/>
  <c r="Z644" i="1" s="1"/>
  <c r="Y645" i="1"/>
  <c r="Z645" i="1" s="1" a="1"/>
  <c r="Z645" i="1" s="1"/>
  <c r="Y646" i="1"/>
  <c r="Z646" i="1" s="1" a="1"/>
  <c r="Z646" i="1" s="1"/>
  <c r="Y647" i="1"/>
  <c r="Z647" i="1" s="1" a="1"/>
  <c r="Z647" i="1" s="1"/>
  <c r="Y648" i="1"/>
  <c r="Z648" i="1" s="1" a="1"/>
  <c r="Z648" i="1" s="1"/>
  <c r="Y649" i="1"/>
  <c r="Z649" i="1" s="1" a="1"/>
  <c r="Z649" i="1" s="1"/>
  <c r="Y650" i="1"/>
  <c r="Y651" i="1"/>
  <c r="Z651" i="1" s="1" a="1"/>
  <c r="Z651" i="1" s="1"/>
  <c r="Y652" i="1"/>
  <c r="Z652" i="1" s="1" a="1"/>
  <c r="Z652" i="1" s="1"/>
  <c r="Y653" i="1"/>
  <c r="Z653" i="1" s="1" a="1"/>
  <c r="Z653" i="1" s="1"/>
  <c r="Y654" i="1"/>
  <c r="Z654" i="1" s="1" a="1"/>
  <c r="Z654" i="1" s="1"/>
  <c r="Y655" i="1"/>
  <c r="Z655" i="1" s="1" a="1"/>
  <c r="Z655" i="1" s="1"/>
  <c r="Y656" i="1"/>
  <c r="Z656" i="1" s="1" a="1"/>
  <c r="Z656" i="1" s="1"/>
  <c r="Y657" i="1"/>
  <c r="Z657" i="1" s="1" a="1"/>
  <c r="Z657" i="1" s="1"/>
  <c r="Y658" i="1"/>
  <c r="Z658" i="1" s="1" a="1"/>
  <c r="Z658" i="1" s="1"/>
  <c r="Y659" i="1"/>
  <c r="Z659" i="1" s="1" a="1"/>
  <c r="Z659" i="1" s="1"/>
  <c r="Y660" i="1"/>
  <c r="Z660" i="1" s="1" a="1"/>
  <c r="Z660" i="1" s="1"/>
  <c r="Y661" i="1"/>
  <c r="Z661" i="1" s="1" a="1"/>
  <c r="Z661" i="1" s="1"/>
  <c r="Y662" i="1"/>
  <c r="Z662" i="1" s="1" a="1"/>
  <c r="Z662" i="1" s="1"/>
  <c r="Y663" i="1"/>
  <c r="Z663" i="1" s="1" a="1"/>
  <c r="Z663" i="1" s="1"/>
  <c r="Y664" i="1"/>
  <c r="Z664" i="1" s="1" a="1"/>
  <c r="Z664" i="1" s="1"/>
  <c r="Y665" i="1"/>
  <c r="Z665" i="1" s="1" a="1"/>
  <c r="Z665" i="1" s="1"/>
  <c r="Z650" i="1" a="1"/>
  <c r="Z650" i="1" s="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M528" i="1" l="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Y528" i="1"/>
  <c r="Z528" i="1" s="1" a="1"/>
  <c r="Z528" i="1" s="1"/>
  <c r="Y529" i="1"/>
  <c r="Z529" i="1" s="1" a="1"/>
  <c r="Z529" i="1" s="1"/>
  <c r="Y530" i="1"/>
  <c r="Y531" i="1"/>
  <c r="Z531" i="1" s="1" a="1"/>
  <c r="Z531" i="1" s="1"/>
  <c r="Y532" i="1"/>
  <c r="Z532" i="1" s="1" a="1"/>
  <c r="Z532" i="1" s="1"/>
  <c r="Y533" i="1"/>
  <c r="Z533" i="1" s="1" a="1"/>
  <c r="Z533" i="1" s="1"/>
  <c r="Y534" i="1"/>
  <c r="Z534" i="1" s="1" a="1"/>
  <c r="Z534" i="1" s="1"/>
  <c r="Y535" i="1"/>
  <c r="Z535" i="1" s="1" a="1"/>
  <c r="Z535" i="1" s="1"/>
  <c r="Y536" i="1"/>
  <c r="Z536" i="1" s="1" a="1"/>
  <c r="Z536" i="1" s="1"/>
  <c r="Y537" i="1"/>
  <c r="Z537" i="1" s="1" a="1"/>
  <c r="Z537" i="1" s="1"/>
  <c r="Y538" i="1"/>
  <c r="Z538" i="1" s="1" a="1"/>
  <c r="Z538" i="1" s="1"/>
  <c r="Y539" i="1"/>
  <c r="Z539" i="1" s="1" a="1"/>
  <c r="Z539" i="1" s="1"/>
  <c r="Y540" i="1"/>
  <c r="Z540" i="1" s="1" a="1"/>
  <c r="Z540" i="1" s="1"/>
  <c r="Y541" i="1"/>
  <c r="Z541" i="1" s="1" a="1"/>
  <c r="Z541" i="1" s="1"/>
  <c r="Y542" i="1"/>
  <c r="Z542" i="1" s="1" a="1"/>
  <c r="Z542" i="1" s="1"/>
  <c r="Y543" i="1"/>
  <c r="Z543" i="1" s="1" a="1"/>
  <c r="Z543" i="1" s="1"/>
  <c r="Y544" i="1"/>
  <c r="Z544" i="1" s="1" a="1"/>
  <c r="Z544" i="1" s="1"/>
  <c r="Y545" i="1"/>
  <c r="Z545" i="1" s="1" a="1"/>
  <c r="Z545" i="1" s="1"/>
  <c r="Y546" i="1"/>
  <c r="Z546" i="1" s="1" a="1"/>
  <c r="Z546" i="1" s="1"/>
  <c r="Y547" i="1"/>
  <c r="Z547" i="1" s="1" a="1"/>
  <c r="Z547" i="1" s="1"/>
  <c r="Y548" i="1"/>
  <c r="Z548" i="1" s="1" a="1"/>
  <c r="Z548" i="1" s="1"/>
  <c r="Y549" i="1"/>
  <c r="Z549" i="1" s="1" a="1"/>
  <c r="Z549" i="1" s="1"/>
  <c r="Y550" i="1"/>
  <c r="Z550" i="1" s="1" a="1"/>
  <c r="Z550" i="1" s="1"/>
  <c r="Y551" i="1"/>
  <c r="Z551" i="1" s="1" a="1"/>
  <c r="Z551" i="1" s="1"/>
  <c r="Y552" i="1"/>
  <c r="Z552" i="1" s="1" a="1"/>
  <c r="Z552" i="1" s="1"/>
  <c r="Y553" i="1"/>
  <c r="Z553" i="1" s="1" a="1"/>
  <c r="Z553" i="1" s="1"/>
  <c r="Y554" i="1"/>
  <c r="Z554" i="1" s="1" a="1"/>
  <c r="Z554" i="1" s="1"/>
  <c r="Y555" i="1"/>
  <c r="Z555" i="1" s="1" a="1"/>
  <c r="Z555" i="1" s="1"/>
  <c r="Y556" i="1"/>
  <c r="Y557" i="1"/>
  <c r="Z557" i="1" s="1" a="1"/>
  <c r="Z557" i="1" s="1"/>
  <c r="Y558" i="1"/>
  <c r="Z558" i="1" s="1" a="1"/>
  <c r="Z558" i="1" s="1"/>
  <c r="Y559" i="1"/>
  <c r="Z559" i="1" s="1" a="1"/>
  <c r="Z559" i="1" s="1"/>
  <c r="Y560" i="1"/>
  <c r="Z560" i="1" s="1" a="1"/>
  <c r="Z560" i="1" s="1"/>
  <c r="Y561" i="1"/>
  <c r="Z561" i="1" s="1" a="1"/>
  <c r="Z561" i="1" s="1"/>
  <c r="Y562" i="1"/>
  <c r="Z562" i="1" s="1" a="1"/>
  <c r="Z562" i="1" s="1"/>
  <c r="Y563" i="1"/>
  <c r="Z563" i="1" s="1" a="1"/>
  <c r="Z563" i="1" s="1"/>
  <c r="Y564" i="1"/>
  <c r="Z564" i="1" s="1" a="1"/>
  <c r="Z564" i="1" s="1"/>
  <c r="Y565" i="1"/>
  <c r="Z565" i="1" s="1" a="1"/>
  <c r="Z565" i="1" s="1"/>
  <c r="Y566" i="1"/>
  <c r="Z566" i="1" s="1" a="1"/>
  <c r="Z566" i="1" s="1"/>
  <c r="Y567" i="1"/>
  <c r="Z567" i="1" s="1" a="1"/>
  <c r="Z567" i="1" s="1"/>
  <c r="Y568" i="1"/>
  <c r="Z568" i="1" s="1" a="1"/>
  <c r="Z568" i="1" s="1"/>
  <c r="Y569" i="1"/>
  <c r="Z569" i="1" s="1" a="1"/>
  <c r="Z569" i="1" s="1"/>
  <c r="Y570" i="1"/>
  <c r="Z570" i="1" s="1" a="1"/>
  <c r="Z570" i="1" s="1"/>
  <c r="Y571" i="1"/>
  <c r="Z571" i="1" s="1" a="1"/>
  <c r="Z571" i="1" s="1"/>
  <c r="Y572" i="1"/>
  <c r="Z572" i="1" s="1" a="1"/>
  <c r="Z572" i="1" s="1"/>
  <c r="Y573" i="1"/>
  <c r="Y574" i="1"/>
  <c r="Y575" i="1"/>
  <c r="Z575" i="1" s="1" a="1"/>
  <c r="Z575" i="1" s="1"/>
  <c r="Y576" i="1"/>
  <c r="Y577" i="1"/>
  <c r="Z577" i="1" s="1" a="1"/>
  <c r="Z577" i="1" s="1"/>
  <c r="Y578" i="1"/>
  <c r="Z578" i="1" s="1" a="1"/>
  <c r="Z578" i="1" s="1"/>
  <c r="Y579" i="1"/>
  <c r="Z579" i="1" s="1" a="1"/>
  <c r="Z579" i="1" s="1"/>
  <c r="Y580" i="1"/>
  <c r="Z580" i="1" s="1" a="1"/>
  <c r="Z580" i="1" s="1"/>
  <c r="Y581" i="1"/>
  <c r="Z581" i="1" s="1" a="1"/>
  <c r="Z581" i="1" s="1"/>
  <c r="Y582" i="1"/>
  <c r="Z582" i="1" s="1" a="1"/>
  <c r="Z582" i="1" s="1"/>
  <c r="Y583" i="1"/>
  <c r="Z583" i="1" s="1" a="1"/>
  <c r="Z583" i="1" s="1"/>
  <c r="Y584" i="1"/>
  <c r="Z584" i="1" s="1" a="1"/>
  <c r="Z584" i="1" s="1"/>
  <c r="Y585" i="1"/>
  <c r="Z585" i="1" s="1" a="1"/>
  <c r="Z585" i="1" s="1"/>
  <c r="Y586" i="1"/>
  <c r="Z586" i="1" s="1" a="1"/>
  <c r="Z586" i="1" s="1"/>
  <c r="Y587" i="1"/>
  <c r="Z587" i="1" s="1" a="1"/>
  <c r="Z587" i="1" s="1"/>
  <c r="Y588" i="1"/>
  <c r="Z588" i="1" s="1" a="1"/>
  <c r="Z588" i="1" s="1"/>
  <c r="Y589" i="1"/>
  <c r="Z589" i="1" s="1" a="1"/>
  <c r="Z589" i="1" s="1"/>
  <c r="Y590" i="1"/>
  <c r="Z590" i="1" s="1" a="1"/>
  <c r="Z590" i="1" s="1"/>
  <c r="Y591" i="1"/>
  <c r="Z591" i="1" s="1" a="1"/>
  <c r="Z591" i="1" s="1"/>
  <c r="Y592" i="1"/>
  <c r="Z592" i="1" s="1" a="1"/>
  <c r="Z592" i="1" s="1"/>
  <c r="Y593" i="1"/>
  <c r="Z593" i="1" s="1" a="1"/>
  <c r="Z593" i="1" s="1"/>
  <c r="Y594" i="1"/>
  <c r="Z594" i="1" s="1" a="1"/>
  <c r="Z594" i="1" s="1"/>
  <c r="Y595" i="1"/>
  <c r="Z595" i="1" s="1" a="1"/>
  <c r="Z595" i="1" s="1"/>
  <c r="Y596" i="1"/>
  <c r="Z596" i="1" s="1" a="1"/>
  <c r="Z596" i="1" s="1"/>
  <c r="Y597" i="1"/>
  <c r="Z597" i="1" s="1" a="1"/>
  <c r="Z597" i="1" s="1"/>
  <c r="Y598" i="1"/>
  <c r="Z598" i="1" s="1" a="1"/>
  <c r="Z598" i="1" s="1"/>
  <c r="Y599" i="1"/>
  <c r="Z599" i="1" s="1" a="1"/>
  <c r="Z599" i="1" s="1"/>
  <c r="Y600" i="1"/>
  <c r="Z600" i="1" s="1" a="1"/>
  <c r="Z600" i="1" s="1"/>
  <c r="Y601" i="1"/>
  <c r="Z601" i="1" s="1" a="1"/>
  <c r="Z601" i="1" s="1"/>
  <c r="Y602" i="1"/>
  <c r="Z602" i="1" s="1" a="1"/>
  <c r="Z602" i="1" s="1"/>
  <c r="Y603" i="1"/>
  <c r="Z603" i="1" s="1" a="1"/>
  <c r="Z603" i="1" s="1"/>
  <c r="Y604" i="1"/>
  <c r="Z604" i="1" s="1" a="1"/>
  <c r="Z604" i="1" s="1"/>
  <c r="Y605" i="1"/>
  <c r="Z605" i="1" s="1" a="1"/>
  <c r="Z605" i="1" s="1"/>
  <c r="Y606" i="1"/>
  <c r="Z606" i="1" s="1" a="1"/>
  <c r="Z606" i="1" s="1"/>
  <c r="Y607" i="1"/>
  <c r="Z607" i="1" s="1" a="1"/>
  <c r="Z607" i="1" s="1"/>
  <c r="Y608" i="1"/>
  <c r="Z608" i="1" s="1" a="1"/>
  <c r="Z608" i="1" s="1"/>
  <c r="Y609" i="1"/>
  <c r="Z609" i="1" s="1" a="1"/>
  <c r="Z609" i="1" s="1"/>
  <c r="Y610" i="1"/>
  <c r="Z610" i="1" s="1" a="1"/>
  <c r="Z610" i="1" s="1"/>
  <c r="Y611" i="1"/>
  <c r="Z611" i="1" s="1" a="1"/>
  <c r="Z611" i="1" s="1"/>
  <c r="Y612" i="1"/>
  <c r="Z612" i="1" s="1" a="1"/>
  <c r="Z612" i="1" s="1"/>
  <c r="Y613" i="1"/>
  <c r="Z613" i="1" s="1" a="1"/>
  <c r="Z613" i="1" s="1"/>
  <c r="Y614" i="1"/>
  <c r="Z614" i="1" s="1" a="1"/>
  <c r="Z614" i="1" s="1"/>
  <c r="Y615" i="1"/>
  <c r="Z615" i="1" s="1" a="1"/>
  <c r="Z615" i="1" s="1"/>
  <c r="Y616" i="1"/>
  <c r="Z616" i="1" s="1" a="1"/>
  <c r="Z616" i="1" s="1"/>
  <c r="Y617" i="1"/>
  <c r="Z617" i="1" s="1" a="1"/>
  <c r="Z617" i="1" s="1"/>
  <c r="Y618" i="1"/>
  <c r="Z618" i="1" s="1" a="1"/>
  <c r="Z618" i="1" s="1"/>
  <c r="Y619" i="1"/>
  <c r="Z619" i="1" s="1" a="1"/>
  <c r="Z619" i="1" s="1"/>
  <c r="Y620" i="1"/>
  <c r="Z620" i="1" s="1" a="1"/>
  <c r="Z620" i="1" s="1"/>
  <c r="Y621" i="1"/>
  <c r="Z621" i="1" s="1" a="1"/>
  <c r="Z621" i="1" s="1"/>
  <c r="Y622" i="1"/>
  <c r="Z622" i="1" s="1" a="1"/>
  <c r="Z622" i="1" s="1"/>
  <c r="Y623" i="1"/>
  <c r="Z623" i="1" s="1" a="1"/>
  <c r="Z623" i="1" s="1"/>
  <c r="Y624" i="1"/>
  <c r="Z624" i="1" s="1" a="1"/>
  <c r="Z624" i="1" s="1"/>
  <c r="Y625" i="1"/>
  <c r="Z625" i="1" s="1" a="1"/>
  <c r="Z625" i="1" s="1"/>
  <c r="Y626" i="1"/>
  <c r="Z626" i="1" s="1" a="1"/>
  <c r="Z626" i="1" s="1"/>
  <c r="Y627" i="1"/>
  <c r="Z627" i="1" s="1" a="1"/>
  <c r="Z627" i="1" s="1"/>
  <c r="Y628" i="1"/>
  <c r="Z628" i="1" s="1" a="1"/>
  <c r="Z628" i="1" s="1"/>
  <c r="Y629" i="1"/>
  <c r="Z629" i="1" s="1" a="1"/>
  <c r="Z629" i="1" s="1"/>
  <c r="Y630" i="1"/>
  <c r="Z630" i="1" s="1" a="1"/>
  <c r="Z630" i="1" s="1"/>
  <c r="Y631" i="1"/>
  <c r="Z631" i="1" s="1" a="1"/>
  <c r="Z631" i="1" s="1"/>
  <c r="Z530" i="1" a="1"/>
  <c r="Z530" i="1" s="1"/>
  <c r="Z556" i="1" a="1"/>
  <c r="Z556" i="1" s="1"/>
  <c r="Z573" i="1" a="1"/>
  <c r="Z573" i="1" s="1"/>
  <c r="Z574" i="1" a="1"/>
  <c r="Z574" i="1" s="1"/>
  <c r="Z576" i="1" a="1"/>
  <c r="Z576" i="1" s="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M459" i="1" l="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Y459" i="1"/>
  <c r="Z459" i="1" s="1" a="1"/>
  <c r="Z459" i="1" s="1"/>
  <c r="Y460" i="1"/>
  <c r="Y461" i="1"/>
  <c r="Z461" i="1" s="1" a="1"/>
  <c r="Z461" i="1" s="1"/>
  <c r="Y462" i="1"/>
  <c r="Z462" i="1" s="1" a="1"/>
  <c r="Z462" i="1" s="1"/>
  <c r="Y463" i="1"/>
  <c r="Z463" i="1" s="1" a="1"/>
  <c r="Z463" i="1" s="1"/>
  <c r="Y464" i="1"/>
  <c r="Z464" i="1" s="1" a="1"/>
  <c r="Z464" i="1" s="1"/>
  <c r="Y465" i="1"/>
  <c r="Z465" i="1" s="1" a="1"/>
  <c r="Z465" i="1" s="1"/>
  <c r="Y466" i="1"/>
  <c r="Z466" i="1" s="1" a="1"/>
  <c r="Z466" i="1" s="1"/>
  <c r="Y467" i="1"/>
  <c r="Z467" i="1" s="1" a="1"/>
  <c r="Z467" i="1" s="1"/>
  <c r="Y468" i="1"/>
  <c r="Z468" i="1" s="1" a="1"/>
  <c r="Z468" i="1" s="1"/>
  <c r="Y469" i="1"/>
  <c r="Z469" i="1" s="1" a="1"/>
  <c r="Z469" i="1" s="1"/>
  <c r="Y470" i="1"/>
  <c r="Z470" i="1" s="1" a="1"/>
  <c r="Z470" i="1" s="1"/>
  <c r="Y471" i="1"/>
  <c r="Z471" i="1" s="1" a="1"/>
  <c r="Z471" i="1" s="1"/>
  <c r="Y472" i="1"/>
  <c r="Z472" i="1" s="1" a="1"/>
  <c r="Z472" i="1" s="1"/>
  <c r="Y473" i="1"/>
  <c r="Z473" i="1" s="1" a="1"/>
  <c r="Z473" i="1" s="1"/>
  <c r="Y474" i="1"/>
  <c r="Z474" i="1" s="1" a="1"/>
  <c r="Z474" i="1" s="1"/>
  <c r="Y475" i="1"/>
  <c r="Z475" i="1" s="1" a="1"/>
  <c r="Z475" i="1" s="1"/>
  <c r="Y476" i="1"/>
  <c r="Z476" i="1" s="1" a="1"/>
  <c r="Z476" i="1" s="1"/>
  <c r="Y477" i="1"/>
  <c r="Z477" i="1" s="1" a="1"/>
  <c r="Z477" i="1" s="1"/>
  <c r="Y478" i="1"/>
  <c r="Z478" i="1" s="1" a="1"/>
  <c r="Z478" i="1" s="1"/>
  <c r="Y479" i="1"/>
  <c r="Z479" i="1" s="1" a="1"/>
  <c r="Z479" i="1" s="1"/>
  <c r="Y480" i="1"/>
  <c r="Z480" i="1" s="1" a="1"/>
  <c r="Z480" i="1" s="1"/>
  <c r="Y481" i="1"/>
  <c r="Z481" i="1" s="1" a="1"/>
  <c r="Z481" i="1" s="1"/>
  <c r="Y482" i="1"/>
  <c r="Z482" i="1" s="1" a="1"/>
  <c r="Z482" i="1" s="1"/>
  <c r="Y483" i="1"/>
  <c r="Z483" i="1" s="1" a="1"/>
  <c r="Z483" i="1" s="1"/>
  <c r="Y484" i="1"/>
  <c r="Z484" i="1" s="1" a="1"/>
  <c r="Z484" i="1" s="1"/>
  <c r="Y485" i="1"/>
  <c r="Z485" i="1" s="1" a="1"/>
  <c r="Z485" i="1" s="1"/>
  <c r="Y486" i="1"/>
  <c r="Z486" i="1" s="1" a="1"/>
  <c r="Z486" i="1" s="1"/>
  <c r="Y487" i="1"/>
  <c r="Z487" i="1" s="1" a="1"/>
  <c r="Z487" i="1" s="1"/>
  <c r="Y488" i="1"/>
  <c r="Z488" i="1" s="1" a="1"/>
  <c r="Z488" i="1" s="1"/>
  <c r="Y489" i="1"/>
  <c r="Z489" i="1" s="1" a="1"/>
  <c r="Z489" i="1" s="1"/>
  <c r="Y490" i="1"/>
  <c r="Z490" i="1" s="1" a="1"/>
  <c r="Z490" i="1" s="1"/>
  <c r="Y491" i="1"/>
  <c r="Z491" i="1" s="1" a="1"/>
  <c r="Z491" i="1" s="1"/>
  <c r="Y492" i="1"/>
  <c r="Z492" i="1" s="1" a="1"/>
  <c r="Z492" i="1" s="1"/>
  <c r="Y493" i="1"/>
  <c r="Z493" i="1" s="1" a="1"/>
  <c r="Z493" i="1" s="1"/>
  <c r="Y494" i="1"/>
  <c r="Z494" i="1" s="1" a="1"/>
  <c r="Z494" i="1" s="1"/>
  <c r="Y495" i="1"/>
  <c r="Z495" i="1" s="1" a="1"/>
  <c r="Z495" i="1" s="1"/>
  <c r="Y496" i="1"/>
  <c r="Z496" i="1" s="1" a="1"/>
  <c r="Z496" i="1" s="1"/>
  <c r="Y497" i="1"/>
  <c r="Z497" i="1" s="1" a="1"/>
  <c r="Z497" i="1" s="1"/>
  <c r="Y498" i="1"/>
  <c r="Z498" i="1" s="1" a="1"/>
  <c r="Z498" i="1" s="1"/>
  <c r="Y499" i="1"/>
  <c r="Z499" i="1" s="1" a="1"/>
  <c r="Z499" i="1" s="1"/>
  <c r="Y500" i="1"/>
  <c r="Z500" i="1" s="1" a="1"/>
  <c r="Z500" i="1" s="1"/>
  <c r="Y501" i="1"/>
  <c r="Z501" i="1" s="1" a="1"/>
  <c r="Z501" i="1" s="1"/>
  <c r="Y502" i="1"/>
  <c r="Z502" i="1" s="1" a="1"/>
  <c r="Z502" i="1" s="1"/>
  <c r="Y503" i="1"/>
  <c r="Z503" i="1" s="1" a="1"/>
  <c r="Z503" i="1" s="1"/>
  <c r="Y504" i="1"/>
  <c r="Z504" i="1" s="1" a="1"/>
  <c r="Z504" i="1" s="1"/>
  <c r="Y505" i="1"/>
  <c r="Z505" i="1" s="1" a="1"/>
  <c r="Z505" i="1" s="1"/>
  <c r="Y506" i="1"/>
  <c r="Z506" i="1" s="1" a="1"/>
  <c r="Z506" i="1" s="1"/>
  <c r="Y507" i="1"/>
  <c r="Z507" i="1" s="1" a="1"/>
  <c r="Z507" i="1" s="1"/>
  <c r="Y508" i="1"/>
  <c r="Z508" i="1" s="1" a="1"/>
  <c r="Z508" i="1" s="1"/>
  <c r="Y509" i="1"/>
  <c r="Z509" i="1" s="1" a="1"/>
  <c r="Z509" i="1" s="1"/>
  <c r="Y510" i="1"/>
  <c r="Z510" i="1" s="1" a="1"/>
  <c r="Z510" i="1" s="1"/>
  <c r="Y511" i="1"/>
  <c r="Z511" i="1" s="1" a="1"/>
  <c r="Z511" i="1" s="1"/>
  <c r="Y512" i="1"/>
  <c r="Z512" i="1" s="1" a="1"/>
  <c r="Z512" i="1" s="1"/>
  <c r="Y513" i="1"/>
  <c r="Z513" i="1" s="1" a="1"/>
  <c r="Z513" i="1" s="1"/>
  <c r="Y514" i="1"/>
  <c r="Z514" i="1" s="1" a="1"/>
  <c r="Z514" i="1" s="1"/>
  <c r="Y515" i="1"/>
  <c r="Z515" i="1" s="1" a="1"/>
  <c r="Z515" i="1" s="1"/>
  <c r="Y516" i="1"/>
  <c r="Z516" i="1" s="1" a="1"/>
  <c r="Z516" i="1" s="1"/>
  <c r="Y517" i="1"/>
  <c r="Z517" i="1" s="1" a="1"/>
  <c r="Z517" i="1" s="1"/>
  <c r="Y518" i="1"/>
  <c r="Z518" i="1" s="1" a="1"/>
  <c r="Z518" i="1" s="1"/>
  <c r="Y519" i="1"/>
  <c r="Z519" i="1" s="1" a="1"/>
  <c r="Z519" i="1" s="1"/>
  <c r="Y520" i="1"/>
  <c r="Z520" i="1" s="1" a="1"/>
  <c r="Z520" i="1" s="1"/>
  <c r="Y521" i="1"/>
  <c r="Z521" i="1" s="1" a="1"/>
  <c r="Z521" i="1" s="1"/>
  <c r="Y522" i="1"/>
  <c r="Z522" i="1" s="1" a="1"/>
  <c r="Z522" i="1" s="1"/>
  <c r="Y523" i="1"/>
  <c r="Z523" i="1" s="1" a="1"/>
  <c r="Z523" i="1" s="1"/>
  <c r="Y524" i="1"/>
  <c r="Z524" i="1" s="1" a="1"/>
  <c r="Z524" i="1" s="1"/>
  <c r="Y525" i="1"/>
  <c r="Z525" i="1" s="1" a="1"/>
  <c r="Z525" i="1" s="1"/>
  <c r="Y526" i="1"/>
  <c r="Z526" i="1" s="1" a="1"/>
  <c r="Z526" i="1" s="1"/>
  <c r="Y527" i="1"/>
  <c r="Z527" i="1" s="1" a="1"/>
  <c r="Z527" i="1" s="1"/>
  <c r="Z460" i="1" a="1"/>
  <c r="Z460" i="1" s="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M415" i="1" l="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Y415" i="1"/>
  <c r="Y416" i="1"/>
  <c r="Z416" i="1" s="1" a="1"/>
  <c r="Z416" i="1" s="1"/>
  <c r="Y417" i="1"/>
  <c r="Z417" i="1" s="1" a="1"/>
  <c r="Z417" i="1" s="1"/>
  <c r="Y418" i="1"/>
  <c r="Z418" i="1" s="1" a="1"/>
  <c r="Z418" i="1" s="1"/>
  <c r="Y419" i="1"/>
  <c r="Z419" i="1" s="1" a="1"/>
  <c r="Z419" i="1" s="1"/>
  <c r="Y420" i="1"/>
  <c r="Z420" i="1" s="1" a="1"/>
  <c r="Z420" i="1" s="1"/>
  <c r="Y421" i="1"/>
  <c r="Z421" i="1" s="1" a="1"/>
  <c r="Z421" i="1" s="1"/>
  <c r="Y422" i="1"/>
  <c r="Z422" i="1" s="1" a="1"/>
  <c r="Z422" i="1" s="1"/>
  <c r="Y423" i="1"/>
  <c r="Z423" i="1" s="1" a="1"/>
  <c r="Z423" i="1" s="1"/>
  <c r="Y424" i="1"/>
  <c r="Z424" i="1" s="1" a="1"/>
  <c r="Z424" i="1" s="1"/>
  <c r="Z425" i="1" a="1"/>
  <c r="Z425" i="1" s="1"/>
  <c r="Y426" i="1"/>
  <c r="Z426" i="1" s="1" a="1"/>
  <c r="Z426" i="1" s="1"/>
  <c r="Y427" i="1"/>
  <c r="Z427" i="1" s="1" a="1"/>
  <c r="Z427" i="1" s="1"/>
  <c r="Y428" i="1"/>
  <c r="Z428" i="1" s="1" a="1"/>
  <c r="Z428" i="1" s="1"/>
  <c r="Y429" i="1"/>
  <c r="Z429" i="1" s="1" a="1"/>
  <c r="Z429" i="1" s="1"/>
  <c r="Y430" i="1"/>
  <c r="Z430" i="1" s="1" a="1"/>
  <c r="Z430" i="1" s="1"/>
  <c r="Y431" i="1"/>
  <c r="Z431" i="1" s="1" a="1"/>
  <c r="Z431" i="1" s="1"/>
  <c r="Y432" i="1"/>
  <c r="Z432" i="1" s="1" a="1"/>
  <c r="Z432" i="1" s="1"/>
  <c r="Y433" i="1"/>
  <c r="Z433" i="1" s="1" a="1"/>
  <c r="Z433" i="1" s="1"/>
  <c r="Y434" i="1"/>
  <c r="Z434" i="1" s="1" a="1"/>
  <c r="Z434" i="1" s="1"/>
  <c r="Y435" i="1"/>
  <c r="Z435" i="1" s="1" a="1"/>
  <c r="Z435" i="1" s="1"/>
  <c r="Y436" i="1"/>
  <c r="Z436" i="1" s="1" a="1"/>
  <c r="Z436" i="1" s="1"/>
  <c r="Y437" i="1"/>
  <c r="Z437" i="1" s="1" a="1"/>
  <c r="Z437" i="1" s="1"/>
  <c r="Y438" i="1"/>
  <c r="Z438" i="1" s="1" a="1"/>
  <c r="Z438" i="1" s="1"/>
  <c r="Y439" i="1"/>
  <c r="Z439" i="1" s="1" a="1"/>
  <c r="Z439" i="1" s="1"/>
  <c r="Y440" i="1"/>
  <c r="Z440" i="1" s="1" a="1"/>
  <c r="Z440" i="1" s="1"/>
  <c r="Y441" i="1"/>
  <c r="Z441" i="1" s="1" a="1"/>
  <c r="Z441" i="1" s="1"/>
  <c r="Y442" i="1"/>
  <c r="Z442" i="1" s="1" a="1"/>
  <c r="Z442" i="1" s="1"/>
  <c r="Y443" i="1"/>
  <c r="Z443" i="1" s="1" a="1"/>
  <c r="Z443" i="1" s="1"/>
  <c r="Y444" i="1"/>
  <c r="Z444" i="1" s="1" a="1"/>
  <c r="Z444" i="1" s="1"/>
  <c r="Y445" i="1"/>
  <c r="Z445" i="1" s="1" a="1"/>
  <c r="Z445" i="1" s="1"/>
  <c r="Y446" i="1"/>
  <c r="Z446" i="1" s="1" a="1"/>
  <c r="Z446" i="1" s="1"/>
  <c r="Y447" i="1"/>
  <c r="Z447" i="1" s="1" a="1"/>
  <c r="Z447" i="1" s="1"/>
  <c r="Y448" i="1"/>
  <c r="Z448" i="1" s="1" a="1"/>
  <c r="Z448" i="1" s="1"/>
  <c r="Y449" i="1"/>
  <c r="Z449" i="1" s="1" a="1"/>
  <c r="Z449" i="1" s="1"/>
  <c r="Y450" i="1"/>
  <c r="Z450" i="1" s="1" a="1"/>
  <c r="Z450" i="1" s="1"/>
  <c r="Y451" i="1"/>
  <c r="Z451" i="1" s="1" a="1"/>
  <c r="Z451" i="1" s="1"/>
  <c r="Y452" i="1"/>
  <c r="Z452" i="1" s="1" a="1"/>
  <c r="Z452" i="1" s="1"/>
  <c r="Y453" i="1"/>
  <c r="Z453" i="1" s="1" a="1"/>
  <c r="Z453" i="1" s="1"/>
  <c r="Y454" i="1"/>
  <c r="Z454" i="1" s="1" a="1"/>
  <c r="Z454" i="1" s="1"/>
  <c r="Y455" i="1"/>
  <c r="Z455" i="1" s="1" a="1"/>
  <c r="Z455" i="1" s="1"/>
  <c r="Y456" i="1"/>
  <c r="Z456" i="1" s="1" a="1"/>
  <c r="Z456" i="1" s="1"/>
  <c r="Y457" i="1"/>
  <c r="Z457" i="1" s="1" a="1"/>
  <c r="Z457" i="1" s="1"/>
  <c r="Y458" i="1"/>
  <c r="Z458" i="1" s="1" a="1"/>
  <c r="Z458" i="1" s="1"/>
  <c r="Z415" i="1" a="1"/>
  <c r="Z415" i="1" s="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M245" i="1" l="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Y245" i="1"/>
  <c r="Z245" i="1" s="1" a="1"/>
  <c r="Z245" i="1" s="1"/>
  <c r="Y246" i="1"/>
  <c r="Z246" i="1" s="1" a="1"/>
  <c r="Z246" i="1" s="1"/>
  <c r="Y247" i="1"/>
  <c r="Z247" i="1" s="1" a="1"/>
  <c r="Z247" i="1" s="1"/>
  <c r="Y248" i="1"/>
  <c r="Z248" i="1" s="1" a="1"/>
  <c r="Z248" i="1" s="1"/>
  <c r="Y249" i="1"/>
  <c r="Y250" i="1"/>
  <c r="Z250" i="1" s="1" a="1"/>
  <c r="Z250" i="1" s="1"/>
  <c r="Y251" i="1"/>
  <c r="Y252" i="1"/>
  <c r="Z252" i="1" s="1" a="1"/>
  <c r="Z252" i="1" s="1"/>
  <c r="Y253" i="1"/>
  <c r="Z253" i="1" s="1" a="1"/>
  <c r="Z253" i="1" s="1"/>
  <c r="Y254" i="1"/>
  <c r="Z254" i="1" s="1" a="1"/>
  <c r="Z254" i="1" s="1"/>
  <c r="Y255" i="1"/>
  <c r="Z255" i="1" s="1" a="1"/>
  <c r="Z255" i="1" s="1"/>
  <c r="Y256" i="1"/>
  <c r="Z256" i="1" s="1" a="1"/>
  <c r="Z256" i="1" s="1"/>
  <c r="Y257" i="1"/>
  <c r="Z257" i="1" s="1" a="1"/>
  <c r="Z257" i="1" s="1"/>
  <c r="Y258" i="1"/>
  <c r="Y259" i="1"/>
  <c r="Z259" i="1" s="1" a="1"/>
  <c r="Z259" i="1" s="1"/>
  <c r="Y260" i="1"/>
  <c r="Z260" i="1" s="1" a="1"/>
  <c r="Z260" i="1" s="1"/>
  <c r="Y261" i="1"/>
  <c r="Z261" i="1" s="1" a="1"/>
  <c r="Z261" i="1" s="1"/>
  <c r="Y262" i="1"/>
  <c r="Z262" i="1" s="1" a="1"/>
  <c r="Z262" i="1" s="1"/>
  <c r="Y263" i="1"/>
  <c r="Y264" i="1"/>
  <c r="Z264" i="1" s="1" a="1"/>
  <c r="Z264" i="1" s="1"/>
  <c r="Y265" i="1"/>
  <c r="Z265" i="1" s="1" a="1"/>
  <c r="Z265" i="1" s="1"/>
  <c r="Y266" i="1"/>
  <c r="Z266" i="1" s="1" a="1"/>
  <c r="Z266" i="1" s="1"/>
  <c r="Y267" i="1"/>
  <c r="Z267" i="1" s="1" a="1"/>
  <c r="Z267" i="1" s="1"/>
  <c r="Y268" i="1"/>
  <c r="Z268" i="1" s="1" a="1"/>
  <c r="Z268" i="1" s="1"/>
  <c r="Y269" i="1"/>
  <c r="Z269" i="1" s="1" a="1"/>
  <c r="Z269" i="1" s="1"/>
  <c r="Y270" i="1"/>
  <c r="Z270" i="1" s="1" a="1"/>
  <c r="Z270" i="1" s="1"/>
  <c r="Y271" i="1"/>
  <c r="Z271" i="1" s="1" a="1"/>
  <c r="Z271" i="1" s="1"/>
  <c r="Y272" i="1"/>
  <c r="Z272" i="1" s="1" a="1"/>
  <c r="Z272" i="1" s="1"/>
  <c r="Y273" i="1"/>
  <c r="Z273" i="1" s="1" a="1"/>
  <c r="Z273" i="1" s="1"/>
  <c r="Y274" i="1"/>
  <c r="Y275" i="1"/>
  <c r="Z275" i="1" s="1" a="1"/>
  <c r="Z275" i="1" s="1"/>
  <c r="Y276" i="1"/>
  <c r="Z276" i="1" s="1" a="1"/>
  <c r="Z276" i="1" s="1"/>
  <c r="Y277" i="1"/>
  <c r="Z277" i="1" s="1" a="1"/>
  <c r="Z277" i="1" s="1"/>
  <c r="Y278" i="1"/>
  <c r="Y279" i="1"/>
  <c r="Z279" i="1" s="1" a="1"/>
  <c r="Z279" i="1" s="1"/>
  <c r="Y280" i="1"/>
  <c r="Z280" i="1" s="1" a="1"/>
  <c r="Z280" i="1" s="1"/>
  <c r="Y281" i="1"/>
  <c r="Z281" i="1" s="1" a="1"/>
  <c r="Z281" i="1" s="1"/>
  <c r="Y282" i="1"/>
  <c r="Z282" i="1" s="1" a="1"/>
  <c r="Z282" i="1" s="1"/>
  <c r="Y283" i="1"/>
  <c r="Z283" i="1" s="1" a="1"/>
  <c r="Z283" i="1" s="1"/>
  <c r="Y284" i="1"/>
  <c r="Z284" i="1" s="1" a="1"/>
  <c r="Z284" i="1" s="1"/>
  <c r="Y285" i="1"/>
  <c r="Z285" i="1" s="1" a="1"/>
  <c r="Z285" i="1" s="1"/>
  <c r="Y286" i="1"/>
  <c r="Y287" i="1"/>
  <c r="Z287" i="1" s="1" a="1"/>
  <c r="Z287" i="1" s="1"/>
  <c r="Y288" i="1"/>
  <c r="Z288" i="1" s="1" a="1"/>
  <c r="Z288" i="1" s="1"/>
  <c r="Y289" i="1"/>
  <c r="Z289" i="1" s="1" a="1"/>
  <c r="Z289" i="1" s="1"/>
  <c r="Y290" i="1"/>
  <c r="Z290" i="1" s="1" a="1"/>
  <c r="Z290" i="1" s="1"/>
  <c r="Y291" i="1"/>
  <c r="Z291" i="1" s="1" a="1"/>
  <c r="Z291" i="1" s="1"/>
  <c r="Y292" i="1"/>
  <c r="Z292" i="1" s="1" a="1"/>
  <c r="Z292" i="1" s="1"/>
  <c r="Y293" i="1"/>
  <c r="Z293" i="1" s="1" a="1"/>
  <c r="Z293" i="1" s="1"/>
  <c r="Y294" i="1"/>
  <c r="Z294" i="1" s="1" a="1"/>
  <c r="Z294" i="1" s="1"/>
  <c r="Y295" i="1"/>
  <c r="Z295" i="1" s="1" a="1"/>
  <c r="Z295" i="1" s="1"/>
  <c r="Y296" i="1"/>
  <c r="Z296" i="1" s="1" a="1"/>
  <c r="Z296" i="1" s="1"/>
  <c r="Y297" i="1"/>
  <c r="Z297" i="1" s="1" a="1"/>
  <c r="Z297" i="1" s="1"/>
  <c r="Y298" i="1"/>
  <c r="Z298" i="1" s="1" a="1"/>
  <c r="Z298" i="1" s="1"/>
  <c r="Y299" i="1"/>
  <c r="Z299" i="1" s="1" a="1"/>
  <c r="Z299" i="1" s="1"/>
  <c r="Y300" i="1"/>
  <c r="Z300" i="1" s="1" a="1"/>
  <c r="Z300" i="1" s="1"/>
  <c r="Y301" i="1"/>
  <c r="Z301" i="1" s="1" a="1"/>
  <c r="Z301" i="1" s="1"/>
  <c r="Y302" i="1"/>
  <c r="Z302" i="1" s="1" a="1"/>
  <c r="Z302" i="1" s="1"/>
  <c r="Y303" i="1"/>
  <c r="Z303" i="1" s="1" a="1"/>
  <c r="Z303" i="1" s="1"/>
  <c r="Y304" i="1"/>
  <c r="Z304" i="1" s="1" a="1"/>
  <c r="Z304" i="1" s="1"/>
  <c r="Y305" i="1"/>
  <c r="Z305" i="1" s="1" a="1"/>
  <c r="Z305" i="1" s="1"/>
  <c r="Y306" i="1"/>
  <c r="Y307" i="1"/>
  <c r="Z307" i="1" s="1" a="1"/>
  <c r="Z307" i="1" s="1"/>
  <c r="Y308" i="1"/>
  <c r="Z308" i="1" s="1" a="1"/>
  <c r="Z308" i="1" s="1"/>
  <c r="Y309" i="1"/>
  <c r="Z309" i="1" s="1" a="1"/>
  <c r="Z309" i="1" s="1"/>
  <c r="Y310" i="1"/>
  <c r="Z310" i="1" s="1" a="1"/>
  <c r="Z310" i="1" s="1"/>
  <c r="Y311" i="1"/>
  <c r="Z311" i="1" s="1" a="1"/>
  <c r="Z311" i="1" s="1"/>
  <c r="Y312" i="1"/>
  <c r="Z312" i="1" s="1" a="1"/>
  <c r="Z312" i="1" s="1"/>
  <c r="Y313" i="1"/>
  <c r="Z313" i="1" s="1" a="1"/>
  <c r="Z313" i="1" s="1"/>
  <c r="Y314" i="1"/>
  <c r="Z314" i="1" s="1" a="1"/>
  <c r="Z314" i="1" s="1"/>
  <c r="Y315" i="1"/>
  <c r="Z315" i="1" s="1" a="1"/>
  <c r="Z315" i="1" s="1"/>
  <c r="Y316" i="1"/>
  <c r="Z316" i="1" s="1" a="1"/>
  <c r="Z316" i="1" s="1"/>
  <c r="Y317" i="1"/>
  <c r="Z317" i="1" s="1" a="1"/>
  <c r="Z317" i="1" s="1"/>
  <c r="Y318" i="1"/>
  <c r="Z318" i="1" s="1" a="1"/>
  <c r="Z318" i="1" s="1"/>
  <c r="Y319" i="1"/>
  <c r="Z319" i="1" s="1" a="1"/>
  <c r="Z319" i="1" s="1"/>
  <c r="Y320" i="1"/>
  <c r="Z320" i="1" s="1" a="1"/>
  <c r="Z320" i="1" s="1"/>
  <c r="Y321" i="1"/>
  <c r="Z321" i="1" s="1" a="1"/>
  <c r="Z321" i="1" s="1"/>
  <c r="Y322" i="1"/>
  <c r="Z322" i="1" s="1" a="1"/>
  <c r="Z322" i="1" s="1"/>
  <c r="Y323" i="1"/>
  <c r="Z323" i="1" s="1" a="1"/>
  <c r="Z323" i="1" s="1"/>
  <c r="Y324" i="1"/>
  <c r="Z324" i="1" s="1" a="1"/>
  <c r="Z324" i="1" s="1"/>
  <c r="Y325" i="1"/>
  <c r="Z325" i="1" s="1" a="1"/>
  <c r="Z325" i="1" s="1"/>
  <c r="Y326" i="1"/>
  <c r="Z326" i="1" s="1" a="1"/>
  <c r="Z326" i="1" s="1"/>
  <c r="Y327" i="1"/>
  <c r="Z327" i="1" s="1" a="1"/>
  <c r="Z327" i="1" s="1"/>
  <c r="Y328" i="1"/>
  <c r="Z328" i="1" s="1" a="1"/>
  <c r="Z328" i="1" s="1"/>
  <c r="Y329" i="1"/>
  <c r="Z329" i="1" s="1" a="1"/>
  <c r="Z329" i="1" s="1"/>
  <c r="Y330" i="1"/>
  <c r="Z330" i="1" s="1" a="1"/>
  <c r="Z330" i="1" s="1"/>
  <c r="Y331" i="1"/>
  <c r="Z331" i="1" s="1" a="1"/>
  <c r="Z331" i="1" s="1"/>
  <c r="Y332" i="1"/>
  <c r="Z332" i="1" s="1" a="1"/>
  <c r="Z332" i="1" s="1"/>
  <c r="Y333" i="1"/>
  <c r="Z333" i="1" s="1" a="1"/>
  <c r="Z333" i="1" s="1"/>
  <c r="Y334" i="1"/>
  <c r="Z334" i="1" s="1" a="1"/>
  <c r="Z334" i="1" s="1"/>
  <c r="Y335" i="1"/>
  <c r="Z335" i="1" s="1" a="1"/>
  <c r="Z335" i="1" s="1"/>
  <c r="Y336" i="1"/>
  <c r="Z336" i="1" s="1" a="1"/>
  <c r="Z336" i="1" s="1"/>
  <c r="Y337" i="1"/>
  <c r="Z337" i="1" s="1" a="1"/>
  <c r="Z337" i="1" s="1"/>
  <c r="Y338" i="1"/>
  <c r="Z338" i="1" s="1" a="1"/>
  <c r="Z338" i="1" s="1"/>
  <c r="Y339" i="1"/>
  <c r="Z339" i="1" s="1" a="1"/>
  <c r="Z339" i="1" s="1"/>
  <c r="Y340" i="1"/>
  <c r="Z340" i="1" s="1" a="1"/>
  <c r="Z340" i="1" s="1"/>
  <c r="Y341" i="1"/>
  <c r="Z341" i="1" s="1" a="1"/>
  <c r="Z341" i="1" s="1"/>
  <c r="Y342" i="1"/>
  <c r="Z342" i="1" s="1" a="1"/>
  <c r="Z342" i="1" s="1"/>
  <c r="Y343" i="1"/>
  <c r="Z343" i="1" s="1" a="1"/>
  <c r="Z343" i="1" s="1"/>
  <c r="Y344" i="1"/>
  <c r="Z344" i="1" s="1" a="1"/>
  <c r="Z344" i="1" s="1"/>
  <c r="Y345" i="1"/>
  <c r="Z345" i="1" s="1" a="1"/>
  <c r="Z345" i="1" s="1"/>
  <c r="Y346" i="1"/>
  <c r="Z346" i="1" s="1" a="1"/>
  <c r="Z346" i="1" s="1"/>
  <c r="Y347" i="1"/>
  <c r="Z347" i="1" s="1" a="1"/>
  <c r="Z347" i="1" s="1"/>
  <c r="Y348" i="1"/>
  <c r="Z348" i="1" s="1" a="1"/>
  <c r="Z348" i="1" s="1"/>
  <c r="Y349" i="1"/>
  <c r="Z349" i="1" s="1" a="1"/>
  <c r="Z349" i="1" s="1"/>
  <c r="Y350" i="1"/>
  <c r="Z350" i="1" s="1" a="1"/>
  <c r="Z350" i="1" s="1"/>
  <c r="Y351" i="1"/>
  <c r="Z351" i="1" s="1" a="1"/>
  <c r="Z351" i="1" s="1"/>
  <c r="Y352" i="1"/>
  <c r="Z352" i="1" s="1" a="1"/>
  <c r="Z352" i="1" s="1"/>
  <c r="Y353" i="1"/>
  <c r="Z353" i="1" s="1" a="1"/>
  <c r="Z353" i="1" s="1"/>
  <c r="Y354" i="1"/>
  <c r="Z354" i="1" s="1" a="1"/>
  <c r="Z354" i="1" s="1"/>
  <c r="Y355" i="1"/>
  <c r="Z355" i="1" s="1" a="1"/>
  <c r="Z355" i="1" s="1"/>
  <c r="Y356" i="1"/>
  <c r="Z356" i="1" s="1" a="1"/>
  <c r="Z356" i="1" s="1"/>
  <c r="Y357" i="1"/>
  <c r="Z357" i="1" s="1" a="1"/>
  <c r="Z357" i="1" s="1"/>
  <c r="Y358" i="1"/>
  <c r="Z358" i="1" s="1" a="1"/>
  <c r="Z358" i="1" s="1"/>
  <c r="Y359" i="1"/>
  <c r="Z359" i="1" s="1" a="1"/>
  <c r="Z359" i="1" s="1"/>
  <c r="Y360" i="1"/>
  <c r="Z360" i="1" s="1" a="1"/>
  <c r="Z360" i="1" s="1"/>
  <c r="Y361" i="1"/>
  <c r="Z361" i="1" s="1" a="1"/>
  <c r="Z361" i="1" s="1"/>
  <c r="Y362" i="1"/>
  <c r="Z362" i="1" s="1" a="1"/>
  <c r="Z362" i="1" s="1"/>
  <c r="Y363" i="1"/>
  <c r="Z363" i="1" s="1" a="1"/>
  <c r="Z363" i="1" s="1"/>
  <c r="Y364" i="1"/>
  <c r="Z364" i="1" s="1" a="1"/>
  <c r="Z364" i="1" s="1"/>
  <c r="Y365" i="1"/>
  <c r="Z365" i="1" s="1" a="1"/>
  <c r="Z365" i="1" s="1"/>
  <c r="Y366" i="1"/>
  <c r="Z366" i="1" s="1" a="1"/>
  <c r="Z366" i="1" s="1"/>
  <c r="Y367" i="1"/>
  <c r="Z367" i="1" s="1" a="1"/>
  <c r="Z367" i="1" s="1"/>
  <c r="Y368" i="1"/>
  <c r="Z368" i="1" s="1" a="1"/>
  <c r="Z368" i="1" s="1"/>
  <c r="Y369" i="1"/>
  <c r="Z369" i="1" s="1" a="1"/>
  <c r="Z369" i="1" s="1"/>
  <c r="Y370" i="1"/>
  <c r="Z370" i="1" s="1" a="1"/>
  <c r="Z370" i="1" s="1"/>
  <c r="Y371" i="1"/>
  <c r="Z371" i="1" s="1" a="1"/>
  <c r="Z371" i="1" s="1"/>
  <c r="Y372" i="1"/>
  <c r="Z372" i="1" s="1" a="1"/>
  <c r="Z372" i="1" s="1"/>
  <c r="Y373" i="1"/>
  <c r="Z373" i="1" s="1" a="1"/>
  <c r="Z373" i="1" s="1"/>
  <c r="Y374" i="1"/>
  <c r="Z374" i="1" s="1" a="1"/>
  <c r="Z374" i="1" s="1"/>
  <c r="Y375" i="1"/>
  <c r="Z375" i="1" s="1" a="1"/>
  <c r="Z375" i="1" s="1"/>
  <c r="Y376" i="1"/>
  <c r="Z376" i="1" s="1" a="1"/>
  <c r="Z376" i="1" s="1"/>
  <c r="Y377" i="1"/>
  <c r="Z377" i="1" s="1" a="1"/>
  <c r="Z377" i="1" s="1"/>
  <c r="Y378" i="1"/>
  <c r="Z378" i="1" s="1" a="1"/>
  <c r="Z378" i="1" s="1"/>
  <c r="Y379" i="1"/>
  <c r="Z379" i="1" s="1" a="1"/>
  <c r="Z379" i="1" s="1"/>
  <c r="Y380" i="1"/>
  <c r="Z380" i="1" s="1" a="1"/>
  <c r="Z380" i="1" s="1"/>
  <c r="Y381" i="1"/>
  <c r="Z381" i="1" s="1" a="1"/>
  <c r="Z381" i="1" s="1"/>
  <c r="Y382" i="1"/>
  <c r="Z382" i="1" s="1" a="1"/>
  <c r="Z382" i="1" s="1"/>
  <c r="Y383" i="1"/>
  <c r="Z383" i="1" s="1" a="1"/>
  <c r="Z383" i="1" s="1"/>
  <c r="Y384" i="1"/>
  <c r="Z384" i="1" s="1" a="1"/>
  <c r="Z384" i="1" s="1"/>
  <c r="Y385" i="1"/>
  <c r="Z385" i="1" s="1" a="1"/>
  <c r="Z385" i="1" s="1"/>
  <c r="Y386" i="1"/>
  <c r="Z386" i="1" s="1" a="1"/>
  <c r="Z386" i="1" s="1"/>
  <c r="Y387" i="1"/>
  <c r="Z387" i="1" s="1" a="1"/>
  <c r="Z387" i="1" s="1"/>
  <c r="Y388" i="1"/>
  <c r="Z388" i="1" s="1" a="1"/>
  <c r="Z388" i="1" s="1"/>
  <c r="Y389" i="1"/>
  <c r="Z389" i="1" s="1" a="1"/>
  <c r="Z389" i="1" s="1"/>
  <c r="Y390" i="1"/>
  <c r="Z390" i="1" s="1" a="1"/>
  <c r="Z390" i="1" s="1"/>
  <c r="Y391" i="1"/>
  <c r="Z391" i="1" s="1" a="1"/>
  <c r="Z391" i="1" s="1"/>
  <c r="Y392" i="1"/>
  <c r="Z392" i="1" s="1" a="1"/>
  <c r="Z392" i="1" s="1"/>
  <c r="Y393" i="1"/>
  <c r="Z393" i="1" s="1" a="1"/>
  <c r="Z393" i="1" s="1"/>
  <c r="Y394" i="1"/>
  <c r="Z394" i="1" s="1" a="1"/>
  <c r="Z394" i="1" s="1"/>
  <c r="Y395" i="1"/>
  <c r="Z395" i="1" s="1" a="1"/>
  <c r="Z395" i="1" s="1"/>
  <c r="Y396" i="1"/>
  <c r="Z396" i="1" s="1" a="1"/>
  <c r="Z396" i="1" s="1"/>
  <c r="Y397" i="1"/>
  <c r="Z397" i="1" s="1" a="1"/>
  <c r="Z397" i="1" s="1"/>
  <c r="Y398" i="1"/>
  <c r="Z398" i="1" s="1" a="1"/>
  <c r="Z398" i="1" s="1"/>
  <c r="Y399" i="1"/>
  <c r="Z399" i="1" s="1" a="1"/>
  <c r="Z399" i="1" s="1"/>
  <c r="Y400" i="1"/>
  <c r="Z400" i="1" s="1" a="1"/>
  <c r="Z400" i="1" s="1"/>
  <c r="Y401" i="1"/>
  <c r="Z401" i="1" s="1" a="1"/>
  <c r="Z401" i="1" s="1"/>
  <c r="Y402" i="1"/>
  <c r="Z402" i="1" s="1" a="1"/>
  <c r="Z402" i="1" s="1"/>
  <c r="Y403" i="1"/>
  <c r="Z403" i="1" s="1" a="1"/>
  <c r="Z403" i="1" s="1"/>
  <c r="Y404" i="1"/>
  <c r="Z404" i="1" s="1" a="1"/>
  <c r="Z404" i="1" s="1"/>
  <c r="Y405" i="1"/>
  <c r="Z405" i="1" s="1" a="1"/>
  <c r="Z405" i="1" s="1"/>
  <c r="Y406" i="1"/>
  <c r="Z406" i="1" s="1" a="1"/>
  <c r="Z406" i="1" s="1"/>
  <c r="Y407" i="1"/>
  <c r="Z407" i="1" s="1" a="1"/>
  <c r="Z407" i="1" s="1"/>
  <c r="Y408" i="1"/>
  <c r="Z408" i="1" s="1" a="1"/>
  <c r="Z408" i="1" s="1"/>
  <c r="Y409" i="1"/>
  <c r="Z409" i="1" s="1" a="1"/>
  <c r="Z409" i="1" s="1"/>
  <c r="Y410" i="1"/>
  <c r="Z410" i="1" s="1" a="1"/>
  <c r="Z410" i="1" s="1"/>
  <c r="Y411" i="1"/>
  <c r="Z411" i="1" s="1" a="1"/>
  <c r="Z411" i="1" s="1"/>
  <c r="Y412" i="1"/>
  <c r="Z412" i="1" s="1" a="1"/>
  <c r="Z412" i="1" s="1"/>
  <c r="Y413" i="1"/>
  <c r="Z413" i="1" s="1" a="1"/>
  <c r="Z413" i="1" s="1"/>
  <c r="Y414" i="1"/>
  <c r="Z414" i="1" s="1" a="1"/>
  <c r="Z414" i="1" s="1"/>
  <c r="Z249" i="1" a="1"/>
  <c r="Z249" i="1" s="1"/>
  <c r="Z251" i="1" a="1"/>
  <c r="Z251" i="1" s="1"/>
  <c r="Z258" i="1" a="1"/>
  <c r="Z258" i="1" s="1"/>
  <c r="Z263" i="1" a="1"/>
  <c r="Z263" i="1" s="1"/>
  <c r="Z274" i="1" a="1"/>
  <c r="Z274" i="1" s="1"/>
  <c r="Z278" i="1" a="1"/>
  <c r="Z278" i="1" s="1"/>
  <c r="Z286" i="1" a="1"/>
  <c r="Z286" i="1" s="1"/>
  <c r="Z306" i="1" a="1"/>
  <c r="Z306" i="1" s="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M222" i="1"/>
  <c r="S222" i="1"/>
  <c r="Y222" i="1"/>
  <c r="Z222" i="1" s="1" a="1"/>
  <c r="Z222" i="1" s="1"/>
  <c r="AM222" i="1"/>
  <c r="AN222" i="1"/>
  <c r="M216" i="1"/>
  <c r="M217" i="1"/>
  <c r="M218" i="1"/>
  <c r="M219" i="1"/>
  <c r="M220" i="1"/>
  <c r="M221" i="1"/>
  <c r="M223" i="1"/>
  <c r="M224" i="1"/>
  <c r="M225" i="1"/>
  <c r="M226" i="1"/>
  <c r="M227" i="1"/>
  <c r="M228" i="1"/>
  <c r="M229" i="1"/>
  <c r="M230" i="1"/>
  <c r="M231" i="1"/>
  <c r="M232" i="1"/>
  <c r="M233" i="1"/>
  <c r="M234" i="1"/>
  <c r="M235" i="1"/>
  <c r="M236" i="1"/>
  <c r="M237" i="1"/>
  <c r="M238" i="1"/>
  <c r="M239" i="1"/>
  <c r="M240" i="1"/>
  <c r="M241" i="1"/>
  <c r="M242" i="1"/>
  <c r="M243" i="1"/>
  <c r="M244" i="1"/>
  <c r="S216" i="1"/>
  <c r="S217" i="1"/>
  <c r="S218" i="1"/>
  <c r="S219" i="1"/>
  <c r="S220" i="1"/>
  <c r="S221" i="1"/>
  <c r="S223" i="1"/>
  <c r="S224" i="1"/>
  <c r="S225" i="1"/>
  <c r="S226" i="1"/>
  <c r="S227" i="1"/>
  <c r="S228" i="1"/>
  <c r="S229" i="1"/>
  <c r="S230" i="1"/>
  <c r="S231" i="1"/>
  <c r="S232" i="1"/>
  <c r="S233" i="1"/>
  <c r="S234" i="1"/>
  <c r="S235" i="1"/>
  <c r="S236" i="1"/>
  <c r="S237" i="1"/>
  <c r="S238" i="1"/>
  <c r="S239" i="1"/>
  <c r="S240" i="1"/>
  <c r="S241" i="1"/>
  <c r="S242" i="1"/>
  <c r="S243" i="1"/>
  <c r="S244" i="1"/>
  <c r="Y216" i="1"/>
  <c r="Z216" i="1" s="1" a="1"/>
  <c r="Z216" i="1" s="1"/>
  <c r="Y217" i="1"/>
  <c r="Z217" i="1" s="1" a="1"/>
  <c r="Z217" i="1" s="1"/>
  <c r="Y218" i="1"/>
  <c r="Z218" i="1" s="1" a="1"/>
  <c r="Z218" i="1" s="1"/>
  <c r="Y219" i="1"/>
  <c r="Z219" i="1" s="1" a="1"/>
  <c r="Z219" i="1" s="1"/>
  <c r="Y220" i="1"/>
  <c r="Z220" i="1" s="1" a="1"/>
  <c r="Z220" i="1" s="1"/>
  <c r="Y221" i="1"/>
  <c r="Z221" i="1" s="1" a="1"/>
  <c r="Z221" i="1" s="1"/>
  <c r="Y223" i="1"/>
  <c r="Z223" i="1" s="1" a="1"/>
  <c r="Z223" i="1" s="1"/>
  <c r="Y224" i="1"/>
  <c r="Z224" i="1" s="1" a="1"/>
  <c r="Z224" i="1" s="1"/>
  <c r="Y225" i="1"/>
  <c r="Z225" i="1" s="1" a="1"/>
  <c r="Z225" i="1" s="1"/>
  <c r="Y226" i="1"/>
  <c r="Z226" i="1" s="1" a="1"/>
  <c r="Z226" i="1" s="1"/>
  <c r="Y227" i="1"/>
  <c r="Z227" i="1" s="1" a="1"/>
  <c r="Z227" i="1" s="1"/>
  <c r="Y228" i="1"/>
  <c r="Z228" i="1" s="1" a="1"/>
  <c r="Z228" i="1" s="1"/>
  <c r="Y229" i="1"/>
  <c r="Z229" i="1" s="1" a="1"/>
  <c r="Z229" i="1" s="1"/>
  <c r="Y230" i="1"/>
  <c r="Z230" i="1" s="1" a="1"/>
  <c r="Z230" i="1" s="1"/>
  <c r="Y231" i="1"/>
  <c r="Z231" i="1" s="1" a="1"/>
  <c r="Z231" i="1" s="1"/>
  <c r="Y232" i="1"/>
  <c r="Z232" i="1" s="1" a="1"/>
  <c r="Z232" i="1" s="1"/>
  <c r="Y233" i="1"/>
  <c r="Z233" i="1" s="1" a="1"/>
  <c r="Z233" i="1" s="1"/>
  <c r="Y234" i="1"/>
  <c r="Z234" i="1" s="1" a="1"/>
  <c r="Z234" i="1" s="1"/>
  <c r="Y235" i="1"/>
  <c r="Z235" i="1" s="1" a="1"/>
  <c r="Z235" i="1" s="1"/>
  <c r="Y236" i="1"/>
  <c r="Z236" i="1" s="1" a="1"/>
  <c r="Z236" i="1" s="1"/>
  <c r="Y237" i="1"/>
  <c r="Z237" i="1" s="1" a="1"/>
  <c r="Z237" i="1" s="1"/>
  <c r="Y238" i="1"/>
  <c r="Z238" i="1" s="1" a="1"/>
  <c r="Z238" i="1" s="1"/>
  <c r="Y239" i="1"/>
  <c r="Z239" i="1" s="1" a="1"/>
  <c r="Z239" i="1" s="1"/>
  <c r="Y240" i="1"/>
  <c r="Z240" i="1" s="1" a="1"/>
  <c r="Z240" i="1" s="1"/>
  <c r="Y241" i="1"/>
  <c r="Z241" i="1" s="1" a="1"/>
  <c r="Z241" i="1" s="1"/>
  <c r="Y242" i="1"/>
  <c r="Z242" i="1" s="1" a="1"/>
  <c r="Z242" i="1" s="1"/>
  <c r="Y243" i="1"/>
  <c r="Z243" i="1" s="1" a="1"/>
  <c r="Z243" i="1" s="1"/>
  <c r="Y244" i="1"/>
  <c r="Z244" i="1" s="1" a="1"/>
  <c r="Z244" i="1" s="1"/>
  <c r="AM216" i="1"/>
  <c r="AM217" i="1"/>
  <c r="AM218" i="1"/>
  <c r="AM219" i="1"/>
  <c r="AM220" i="1"/>
  <c r="AM221" i="1"/>
  <c r="AM223" i="1"/>
  <c r="AM224" i="1"/>
  <c r="AM225" i="1"/>
  <c r="AM226" i="1"/>
  <c r="AM227" i="1"/>
  <c r="AM228" i="1"/>
  <c r="AM229" i="1"/>
  <c r="AM230" i="1"/>
  <c r="AM231" i="1"/>
  <c r="AM232" i="1"/>
  <c r="AM233" i="1"/>
  <c r="AM234" i="1"/>
  <c r="AM235" i="1"/>
  <c r="AM236" i="1"/>
  <c r="AM237" i="1"/>
  <c r="AM238" i="1"/>
  <c r="AM239" i="1"/>
  <c r="AM240" i="1"/>
  <c r="AM241" i="1"/>
  <c r="AM242" i="1"/>
  <c r="AM243" i="1"/>
  <c r="AM244" i="1"/>
  <c r="AN216" i="1"/>
  <c r="AN217" i="1"/>
  <c r="AN218" i="1"/>
  <c r="AN219" i="1"/>
  <c r="AN220" i="1"/>
  <c r="AN221" i="1"/>
  <c r="AN223" i="1"/>
  <c r="AN224" i="1"/>
  <c r="AN225" i="1"/>
  <c r="AN226" i="1"/>
  <c r="AN227" i="1"/>
  <c r="AN228" i="1"/>
  <c r="AN229" i="1"/>
  <c r="AN230" i="1"/>
  <c r="AN231" i="1"/>
  <c r="AN232" i="1"/>
  <c r="AN233" i="1"/>
  <c r="AN234" i="1"/>
  <c r="AN235" i="1"/>
  <c r="AN236" i="1"/>
  <c r="AN237" i="1"/>
  <c r="AN238" i="1"/>
  <c r="AN239" i="1"/>
  <c r="AN240" i="1"/>
  <c r="AN241" i="1"/>
  <c r="AN242" i="1"/>
  <c r="AN243" i="1"/>
  <c r="AN244" i="1"/>
  <c r="M177" i="1" l="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Y187" i="1"/>
  <c r="Z187" i="1" s="1" a="1"/>
  <c r="Z187" i="1" s="1"/>
  <c r="Y188" i="1"/>
  <c r="Z188" i="1" s="1" a="1"/>
  <c r="Z188" i="1" s="1"/>
  <c r="Y189" i="1"/>
  <c r="Z189" i="1" s="1" a="1"/>
  <c r="Z189" i="1" s="1"/>
  <c r="Y190" i="1"/>
  <c r="Z190" i="1" s="1" a="1"/>
  <c r="Z190" i="1" s="1"/>
  <c r="Y191" i="1"/>
  <c r="Z191" i="1" s="1" a="1"/>
  <c r="Z191" i="1" s="1"/>
  <c r="Y192" i="1"/>
  <c r="Z192" i="1" s="1" a="1"/>
  <c r="Z192" i="1" s="1"/>
  <c r="Y193" i="1"/>
  <c r="Z193" i="1" s="1" a="1"/>
  <c r="Z193" i="1" s="1"/>
  <c r="Y194" i="1"/>
  <c r="Z194" i="1" s="1" a="1"/>
  <c r="Z194" i="1" s="1"/>
  <c r="Y195" i="1"/>
  <c r="Z195" i="1" s="1" a="1"/>
  <c r="Z195" i="1" s="1"/>
  <c r="Y196" i="1"/>
  <c r="Z196" i="1" s="1" a="1"/>
  <c r="Z196" i="1" s="1"/>
  <c r="Y197" i="1"/>
  <c r="Z197" i="1" s="1" a="1"/>
  <c r="Z197" i="1" s="1"/>
  <c r="Y198" i="1"/>
  <c r="Z198" i="1" s="1" a="1"/>
  <c r="Z198" i="1" s="1"/>
  <c r="Y199" i="1"/>
  <c r="Z199" i="1" s="1" a="1"/>
  <c r="Z199" i="1" s="1"/>
  <c r="Y200" i="1"/>
  <c r="Z200" i="1" s="1" a="1"/>
  <c r="Z200" i="1" s="1"/>
  <c r="Y201" i="1"/>
  <c r="Z201" i="1" s="1" a="1"/>
  <c r="Z201" i="1" s="1"/>
  <c r="Y202" i="1"/>
  <c r="Z202" i="1" s="1" a="1"/>
  <c r="Z202" i="1" s="1"/>
  <c r="Y203" i="1"/>
  <c r="Z203" i="1" s="1" a="1"/>
  <c r="Z203" i="1" s="1"/>
  <c r="Y204" i="1"/>
  <c r="Z204" i="1" s="1" a="1"/>
  <c r="Z204" i="1" s="1"/>
  <c r="Y205" i="1"/>
  <c r="Z205" i="1" s="1" a="1"/>
  <c r="Z205" i="1" s="1"/>
  <c r="Y206" i="1"/>
  <c r="Z206" i="1" s="1" a="1"/>
  <c r="Z206" i="1" s="1"/>
  <c r="Y207" i="1"/>
  <c r="Z207" i="1" s="1" a="1"/>
  <c r="Z207" i="1" s="1"/>
  <c r="Y208" i="1"/>
  <c r="Z208" i="1" s="1" a="1"/>
  <c r="Z208" i="1" s="1"/>
  <c r="Y209" i="1"/>
  <c r="Z209" i="1" s="1" a="1"/>
  <c r="Z209" i="1" s="1"/>
  <c r="Y210" i="1"/>
  <c r="Z210" i="1" s="1" a="1"/>
  <c r="Z210" i="1" s="1"/>
  <c r="Y211" i="1"/>
  <c r="Z211" i="1" s="1" a="1"/>
  <c r="Z211" i="1" s="1"/>
  <c r="Y212" i="1"/>
  <c r="Z212" i="1" s="1" a="1"/>
  <c r="Z212" i="1" s="1"/>
  <c r="Y213" i="1"/>
  <c r="Z213" i="1" s="1" a="1"/>
  <c r="Z213" i="1" s="1"/>
  <c r="Y214" i="1"/>
  <c r="Z214" i="1" s="1" a="1"/>
  <c r="Z214" i="1" s="1"/>
  <c r="Y215" i="1"/>
  <c r="Z215" i="1" s="1" a="1"/>
  <c r="Z215" i="1" s="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X41" i="21" l="1"/>
  <c r="X40" i="21"/>
  <c r="X39" i="21"/>
  <c r="X38" i="21"/>
  <c r="X37" i="21"/>
  <c r="X36" i="21"/>
  <c r="X35" i="21"/>
  <c r="X34" i="21"/>
  <c r="X33" i="21"/>
  <c r="X32" i="21"/>
  <c r="X31" i="21"/>
  <c r="X30" i="21"/>
  <c r="X29" i="21"/>
  <c r="X28" i="21"/>
  <c r="X27" i="21"/>
  <c r="X26" i="21"/>
  <c r="X25" i="21"/>
  <c r="X24" i="21"/>
  <c r="X23" i="21"/>
  <c r="X22" i="21"/>
  <c r="X21" i="21"/>
  <c r="X20" i="21"/>
  <c r="X19" i="21"/>
  <c r="X18" i="21"/>
  <c r="X17" i="21"/>
  <c r="X16" i="21"/>
  <c r="X15" i="21"/>
  <c r="X14" i="21"/>
  <c r="X13" i="21"/>
  <c r="X12" i="21"/>
  <c r="X11" i="21"/>
  <c r="X10" i="21"/>
  <c r="X9" i="21"/>
  <c r="X8" i="21"/>
  <c r="X7" i="21"/>
  <c r="X6" i="21"/>
  <c r="X5" i="21"/>
  <c r="X4" i="21"/>
  <c r="U5" i="11" l="1"/>
  <c r="X5" i="11"/>
  <c r="U6" i="11"/>
  <c r="X6" i="11"/>
  <c r="U9" i="11"/>
  <c r="X9" i="11"/>
  <c r="U8" i="11"/>
  <c r="X8" i="11"/>
  <c r="AV4" i="20"/>
  <c r="AV5" i="20"/>
  <c r="AV6" i="20"/>
  <c r="AV7" i="20"/>
  <c r="AV8" i="20"/>
  <c r="AV9" i="20"/>
  <c r="AV10" i="20"/>
  <c r="AV11" i="20"/>
  <c r="AV12" i="20"/>
  <c r="AV13" i="20"/>
  <c r="AV14" i="20"/>
  <c r="AV15" i="20"/>
  <c r="AV16" i="20"/>
  <c r="AV17" i="20"/>
  <c r="AV18" i="20"/>
  <c r="AV19" i="20"/>
  <c r="AV20" i="20"/>
  <c r="AV21" i="20"/>
  <c r="AV22" i="20"/>
  <c r="AV23" i="20"/>
  <c r="AV24" i="20"/>
  <c r="AV25" i="20"/>
  <c r="AV26" i="20"/>
  <c r="AV27" i="20"/>
  <c r="AV28" i="20"/>
  <c r="AV29" i="20"/>
  <c r="AV30" i="20"/>
  <c r="AV31" i="20"/>
  <c r="AV32" i="20"/>
  <c r="AV33" i="20"/>
  <c r="AV34" i="20"/>
  <c r="AV35" i="20"/>
  <c r="AV36" i="20"/>
  <c r="AV37" i="20"/>
  <c r="AV38" i="20"/>
  <c r="AV39" i="20"/>
  <c r="AV40" i="20"/>
  <c r="AV41" i="20"/>
  <c r="AV42" i="20"/>
  <c r="AV43" i="20"/>
  <c r="AV44" i="20"/>
  <c r="AV45" i="20"/>
  <c r="AV46" i="20"/>
  <c r="AV47" i="20"/>
  <c r="U12" i="11"/>
  <c r="U13" i="11"/>
  <c r="U15"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X12" i="11"/>
  <c r="X13" i="11"/>
  <c r="X15"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P15" i="15"/>
  <c r="P16" i="15"/>
  <c r="P17" i="15"/>
  <c r="P18" i="15"/>
  <c r="P19" i="15"/>
  <c r="P20" i="15"/>
  <c r="P21" i="15"/>
  <c r="P22" i="15"/>
  <c r="P7" i="15"/>
  <c r="P8" i="15"/>
  <c r="P9" i="15"/>
  <c r="P10" i="15"/>
  <c r="P11" i="15"/>
  <c r="P12" i="15"/>
  <c r="P13" i="15"/>
  <c r="P14" i="15"/>
  <c r="V12" i="12"/>
  <c r="V13" i="12"/>
  <c r="V14" i="12"/>
  <c r="V15" i="12"/>
  <c r="V16" i="12"/>
  <c r="J8" i="12"/>
  <c r="J9" i="12"/>
  <c r="J10" i="12"/>
  <c r="J11" i="12"/>
  <c r="J12" i="12"/>
  <c r="J13" i="12"/>
  <c r="J14" i="12"/>
  <c r="J15" i="12"/>
  <c r="J16" i="12"/>
  <c r="J17" i="12"/>
  <c r="J18" i="12"/>
  <c r="J19" i="12"/>
  <c r="J20" i="12"/>
  <c r="J21" i="12"/>
  <c r="J71" i="12"/>
  <c r="J72" i="12"/>
  <c r="J73" i="12"/>
  <c r="J74" i="12"/>
  <c r="J75" i="12"/>
  <c r="J76" i="12"/>
  <c r="J77" i="12"/>
  <c r="J78" i="12"/>
  <c r="J79" i="12"/>
  <c r="J80" i="12"/>
  <c r="J81" i="12"/>
  <c r="J82" i="12"/>
  <c r="J83" i="12"/>
  <c r="J84" i="12"/>
  <c r="J85" i="12"/>
  <c r="J86" i="12"/>
  <c r="J87" i="12"/>
  <c r="J88" i="12"/>
  <c r="J89" i="12"/>
  <c r="J90" i="12"/>
  <c r="J91" i="12"/>
  <c r="J92" i="12"/>
  <c r="J93" i="12"/>
  <c r="K8" i="12"/>
  <c r="K9" i="12"/>
  <c r="K10" i="12"/>
  <c r="K11" i="12"/>
  <c r="K12" i="12"/>
  <c r="K13" i="12"/>
  <c r="K14" i="12"/>
  <c r="K15" i="12"/>
  <c r="K16" i="12"/>
  <c r="K17" i="12"/>
  <c r="K18" i="12"/>
  <c r="K19" i="12"/>
  <c r="K20" i="12"/>
  <c r="K21" i="12"/>
  <c r="K71" i="12"/>
  <c r="K72" i="12"/>
  <c r="K73" i="12"/>
  <c r="K74" i="12"/>
  <c r="K75" i="12"/>
  <c r="K76" i="12"/>
  <c r="K77" i="12"/>
  <c r="K78" i="12"/>
  <c r="K79" i="12"/>
  <c r="K80" i="12"/>
  <c r="K81" i="12"/>
  <c r="K82" i="12"/>
  <c r="K83" i="12"/>
  <c r="K84" i="12"/>
  <c r="K85" i="12"/>
  <c r="K86" i="12"/>
  <c r="K87" i="12"/>
  <c r="K88" i="12"/>
  <c r="K89" i="12"/>
  <c r="K90" i="12"/>
  <c r="K91" i="12"/>
  <c r="K92" i="12"/>
  <c r="K93" i="12"/>
  <c r="L8" i="12"/>
  <c r="L9" i="12"/>
  <c r="L10" i="12"/>
  <c r="L11" i="12"/>
  <c r="L12" i="12"/>
  <c r="L13" i="12"/>
  <c r="L14" i="12"/>
  <c r="L15" i="12"/>
  <c r="L16" i="12"/>
  <c r="L17" i="12"/>
  <c r="L18" i="12"/>
  <c r="L19" i="12"/>
  <c r="L20" i="12"/>
  <c r="L21" i="12"/>
  <c r="L71" i="12"/>
  <c r="L72" i="12"/>
  <c r="L73" i="12"/>
  <c r="L74" i="12"/>
  <c r="L75" i="12"/>
  <c r="L76" i="12"/>
  <c r="L77" i="12"/>
  <c r="L78" i="12"/>
  <c r="L79" i="12"/>
  <c r="L80" i="12"/>
  <c r="L81" i="12"/>
  <c r="L82" i="12"/>
  <c r="L83" i="12"/>
  <c r="L84" i="12"/>
  <c r="L85" i="12"/>
  <c r="L86" i="12"/>
  <c r="L87" i="12"/>
  <c r="L88" i="12"/>
  <c r="L89" i="12"/>
  <c r="L90" i="12"/>
  <c r="L91" i="12"/>
  <c r="L92" i="12"/>
  <c r="L93" i="12"/>
  <c r="V8" i="12"/>
  <c r="V9" i="12"/>
  <c r="V10" i="12"/>
  <c r="V11" i="12"/>
  <c r="V17" i="12"/>
  <c r="V18" i="12"/>
  <c r="V19" i="12"/>
  <c r="V20" i="12"/>
  <c r="V21" i="12"/>
  <c r="V71" i="12"/>
  <c r="V72" i="12"/>
  <c r="V73" i="12"/>
  <c r="V74" i="12"/>
  <c r="V75" i="12"/>
  <c r="V76" i="12"/>
  <c r="V77" i="12"/>
  <c r="V78" i="12"/>
  <c r="V79" i="12"/>
  <c r="V80" i="12"/>
  <c r="V81" i="12"/>
  <c r="V82" i="12"/>
  <c r="V83" i="12"/>
  <c r="V84" i="12"/>
  <c r="V85" i="12"/>
  <c r="V86" i="12"/>
  <c r="V87" i="12"/>
  <c r="V88" i="12"/>
  <c r="V89" i="12"/>
  <c r="V90" i="12"/>
  <c r="V91" i="12"/>
  <c r="V92" i="12"/>
  <c r="V93" i="12"/>
  <c r="L8" i="9"/>
  <c r="L9" i="9"/>
  <c r="L10" i="9"/>
  <c r="L11" i="9"/>
  <c r="L12" i="9"/>
  <c r="L13" i="9"/>
  <c r="L14" i="9"/>
  <c r="L15" i="9"/>
  <c r="L16" i="9"/>
  <c r="L17" i="9"/>
  <c r="L18" i="9"/>
  <c r="L19" i="9"/>
  <c r="L20" i="9"/>
  <c r="L21" i="9"/>
  <c r="L22" i="9"/>
  <c r="L23" i="9"/>
  <c r="L24" i="9"/>
  <c r="L25" i="9"/>
  <c r="L26" i="9"/>
  <c r="L27" i="9"/>
  <c r="N8" i="9"/>
  <c r="N9" i="9"/>
  <c r="N10" i="9"/>
  <c r="N11" i="9"/>
  <c r="N12" i="9"/>
  <c r="N13" i="9"/>
  <c r="N14" i="9"/>
  <c r="N15" i="9"/>
  <c r="N16" i="9"/>
  <c r="N17" i="9"/>
  <c r="N18" i="9"/>
  <c r="N19" i="9"/>
  <c r="N20" i="9"/>
  <c r="N21" i="9"/>
  <c r="N22" i="9"/>
  <c r="N23" i="9"/>
  <c r="N24" i="9"/>
  <c r="N25" i="9"/>
  <c r="N26" i="9"/>
  <c r="N27" i="9"/>
  <c r="O8" i="9"/>
  <c r="O9" i="9"/>
  <c r="O10" i="9"/>
  <c r="O11" i="9"/>
  <c r="O12" i="9"/>
  <c r="O13" i="9"/>
  <c r="O14" i="9"/>
  <c r="O15" i="9"/>
  <c r="O16" i="9"/>
  <c r="O17" i="9"/>
  <c r="O18" i="9"/>
  <c r="O19" i="9"/>
  <c r="O20" i="9"/>
  <c r="O21" i="9"/>
  <c r="O22" i="9"/>
  <c r="O23" i="9"/>
  <c r="O24" i="9"/>
  <c r="O25" i="9"/>
  <c r="O26" i="9"/>
  <c r="O27" i="9"/>
  <c r="P8" i="9"/>
  <c r="P9" i="9"/>
  <c r="P10" i="9"/>
  <c r="P11" i="9"/>
  <c r="P12" i="9"/>
  <c r="P13" i="9"/>
  <c r="P14" i="9"/>
  <c r="P15" i="9"/>
  <c r="P16" i="9"/>
  <c r="P17" i="9"/>
  <c r="P18" i="9"/>
  <c r="P19" i="9"/>
  <c r="P20" i="9"/>
  <c r="P21" i="9"/>
  <c r="P22" i="9"/>
  <c r="P23" i="9"/>
  <c r="P24" i="9"/>
  <c r="P25" i="9"/>
  <c r="P26" i="9"/>
  <c r="P27" i="9"/>
  <c r="R8" i="9"/>
  <c r="R9" i="9"/>
  <c r="R10" i="9"/>
  <c r="R11" i="9"/>
  <c r="R12" i="9"/>
  <c r="R13" i="9"/>
  <c r="R14" i="9"/>
  <c r="R15" i="9"/>
  <c r="R16" i="9"/>
  <c r="R17" i="9"/>
  <c r="R18" i="9"/>
  <c r="R19" i="9"/>
  <c r="R20" i="9"/>
  <c r="R21" i="9"/>
  <c r="R22" i="9"/>
  <c r="R23" i="9"/>
  <c r="R24" i="9"/>
  <c r="R25" i="9"/>
  <c r="R26" i="9"/>
  <c r="R27" i="9"/>
  <c r="U8" i="9"/>
  <c r="U9" i="9"/>
  <c r="U10" i="9"/>
  <c r="U11" i="9"/>
  <c r="U12" i="9"/>
  <c r="U13" i="9"/>
  <c r="U14" i="9"/>
  <c r="U15" i="9"/>
  <c r="U16" i="9"/>
  <c r="U17" i="9"/>
  <c r="U18" i="9"/>
  <c r="U19" i="9"/>
  <c r="U20" i="9"/>
  <c r="U21" i="9"/>
  <c r="U22" i="9"/>
  <c r="U23" i="9"/>
  <c r="U24" i="9"/>
  <c r="U25" i="9"/>
  <c r="U26" i="9"/>
  <c r="U27" i="9"/>
  <c r="V8" i="9"/>
  <c r="V9" i="9"/>
  <c r="V10" i="9"/>
  <c r="V11" i="9"/>
  <c r="V12" i="9"/>
  <c r="V13" i="9"/>
  <c r="V14" i="9"/>
  <c r="V15" i="9"/>
  <c r="V16" i="9"/>
  <c r="V17" i="9"/>
  <c r="V18" i="9"/>
  <c r="V19" i="9"/>
  <c r="V20" i="9"/>
  <c r="V21" i="9"/>
  <c r="V22" i="9"/>
  <c r="V23" i="9"/>
  <c r="V24" i="9"/>
  <c r="V25" i="9"/>
  <c r="V26" i="9"/>
  <c r="V27" i="9"/>
  <c r="AC8" i="9"/>
  <c r="AC9" i="9"/>
  <c r="AC10" i="9"/>
  <c r="AC11" i="9"/>
  <c r="AC12" i="9"/>
  <c r="AC13" i="9"/>
  <c r="AC14" i="9"/>
  <c r="AC15" i="9"/>
  <c r="AC16" i="9"/>
  <c r="AC17" i="9"/>
  <c r="AC18" i="9"/>
  <c r="AC19" i="9"/>
  <c r="AC20" i="9"/>
  <c r="AC21" i="9"/>
  <c r="AC22" i="9"/>
  <c r="AC23" i="9"/>
  <c r="AC24" i="9"/>
  <c r="AC25" i="9"/>
  <c r="AC26" i="9"/>
  <c r="AC27" i="9"/>
  <c r="BE8" i="9"/>
  <c r="BE9" i="9"/>
  <c r="BE10" i="9"/>
  <c r="BE11" i="9"/>
  <c r="BE12" i="9"/>
  <c r="BE13" i="9"/>
  <c r="BE14" i="9"/>
  <c r="BE15" i="9"/>
  <c r="BE16" i="9"/>
  <c r="BE17" i="9"/>
  <c r="BE18" i="9"/>
  <c r="BE19" i="9"/>
  <c r="BE20" i="9"/>
  <c r="BE21" i="9"/>
  <c r="BE22" i="9"/>
  <c r="BE23" i="9"/>
  <c r="BE24" i="9"/>
  <c r="BE25" i="9"/>
  <c r="BE26" i="9"/>
  <c r="BE27" i="9"/>
  <c r="BF8" i="9"/>
  <c r="BF9" i="9"/>
  <c r="BF10" i="9"/>
  <c r="BF11" i="9"/>
  <c r="BF12" i="9"/>
  <c r="BF13" i="9"/>
  <c r="BF14" i="9"/>
  <c r="BF15" i="9"/>
  <c r="BF16" i="9"/>
  <c r="BF17" i="9"/>
  <c r="BF18" i="9"/>
  <c r="BF19" i="9"/>
  <c r="BF20" i="9"/>
  <c r="BF21" i="9"/>
  <c r="BF22" i="9"/>
  <c r="BF23" i="9"/>
  <c r="BF24" i="9"/>
  <c r="BF25" i="9"/>
  <c r="BF26" i="9"/>
  <c r="BF27" i="9"/>
  <c r="CB8" i="9"/>
  <c r="CB9" i="9"/>
  <c r="CB10" i="9"/>
  <c r="CB11" i="9"/>
  <c r="CB12" i="9"/>
  <c r="CB13" i="9"/>
  <c r="CB14" i="9"/>
  <c r="CB15" i="9"/>
  <c r="CB16" i="9"/>
  <c r="CB17" i="9"/>
  <c r="CB18" i="9"/>
  <c r="CB19" i="9"/>
  <c r="CB20" i="9"/>
  <c r="CB21" i="9"/>
  <c r="CB22" i="9"/>
  <c r="CB23" i="9"/>
  <c r="CB24" i="9"/>
  <c r="CB25" i="9"/>
  <c r="CB26" i="9"/>
  <c r="CB27" i="9"/>
  <c r="CJ8" i="9"/>
  <c r="CJ9" i="9"/>
  <c r="CJ10" i="9"/>
  <c r="CJ11" i="9"/>
  <c r="CJ12" i="9"/>
  <c r="CJ13" i="9"/>
  <c r="CJ14" i="9"/>
  <c r="CJ15" i="9"/>
  <c r="CJ16" i="9"/>
  <c r="CJ17" i="9"/>
  <c r="CJ18" i="9"/>
  <c r="CJ19" i="9"/>
  <c r="CJ20" i="9"/>
  <c r="CJ21" i="9"/>
  <c r="CJ22" i="9"/>
  <c r="CJ23" i="9"/>
  <c r="CJ24" i="9"/>
  <c r="CJ25" i="9"/>
  <c r="CJ26" i="9"/>
  <c r="CJ27" i="9"/>
  <c r="CK8" i="9"/>
  <c r="CK9" i="9"/>
  <c r="CK10" i="9"/>
  <c r="CK11" i="9"/>
  <c r="CK12" i="9"/>
  <c r="CK13" i="9"/>
  <c r="CK14" i="9"/>
  <c r="CK15" i="9"/>
  <c r="CK16" i="9"/>
  <c r="CK17" i="9"/>
  <c r="CK18" i="9"/>
  <c r="CK19" i="9"/>
  <c r="CK20" i="9"/>
  <c r="CK21" i="9"/>
  <c r="CK22" i="9"/>
  <c r="CK23" i="9"/>
  <c r="CK24" i="9"/>
  <c r="CK25" i="9"/>
  <c r="CK26" i="9"/>
  <c r="CK27" i="9"/>
  <c r="CL8" i="9"/>
  <c r="CL9" i="9"/>
  <c r="CL10" i="9"/>
  <c r="CL11" i="9"/>
  <c r="CL12" i="9"/>
  <c r="CL13" i="9"/>
  <c r="CL14" i="9"/>
  <c r="CL15" i="9"/>
  <c r="CL16" i="9"/>
  <c r="CL17" i="9"/>
  <c r="CL18" i="9"/>
  <c r="CL19" i="9"/>
  <c r="CL20" i="9"/>
  <c r="CL21" i="9"/>
  <c r="CL22" i="9"/>
  <c r="CL23" i="9"/>
  <c r="CL24" i="9"/>
  <c r="CL25" i="9"/>
  <c r="CL26" i="9"/>
  <c r="CL27" i="9"/>
  <c r="CM8" i="9"/>
  <c r="CM9" i="9"/>
  <c r="CM10" i="9"/>
  <c r="CM11" i="9"/>
  <c r="CM12" i="9"/>
  <c r="CM13" i="9"/>
  <c r="CM14" i="9"/>
  <c r="CM15" i="9"/>
  <c r="CM16" i="9"/>
  <c r="CM17" i="9"/>
  <c r="CM18" i="9"/>
  <c r="CM19" i="9"/>
  <c r="CM20" i="9"/>
  <c r="CM21" i="9"/>
  <c r="CM22" i="9"/>
  <c r="CM23" i="9"/>
  <c r="CM24" i="9"/>
  <c r="CM25" i="9"/>
  <c r="CM26" i="9"/>
  <c r="CM27" i="9"/>
  <c r="CN8" i="9"/>
  <c r="CN9" i="9"/>
  <c r="CN10" i="9"/>
  <c r="CN11" i="9"/>
  <c r="CN12" i="9"/>
  <c r="CN13" i="9"/>
  <c r="CN14" i="9"/>
  <c r="CN15" i="9"/>
  <c r="CN16" i="9"/>
  <c r="CN17" i="9"/>
  <c r="CN18" i="9"/>
  <c r="CN19" i="9"/>
  <c r="CN20" i="9"/>
  <c r="CN21" i="9"/>
  <c r="CN22" i="9"/>
  <c r="CN23" i="9"/>
  <c r="CN24" i="9"/>
  <c r="CN25" i="9"/>
  <c r="CN26" i="9"/>
  <c r="CN27" i="9"/>
  <c r="CO8" i="9"/>
  <c r="CO9" i="9"/>
  <c r="CO10" i="9"/>
  <c r="CO11" i="9"/>
  <c r="CO12" i="9"/>
  <c r="CO13" i="9"/>
  <c r="CO14" i="9"/>
  <c r="CO15" i="9"/>
  <c r="CO16" i="9"/>
  <c r="CO17" i="9"/>
  <c r="CO18" i="9"/>
  <c r="CO19" i="9"/>
  <c r="CO20" i="9"/>
  <c r="CO21" i="9"/>
  <c r="CO22" i="9"/>
  <c r="CO23" i="9"/>
  <c r="CO24" i="9"/>
  <c r="CO25" i="9"/>
  <c r="CO26" i="9"/>
  <c r="CO27" i="9"/>
  <c r="CP8" i="9"/>
  <c r="CP9" i="9"/>
  <c r="CP10" i="9"/>
  <c r="CP11" i="9"/>
  <c r="CP12" i="9"/>
  <c r="CP13" i="9"/>
  <c r="CP14" i="9"/>
  <c r="CP15" i="9"/>
  <c r="CP16" i="9"/>
  <c r="CP17" i="9"/>
  <c r="CP18" i="9"/>
  <c r="CP19" i="9"/>
  <c r="CP20" i="9"/>
  <c r="CP21" i="9"/>
  <c r="CP22" i="9"/>
  <c r="CP23" i="9"/>
  <c r="CP24" i="9"/>
  <c r="CP25" i="9"/>
  <c r="CP26" i="9"/>
  <c r="CP27" i="9"/>
  <c r="CQ8" i="9"/>
  <c r="CQ9" i="9"/>
  <c r="CQ10" i="9"/>
  <c r="CQ11" i="9"/>
  <c r="CQ12" i="9"/>
  <c r="CQ13" i="9"/>
  <c r="CQ14" i="9"/>
  <c r="CQ15" i="9"/>
  <c r="CQ16" i="9"/>
  <c r="CQ17" i="9"/>
  <c r="CQ18" i="9"/>
  <c r="CQ19" i="9"/>
  <c r="CQ20" i="9"/>
  <c r="CQ21" i="9"/>
  <c r="CQ22" i="9"/>
  <c r="CQ23" i="9"/>
  <c r="CQ24" i="9"/>
  <c r="CQ25" i="9"/>
  <c r="CQ26" i="9"/>
  <c r="CQ27" i="9"/>
  <c r="CR8" i="9"/>
  <c r="CR9" i="9"/>
  <c r="CR10" i="9"/>
  <c r="CR11" i="9"/>
  <c r="CR12" i="9"/>
  <c r="CR13" i="9"/>
  <c r="CR14" i="9"/>
  <c r="CR15" i="9"/>
  <c r="CR16" i="9"/>
  <c r="CR17" i="9"/>
  <c r="CR18" i="9"/>
  <c r="CR19" i="9"/>
  <c r="CR20" i="9"/>
  <c r="CR21" i="9"/>
  <c r="CR22" i="9"/>
  <c r="CR23" i="9"/>
  <c r="CR24" i="9"/>
  <c r="CR25" i="9"/>
  <c r="CR26" i="9"/>
  <c r="CR27" i="9"/>
  <c r="CS8" i="9"/>
  <c r="CS9" i="9"/>
  <c r="CS10" i="9"/>
  <c r="CS11" i="9"/>
  <c r="CS12" i="9"/>
  <c r="CS13" i="9"/>
  <c r="CS14" i="9"/>
  <c r="CS15" i="9"/>
  <c r="CS16" i="9"/>
  <c r="CS17" i="9"/>
  <c r="CS18" i="9"/>
  <c r="CS19" i="9"/>
  <c r="CS20" i="9"/>
  <c r="CS21" i="9"/>
  <c r="CS22" i="9"/>
  <c r="CS23" i="9"/>
  <c r="CS24" i="9"/>
  <c r="CS25" i="9"/>
  <c r="CS26" i="9"/>
  <c r="CS27" i="9"/>
  <c r="CT8" i="9"/>
  <c r="CT9" i="9"/>
  <c r="CT10" i="9"/>
  <c r="CT11" i="9"/>
  <c r="CT12" i="9"/>
  <c r="CT13" i="9"/>
  <c r="CT14" i="9"/>
  <c r="CT15" i="9"/>
  <c r="CT16" i="9"/>
  <c r="CT17" i="9"/>
  <c r="CT18" i="9"/>
  <c r="CT19" i="9"/>
  <c r="CT20" i="9"/>
  <c r="CT21" i="9"/>
  <c r="CT22" i="9"/>
  <c r="CT23" i="9"/>
  <c r="CT24" i="9"/>
  <c r="CT25" i="9"/>
  <c r="CT26" i="9"/>
  <c r="CT27" i="9"/>
  <c r="CU8" i="9"/>
  <c r="CU9" i="9"/>
  <c r="CU10" i="9"/>
  <c r="CU11" i="9"/>
  <c r="CU12" i="9"/>
  <c r="CU13" i="9"/>
  <c r="CU14" i="9"/>
  <c r="CU15" i="9"/>
  <c r="CU16" i="9"/>
  <c r="CU17" i="9"/>
  <c r="CU18" i="9"/>
  <c r="CU19" i="9"/>
  <c r="CU20" i="9"/>
  <c r="CU21" i="9"/>
  <c r="CU22" i="9"/>
  <c r="CU23" i="9"/>
  <c r="CU24" i="9"/>
  <c r="CU25" i="9"/>
  <c r="CU26" i="9"/>
  <c r="CU27" i="9"/>
  <c r="CV8" i="9"/>
  <c r="CV9" i="9"/>
  <c r="CV10" i="9"/>
  <c r="CV11" i="9"/>
  <c r="CV12" i="9"/>
  <c r="CV13" i="9"/>
  <c r="CV14" i="9"/>
  <c r="CV15" i="9"/>
  <c r="CV16" i="9"/>
  <c r="CV17" i="9"/>
  <c r="CV18" i="9"/>
  <c r="CV19" i="9"/>
  <c r="CV20" i="9"/>
  <c r="CV21" i="9"/>
  <c r="CV22" i="9"/>
  <c r="CV23" i="9"/>
  <c r="CV24" i="9"/>
  <c r="CV25" i="9"/>
  <c r="CV26" i="9"/>
  <c r="CV27" i="9"/>
  <c r="CW8" i="9"/>
  <c r="CW9" i="9"/>
  <c r="CW10" i="9"/>
  <c r="CW11" i="9"/>
  <c r="CW12" i="9"/>
  <c r="CW13" i="9"/>
  <c r="CW14" i="9"/>
  <c r="CW15" i="9"/>
  <c r="CW16" i="9"/>
  <c r="CW17" i="9"/>
  <c r="CW18" i="9"/>
  <c r="CW19" i="9"/>
  <c r="CW20" i="9"/>
  <c r="CW21" i="9"/>
  <c r="CW22" i="9"/>
  <c r="CW23" i="9"/>
  <c r="CW24" i="9"/>
  <c r="CW25" i="9"/>
  <c r="CW26" i="9"/>
  <c r="CW27" i="9"/>
  <c r="CX8" i="9"/>
  <c r="CX9" i="9"/>
  <c r="CX10" i="9"/>
  <c r="CX11" i="9"/>
  <c r="CX12" i="9"/>
  <c r="CX13" i="9"/>
  <c r="CX14" i="9"/>
  <c r="CX15" i="9"/>
  <c r="CX16" i="9"/>
  <c r="CX17" i="9"/>
  <c r="CX18" i="9"/>
  <c r="CX19" i="9"/>
  <c r="CX20" i="9"/>
  <c r="CX21" i="9"/>
  <c r="CX22" i="9"/>
  <c r="CX23" i="9"/>
  <c r="CX24" i="9"/>
  <c r="CX25" i="9"/>
  <c r="CX26" i="9"/>
  <c r="CX27" i="9"/>
  <c r="CY8" i="9"/>
  <c r="CY9" i="9"/>
  <c r="CY10" i="9"/>
  <c r="CY11" i="9"/>
  <c r="CY12" i="9"/>
  <c r="CY13" i="9"/>
  <c r="CY14" i="9"/>
  <c r="CY15" i="9"/>
  <c r="CY16" i="9"/>
  <c r="CY17" i="9"/>
  <c r="CY18" i="9"/>
  <c r="CY19" i="9"/>
  <c r="CY20" i="9"/>
  <c r="CY21" i="9"/>
  <c r="CY22" i="9"/>
  <c r="CY23" i="9"/>
  <c r="CY24" i="9"/>
  <c r="CY25" i="9"/>
  <c r="CY26" i="9"/>
  <c r="CY27" i="9"/>
  <c r="CZ8" i="9"/>
  <c r="CZ9" i="9"/>
  <c r="CZ10" i="9"/>
  <c r="CZ11" i="9"/>
  <c r="CZ12" i="9"/>
  <c r="CZ13" i="9"/>
  <c r="CZ14" i="9"/>
  <c r="CZ15" i="9"/>
  <c r="CZ16" i="9"/>
  <c r="CZ17" i="9"/>
  <c r="CZ18" i="9"/>
  <c r="CZ19" i="9"/>
  <c r="CZ20" i="9"/>
  <c r="CZ21" i="9"/>
  <c r="CZ22" i="9"/>
  <c r="CZ23" i="9"/>
  <c r="CZ24" i="9"/>
  <c r="CZ25" i="9"/>
  <c r="CZ26" i="9"/>
  <c r="CZ27" i="9"/>
  <c r="DA8" i="9"/>
  <c r="DA9" i="9"/>
  <c r="DA10" i="9"/>
  <c r="DA11" i="9"/>
  <c r="DA12" i="9"/>
  <c r="DA13" i="9"/>
  <c r="DA14" i="9"/>
  <c r="DA15" i="9"/>
  <c r="DA16" i="9"/>
  <c r="DA17" i="9"/>
  <c r="DA18" i="9"/>
  <c r="DA19" i="9"/>
  <c r="DA20" i="9"/>
  <c r="DA21" i="9"/>
  <c r="DA22" i="9"/>
  <c r="DA23" i="9"/>
  <c r="DA24" i="9"/>
  <c r="DA25" i="9"/>
  <c r="DA26" i="9"/>
  <c r="DA27" i="9"/>
  <c r="DB8" i="9"/>
  <c r="DB9" i="9"/>
  <c r="DB10" i="9"/>
  <c r="DB11" i="9"/>
  <c r="DB12" i="9"/>
  <c r="DB13" i="9"/>
  <c r="DB14" i="9"/>
  <c r="DB15" i="9"/>
  <c r="DB16" i="9"/>
  <c r="DB17" i="9"/>
  <c r="DB18" i="9"/>
  <c r="DB19" i="9"/>
  <c r="DB20" i="9"/>
  <c r="DB21" i="9"/>
  <c r="DB22" i="9"/>
  <c r="DB23" i="9"/>
  <c r="DB24" i="9"/>
  <c r="DB25" i="9"/>
  <c r="DB26" i="9"/>
  <c r="DB27" i="9"/>
  <c r="DC8" i="9"/>
  <c r="DC9" i="9"/>
  <c r="DC10" i="9"/>
  <c r="DC11" i="9"/>
  <c r="DC12" i="9"/>
  <c r="DC13" i="9"/>
  <c r="DC14" i="9"/>
  <c r="DC15" i="9"/>
  <c r="DC16" i="9"/>
  <c r="DC17" i="9"/>
  <c r="DC18" i="9"/>
  <c r="DC19" i="9"/>
  <c r="DC20" i="9"/>
  <c r="DC21" i="9"/>
  <c r="DC22" i="9"/>
  <c r="DC23" i="9"/>
  <c r="DC24" i="9"/>
  <c r="DC25" i="9"/>
  <c r="DC26" i="9"/>
  <c r="DC27" i="9"/>
  <c r="DD8" i="9"/>
  <c r="DD9" i="9"/>
  <c r="DD10" i="9"/>
  <c r="DD11" i="9"/>
  <c r="DD12" i="9"/>
  <c r="DD13" i="9"/>
  <c r="DD14" i="9"/>
  <c r="DD15" i="9"/>
  <c r="DD16" i="9"/>
  <c r="DD17" i="9"/>
  <c r="DD18" i="9"/>
  <c r="DD19" i="9"/>
  <c r="DD20" i="9"/>
  <c r="DD21" i="9"/>
  <c r="DD22" i="9"/>
  <c r="DD23" i="9"/>
  <c r="DD24" i="9"/>
  <c r="DD25" i="9"/>
  <c r="DD26" i="9"/>
  <c r="DD27" i="9"/>
  <c r="DE8" i="9"/>
  <c r="DE9" i="9"/>
  <c r="DE10" i="9"/>
  <c r="DE11" i="9"/>
  <c r="DE12" i="9"/>
  <c r="DE13" i="9"/>
  <c r="DE14" i="9"/>
  <c r="DE15" i="9"/>
  <c r="DE16" i="9"/>
  <c r="DE17" i="9"/>
  <c r="DE18" i="9"/>
  <c r="DE19" i="9"/>
  <c r="DE20" i="9"/>
  <c r="DE21" i="9"/>
  <c r="DE22" i="9"/>
  <c r="DE23" i="9"/>
  <c r="DE24" i="9"/>
  <c r="DE25" i="9"/>
  <c r="DE26" i="9"/>
  <c r="DE27" i="9"/>
  <c r="DF8" i="9"/>
  <c r="DF9" i="9"/>
  <c r="DF10" i="9"/>
  <c r="DF11" i="9"/>
  <c r="DF12" i="9"/>
  <c r="DF13" i="9"/>
  <c r="DF14" i="9"/>
  <c r="DF15" i="9"/>
  <c r="DF16" i="9"/>
  <c r="DF17" i="9"/>
  <c r="DF18" i="9"/>
  <c r="DF19" i="9"/>
  <c r="DF20" i="9"/>
  <c r="DF21" i="9"/>
  <c r="DF22" i="9"/>
  <c r="DF23" i="9"/>
  <c r="DF24" i="9"/>
  <c r="DF25" i="9"/>
  <c r="DF26" i="9"/>
  <c r="DF27" i="9"/>
  <c r="DG8" i="9"/>
  <c r="DG9" i="9"/>
  <c r="DG10" i="9"/>
  <c r="DG11" i="9"/>
  <c r="DG12" i="9"/>
  <c r="DG13" i="9"/>
  <c r="DG14" i="9"/>
  <c r="DG15" i="9"/>
  <c r="DG16" i="9"/>
  <c r="DG17" i="9"/>
  <c r="DG18" i="9"/>
  <c r="DG19" i="9"/>
  <c r="DG20" i="9"/>
  <c r="DG21" i="9"/>
  <c r="DG22" i="9"/>
  <c r="DG23" i="9"/>
  <c r="DG24" i="9"/>
  <c r="DG25" i="9"/>
  <c r="DG26" i="9"/>
  <c r="DG27" i="9"/>
  <c r="DH8" i="9"/>
  <c r="DH9" i="9"/>
  <c r="DH10" i="9"/>
  <c r="DH11" i="9"/>
  <c r="DH12" i="9"/>
  <c r="DH13" i="9"/>
  <c r="DH14" i="9"/>
  <c r="DH15" i="9"/>
  <c r="DH16" i="9"/>
  <c r="DH17" i="9"/>
  <c r="DH18" i="9"/>
  <c r="DH19" i="9"/>
  <c r="DH20" i="9"/>
  <c r="DH21" i="9"/>
  <c r="DH22" i="9"/>
  <c r="DH23" i="9"/>
  <c r="DH24" i="9"/>
  <c r="DH25" i="9"/>
  <c r="DH26" i="9"/>
  <c r="DH27" i="9"/>
  <c r="DI8" i="9"/>
  <c r="DI9" i="9"/>
  <c r="DI10" i="9"/>
  <c r="DI11" i="9"/>
  <c r="DI12" i="9"/>
  <c r="DI13" i="9"/>
  <c r="DI14" i="9"/>
  <c r="DI15" i="9"/>
  <c r="DI16" i="9"/>
  <c r="DI17" i="9"/>
  <c r="DI18" i="9"/>
  <c r="DI19" i="9"/>
  <c r="DI20" i="9"/>
  <c r="DI21" i="9"/>
  <c r="DI22" i="9"/>
  <c r="DI23" i="9"/>
  <c r="DI24" i="9"/>
  <c r="DI25" i="9"/>
  <c r="DI26" i="9"/>
  <c r="DI27" i="9"/>
  <c r="DJ8" i="9"/>
  <c r="DJ9" i="9"/>
  <c r="DJ10" i="9"/>
  <c r="DJ11" i="9"/>
  <c r="DJ12" i="9"/>
  <c r="DJ13" i="9"/>
  <c r="DJ14" i="9"/>
  <c r="DJ15" i="9"/>
  <c r="DJ16" i="9"/>
  <c r="DJ17" i="9"/>
  <c r="DJ18" i="9"/>
  <c r="DJ19" i="9"/>
  <c r="DJ20" i="9"/>
  <c r="DJ21" i="9"/>
  <c r="DJ22" i="9"/>
  <c r="DJ23" i="9"/>
  <c r="DJ24" i="9"/>
  <c r="DJ25" i="9"/>
  <c r="DJ26" i="9"/>
  <c r="DJ27" i="9"/>
  <c r="DK8" i="9"/>
  <c r="DK9" i="9"/>
  <c r="DK10" i="9"/>
  <c r="DK11" i="9"/>
  <c r="DK12" i="9"/>
  <c r="DK13" i="9"/>
  <c r="DK14" i="9"/>
  <c r="DK15" i="9"/>
  <c r="DK16" i="9"/>
  <c r="DK17" i="9"/>
  <c r="DK18" i="9"/>
  <c r="DK19" i="9"/>
  <c r="DK20" i="9"/>
  <c r="DK21" i="9"/>
  <c r="DK22" i="9"/>
  <c r="DK23" i="9"/>
  <c r="DK24" i="9"/>
  <c r="DK25" i="9"/>
  <c r="DK26" i="9"/>
  <c r="DK27" i="9"/>
  <c r="DL8" i="9"/>
  <c r="DL9" i="9"/>
  <c r="DL10" i="9"/>
  <c r="DL11" i="9"/>
  <c r="DL12" i="9"/>
  <c r="DL13" i="9"/>
  <c r="DL14" i="9"/>
  <c r="DL15" i="9"/>
  <c r="DL16" i="9"/>
  <c r="DL17" i="9"/>
  <c r="DL18" i="9"/>
  <c r="DL19" i="9"/>
  <c r="DL20" i="9"/>
  <c r="DL21" i="9"/>
  <c r="DL22" i="9"/>
  <c r="DL23" i="9"/>
  <c r="DL24" i="9"/>
  <c r="DL25" i="9"/>
  <c r="DL26" i="9"/>
  <c r="DL27" i="9"/>
  <c r="DM8" i="9"/>
  <c r="DM9" i="9"/>
  <c r="DM10" i="9"/>
  <c r="DM11" i="9"/>
  <c r="DM12" i="9"/>
  <c r="DM13" i="9"/>
  <c r="DM14" i="9"/>
  <c r="DM15" i="9"/>
  <c r="DM16" i="9"/>
  <c r="DM17" i="9"/>
  <c r="DM18" i="9"/>
  <c r="DM19" i="9"/>
  <c r="DM20" i="9"/>
  <c r="DM21" i="9"/>
  <c r="DM22" i="9"/>
  <c r="DM23" i="9"/>
  <c r="DM24" i="9"/>
  <c r="DM25" i="9"/>
  <c r="DM26" i="9"/>
  <c r="DM27" i="9"/>
  <c r="DN8" i="9"/>
  <c r="DN9" i="9"/>
  <c r="DN10" i="9"/>
  <c r="DN11" i="9"/>
  <c r="DN12" i="9"/>
  <c r="DN13" i="9"/>
  <c r="DN14" i="9"/>
  <c r="DN15" i="9"/>
  <c r="DN16" i="9"/>
  <c r="DN17" i="9"/>
  <c r="DN18" i="9"/>
  <c r="DN19" i="9"/>
  <c r="DN20" i="9"/>
  <c r="DN21" i="9"/>
  <c r="DN22" i="9"/>
  <c r="DN23" i="9"/>
  <c r="DN24" i="9"/>
  <c r="DN25" i="9"/>
  <c r="DN26" i="9"/>
  <c r="DN27" i="9"/>
  <c r="DO8" i="9"/>
  <c r="DO9" i="9"/>
  <c r="DO10" i="9"/>
  <c r="DO11" i="9"/>
  <c r="DO12" i="9"/>
  <c r="DO13" i="9"/>
  <c r="DO14" i="9"/>
  <c r="DO15" i="9"/>
  <c r="DO16" i="9"/>
  <c r="DO17" i="9"/>
  <c r="DO18" i="9"/>
  <c r="DO19" i="9"/>
  <c r="DO20" i="9"/>
  <c r="DO21" i="9"/>
  <c r="DO22" i="9"/>
  <c r="DO23" i="9"/>
  <c r="DO24" i="9"/>
  <c r="DO25" i="9"/>
  <c r="DO26" i="9"/>
  <c r="DO27" i="9"/>
  <c r="DP8" i="9"/>
  <c r="DP9" i="9"/>
  <c r="DP10" i="9"/>
  <c r="DP11" i="9"/>
  <c r="EJ12" i="9" s="1"/>
  <c r="DP12" i="9"/>
  <c r="DP13" i="9"/>
  <c r="DP14" i="9"/>
  <c r="DP15" i="9"/>
  <c r="DP16" i="9"/>
  <c r="DP17" i="9"/>
  <c r="DP18" i="9"/>
  <c r="DP19" i="9"/>
  <c r="DP20" i="9"/>
  <c r="DP21" i="9"/>
  <c r="DP22" i="9"/>
  <c r="DP23" i="9"/>
  <c r="EL24" i="9" s="1"/>
  <c r="DP24" i="9"/>
  <c r="DP25" i="9"/>
  <c r="DP26" i="9"/>
  <c r="DP27" i="9"/>
  <c r="EJ8" i="9"/>
  <c r="EJ11" i="9"/>
  <c r="EJ15" i="9"/>
  <c r="EJ19" i="9"/>
  <c r="EJ23" i="9"/>
  <c r="EJ27" i="9"/>
  <c r="EK8" i="9"/>
  <c r="EK11" i="9"/>
  <c r="EK15" i="9"/>
  <c r="EK19" i="9"/>
  <c r="EK23" i="9"/>
  <c r="EK27" i="9"/>
  <c r="EL8" i="9"/>
  <c r="EL11" i="9"/>
  <c r="EL12" i="9"/>
  <c r="EL15" i="9"/>
  <c r="EL16" i="9"/>
  <c r="EL19" i="9"/>
  <c r="EL20" i="9"/>
  <c r="EL23" i="9"/>
  <c r="EL27" i="9"/>
  <c r="L7" i="9"/>
  <c r="N7" i="9"/>
  <c r="O7" i="9"/>
  <c r="P7" i="9"/>
  <c r="R7" i="9"/>
  <c r="U7" i="9"/>
  <c r="V7" i="9" s="1"/>
  <c r="AC7" i="9"/>
  <c r="BE7" i="9"/>
  <c r="DN7" i="9" s="1"/>
  <c r="BF7" i="9"/>
  <c r="CB7" i="9"/>
  <c r="CJ7" i="9"/>
  <c r="CK7" i="9"/>
  <c r="CL7" i="9"/>
  <c r="CM7" i="9"/>
  <c r="CN7" i="9"/>
  <c r="CO7" i="9"/>
  <c r="CP7" i="9"/>
  <c r="CQ7" i="9"/>
  <c r="CR7" i="9"/>
  <c r="CS7" i="9"/>
  <c r="CT7" i="9"/>
  <c r="CU7" i="9"/>
  <c r="CV7" i="9"/>
  <c r="CW7" i="9"/>
  <c r="CX7" i="9"/>
  <c r="CY7" i="9"/>
  <c r="CZ7" i="9"/>
  <c r="DA7" i="9"/>
  <c r="DB7" i="9"/>
  <c r="DC7" i="9"/>
  <c r="DD7" i="9"/>
  <c r="DE7" i="9"/>
  <c r="DF7" i="9"/>
  <c r="DG7" i="9"/>
  <c r="DH7" i="9"/>
  <c r="DI7" i="9"/>
  <c r="DJ7" i="9"/>
  <c r="DK7" i="9"/>
  <c r="DL7" i="9"/>
  <c r="DM7" i="9"/>
  <c r="DO7" i="9"/>
  <c r="DP7" i="9"/>
  <c r="EL5" i="9" l="1"/>
  <c r="EL7" i="9"/>
  <c r="EL26" i="9"/>
  <c r="EL22" i="9"/>
  <c r="EL18" i="9"/>
  <c r="EL14" i="9"/>
  <c r="EL10" i="9"/>
  <c r="EK26" i="9"/>
  <c r="EK22" i="9"/>
  <c r="EK18" i="9"/>
  <c r="EK14" i="9"/>
  <c r="EK10" i="9"/>
  <c r="EJ26" i="9"/>
  <c r="EJ22" i="9"/>
  <c r="EJ18" i="9"/>
  <c r="EJ14" i="9"/>
  <c r="EJ10" i="9"/>
  <c r="EL4" i="9"/>
  <c r="EK5" i="9"/>
  <c r="EK7" i="9"/>
  <c r="EL25" i="9"/>
  <c r="EL21" i="9"/>
  <c r="EL17" i="9"/>
  <c r="EL13" i="9"/>
  <c r="EL9" i="9"/>
  <c r="EK25" i="9"/>
  <c r="EK21" i="9"/>
  <c r="EK17" i="9"/>
  <c r="EK13" i="9"/>
  <c r="EK9" i="9"/>
  <c r="EJ25" i="9"/>
  <c r="EJ21" i="9"/>
  <c r="EJ17" i="9"/>
  <c r="EJ13" i="9"/>
  <c r="EJ9" i="9"/>
  <c r="EK4" i="9"/>
  <c r="EJ7" i="9"/>
  <c r="EK24" i="9"/>
  <c r="EK20" i="9"/>
  <c r="EK16" i="9"/>
  <c r="EK12" i="9"/>
  <c r="EJ24" i="9"/>
  <c r="EJ20" i="9"/>
  <c r="EJ16" i="9"/>
  <c r="EJ5" i="9"/>
  <c r="EJ4" i="9"/>
  <c r="N42" i="20"/>
  <c r="AQ15" i="20" l="1"/>
  <c r="N7" i="20"/>
  <c r="N3" i="20"/>
  <c r="N4" i="20"/>
  <c r="N5" i="20"/>
  <c r="N6"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BF4" i="20"/>
  <c r="BF5" i="20"/>
  <c r="BF6" i="20"/>
  <c r="BF7" i="20"/>
  <c r="BF8" i="20"/>
  <c r="BF9" i="20"/>
  <c r="BF10" i="20"/>
  <c r="BF11" i="20"/>
  <c r="BF12" i="20"/>
  <c r="BF13" i="20"/>
  <c r="BF14" i="20"/>
  <c r="BF15" i="20"/>
  <c r="BF16" i="20"/>
  <c r="BF17" i="20"/>
  <c r="BF18" i="20"/>
  <c r="BF19" i="20"/>
  <c r="BF20" i="20"/>
  <c r="BF21" i="20"/>
  <c r="BF22" i="20"/>
  <c r="BF23" i="20"/>
  <c r="BF24" i="20"/>
  <c r="BF25" i="20"/>
  <c r="BF26" i="20"/>
  <c r="BF27" i="20"/>
  <c r="BF28" i="20"/>
  <c r="BF29" i="20"/>
  <c r="BF30" i="20"/>
  <c r="BF31" i="20"/>
  <c r="BF32" i="20"/>
  <c r="BF33" i="20"/>
  <c r="BF34" i="20"/>
  <c r="BF35" i="20"/>
  <c r="BF36" i="20"/>
  <c r="BF37" i="20"/>
  <c r="BF38" i="20"/>
  <c r="BF39" i="20"/>
  <c r="BF40" i="20"/>
  <c r="BF41" i="20"/>
  <c r="BF42" i="20"/>
  <c r="BF43" i="20"/>
  <c r="BF44" i="20"/>
  <c r="BF45" i="20"/>
  <c r="BF46" i="20"/>
  <c r="BF47" i="20"/>
  <c r="BF48" i="20"/>
  <c r="BF49" i="20"/>
  <c r="BF50" i="20"/>
  <c r="BF51" i="20"/>
  <c r="BF52" i="20"/>
  <c r="BF53" i="20"/>
  <c r="BF54" i="20"/>
  <c r="BF55" i="20"/>
  <c r="BF56" i="20"/>
  <c r="BF57" i="20"/>
  <c r="BF58" i="20"/>
  <c r="BF59" i="20"/>
  <c r="BF60" i="20"/>
  <c r="BF61" i="20"/>
  <c r="BF62" i="20"/>
  <c r="BF63" i="20"/>
  <c r="BF64" i="20"/>
  <c r="BF65" i="20"/>
  <c r="BF66" i="20"/>
  <c r="BF67" i="20"/>
  <c r="BF68" i="20"/>
  <c r="BF69" i="20"/>
  <c r="BF70" i="20"/>
  <c r="BF71" i="20"/>
  <c r="BF72" i="20"/>
  <c r="BE4" i="20"/>
  <c r="BE5" i="20"/>
  <c r="BE6" i="20"/>
  <c r="BE7" i="20"/>
  <c r="BE8" i="20"/>
  <c r="BE9" i="20"/>
  <c r="BE10" i="20"/>
  <c r="BE11" i="20"/>
  <c r="BE12" i="20"/>
  <c r="BE13" i="20"/>
  <c r="BE14" i="20"/>
  <c r="BE15" i="20"/>
  <c r="BE16" i="20"/>
  <c r="BE17" i="20"/>
  <c r="BE18" i="20"/>
  <c r="BE19" i="20"/>
  <c r="BE20" i="20"/>
  <c r="BE21" i="20"/>
  <c r="BE22" i="20"/>
  <c r="BE23" i="20"/>
  <c r="BE24" i="20"/>
  <c r="BE25" i="20"/>
  <c r="BE26" i="20"/>
  <c r="BE27" i="20"/>
  <c r="BE28" i="20"/>
  <c r="BE29" i="20"/>
  <c r="BE30" i="20"/>
  <c r="BE31" i="20"/>
  <c r="BE32" i="20"/>
  <c r="BE33" i="20"/>
  <c r="BE34" i="20"/>
  <c r="BE35" i="20"/>
  <c r="BE36" i="20"/>
  <c r="BE37" i="20"/>
  <c r="BE38" i="20"/>
  <c r="BE39" i="20"/>
  <c r="BE40" i="20"/>
  <c r="BE41" i="20"/>
  <c r="BE42" i="20"/>
  <c r="BE43" i="20"/>
  <c r="BE44" i="20"/>
  <c r="BE45" i="20"/>
  <c r="BE46" i="20"/>
  <c r="BE47" i="20"/>
  <c r="BE48" i="20"/>
  <c r="BE49" i="20"/>
  <c r="BE50" i="20"/>
  <c r="BE51" i="20"/>
  <c r="BE52" i="20"/>
  <c r="BE53" i="20"/>
  <c r="BE54" i="20"/>
  <c r="BE55" i="20"/>
  <c r="BE56" i="20"/>
  <c r="BE57" i="20"/>
  <c r="BE58" i="20"/>
  <c r="BE59" i="20"/>
  <c r="BE60" i="20"/>
  <c r="BE61" i="20"/>
  <c r="BE62" i="20"/>
  <c r="BE63" i="20"/>
  <c r="BE64" i="20"/>
  <c r="BE65" i="20"/>
  <c r="BE66" i="20"/>
  <c r="BE67" i="20"/>
  <c r="BE68" i="20"/>
  <c r="BE69" i="20"/>
  <c r="BE70" i="20"/>
  <c r="BE71" i="20"/>
  <c r="BE72" i="20"/>
  <c r="AG4" i="20" a="1"/>
  <c r="AG4" i="20" s="1"/>
  <c r="AG5" i="20" a="1"/>
  <c r="AG5" i="20" s="1"/>
  <c r="AG6" i="20" a="1"/>
  <c r="AG6" i="20" s="1"/>
  <c r="AG7" i="20" a="1"/>
  <c r="AG7" i="20" s="1"/>
  <c r="AG8" i="20" a="1"/>
  <c r="AG8" i="20" s="1"/>
  <c r="AG9" i="20" a="1"/>
  <c r="AG9" i="20" s="1"/>
  <c r="AG10" i="20" a="1"/>
  <c r="AG10" i="20" s="1"/>
  <c r="AG11" i="20" a="1"/>
  <c r="AG11" i="20" s="1"/>
  <c r="AG12" i="20" a="1"/>
  <c r="AG12" i="20" s="1"/>
  <c r="AG13" i="20" a="1"/>
  <c r="AG13" i="20" s="1"/>
  <c r="AG14" i="20" a="1"/>
  <c r="AG14" i="20" s="1"/>
  <c r="AG15" i="20" a="1"/>
  <c r="AG15" i="20" s="1"/>
  <c r="AG16" i="20" a="1"/>
  <c r="AG16" i="20" s="1"/>
  <c r="AG17" i="20" a="1"/>
  <c r="AG17" i="20" s="1"/>
  <c r="AG18" i="20" a="1"/>
  <c r="AG18" i="20" s="1"/>
  <c r="AG19" i="20" a="1"/>
  <c r="AG19" i="20" s="1"/>
  <c r="AG20" i="20" a="1"/>
  <c r="AG20" i="20" s="1"/>
  <c r="AG21" i="20" a="1"/>
  <c r="AG21" i="20" s="1"/>
  <c r="AG22" i="20" a="1"/>
  <c r="AG22" i="20" s="1"/>
  <c r="AG23" i="20" a="1"/>
  <c r="AG23" i="20" s="1"/>
  <c r="AG24" i="20" a="1"/>
  <c r="AG24" i="20" s="1"/>
  <c r="AG25" i="20" a="1"/>
  <c r="AG25" i="20" s="1"/>
  <c r="AG26" i="20" a="1"/>
  <c r="AG26" i="20" s="1"/>
  <c r="AG27" i="20" a="1"/>
  <c r="AG27" i="20" s="1"/>
  <c r="AG28" i="20" a="1"/>
  <c r="AG28" i="20" s="1"/>
  <c r="AG29" i="20" a="1"/>
  <c r="AG29" i="20" s="1"/>
  <c r="AG30" i="20" a="1"/>
  <c r="AG30" i="20" s="1"/>
  <c r="AG31" i="20" a="1"/>
  <c r="AG31" i="20" s="1"/>
  <c r="AG32" i="20" a="1"/>
  <c r="AG32" i="20" s="1"/>
  <c r="AG33" i="20" a="1"/>
  <c r="AG33" i="20" s="1"/>
  <c r="AG34" i="20" a="1"/>
  <c r="AG34" i="20" s="1"/>
  <c r="AG35" i="20" a="1"/>
  <c r="AG35" i="20" s="1"/>
  <c r="AG36" i="20" a="1"/>
  <c r="AG36" i="20" s="1"/>
  <c r="AG37" i="20" a="1"/>
  <c r="AG37" i="20" s="1"/>
  <c r="AG38" i="20" a="1"/>
  <c r="AG38" i="20" s="1"/>
  <c r="AG39" i="20" a="1"/>
  <c r="AG39" i="20" s="1"/>
  <c r="AG40" i="20" a="1"/>
  <c r="AG40" i="20" s="1"/>
  <c r="AG41" i="20" a="1"/>
  <c r="AG41" i="20" s="1"/>
  <c r="AG42" i="20" a="1"/>
  <c r="AG42" i="20" s="1"/>
  <c r="AG43" i="20" a="1"/>
  <c r="AG43" i="20" s="1"/>
  <c r="AG44" i="20" a="1"/>
  <c r="AG44" i="20" s="1"/>
  <c r="AG45" i="20" a="1"/>
  <c r="AG45" i="20" s="1"/>
  <c r="AG46" i="20" a="1"/>
  <c r="AG46" i="20" s="1"/>
  <c r="AG47" i="20" a="1"/>
  <c r="AG47" i="20" s="1"/>
  <c r="AG48" i="20" a="1"/>
  <c r="AG48" i="20" s="1"/>
  <c r="AG49" i="20" a="1"/>
  <c r="AG49" i="20" s="1"/>
  <c r="AG50" i="20" a="1"/>
  <c r="AG50" i="20" s="1"/>
  <c r="AG51" i="20" a="1"/>
  <c r="AG51" i="20" s="1"/>
  <c r="AG52" i="20" a="1"/>
  <c r="AG52" i="20" s="1"/>
  <c r="AG53" i="20" a="1"/>
  <c r="AG53" i="20" s="1"/>
  <c r="AG54" i="20" a="1"/>
  <c r="AG54" i="20" s="1"/>
  <c r="AG55" i="20" a="1"/>
  <c r="AG55" i="20" s="1"/>
  <c r="AG56" i="20" a="1"/>
  <c r="AG56" i="20" s="1"/>
  <c r="AG57" i="20" a="1"/>
  <c r="AG57" i="20" s="1"/>
  <c r="AG58" i="20" a="1"/>
  <c r="AG58"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3" i="20" a="1"/>
  <c r="AG3" i="20" s="1"/>
  <c r="M8" i="20" l="1"/>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U8" i="20"/>
  <c r="U9" i="20"/>
  <c r="U10" i="20"/>
  <c r="U11" i="20"/>
  <c r="U12" i="20"/>
  <c r="U13" i="20"/>
  <c r="U14" i="20"/>
  <c r="U15" i="20"/>
  <c r="U16" i="20"/>
  <c r="U17" i="20"/>
  <c r="U18" i="20"/>
  <c r="U19" i="20"/>
  <c r="U20" i="20"/>
  <c r="U21" i="20"/>
  <c r="U22" i="20"/>
  <c r="U23" i="20"/>
  <c r="U24" i="20"/>
  <c r="U25" i="20"/>
  <c r="U26" i="20"/>
  <c r="U27" i="20"/>
  <c r="U28" i="20"/>
  <c r="U29" i="20"/>
  <c r="U30" i="20"/>
  <c r="U31" i="20"/>
  <c r="U32" i="20"/>
  <c r="U33" i="20"/>
  <c r="U34" i="20"/>
  <c r="U35"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U68" i="20"/>
  <c r="U69" i="20"/>
  <c r="U70" i="20"/>
  <c r="U71" i="20"/>
  <c r="U72" i="20"/>
  <c r="AD8" i="20"/>
  <c r="AR8" i="20" s="1"/>
  <c r="AD9" i="20"/>
  <c r="AR9" i="20" s="1"/>
  <c r="AD10" i="20"/>
  <c r="AR10" i="20" s="1"/>
  <c r="AD11" i="20"/>
  <c r="AR11" i="20" s="1"/>
  <c r="AD12" i="20"/>
  <c r="AR12" i="20" s="1"/>
  <c r="AD13" i="20"/>
  <c r="AR13" i="20" s="1"/>
  <c r="AD14" i="20"/>
  <c r="AR14" i="20" s="1"/>
  <c r="AD15" i="20"/>
  <c r="AR15" i="20" s="1"/>
  <c r="AD16" i="20"/>
  <c r="AR16" i="20" s="1"/>
  <c r="AD17" i="20"/>
  <c r="AR17" i="20" s="1"/>
  <c r="AD18" i="20"/>
  <c r="AR18" i="20" s="1"/>
  <c r="AD19" i="20"/>
  <c r="AR19" i="20" s="1"/>
  <c r="AD20" i="20"/>
  <c r="AR20" i="20" s="1"/>
  <c r="AD21" i="20"/>
  <c r="AR21" i="20" s="1"/>
  <c r="AD22" i="20"/>
  <c r="AR22" i="20" s="1"/>
  <c r="AD23" i="20"/>
  <c r="AR23" i="20" s="1"/>
  <c r="AD24" i="20"/>
  <c r="AR24" i="20" s="1"/>
  <c r="AD25" i="20"/>
  <c r="AR25" i="20" s="1"/>
  <c r="AD26" i="20"/>
  <c r="AR26" i="20" s="1"/>
  <c r="AD27" i="20"/>
  <c r="AR27" i="20" s="1"/>
  <c r="AD28" i="20"/>
  <c r="AR28" i="20" s="1"/>
  <c r="AD29" i="20"/>
  <c r="AR29" i="20" s="1"/>
  <c r="AD30" i="20"/>
  <c r="AR30" i="20" s="1"/>
  <c r="AD31" i="20"/>
  <c r="AR31" i="20" s="1"/>
  <c r="AD32" i="20"/>
  <c r="AR32" i="20" s="1"/>
  <c r="AD33" i="20"/>
  <c r="AR33" i="20" s="1"/>
  <c r="AD34" i="20"/>
  <c r="AR34" i="20" s="1"/>
  <c r="AD35" i="20"/>
  <c r="AR35" i="20" s="1"/>
  <c r="AD36" i="20"/>
  <c r="AR36" i="20" s="1"/>
  <c r="AD37" i="20"/>
  <c r="AR37" i="20" s="1"/>
  <c r="AD38" i="20"/>
  <c r="AR38" i="20" s="1"/>
  <c r="AD39" i="20"/>
  <c r="AR39" i="20" s="1"/>
  <c r="AD40" i="20"/>
  <c r="AR40" i="20" s="1"/>
  <c r="AD41" i="20"/>
  <c r="AR41" i="20" s="1"/>
  <c r="AD42" i="20"/>
  <c r="AR42" i="20" s="1"/>
  <c r="AD43" i="20"/>
  <c r="AR43" i="20" s="1"/>
  <c r="AD44" i="20"/>
  <c r="AR44" i="20" s="1"/>
  <c r="AD45" i="20"/>
  <c r="AR45" i="20" s="1"/>
  <c r="AD46" i="20"/>
  <c r="AR46" i="20" s="1"/>
  <c r="AD47" i="20"/>
  <c r="AR47" i="20" s="1"/>
  <c r="AD48" i="20"/>
  <c r="AR48" i="20" s="1"/>
  <c r="AD49" i="20"/>
  <c r="AR49" i="20" s="1"/>
  <c r="AD50" i="20"/>
  <c r="AR50" i="20" s="1"/>
  <c r="AD51" i="20"/>
  <c r="AR51" i="20" s="1"/>
  <c r="AD52" i="20"/>
  <c r="AD53" i="20"/>
  <c r="AR53" i="20" s="1"/>
  <c r="AD54" i="20"/>
  <c r="AR54" i="20" s="1"/>
  <c r="AD55" i="20"/>
  <c r="AR55" i="20" s="1"/>
  <c r="AD56" i="20"/>
  <c r="AR56" i="20" s="1"/>
  <c r="AD57" i="20"/>
  <c r="AR57" i="20" s="1"/>
  <c r="AD58" i="20"/>
  <c r="AR58" i="20" s="1"/>
  <c r="AD59" i="20"/>
  <c r="AR59" i="20" s="1"/>
  <c r="AD60" i="20"/>
  <c r="AR60" i="20" s="1"/>
  <c r="AD61" i="20"/>
  <c r="AR61" i="20" s="1"/>
  <c r="AD62" i="20"/>
  <c r="AR62" i="20" s="1"/>
  <c r="AD63" i="20"/>
  <c r="AR63" i="20" s="1"/>
  <c r="AD64" i="20"/>
  <c r="AR64" i="20" s="1"/>
  <c r="AD65" i="20"/>
  <c r="AR65" i="20" s="1"/>
  <c r="AD66" i="20"/>
  <c r="AR66" i="20" s="1"/>
  <c r="AD67" i="20"/>
  <c r="AR67" i="20" s="1"/>
  <c r="AD68" i="20"/>
  <c r="AR68" i="20" s="1"/>
  <c r="AD69" i="20"/>
  <c r="AR69" i="20" s="1"/>
  <c r="AD70" i="20"/>
  <c r="AR70" i="20" s="1"/>
  <c r="AD71" i="20"/>
  <c r="AR71" i="20" s="1"/>
  <c r="AD72" i="20"/>
  <c r="AR72" i="20" s="1"/>
  <c r="AO8" i="20"/>
  <c r="AO9" i="20"/>
  <c r="AO10" i="20"/>
  <c r="AO11" i="20"/>
  <c r="AO12" i="20"/>
  <c r="AO13" i="20"/>
  <c r="AO14" i="20"/>
  <c r="AO15" i="20"/>
  <c r="AO16" i="20"/>
  <c r="AO17" i="20"/>
  <c r="AO18" i="20"/>
  <c r="AO19" i="20"/>
  <c r="AO20" i="20"/>
  <c r="AO21" i="20"/>
  <c r="AO22" i="20"/>
  <c r="AO23" i="20"/>
  <c r="AO24" i="20"/>
  <c r="AO25" i="20"/>
  <c r="AO26" i="20"/>
  <c r="AO27" i="20"/>
  <c r="AO28" i="20"/>
  <c r="AO29" i="20"/>
  <c r="AO30" i="20"/>
  <c r="AO31" i="20"/>
  <c r="AO32" i="20"/>
  <c r="AO33" i="20"/>
  <c r="AO34" i="20"/>
  <c r="AO35" i="20"/>
  <c r="AO36" i="20"/>
  <c r="AO37" i="20"/>
  <c r="AO38" i="20"/>
  <c r="AO39" i="20"/>
  <c r="AO40" i="20"/>
  <c r="AO41" i="20"/>
  <c r="AO42" i="20"/>
  <c r="AO43" i="20"/>
  <c r="AO44" i="20"/>
  <c r="AO45" i="20"/>
  <c r="AO46" i="20"/>
  <c r="AO47" i="20"/>
  <c r="AO48" i="20"/>
  <c r="AO49" i="20"/>
  <c r="AO50" i="20"/>
  <c r="AO51" i="20"/>
  <c r="AO52" i="20"/>
  <c r="AO53" i="20"/>
  <c r="AO54" i="20"/>
  <c r="AO55" i="20"/>
  <c r="AO56" i="20"/>
  <c r="AO57" i="20"/>
  <c r="AO58" i="20"/>
  <c r="AO59" i="20"/>
  <c r="AO60" i="20"/>
  <c r="AO61" i="20"/>
  <c r="AO62" i="20"/>
  <c r="AO63" i="20"/>
  <c r="AO64" i="20"/>
  <c r="AO65" i="20"/>
  <c r="AO66" i="20"/>
  <c r="AO67" i="20"/>
  <c r="AO68" i="20"/>
  <c r="AO69" i="20"/>
  <c r="AO70" i="20"/>
  <c r="AO71" i="20"/>
  <c r="AO72" i="20"/>
  <c r="AP8" i="20"/>
  <c r="AP9" i="20"/>
  <c r="AP10" i="20"/>
  <c r="AP11" i="20"/>
  <c r="AP12" i="20"/>
  <c r="AP13" i="20"/>
  <c r="AP14" i="20"/>
  <c r="AP15" i="20"/>
  <c r="AP16" i="20"/>
  <c r="AP17" i="20"/>
  <c r="AP18" i="20"/>
  <c r="AP19" i="20"/>
  <c r="AP20" i="20"/>
  <c r="AP21" i="20"/>
  <c r="AP22" i="20"/>
  <c r="AP23" i="20"/>
  <c r="AP24" i="20"/>
  <c r="AP25" i="20"/>
  <c r="AP26" i="20"/>
  <c r="AP27" i="20"/>
  <c r="AP28" i="20"/>
  <c r="AP29" i="20"/>
  <c r="AP30" i="20"/>
  <c r="AP31" i="20"/>
  <c r="AP32" i="20"/>
  <c r="AP33" i="20"/>
  <c r="AP34" i="20"/>
  <c r="AP35" i="20"/>
  <c r="AP36" i="20"/>
  <c r="AP37" i="20"/>
  <c r="AP38" i="20"/>
  <c r="AP39" i="20"/>
  <c r="AP40" i="20"/>
  <c r="AP41" i="20"/>
  <c r="AP42" i="20"/>
  <c r="AP43" i="20"/>
  <c r="AP44" i="20"/>
  <c r="AP45" i="20"/>
  <c r="AP46" i="20"/>
  <c r="AP47" i="20"/>
  <c r="AP48" i="20"/>
  <c r="AP49" i="20"/>
  <c r="AP50" i="20"/>
  <c r="AP51" i="20"/>
  <c r="AP52" i="20"/>
  <c r="AP53" i="20"/>
  <c r="AP54" i="20"/>
  <c r="AP55" i="20"/>
  <c r="AP56" i="20"/>
  <c r="AP57" i="20"/>
  <c r="AP58" i="20"/>
  <c r="AP59" i="20"/>
  <c r="AP60" i="20"/>
  <c r="AP61" i="20"/>
  <c r="AP62" i="20"/>
  <c r="AP63" i="20"/>
  <c r="AP64" i="20"/>
  <c r="AP65" i="20"/>
  <c r="AP66" i="20"/>
  <c r="AP67" i="20"/>
  <c r="AP68" i="20"/>
  <c r="AP69" i="20"/>
  <c r="AP70" i="20"/>
  <c r="AP71" i="20"/>
  <c r="AP72" i="20"/>
  <c r="AQ8" i="20"/>
  <c r="AQ9" i="20"/>
  <c r="AQ10" i="20"/>
  <c r="AQ11" i="20"/>
  <c r="AQ12" i="20"/>
  <c r="AQ13" i="20"/>
  <c r="AQ14" i="20"/>
  <c r="AQ16" i="20"/>
  <c r="AQ17" i="20"/>
  <c r="AQ18" i="20"/>
  <c r="AQ19" i="20"/>
  <c r="AQ20" i="20"/>
  <c r="AQ21" i="20"/>
  <c r="AQ22" i="20"/>
  <c r="AQ23" i="20"/>
  <c r="AQ24" i="20"/>
  <c r="AQ25" i="20"/>
  <c r="AQ26" i="20"/>
  <c r="AQ27" i="20"/>
  <c r="AQ28" i="20"/>
  <c r="AQ29" i="20"/>
  <c r="AQ30" i="20"/>
  <c r="AQ31" i="20"/>
  <c r="AQ32" i="20"/>
  <c r="AQ33" i="20"/>
  <c r="AQ34" i="20"/>
  <c r="AQ35" i="20"/>
  <c r="AQ36" i="20"/>
  <c r="AQ37" i="20"/>
  <c r="AQ38" i="20"/>
  <c r="AQ39" i="20"/>
  <c r="AQ40" i="20"/>
  <c r="AQ41" i="20"/>
  <c r="AQ42" i="20"/>
  <c r="AQ43" i="20"/>
  <c r="AQ44" i="20"/>
  <c r="AQ45" i="20"/>
  <c r="AQ46" i="20"/>
  <c r="AQ47" i="20"/>
  <c r="AQ48" i="20"/>
  <c r="AQ49" i="20"/>
  <c r="AQ50" i="20"/>
  <c r="AQ51" i="20"/>
  <c r="AQ52" i="20"/>
  <c r="AQ53" i="20"/>
  <c r="AQ54" i="20"/>
  <c r="AQ55" i="20"/>
  <c r="AQ56" i="20"/>
  <c r="AQ57" i="20"/>
  <c r="AQ58" i="20"/>
  <c r="AQ59" i="20"/>
  <c r="AQ60" i="20"/>
  <c r="AQ61" i="20"/>
  <c r="AQ62" i="20"/>
  <c r="AQ63" i="20"/>
  <c r="AQ64" i="20"/>
  <c r="AQ65" i="20"/>
  <c r="AQ66" i="20"/>
  <c r="AQ67" i="20"/>
  <c r="AQ68" i="20"/>
  <c r="AQ69" i="20"/>
  <c r="AQ70" i="20"/>
  <c r="AQ71" i="20"/>
  <c r="AQ72" i="20"/>
  <c r="AR52" i="20"/>
  <c r="AV48" i="20"/>
  <c r="AV49" i="20"/>
  <c r="AV50" i="20"/>
  <c r="AV51" i="20"/>
  <c r="AV52" i="20"/>
  <c r="AV53" i="20"/>
  <c r="AV54" i="20"/>
  <c r="AV55" i="20"/>
  <c r="AV56" i="20"/>
  <c r="AV57" i="20"/>
  <c r="AV58" i="20"/>
  <c r="AV59" i="20"/>
  <c r="AV60" i="20"/>
  <c r="AV61" i="20"/>
  <c r="AV62" i="20"/>
  <c r="AV63" i="20"/>
  <c r="AV64" i="20"/>
  <c r="AV65" i="20"/>
  <c r="AV66" i="20"/>
  <c r="AV67" i="20"/>
  <c r="AV68" i="20"/>
  <c r="AV69" i="20"/>
  <c r="AV70" i="20"/>
  <c r="AV72" i="20"/>
  <c r="BG9" i="20"/>
  <c r="BG13" i="20"/>
  <c r="BG14" i="20"/>
  <c r="BG17" i="20"/>
  <c r="BG18" i="20"/>
  <c r="BG20" i="20"/>
  <c r="BG21" i="20"/>
  <c r="BG22" i="20"/>
  <c r="BG24" i="20"/>
  <c r="BG25" i="20"/>
  <c r="BG26" i="20"/>
  <c r="BG28" i="20"/>
  <c r="BG29" i="20"/>
  <c r="BG32" i="20"/>
  <c r="BG33" i="20"/>
  <c r="BG37" i="20"/>
  <c r="BG41" i="20"/>
  <c r="BG45" i="20"/>
  <c r="BG49" i="20"/>
  <c r="BG53" i="20"/>
  <c r="BG57" i="20"/>
  <c r="BG61" i="20"/>
  <c r="BG64" i="20"/>
  <c r="BG65" i="20"/>
  <c r="BG68" i="20"/>
  <c r="BG69" i="20"/>
  <c r="BG71" i="20"/>
  <c r="BG72" i="20"/>
  <c r="BG8" i="20"/>
  <c r="BG10" i="20"/>
  <c r="BG11" i="20"/>
  <c r="BG12" i="20"/>
  <c r="BG15" i="20"/>
  <c r="BG16" i="20"/>
  <c r="BG19" i="20"/>
  <c r="BG38" i="20"/>
  <c r="BG66" i="20"/>
  <c r="BG70" i="20" l="1"/>
  <c r="BG54" i="20"/>
  <c r="BG34" i="20"/>
  <c r="BG55" i="20"/>
  <c r="BG23" i="20"/>
  <c r="BG60" i="20"/>
  <c r="BG56" i="20"/>
  <c r="BG52" i="20"/>
  <c r="BG48" i="20"/>
  <c r="BG44" i="20"/>
  <c r="BG40" i="20"/>
  <c r="BG36" i="20"/>
  <c r="BG67" i="20"/>
  <c r="BG59" i="20"/>
  <c r="BG51" i="20"/>
  <c r="BG47" i="20"/>
  <c r="BG43" i="20"/>
  <c r="BG39" i="20"/>
  <c r="BG35" i="20"/>
  <c r="BG31" i="20"/>
  <c r="BG27" i="20"/>
  <c r="BG50" i="20"/>
  <c r="BG62" i="20"/>
  <c r="BG58" i="20"/>
  <c r="BG46" i="20"/>
  <c r="BG42" i="20"/>
  <c r="BG30" i="20"/>
  <c r="BG63" i="20"/>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Y14" i="1"/>
  <c r="Y15" i="1"/>
  <c r="Z15" i="1" s="1" a="1"/>
  <c r="Z15" i="1" s="1"/>
  <c r="Y16" i="1"/>
  <c r="Z16" i="1" s="1" a="1"/>
  <c r="Z16" i="1" s="1"/>
  <c r="Y17" i="1"/>
  <c r="Z17" i="1" s="1" a="1"/>
  <c r="Z17" i="1" s="1"/>
  <c r="Y18" i="1"/>
  <c r="Z18" i="1" s="1" a="1"/>
  <c r="Z18" i="1" s="1"/>
  <c r="Y19" i="1"/>
  <c r="Z19" i="1" s="1" a="1"/>
  <c r="Z19" i="1" s="1"/>
  <c r="Y20" i="1"/>
  <c r="Z20" i="1" s="1" a="1"/>
  <c r="Z20" i="1" s="1"/>
  <c r="Y21" i="1"/>
  <c r="Z21" i="1" s="1" a="1"/>
  <c r="Z21" i="1" s="1"/>
  <c r="Y22" i="1"/>
  <c r="Z22" i="1" s="1" a="1"/>
  <c r="Z22" i="1" s="1"/>
  <c r="Y23" i="1"/>
  <c r="Z23" i="1" s="1" a="1"/>
  <c r="Z23" i="1" s="1"/>
  <c r="Y24" i="1"/>
  <c r="Y25" i="1"/>
  <c r="Y26" i="1"/>
  <c r="Z26" i="1" s="1" a="1"/>
  <c r="Z26" i="1" s="1"/>
  <c r="Y27" i="1"/>
  <c r="Z27" i="1" s="1" a="1"/>
  <c r="Z27" i="1" s="1"/>
  <c r="Y28" i="1"/>
  <c r="Z28" i="1" s="1" a="1"/>
  <c r="Z28" i="1" s="1"/>
  <c r="Y29" i="1"/>
  <c r="Z29" i="1" s="1" a="1"/>
  <c r="Z29" i="1" s="1"/>
  <c r="Y30" i="1"/>
  <c r="Z30" i="1" s="1" a="1"/>
  <c r="Z30" i="1" s="1"/>
  <c r="Y31" i="1"/>
  <c r="Z31" i="1" s="1" a="1"/>
  <c r="Z31" i="1" s="1"/>
  <c r="Y32" i="1"/>
  <c r="Z32" i="1" s="1" a="1"/>
  <c r="Z32" i="1" s="1"/>
  <c r="Y33" i="1"/>
  <c r="Z33" i="1" s="1" a="1"/>
  <c r="Z33" i="1" s="1"/>
  <c r="Y34" i="1"/>
  <c r="Z34" i="1" s="1" a="1"/>
  <c r="Z34" i="1" s="1"/>
  <c r="Y35" i="1"/>
  <c r="Z35" i="1" s="1" a="1"/>
  <c r="Z35" i="1" s="1"/>
  <c r="Y36" i="1"/>
  <c r="Z36" i="1" s="1" a="1"/>
  <c r="Z36" i="1" s="1"/>
  <c r="Y37" i="1"/>
  <c r="Z37" i="1" s="1" a="1"/>
  <c r="Z37" i="1" s="1"/>
  <c r="Y38" i="1"/>
  <c r="Z38" i="1" s="1" a="1"/>
  <c r="Z38" i="1" s="1"/>
  <c r="Y39" i="1"/>
  <c r="Z39" i="1" s="1" a="1"/>
  <c r="Z39" i="1" s="1"/>
  <c r="Y40" i="1"/>
  <c r="Z40" i="1" s="1" a="1"/>
  <c r="Z40" i="1" s="1"/>
  <c r="Y41" i="1"/>
  <c r="Z41" i="1" s="1" a="1"/>
  <c r="Z41" i="1" s="1"/>
  <c r="Y42" i="1"/>
  <c r="Z42" i="1" s="1" a="1"/>
  <c r="Z42" i="1" s="1"/>
  <c r="Y43" i="1"/>
  <c r="Z43" i="1" s="1" a="1"/>
  <c r="Z43" i="1" s="1"/>
  <c r="Y44" i="1"/>
  <c r="Z44" i="1" s="1" a="1"/>
  <c r="Z44" i="1" s="1"/>
  <c r="Y45" i="1"/>
  <c r="Z45" i="1" s="1" a="1"/>
  <c r="Z45" i="1" s="1"/>
  <c r="Y46" i="1"/>
  <c r="Z46" i="1" s="1" a="1"/>
  <c r="Z46" i="1" s="1"/>
  <c r="Y47" i="1"/>
  <c r="Z47" i="1" s="1" a="1"/>
  <c r="Z47" i="1" s="1"/>
  <c r="Y48" i="1"/>
  <c r="Z48" i="1" s="1" a="1"/>
  <c r="Z48" i="1" s="1"/>
  <c r="Y49" i="1"/>
  <c r="Z49" i="1" s="1" a="1"/>
  <c r="Z49" i="1" s="1"/>
  <c r="Y50" i="1"/>
  <c r="Z50" i="1" s="1" a="1"/>
  <c r="Z50" i="1" s="1"/>
  <c r="Y51" i="1"/>
  <c r="Z51" i="1" s="1" a="1"/>
  <c r="Z51" i="1" s="1"/>
  <c r="Y52" i="1"/>
  <c r="Z52" i="1" s="1" a="1"/>
  <c r="Z52" i="1" s="1"/>
  <c r="Y53" i="1"/>
  <c r="Z53" i="1" s="1" a="1"/>
  <c r="Z53" i="1" s="1"/>
  <c r="Y54" i="1"/>
  <c r="Z54" i="1" s="1" a="1"/>
  <c r="Z54" i="1" s="1"/>
  <c r="Y55" i="1"/>
  <c r="Z55" i="1" s="1" a="1"/>
  <c r="Z55" i="1" s="1"/>
  <c r="Y56" i="1"/>
  <c r="Z56" i="1" s="1" a="1"/>
  <c r="Z56" i="1" s="1"/>
  <c r="Y57" i="1"/>
  <c r="Z57" i="1" s="1" a="1"/>
  <c r="Z57" i="1" s="1"/>
  <c r="Y58" i="1"/>
  <c r="Z58" i="1" s="1" a="1"/>
  <c r="Z58" i="1" s="1"/>
  <c r="Y59" i="1"/>
  <c r="Z59" i="1" s="1" a="1"/>
  <c r="Z59" i="1" s="1"/>
  <c r="Y60" i="1"/>
  <c r="Z60" i="1" s="1" a="1"/>
  <c r="Z60" i="1" s="1"/>
  <c r="Y61" i="1"/>
  <c r="Z61" i="1" s="1" a="1"/>
  <c r="Z61" i="1" s="1"/>
  <c r="Y62" i="1"/>
  <c r="Z62" i="1" s="1" a="1"/>
  <c r="Z62" i="1" s="1"/>
  <c r="Y63" i="1"/>
  <c r="Z63" i="1" s="1" a="1"/>
  <c r="Z63" i="1" s="1"/>
  <c r="Y64" i="1"/>
  <c r="Z64" i="1" s="1" a="1"/>
  <c r="Z64" i="1" s="1"/>
  <c r="Y65" i="1"/>
  <c r="Z65" i="1" s="1" a="1"/>
  <c r="Z65" i="1" s="1"/>
  <c r="Y66" i="1"/>
  <c r="Z66" i="1" s="1" a="1"/>
  <c r="Z66" i="1" s="1"/>
  <c r="Y67" i="1"/>
  <c r="Z67" i="1" s="1" a="1"/>
  <c r="Z67" i="1" s="1"/>
  <c r="Y68" i="1"/>
  <c r="Z68" i="1" s="1" a="1"/>
  <c r="Z68" i="1" s="1"/>
  <c r="Y69" i="1"/>
  <c r="Z69" i="1" s="1" a="1"/>
  <c r="Z69" i="1" s="1"/>
  <c r="Y70" i="1"/>
  <c r="Z70" i="1" s="1" a="1"/>
  <c r="Z70" i="1" s="1"/>
  <c r="Y71" i="1"/>
  <c r="Z71" i="1" s="1" a="1"/>
  <c r="Z71" i="1" s="1"/>
  <c r="Y72" i="1"/>
  <c r="Z72" i="1" s="1" a="1"/>
  <c r="Z72" i="1" s="1"/>
  <c r="Y73" i="1"/>
  <c r="Z73" i="1" s="1" a="1"/>
  <c r="Z73" i="1" s="1"/>
  <c r="Y74" i="1"/>
  <c r="Z74" i="1" s="1" a="1"/>
  <c r="Z74" i="1" s="1"/>
  <c r="Y75" i="1"/>
  <c r="Z75" i="1" s="1" a="1"/>
  <c r="Z75" i="1" s="1"/>
  <c r="Y76" i="1"/>
  <c r="Z76" i="1" s="1" a="1"/>
  <c r="Z76" i="1" s="1"/>
  <c r="Y77" i="1"/>
  <c r="Z77" i="1" s="1" a="1"/>
  <c r="Z77" i="1" s="1"/>
  <c r="Y78" i="1"/>
  <c r="Z78" i="1" s="1" a="1"/>
  <c r="Z78" i="1" s="1"/>
  <c r="Y79" i="1"/>
  <c r="Z79" i="1" s="1" a="1"/>
  <c r="Z79" i="1" s="1"/>
  <c r="Y80" i="1"/>
  <c r="Z80" i="1" s="1" a="1"/>
  <c r="Z80" i="1" s="1"/>
  <c r="Y81" i="1"/>
  <c r="Z81" i="1" s="1" a="1"/>
  <c r="Z81" i="1" s="1"/>
  <c r="Y82" i="1"/>
  <c r="Z82" i="1" s="1" a="1"/>
  <c r="Z82" i="1" s="1"/>
  <c r="Y83" i="1"/>
  <c r="Z83" i="1" s="1" a="1"/>
  <c r="Z83" i="1" s="1"/>
  <c r="Y84" i="1"/>
  <c r="Z84" i="1" s="1" a="1"/>
  <c r="Z84" i="1" s="1"/>
  <c r="Y85" i="1"/>
  <c r="Z85" i="1" s="1" a="1"/>
  <c r="Z85" i="1" s="1"/>
  <c r="Y86" i="1"/>
  <c r="Z86" i="1" s="1" a="1"/>
  <c r="Z86" i="1" s="1"/>
  <c r="Y87" i="1"/>
  <c r="Z87" i="1" s="1" a="1"/>
  <c r="Z87" i="1" s="1"/>
  <c r="Y88" i="1"/>
  <c r="Z88" i="1" s="1" a="1"/>
  <c r="Z88" i="1" s="1"/>
  <c r="Y89" i="1"/>
  <c r="Z89" i="1" s="1" a="1"/>
  <c r="Z89" i="1" s="1"/>
  <c r="Y90" i="1"/>
  <c r="Z90" i="1" s="1" a="1"/>
  <c r="Z90" i="1" s="1"/>
  <c r="Y91" i="1"/>
  <c r="Z91" i="1" s="1" a="1"/>
  <c r="Z91" i="1" s="1"/>
  <c r="Y92" i="1"/>
  <c r="Z92" i="1" s="1" a="1"/>
  <c r="Z92" i="1" s="1"/>
  <c r="Y93" i="1"/>
  <c r="Z93" i="1" s="1" a="1"/>
  <c r="Z93" i="1" s="1"/>
  <c r="Y94" i="1"/>
  <c r="Z94" i="1" s="1" a="1"/>
  <c r="Z94" i="1" s="1"/>
  <c r="Y95" i="1"/>
  <c r="Z95" i="1" s="1" a="1"/>
  <c r="Z95" i="1" s="1"/>
  <c r="Y96" i="1"/>
  <c r="Z96" i="1" s="1" a="1"/>
  <c r="Z96" i="1" s="1"/>
  <c r="Y97" i="1"/>
  <c r="Z97" i="1" s="1" a="1"/>
  <c r="Z97" i="1" s="1"/>
  <c r="Y98" i="1"/>
  <c r="Z98" i="1" s="1" a="1"/>
  <c r="Z98" i="1" s="1"/>
  <c r="Y99" i="1"/>
  <c r="Z99" i="1" s="1" a="1"/>
  <c r="Z99" i="1" s="1"/>
  <c r="Y100" i="1"/>
  <c r="Y101" i="1"/>
  <c r="Z101" i="1" s="1" a="1"/>
  <c r="Z101" i="1" s="1"/>
  <c r="Y102" i="1"/>
  <c r="Z102" i="1" s="1" a="1"/>
  <c r="Z102" i="1" s="1"/>
  <c r="Y103" i="1"/>
  <c r="Z103" i="1" s="1" a="1"/>
  <c r="Z103" i="1" s="1"/>
  <c r="Y104" i="1"/>
  <c r="Z104" i="1" s="1" a="1"/>
  <c r="Z104" i="1" s="1"/>
  <c r="Y105" i="1"/>
  <c r="Z105" i="1" s="1" a="1"/>
  <c r="Z105" i="1" s="1"/>
  <c r="Y106" i="1"/>
  <c r="Z106" i="1" s="1" a="1"/>
  <c r="Z106" i="1" s="1"/>
  <c r="Y107" i="1"/>
  <c r="Z107" i="1" s="1" a="1"/>
  <c r="Z107" i="1" s="1"/>
  <c r="Y108" i="1"/>
  <c r="Z108" i="1" s="1" a="1"/>
  <c r="Z108" i="1" s="1"/>
  <c r="Y109" i="1"/>
  <c r="Z109" i="1" s="1" a="1"/>
  <c r="Z109" i="1" s="1"/>
  <c r="Y110" i="1"/>
  <c r="Z110" i="1" s="1" a="1"/>
  <c r="Z110" i="1" s="1"/>
  <c r="Y111" i="1"/>
  <c r="Z111" i="1" s="1" a="1"/>
  <c r="Z111" i="1" s="1"/>
  <c r="Y112" i="1"/>
  <c r="Z112" i="1" s="1" a="1"/>
  <c r="Z112" i="1" s="1"/>
  <c r="Y113" i="1"/>
  <c r="Z113" i="1" s="1" a="1"/>
  <c r="Z113" i="1" s="1"/>
  <c r="Y114" i="1"/>
  <c r="Z114" i="1" s="1" a="1"/>
  <c r="Z114" i="1" s="1"/>
  <c r="Y115" i="1"/>
  <c r="Z115" i="1" s="1" a="1"/>
  <c r="Z115" i="1" s="1"/>
  <c r="Y116" i="1"/>
  <c r="Z116" i="1" s="1" a="1"/>
  <c r="Z116" i="1" s="1"/>
  <c r="Y117" i="1"/>
  <c r="Z117" i="1" s="1" a="1"/>
  <c r="Z117" i="1" s="1"/>
  <c r="Y118" i="1"/>
  <c r="Z118" i="1" s="1" a="1"/>
  <c r="Z118" i="1" s="1"/>
  <c r="Y119" i="1"/>
  <c r="Z119" i="1" s="1" a="1"/>
  <c r="Z119" i="1" s="1"/>
  <c r="Y120" i="1"/>
  <c r="Z120" i="1" s="1" a="1"/>
  <c r="Z120" i="1" s="1"/>
  <c r="Y121" i="1"/>
  <c r="Z121" i="1" s="1" a="1"/>
  <c r="Z121" i="1" s="1"/>
  <c r="Y122" i="1"/>
  <c r="Z122" i="1" s="1" a="1"/>
  <c r="Z122" i="1" s="1"/>
  <c r="Y123" i="1"/>
  <c r="Z123" i="1" s="1" a="1"/>
  <c r="Z123" i="1" s="1"/>
  <c r="Y124" i="1"/>
  <c r="Z124" i="1" s="1" a="1"/>
  <c r="Z124" i="1" s="1"/>
  <c r="Y125" i="1"/>
  <c r="Z125" i="1" s="1" a="1"/>
  <c r="Z125" i="1" s="1"/>
  <c r="Y126" i="1"/>
  <c r="Z126" i="1" s="1" a="1"/>
  <c r="Z126" i="1" s="1"/>
  <c r="Y127" i="1"/>
  <c r="Z127" i="1" s="1" a="1"/>
  <c r="Z127" i="1" s="1"/>
  <c r="Y128" i="1"/>
  <c r="Z128" i="1" s="1" a="1"/>
  <c r="Z128" i="1" s="1"/>
  <c r="Y129" i="1"/>
  <c r="Z129" i="1" s="1" a="1"/>
  <c r="Z129" i="1" s="1"/>
  <c r="Y130" i="1"/>
  <c r="Z130" i="1" s="1" a="1"/>
  <c r="Z130" i="1" s="1"/>
  <c r="Y131" i="1"/>
  <c r="Z131" i="1" s="1" a="1"/>
  <c r="Z131" i="1" s="1"/>
  <c r="Y132" i="1"/>
  <c r="Z132" i="1" s="1" a="1"/>
  <c r="Z132" i="1" s="1"/>
  <c r="Y133" i="1"/>
  <c r="Z133" i="1" s="1" a="1"/>
  <c r="Z133" i="1" s="1"/>
  <c r="Y134" i="1"/>
  <c r="Z134" i="1" s="1" a="1"/>
  <c r="Z134" i="1" s="1"/>
  <c r="Y135" i="1"/>
  <c r="Z135" i="1" s="1" a="1"/>
  <c r="Z135" i="1" s="1"/>
  <c r="Y136" i="1"/>
  <c r="Z136" i="1" s="1" a="1"/>
  <c r="Z136" i="1" s="1"/>
  <c r="Y137" i="1"/>
  <c r="Z137" i="1" s="1" a="1"/>
  <c r="Z137" i="1" s="1"/>
  <c r="Y138" i="1"/>
  <c r="Z138" i="1" s="1" a="1"/>
  <c r="Z138" i="1" s="1"/>
  <c r="Y139" i="1"/>
  <c r="Z139" i="1" s="1" a="1"/>
  <c r="Z139" i="1" s="1"/>
  <c r="Y140" i="1"/>
  <c r="Z140" i="1" s="1" a="1"/>
  <c r="Z140" i="1" s="1"/>
  <c r="Y141" i="1"/>
  <c r="Z141" i="1" s="1" a="1"/>
  <c r="Z141" i="1" s="1"/>
  <c r="Y142" i="1"/>
  <c r="Z142" i="1" s="1" a="1"/>
  <c r="Z142" i="1" s="1"/>
  <c r="Y143" i="1"/>
  <c r="Z143" i="1" s="1" a="1"/>
  <c r="Z143" i="1" s="1"/>
  <c r="Y144" i="1"/>
  <c r="Z144" i="1" s="1" a="1"/>
  <c r="Z144" i="1" s="1"/>
  <c r="Y145" i="1"/>
  <c r="Z145" i="1" s="1" a="1"/>
  <c r="Z145" i="1" s="1"/>
  <c r="Y146" i="1"/>
  <c r="Z146" i="1" s="1" a="1"/>
  <c r="Z146" i="1" s="1"/>
  <c r="Y147" i="1"/>
  <c r="Z147" i="1" s="1" a="1"/>
  <c r="Z147" i="1" s="1"/>
  <c r="Y148" i="1"/>
  <c r="Z148" i="1" s="1" a="1"/>
  <c r="Z148" i="1" s="1"/>
  <c r="Y149" i="1"/>
  <c r="Z149" i="1" s="1" a="1"/>
  <c r="Z149" i="1" s="1"/>
  <c r="Y150" i="1"/>
  <c r="Z150" i="1" s="1" a="1"/>
  <c r="Z150" i="1" s="1"/>
  <c r="Y151" i="1"/>
  <c r="Z151" i="1" s="1" a="1"/>
  <c r="Z151" i="1" s="1"/>
  <c r="Y152" i="1"/>
  <c r="Z152" i="1" s="1" a="1"/>
  <c r="Z152" i="1" s="1"/>
  <c r="Y153" i="1"/>
  <c r="Z153" i="1" s="1" a="1"/>
  <c r="Z153" i="1" s="1"/>
  <c r="Y154" i="1"/>
  <c r="Z154" i="1" s="1" a="1"/>
  <c r="Z154" i="1" s="1"/>
  <c r="Y155" i="1"/>
  <c r="Z155" i="1" s="1" a="1"/>
  <c r="Z155" i="1" s="1"/>
  <c r="Y156" i="1"/>
  <c r="Z156" i="1" s="1" a="1"/>
  <c r="Z156" i="1" s="1"/>
  <c r="Y157" i="1"/>
  <c r="Z157" i="1" s="1" a="1"/>
  <c r="Z157" i="1" s="1"/>
  <c r="Y158" i="1"/>
  <c r="Z158" i="1" s="1" a="1"/>
  <c r="Z158" i="1" s="1"/>
  <c r="Y159" i="1"/>
  <c r="Z159" i="1" s="1" a="1"/>
  <c r="Z159" i="1" s="1"/>
  <c r="Y160" i="1"/>
  <c r="Z160" i="1" s="1" a="1"/>
  <c r="Z160" i="1" s="1"/>
  <c r="Y161" i="1"/>
  <c r="Z161" i="1" s="1" a="1"/>
  <c r="Z161" i="1" s="1"/>
  <c r="Y162" i="1"/>
  <c r="Z162" i="1" s="1" a="1"/>
  <c r="Z162" i="1" s="1"/>
  <c r="Y163" i="1"/>
  <c r="Z163" i="1" s="1" a="1"/>
  <c r="Z163" i="1" s="1"/>
  <c r="Y164" i="1"/>
  <c r="Z164" i="1" s="1" a="1"/>
  <c r="Z164" i="1" s="1"/>
  <c r="Y165" i="1"/>
  <c r="Z165" i="1" s="1" a="1"/>
  <c r="Z165" i="1" s="1"/>
  <c r="Y166" i="1"/>
  <c r="Z166" i="1" s="1" a="1"/>
  <c r="Z166" i="1" s="1"/>
  <c r="Y167" i="1"/>
  <c r="Z167" i="1" s="1" a="1"/>
  <c r="Z167" i="1" s="1"/>
  <c r="Y168" i="1"/>
  <c r="Z168" i="1" s="1" a="1"/>
  <c r="Z168" i="1" s="1"/>
  <c r="Y169" i="1"/>
  <c r="Z169" i="1" s="1" a="1"/>
  <c r="Z169" i="1" s="1"/>
  <c r="Y170" i="1"/>
  <c r="Z170" i="1" s="1" a="1"/>
  <c r="Z170" i="1" s="1"/>
  <c r="Y171" i="1"/>
  <c r="Z171" i="1" s="1" a="1"/>
  <c r="Z171" i="1" s="1"/>
  <c r="Y172" i="1"/>
  <c r="Z172" i="1" s="1" a="1"/>
  <c r="Z172" i="1" s="1"/>
  <c r="Y173" i="1"/>
  <c r="Z173" i="1" s="1" a="1"/>
  <c r="Z173" i="1" s="1"/>
  <c r="Y174" i="1"/>
  <c r="Z174" i="1" s="1" a="1"/>
  <c r="Z174" i="1" s="1"/>
  <c r="Y175" i="1"/>
  <c r="Z175" i="1" s="1" a="1"/>
  <c r="Z175" i="1" s="1"/>
  <c r="Y176" i="1"/>
  <c r="Z176" i="1" s="1" a="1"/>
  <c r="Z176" i="1" s="1"/>
  <c r="Y177" i="1"/>
  <c r="Z177" i="1" s="1" a="1"/>
  <c r="Z177" i="1" s="1"/>
  <c r="Y178" i="1"/>
  <c r="Z178" i="1" s="1" a="1"/>
  <c r="Z178" i="1" s="1"/>
  <c r="Y179" i="1"/>
  <c r="Z179" i="1" s="1" a="1"/>
  <c r="Z179" i="1" s="1"/>
  <c r="Y180" i="1"/>
  <c r="Z180" i="1" s="1" a="1"/>
  <c r="Z180" i="1" s="1"/>
  <c r="Y181" i="1"/>
  <c r="Z181" i="1" s="1" a="1"/>
  <c r="Z181" i="1" s="1"/>
  <c r="Y182" i="1"/>
  <c r="Z182" i="1" s="1" a="1"/>
  <c r="Z182" i="1" s="1"/>
  <c r="Y183" i="1"/>
  <c r="Z183" i="1" s="1" a="1"/>
  <c r="Z183" i="1" s="1"/>
  <c r="Y184" i="1"/>
  <c r="Z184" i="1" s="1" a="1"/>
  <c r="Z184" i="1" s="1"/>
  <c r="Y185" i="1"/>
  <c r="Z185" i="1" s="1" a="1"/>
  <c r="Z185" i="1" s="1"/>
  <c r="Y186" i="1"/>
  <c r="Z186" i="1" s="1" a="1"/>
  <c r="Z186" i="1" s="1"/>
  <c r="Z14" i="1" a="1"/>
  <c r="Z14" i="1" s="1"/>
  <c r="Z24" i="1" a="1"/>
  <c r="Z24" i="1" s="1"/>
  <c r="Z25" i="1" a="1"/>
  <c r="Z25" i="1" s="1"/>
  <c r="Z100" i="1" a="1"/>
  <c r="Z100" i="1" s="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M3" i="1"/>
  <c r="AM4" i="1"/>
  <c r="AM5" i="1"/>
  <c r="AM6" i="1"/>
  <c r="AM7" i="1"/>
  <c r="AM8" i="1"/>
  <c r="AM9" i="1"/>
  <c r="AM10" i="1"/>
  <c r="AM11" i="1"/>
  <c r="AM12" i="1"/>
  <c r="AM13" i="1"/>
  <c r="M9" i="1"/>
  <c r="M10" i="1"/>
  <c r="M11" i="1"/>
  <c r="M12" i="1"/>
  <c r="M13" i="1"/>
  <c r="S9" i="1"/>
  <c r="S10" i="1"/>
  <c r="S11" i="1"/>
  <c r="S12" i="1"/>
  <c r="S13" i="1"/>
  <c r="Y9" i="1"/>
  <c r="Z9" i="1" s="1" a="1"/>
  <c r="Z9" i="1" s="1"/>
  <c r="Y10" i="1"/>
  <c r="Z10" i="1" s="1" a="1"/>
  <c r="Z10" i="1" s="1"/>
  <c r="Y11" i="1"/>
  <c r="Z11" i="1" s="1" a="1"/>
  <c r="Z11" i="1" s="1"/>
  <c r="Y12" i="1"/>
  <c r="Z12" i="1" s="1" a="1"/>
  <c r="Z12" i="1" s="1"/>
  <c r="Y13" i="1"/>
  <c r="Z13" i="1" s="1" a="1"/>
  <c r="Z13" i="1" s="1"/>
  <c r="AN9" i="1"/>
  <c r="AN10" i="1"/>
  <c r="AN11" i="1"/>
  <c r="AN12" i="1"/>
  <c r="AN13" i="1"/>
  <c r="U3" i="11" l="1"/>
  <c r="X3" i="11"/>
  <c r="U4" i="11"/>
  <c r="X4" i="11"/>
  <c r="U7" i="11"/>
  <c r="X7" i="11"/>
  <c r="U10" i="11"/>
  <c r="X10" i="11"/>
  <c r="U11" i="11"/>
  <c r="X11" i="11"/>
  <c r="P4" i="15" l="1"/>
  <c r="P5" i="15"/>
  <c r="P6" i="15"/>
  <c r="BF4" i="9"/>
  <c r="BF5" i="9"/>
  <c r="BF3" i="9"/>
  <c r="Y3" i="1"/>
  <c r="Z3" i="1" s="1" a="1"/>
  <c r="Z3" i="1" s="1"/>
  <c r="Y4" i="1"/>
  <c r="Z4" i="1" s="1" a="1"/>
  <c r="Z4" i="1" s="1"/>
  <c r="Y5" i="1"/>
  <c r="Z5" i="1" s="1" a="1"/>
  <c r="Z5" i="1" s="1"/>
  <c r="Y6" i="1"/>
  <c r="Z6" i="1" s="1" a="1"/>
  <c r="Z6" i="1" s="1"/>
  <c r="Y7" i="1"/>
  <c r="Z7" i="1" s="1" a="1"/>
  <c r="Z7" i="1" s="1"/>
  <c r="Y8" i="1"/>
  <c r="Z8" i="1" s="1" a="1"/>
  <c r="Z8" i="1" s="1"/>
  <c r="BG7" i="20" l="1"/>
  <c r="AQ7" i="20"/>
  <c r="AP7" i="20"/>
  <c r="AO7" i="20"/>
  <c r="AD7" i="20"/>
  <c r="AR7" i="20" s="1"/>
  <c r="U7" i="20"/>
  <c r="M7" i="20"/>
  <c r="AQ6" i="20"/>
  <c r="AP6" i="20"/>
  <c r="AO6" i="20"/>
  <c r="AD6" i="20"/>
  <c r="AR6" i="20" s="1"/>
  <c r="U6" i="20"/>
  <c r="M6" i="20"/>
  <c r="BG5" i="20"/>
  <c r="AQ5" i="20"/>
  <c r="AP5" i="20"/>
  <c r="AO5" i="20"/>
  <c r="AD5" i="20"/>
  <c r="AR5" i="20" s="1"/>
  <c r="U5" i="20"/>
  <c r="M5" i="20"/>
  <c r="AQ4" i="20"/>
  <c r="AP4" i="20"/>
  <c r="AO4" i="20"/>
  <c r="AD4" i="20"/>
  <c r="AR4" i="20" s="1"/>
  <c r="U4" i="20"/>
  <c r="M4" i="20"/>
  <c r="AV3" i="20"/>
  <c r="AQ3" i="20"/>
  <c r="AP3" i="20"/>
  <c r="AO3" i="20"/>
  <c r="AD3" i="20"/>
  <c r="AR3" i="20" s="1"/>
  <c r="U3" i="20"/>
  <c r="M3" i="20"/>
  <c r="BG4" i="20" l="1"/>
  <c r="BG3" i="20"/>
  <c r="BG6" i="20"/>
  <c r="AF4" i="10" l="1"/>
  <c r="AF5" i="10"/>
  <c r="AF6" i="10"/>
  <c r="AF7" i="10"/>
  <c r="AF3" i="10"/>
  <c r="R3" i="9" l="1"/>
  <c r="R4" i="9"/>
  <c r="R5" i="9"/>
  <c r="M3" i="1" l="1"/>
  <c r="M4" i="1"/>
  <c r="M5" i="1"/>
  <c r="M6" i="1"/>
  <c r="M7" i="1"/>
  <c r="M8" i="1"/>
  <c r="K4" i="13" l="1"/>
  <c r="K5" i="13"/>
  <c r="K6" i="13"/>
  <c r="K7" i="13"/>
  <c r="L4" i="13"/>
  <c r="L5" i="13"/>
  <c r="L6" i="13"/>
  <c r="L7" i="13"/>
  <c r="J4" i="13"/>
  <c r="J5" i="13"/>
  <c r="J6" i="13"/>
  <c r="J7" i="13"/>
  <c r="V7" i="12"/>
  <c r="L3" i="12"/>
  <c r="L4" i="12"/>
  <c r="L5" i="12"/>
  <c r="L6" i="12"/>
  <c r="L7" i="12"/>
  <c r="K3" i="12"/>
  <c r="K4" i="12"/>
  <c r="K5" i="12"/>
  <c r="K6" i="12"/>
  <c r="K7" i="12"/>
  <c r="J3" i="12"/>
  <c r="J4" i="12"/>
  <c r="J5" i="12"/>
  <c r="J6" i="12"/>
  <c r="J7" i="12"/>
  <c r="T3" i="10" l="1"/>
  <c r="T4" i="10"/>
  <c r="T5" i="10"/>
  <c r="T6" i="10"/>
  <c r="T7" i="10"/>
  <c r="O5" i="10"/>
  <c r="Q5" i="10" s="1"/>
  <c r="O6" i="10"/>
  <c r="Q6" i="10" s="1"/>
  <c r="O7" i="10"/>
  <c r="Q7" i="10" s="1"/>
  <c r="N5" i="10"/>
  <c r="N6" i="10"/>
  <c r="N7" i="10"/>
  <c r="M5" i="10"/>
  <c r="M6" i="10"/>
  <c r="M7" i="10"/>
  <c r="L5" i="9"/>
  <c r="N5" i="9"/>
  <c r="O5" i="9"/>
  <c r="P5" i="9"/>
  <c r="U5" i="9"/>
  <c r="V5" i="9" s="1"/>
  <c r="AC5" i="9"/>
  <c r="BE5" i="9"/>
  <c r="DN5" i="9" s="1"/>
  <c r="CB5" i="9"/>
  <c r="CJ5" i="9"/>
  <c r="CK5" i="9"/>
  <c r="CL5" i="9"/>
  <c r="CM5" i="9"/>
  <c r="CN5" i="9"/>
  <c r="CO5" i="9"/>
  <c r="CP5" i="9"/>
  <c r="CQ5" i="9"/>
  <c r="CR5" i="9"/>
  <c r="CS5" i="9"/>
  <c r="CT5" i="9"/>
  <c r="CU5" i="9"/>
  <c r="CV5" i="9"/>
  <c r="CW5" i="9"/>
  <c r="CX5" i="9"/>
  <c r="CY5" i="9"/>
  <c r="CZ5" i="9"/>
  <c r="DA5" i="9"/>
  <c r="DB5" i="9"/>
  <c r="DC5" i="9"/>
  <c r="DD5" i="9"/>
  <c r="DE5" i="9"/>
  <c r="DF5" i="9"/>
  <c r="DG5" i="9"/>
  <c r="DH5" i="9"/>
  <c r="DI5" i="9"/>
  <c r="DJ5" i="9"/>
  <c r="DK5" i="9"/>
  <c r="DL5" i="9"/>
  <c r="DM5" i="9"/>
  <c r="DO5" i="9"/>
  <c r="DP5" i="9"/>
  <c r="U3" i="9"/>
  <c r="U4" i="9"/>
  <c r="DP4" i="9" l="1"/>
  <c r="DO4" i="9"/>
  <c r="DM4" i="9"/>
  <c r="DL4" i="9"/>
  <c r="DK4" i="9"/>
  <c r="DJ4" i="9"/>
  <c r="DI4" i="9"/>
  <c r="DG4" i="9"/>
  <c r="DF4" i="9"/>
  <c r="DE4" i="9"/>
  <c r="DD4" i="9"/>
  <c r="DC4" i="9"/>
  <c r="DB4" i="9"/>
  <c r="DA4" i="9"/>
  <c r="CZ4" i="9"/>
  <c r="CY4" i="9"/>
  <c r="CX4" i="9"/>
  <c r="CW4" i="9"/>
  <c r="CV4" i="9"/>
  <c r="CU4" i="9"/>
  <c r="CT4" i="9"/>
  <c r="CS4" i="9"/>
  <c r="CR4" i="9"/>
  <c r="CQ4" i="9"/>
  <c r="CP4" i="9"/>
  <c r="CO4" i="9"/>
  <c r="CN4" i="9"/>
  <c r="CM4" i="9"/>
  <c r="CL4" i="9"/>
  <c r="CK4" i="9"/>
  <c r="CJ4" i="9"/>
  <c r="CB4" i="9"/>
  <c r="BE4" i="9"/>
  <c r="DN4" i="9" s="1"/>
  <c r="AC4" i="9"/>
  <c r="V4" i="9"/>
  <c r="DH4" i="9" s="1"/>
  <c r="P4" i="9"/>
  <c r="O4" i="9"/>
  <c r="N4" i="9"/>
  <c r="L4" i="9"/>
  <c r="EI3" i="9"/>
  <c r="EH3" i="9"/>
  <c r="EG3" i="9"/>
  <c r="EF3" i="9"/>
  <c r="EE3" i="9"/>
  <c r="ED3" i="9"/>
  <c r="EC3" i="9"/>
  <c r="EB3" i="9"/>
  <c r="EA3" i="9"/>
  <c r="DZ3" i="9"/>
  <c r="DY3" i="9"/>
  <c r="DX3" i="9"/>
  <c r="DW3" i="9"/>
  <c r="DV3" i="9"/>
  <c r="DU3" i="9"/>
  <c r="DT3" i="9"/>
  <c r="DS3" i="9"/>
  <c r="DR3" i="9"/>
  <c r="DQ3" i="9"/>
  <c r="DP3" i="9"/>
  <c r="DO3" i="9"/>
  <c r="DM3" i="9"/>
  <c r="DL3" i="9"/>
  <c r="DK3" i="9"/>
  <c r="DJ3" i="9"/>
  <c r="DI3" i="9"/>
  <c r="DG3" i="9"/>
  <c r="DF3" i="9"/>
  <c r="DD3" i="9"/>
  <c r="DC3" i="9"/>
  <c r="DB3" i="9"/>
  <c r="DA3" i="9"/>
  <c r="CZ3" i="9"/>
  <c r="CY3" i="9"/>
  <c r="CX3" i="9"/>
  <c r="CW3" i="9"/>
  <c r="CV3" i="9"/>
  <c r="CU3" i="9"/>
  <c r="CT3" i="9"/>
  <c r="CS3" i="9"/>
  <c r="CR3" i="9"/>
  <c r="CQ3" i="9"/>
  <c r="CP3" i="9"/>
  <c r="CO3" i="9"/>
  <c r="CN3" i="9"/>
  <c r="CM3" i="9"/>
  <c r="CL3" i="9"/>
  <c r="CK3" i="9"/>
  <c r="CJ3" i="9"/>
  <c r="CB3" i="9"/>
  <c r="BE3" i="9"/>
  <c r="DN3" i="9" s="1"/>
  <c r="AC3" i="9"/>
  <c r="V3" i="9"/>
  <c r="DE3" i="9" s="1"/>
  <c r="P3" i="9"/>
  <c r="O3" i="9"/>
  <c r="N3" i="9"/>
  <c r="L3" i="9"/>
  <c r="DH3" i="9" l="1"/>
  <c r="EM11" i="9"/>
  <c r="EM19" i="9"/>
  <c r="EM27" i="9"/>
  <c r="EN15" i="9"/>
  <c r="EN23" i="9"/>
  <c r="EO11" i="9"/>
  <c r="EO19" i="9"/>
  <c r="EO27" i="9"/>
  <c r="EP11" i="9"/>
  <c r="EP19" i="9"/>
  <c r="EP27" i="9"/>
  <c r="EQ11" i="9"/>
  <c r="EQ19" i="9"/>
  <c r="EQ27" i="9"/>
  <c r="ER11" i="9"/>
  <c r="ER15" i="9"/>
  <c r="ER19" i="9"/>
  <c r="ER23" i="9"/>
  <c r="ES9" i="9"/>
  <c r="ES13" i="9"/>
  <c r="ES17" i="9"/>
  <c r="ES21" i="9"/>
  <c r="ES25" i="9"/>
  <c r="ET9" i="9"/>
  <c r="ET13" i="9"/>
  <c r="ET17" i="9"/>
  <c r="ET21" i="9"/>
  <c r="ET25" i="9"/>
  <c r="EU9" i="9"/>
  <c r="EU13" i="9"/>
  <c r="EU17" i="9"/>
  <c r="EU21" i="9"/>
  <c r="EU25" i="9"/>
  <c r="EV9" i="9"/>
  <c r="EV13" i="9"/>
  <c r="EV17" i="9"/>
  <c r="EV21" i="9"/>
  <c r="EV25" i="9"/>
  <c r="EW9" i="9"/>
  <c r="EW13" i="9"/>
  <c r="EW17" i="9"/>
  <c r="EW21" i="9"/>
  <c r="EW25" i="9"/>
  <c r="EX9" i="9"/>
  <c r="EX13" i="9"/>
  <c r="EX17" i="9"/>
  <c r="EX21" i="9"/>
  <c r="EX25" i="9"/>
  <c r="EY9" i="9"/>
  <c r="EY13" i="9"/>
  <c r="EY17" i="9"/>
  <c r="EY21" i="9"/>
  <c r="EY25" i="9"/>
  <c r="EZ9" i="9"/>
  <c r="EZ13" i="9"/>
  <c r="EZ17" i="9"/>
  <c r="EZ21" i="9"/>
  <c r="EZ25" i="9"/>
  <c r="FA9" i="9"/>
  <c r="FA13" i="9"/>
  <c r="FA17" i="9"/>
  <c r="FA21" i="9"/>
  <c r="FA25" i="9"/>
  <c r="FB9" i="9"/>
  <c r="FB13" i="9"/>
  <c r="FB17" i="9"/>
  <c r="FB21" i="9"/>
  <c r="FB25" i="9"/>
  <c r="FC9" i="9"/>
  <c r="FC13" i="9"/>
  <c r="FC17" i="9"/>
  <c r="FC21" i="9"/>
  <c r="FC25" i="9"/>
  <c r="EM15" i="9"/>
  <c r="EN11" i="9"/>
  <c r="EN27" i="9"/>
  <c r="EP9" i="9"/>
  <c r="EQ9" i="9"/>
  <c r="EQ23" i="9"/>
  <c r="ER13" i="9"/>
  <c r="ER27" i="9"/>
  <c r="ES15" i="9"/>
  <c r="ES23" i="9"/>
  <c r="ET15" i="9"/>
  <c r="ET23" i="9"/>
  <c r="EM12" i="9"/>
  <c r="EM20" i="9"/>
  <c r="EN8" i="9"/>
  <c r="EN16" i="9"/>
  <c r="EN24" i="9"/>
  <c r="EO12" i="9"/>
  <c r="EO20" i="9"/>
  <c r="EP8" i="9"/>
  <c r="EP12" i="9"/>
  <c r="EP20" i="9"/>
  <c r="EQ8" i="9"/>
  <c r="EQ12" i="9"/>
  <c r="EQ20" i="9"/>
  <c r="ER8" i="9"/>
  <c r="ER12" i="9"/>
  <c r="ER16" i="9"/>
  <c r="ER20" i="9"/>
  <c r="ER24" i="9"/>
  <c r="ES10" i="9"/>
  <c r="ES14" i="9"/>
  <c r="ES18" i="9"/>
  <c r="ES22" i="9"/>
  <c r="ES26" i="9"/>
  <c r="ET10" i="9"/>
  <c r="ET14" i="9"/>
  <c r="ET18" i="9"/>
  <c r="ET22" i="9"/>
  <c r="ET26" i="9"/>
  <c r="EU10" i="9"/>
  <c r="EU14" i="9"/>
  <c r="EU18" i="9"/>
  <c r="EU22" i="9"/>
  <c r="EU26" i="9"/>
  <c r="EV10" i="9"/>
  <c r="EV14" i="9"/>
  <c r="EV18" i="9"/>
  <c r="EV22" i="9"/>
  <c r="EV26" i="9"/>
  <c r="EW10" i="9"/>
  <c r="EW14" i="9"/>
  <c r="EW18" i="9"/>
  <c r="EW22" i="9"/>
  <c r="EW26" i="9"/>
  <c r="EX10" i="9"/>
  <c r="EX14" i="9"/>
  <c r="EX18" i="9"/>
  <c r="EX22" i="9"/>
  <c r="EX26" i="9"/>
  <c r="EY10" i="9"/>
  <c r="EY14" i="9"/>
  <c r="EY18" i="9"/>
  <c r="EY22" i="9"/>
  <c r="EY26" i="9"/>
  <c r="EZ10" i="9"/>
  <c r="EZ14" i="9"/>
  <c r="EZ18" i="9"/>
  <c r="EZ22" i="9"/>
  <c r="EZ26" i="9"/>
  <c r="FA10" i="9"/>
  <c r="FA14" i="9"/>
  <c r="FA18" i="9"/>
  <c r="FA22" i="9"/>
  <c r="FA26" i="9"/>
  <c r="FB10" i="9"/>
  <c r="FB14" i="9"/>
  <c r="FB18" i="9"/>
  <c r="FB22" i="9"/>
  <c r="FB26" i="9"/>
  <c r="FC10" i="9"/>
  <c r="FC14" i="9"/>
  <c r="FC18" i="9"/>
  <c r="FC22" i="9"/>
  <c r="FC26" i="9"/>
  <c r="EM23" i="9"/>
  <c r="EN19" i="9"/>
  <c r="EO15" i="9"/>
  <c r="EO23" i="9"/>
  <c r="EP23" i="9"/>
  <c r="EQ15" i="9"/>
  <c r="ER9" i="9"/>
  <c r="ER21" i="9"/>
  <c r="ES11" i="9"/>
  <c r="ES19" i="9"/>
  <c r="ET11" i="9"/>
  <c r="ET19" i="9"/>
  <c r="EP15" i="9"/>
  <c r="ER17" i="9"/>
  <c r="ES27" i="9"/>
  <c r="EM16" i="9"/>
  <c r="EO8" i="9"/>
  <c r="EP16" i="9"/>
  <c r="EQ24" i="9"/>
  <c r="ER22" i="9"/>
  <c r="ES20" i="9"/>
  <c r="ET16" i="9"/>
  <c r="EU8" i="9"/>
  <c r="EU16" i="9"/>
  <c r="EU24" i="9"/>
  <c r="EV12" i="9"/>
  <c r="EV20" i="9"/>
  <c r="EW8" i="9"/>
  <c r="EW16" i="9"/>
  <c r="EW24" i="9"/>
  <c r="EX12" i="9"/>
  <c r="EX20" i="9"/>
  <c r="EY8" i="9"/>
  <c r="EY16" i="9"/>
  <c r="EY24" i="9"/>
  <c r="EZ12" i="9"/>
  <c r="EZ20" i="9"/>
  <c r="FA8" i="9"/>
  <c r="FA16" i="9"/>
  <c r="FA24" i="9"/>
  <c r="FB12" i="9"/>
  <c r="FB20" i="9"/>
  <c r="FC8" i="9"/>
  <c r="FC16" i="9"/>
  <c r="FC24" i="9"/>
  <c r="EY19" i="9"/>
  <c r="EZ23" i="9"/>
  <c r="FA19" i="9"/>
  <c r="FB15" i="9"/>
  <c r="FB23" i="9"/>
  <c r="FC19" i="9"/>
  <c r="EN20" i="9"/>
  <c r="ER18" i="9"/>
  <c r="ET27" i="9"/>
  <c r="EV11" i="9"/>
  <c r="EW15" i="9"/>
  <c r="EX19" i="9"/>
  <c r="EY23" i="9"/>
  <c r="EZ19" i="9"/>
  <c r="FA23" i="9"/>
  <c r="FB27" i="9"/>
  <c r="EM24" i="9"/>
  <c r="EO16" i="9"/>
  <c r="EP24" i="9"/>
  <c r="ER10" i="9"/>
  <c r="ES8" i="9"/>
  <c r="ES24" i="9"/>
  <c r="ET20" i="9"/>
  <c r="EU11" i="9"/>
  <c r="EU19" i="9"/>
  <c r="EU27" i="9"/>
  <c r="EV15" i="9"/>
  <c r="EV23" i="9"/>
  <c r="EW11" i="9"/>
  <c r="EW19" i="9"/>
  <c r="EW27" i="9"/>
  <c r="EX15" i="9"/>
  <c r="EX23" i="9"/>
  <c r="EY11" i="9"/>
  <c r="EY27" i="9"/>
  <c r="EZ15" i="9"/>
  <c r="FA11" i="9"/>
  <c r="FA27" i="9"/>
  <c r="FC11" i="9"/>
  <c r="FC27" i="9"/>
  <c r="EP10" i="9"/>
  <c r="EQ16" i="9"/>
  <c r="ET12" i="9"/>
  <c r="EU23" i="9"/>
  <c r="EV27" i="9"/>
  <c r="EX11" i="9"/>
  <c r="EX27" i="9"/>
  <c r="EZ11" i="9"/>
  <c r="FA15" i="9"/>
  <c r="FB11" i="9"/>
  <c r="FC15" i="9"/>
  <c r="EN12" i="9"/>
  <c r="EO24" i="9"/>
  <c r="EQ10" i="9"/>
  <c r="ER14" i="9"/>
  <c r="ES12" i="9"/>
  <c r="ET8" i="9"/>
  <c r="ET24" i="9"/>
  <c r="EU12" i="9"/>
  <c r="EU20" i="9"/>
  <c r="EV8" i="9"/>
  <c r="EV16" i="9"/>
  <c r="EV24" i="9"/>
  <c r="EW12" i="9"/>
  <c r="EW20" i="9"/>
  <c r="EX8" i="9"/>
  <c r="EX16" i="9"/>
  <c r="EX24" i="9"/>
  <c r="EY12" i="9"/>
  <c r="EY20" i="9"/>
  <c r="EZ8" i="9"/>
  <c r="EZ16" i="9"/>
  <c r="EZ24" i="9"/>
  <c r="FA12" i="9"/>
  <c r="FA20" i="9"/>
  <c r="FB8" i="9"/>
  <c r="FB16" i="9"/>
  <c r="FB24" i="9"/>
  <c r="FC12" i="9"/>
  <c r="FC20" i="9"/>
  <c r="EM8" i="9"/>
  <c r="ES16" i="9"/>
  <c r="EU15" i="9"/>
  <c r="EV19" i="9"/>
  <c r="EW23" i="9"/>
  <c r="EY15" i="9"/>
  <c r="EZ27" i="9"/>
  <c r="FB19" i="9"/>
  <c r="FC23" i="9"/>
  <c r="EN5" i="9"/>
  <c r="EP4" i="9"/>
  <c r="EO4" i="9"/>
  <c r="ET4" i="9"/>
  <c r="EM7" i="9"/>
  <c r="EQ18" i="9"/>
  <c r="EP18" i="9"/>
  <c r="EO18" i="9"/>
  <c r="EN22" i="9"/>
  <c r="EM26" i="9"/>
  <c r="EM10" i="9"/>
  <c r="EX5" i="9"/>
  <c r="EY7" i="9"/>
  <c r="ER25" i="9"/>
  <c r="EQ13" i="9"/>
  <c r="EP13" i="9"/>
  <c r="EO13" i="9"/>
  <c r="EN17" i="9"/>
  <c r="EM21" i="9"/>
  <c r="ER4" i="9"/>
  <c r="ET7" i="9"/>
  <c r="ES5" i="9"/>
  <c r="EN7" i="9"/>
  <c r="EN14" i="9"/>
  <c r="EP5" i="9"/>
  <c r="EP21" i="9"/>
  <c r="EN25" i="9"/>
  <c r="EM13" i="9"/>
  <c r="FA4" i="9"/>
  <c r="FB7" i="9"/>
  <c r="EY5" i="9"/>
  <c r="FB5" i="9"/>
  <c r="FB4" i="9"/>
  <c r="EX4" i="9"/>
  <c r="ER7" i="9"/>
  <c r="EP22" i="9"/>
  <c r="EN26" i="9"/>
  <c r="EM14" i="9"/>
  <c r="EM4" i="9"/>
  <c r="FC7" i="9"/>
  <c r="EP17" i="9"/>
  <c r="EN21" i="9"/>
  <c r="EM9" i="9"/>
  <c r="EX7" i="9"/>
  <c r="ET5" i="9"/>
  <c r="EU5" i="9"/>
  <c r="ES4" i="9"/>
  <c r="EU4" i="9"/>
  <c r="EZ7" i="9"/>
  <c r="ER26" i="9"/>
  <c r="EQ14" i="9"/>
  <c r="EP14" i="9"/>
  <c r="EO14" i="9"/>
  <c r="EN18" i="9"/>
  <c r="EM22" i="9"/>
  <c r="EW4" i="9"/>
  <c r="FC5" i="9"/>
  <c r="EU7" i="9"/>
  <c r="EQ25" i="9"/>
  <c r="EP25" i="9"/>
  <c r="EO25" i="9"/>
  <c r="EO9" i="9"/>
  <c r="EN13" i="9"/>
  <c r="EM17" i="9"/>
  <c r="EQ4" i="9"/>
  <c r="EQ5" i="9"/>
  <c r="EO7" i="9"/>
  <c r="EZ5" i="9"/>
  <c r="FA7" i="9"/>
  <c r="EM5" i="9"/>
  <c r="EO5" i="9"/>
  <c r="EV7" i="9"/>
  <c r="EQ26" i="9"/>
  <c r="EP26" i="9"/>
  <c r="EO26" i="9"/>
  <c r="EO10" i="9"/>
  <c r="EM18" i="9"/>
  <c r="EW5" i="9"/>
  <c r="EY4" i="9"/>
  <c r="EQ7" i="9"/>
  <c r="EQ21" i="9"/>
  <c r="EO21" i="9"/>
  <c r="EN9" i="9"/>
  <c r="ER5" i="9"/>
  <c r="EZ4" i="9"/>
  <c r="FA5" i="9"/>
  <c r="EW7" i="9"/>
  <c r="EN4" i="9"/>
  <c r="EV5" i="9"/>
  <c r="EQ22" i="9"/>
  <c r="EO22" i="9"/>
  <c r="EN10" i="9"/>
  <c r="EP7" i="9"/>
  <c r="EQ17" i="9"/>
  <c r="EO17" i="9"/>
  <c r="EM25" i="9"/>
  <c r="FC4" i="9"/>
  <c r="EV4" i="9"/>
  <c r="ES7" i="9"/>
  <c r="EL3" i="9"/>
  <c r="EM3" i="9"/>
  <c r="EK3" i="9"/>
  <c r="ET3" i="9"/>
  <c r="EY3" i="9"/>
  <c r="EN3" i="9"/>
  <c r="EZ3" i="9"/>
  <c r="EO3" i="9"/>
  <c r="FA3" i="9"/>
  <c r="EP3" i="9"/>
  <c r="FB3" i="9"/>
  <c r="ER3" i="9"/>
  <c r="EW3" i="9"/>
  <c r="EX3" i="9"/>
  <c r="EQ3" i="9"/>
  <c r="FC3" i="9"/>
  <c r="ES3" i="9"/>
  <c r="EU3" i="9"/>
  <c r="EJ3" i="9"/>
  <c r="EV3" i="9"/>
  <c r="S8" i="1" l="1"/>
  <c r="AN8" i="1"/>
  <c r="S7" i="1"/>
  <c r="AN7" i="1"/>
  <c r="S4" i="1"/>
  <c r="S5" i="1"/>
  <c r="S6" i="1"/>
  <c r="S3" i="1"/>
  <c r="AN3" i="1" l="1"/>
  <c r="AN6" i="1" l="1"/>
  <c r="AN5" i="1"/>
  <c r="AN4"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<sst xmlns="http://schemas.openxmlformats.org/spreadsheetml/2006/main" count="31734" uniqueCount="5305">
  <si>
    <t>Township</t>
  </si>
  <si>
    <t>Village/Camp Name</t>
  </si>
  <si>
    <t>Type</t>
  </si>
  <si>
    <t>Tsp</t>
  </si>
  <si>
    <t>Age Group</t>
  </si>
  <si>
    <t>Subcat</t>
  </si>
  <si>
    <t xml:space="preserve">Subcat </t>
  </si>
  <si>
    <t>Disease's Category</t>
  </si>
  <si>
    <t>HighRiskPregnancy</t>
  </si>
  <si>
    <t>Matrix</t>
  </si>
  <si>
    <t>Nutrition</t>
  </si>
  <si>
    <t>Type of Disability</t>
  </si>
  <si>
    <t>Kyauktaw</t>
  </si>
  <si>
    <t>COC</t>
  </si>
  <si>
    <t>IDP</t>
  </si>
  <si>
    <t>&lt;10 yrs</t>
  </si>
  <si>
    <t>a</t>
  </si>
  <si>
    <t>Abdominal pain in pregnancy</t>
  </si>
  <si>
    <t>Pneumonia</t>
  </si>
  <si>
    <t>Short Stature</t>
  </si>
  <si>
    <t>Q12023</t>
  </si>
  <si>
    <t>Normal</t>
  </si>
  <si>
    <t>Disability of seeing</t>
  </si>
  <si>
    <t>Man Kyaung</t>
  </si>
  <si>
    <t>MraukU</t>
  </si>
  <si>
    <t>10 - 19 yrs</t>
  </si>
  <si>
    <t>b</t>
  </si>
  <si>
    <t>Abscess</t>
  </si>
  <si>
    <t>Severe pneumonia</t>
  </si>
  <si>
    <t>Extreme age</t>
  </si>
  <si>
    <t>Q22023</t>
  </si>
  <si>
    <t>-1SD</t>
  </si>
  <si>
    <t>Disability of hearing</t>
  </si>
  <si>
    <t>Thar Ta Na Bate Man</t>
  </si>
  <si>
    <t>Myebon</t>
  </si>
  <si>
    <t>20 - 24 yrs</t>
  </si>
  <si>
    <t>c</t>
  </si>
  <si>
    <t>Acute cystitis</t>
  </si>
  <si>
    <t>Very severe pneumonia</t>
  </si>
  <si>
    <t>Teenage pregnancy</t>
  </si>
  <si>
    <t>Q32023</t>
  </si>
  <si>
    <t>-2SD</t>
  </si>
  <si>
    <t>Disability of self care</t>
  </si>
  <si>
    <t>Kan Sauk Monestery</t>
  </si>
  <si>
    <t>25 - 49 yrs</t>
  </si>
  <si>
    <t>d</t>
  </si>
  <si>
    <t>Acute diarrhoea</t>
  </si>
  <si>
    <t>Upper Respiratory tract infection</t>
  </si>
  <si>
    <t>ARI/RTI</t>
  </si>
  <si>
    <t>Underlying Disease</t>
  </si>
  <si>
    <t>Q42023</t>
  </si>
  <si>
    <t>-3SD</t>
  </si>
  <si>
    <t>Disability of walking</t>
  </si>
  <si>
    <t>Thain Pyin Kyaung</t>
  </si>
  <si>
    <t>50 yrs +</t>
  </si>
  <si>
    <t>e</t>
  </si>
  <si>
    <t>Acute Pharyngitis</t>
  </si>
  <si>
    <t>Lower Respiratory tract infection</t>
  </si>
  <si>
    <t>Grand Multipara</t>
  </si>
  <si>
    <t>Disability of communication</t>
  </si>
  <si>
    <t>Shan Ywar</t>
  </si>
  <si>
    <t>Acute prostatitis</t>
  </si>
  <si>
    <t>Otitis</t>
  </si>
  <si>
    <t>Previous LSCS Scar</t>
  </si>
  <si>
    <t>Disability with remembering</t>
  </si>
  <si>
    <t>Thain Kyaung</t>
  </si>
  <si>
    <t>Acute pyelonephritis</t>
  </si>
  <si>
    <t>Whooping cough (pertussis)</t>
  </si>
  <si>
    <t>Twin Pregnancy</t>
  </si>
  <si>
    <t>Town Hall</t>
  </si>
  <si>
    <t>Acute Severe asthma</t>
  </si>
  <si>
    <t>Bronchitis</t>
  </si>
  <si>
    <t>Antepartum Hemorrhage</t>
  </si>
  <si>
    <t>Bu Dar</t>
  </si>
  <si>
    <t>Extremely dissatisfied</t>
  </si>
  <si>
    <t>Recovered</t>
  </si>
  <si>
    <t>Acute sinusitis</t>
  </si>
  <si>
    <t>Bronchiolitis</t>
  </si>
  <si>
    <t>Pre-eclampsia</t>
  </si>
  <si>
    <t>Shwe Kyaung</t>
  </si>
  <si>
    <t>Dissatisfied</t>
  </si>
  <si>
    <t>Improved but not recovered</t>
  </si>
  <si>
    <t>Acute upper airway obstruction</t>
  </si>
  <si>
    <t>Kan Gyee Shin</t>
  </si>
  <si>
    <t>Partially satisfied</t>
  </si>
  <si>
    <t>Same condition</t>
  </si>
  <si>
    <t>Agitation</t>
  </si>
  <si>
    <t>Nay Pu Khan</t>
  </si>
  <si>
    <t>Satisfied</t>
  </si>
  <si>
    <t>Worse</t>
  </si>
  <si>
    <t>Allergic reaction</t>
  </si>
  <si>
    <t>Ka Wi Yadanar</t>
  </si>
  <si>
    <t>Extremely Satisfied</t>
  </si>
  <si>
    <t>Ongoing/chronic problem</t>
  </si>
  <si>
    <t>Amenorrhoea</t>
  </si>
  <si>
    <t>Ma Har Mu Ni</t>
  </si>
  <si>
    <t>Unsure</t>
  </si>
  <si>
    <t>Anaemia</t>
  </si>
  <si>
    <t>Nyaung Chaung</t>
  </si>
  <si>
    <t>Animal/Insect bite</t>
  </si>
  <si>
    <t>Chest infection</t>
  </si>
  <si>
    <t>Taung Min</t>
  </si>
  <si>
    <t>Anxiety</t>
  </si>
  <si>
    <t>Common cold</t>
  </si>
  <si>
    <t>War Taung</t>
  </si>
  <si>
    <t>Very satisfied</t>
  </si>
  <si>
    <t>Yes, totally</t>
  </si>
  <si>
    <t>Arthalgia</t>
  </si>
  <si>
    <t>Flu with high fever</t>
  </si>
  <si>
    <t>Taung Pauk Monestery</t>
  </si>
  <si>
    <t>Rakhine Village</t>
  </si>
  <si>
    <t>Yes, partially</t>
  </si>
  <si>
    <t>Asthma</t>
  </si>
  <si>
    <t>Respiratory viral infection</t>
  </si>
  <si>
    <t>Hpa Yar Paung Monestery</t>
  </si>
  <si>
    <t xml:space="preserve">Dissatisfied </t>
  </si>
  <si>
    <t>Not at all</t>
  </si>
  <si>
    <t>Back pain in pregnancy</t>
  </si>
  <si>
    <t>Tonsillar abscess</t>
  </si>
  <si>
    <t>Pu Zun Hpe</t>
  </si>
  <si>
    <t xml:space="preserve">Very dissatisfied </t>
  </si>
  <si>
    <t>Bacteria skin infection</t>
  </si>
  <si>
    <t>Tuberculosis</t>
  </si>
  <si>
    <t>Pi Pin Yin</t>
  </si>
  <si>
    <t>Don’t know</t>
  </si>
  <si>
    <t>Bacterial vaginosis</t>
  </si>
  <si>
    <t>Pulmonary TB-suspect</t>
  </si>
  <si>
    <t>Tein Nyo</t>
  </si>
  <si>
    <t>Beri Beri</t>
  </si>
  <si>
    <t>Tin Htein Kan</t>
  </si>
  <si>
    <t>Muslim Village</t>
  </si>
  <si>
    <t>Bleeding during pregnancy</t>
  </si>
  <si>
    <t>Ywar Thit Kay</t>
  </si>
  <si>
    <t>Chronic Asthma</t>
  </si>
  <si>
    <t>Pya Hla</t>
  </si>
  <si>
    <t>Dengue haemorrhagic fever</t>
  </si>
  <si>
    <t>DHF</t>
  </si>
  <si>
    <t>Na Kan</t>
  </si>
  <si>
    <t>DHF suspect</t>
  </si>
  <si>
    <t>Ku Lar Chaung</t>
  </si>
  <si>
    <t>Dengue shock</t>
  </si>
  <si>
    <t>Wet Hla</t>
  </si>
  <si>
    <t>Burns/wounds</t>
  </si>
  <si>
    <t>Diarrhoea/ GE</t>
  </si>
  <si>
    <t>Taung Myint</t>
  </si>
  <si>
    <t>Cataract</t>
  </si>
  <si>
    <t>Severe dehydration with diarrhoea</t>
  </si>
  <si>
    <t>Kyee Gaung Taung</t>
  </si>
  <si>
    <t>Cerebral soft tissue infection</t>
  </si>
  <si>
    <t>Dehydration with diarrhoea</t>
  </si>
  <si>
    <t>Taung Gyi Yin</t>
  </si>
  <si>
    <t>Cervicitis</t>
  </si>
  <si>
    <t>Dysentery</t>
  </si>
  <si>
    <t>Yae Shin</t>
  </si>
  <si>
    <t>Ah Ngu Yaw Thit</t>
  </si>
  <si>
    <t>Chicken Pox</t>
  </si>
  <si>
    <t>Malnutrition</t>
  </si>
  <si>
    <t>Yet Chaung</t>
  </si>
  <si>
    <t>Chlamydia</t>
  </si>
  <si>
    <t>Severe malnutrition</t>
  </si>
  <si>
    <t>Pya Thone</t>
  </si>
  <si>
    <t>Protein energy malnutrition</t>
  </si>
  <si>
    <t>Pin Kat Taung Maw</t>
  </si>
  <si>
    <t>Colitis</t>
  </si>
  <si>
    <t>Stomatitis</t>
  </si>
  <si>
    <t>Kan Htaung Gyi</t>
  </si>
  <si>
    <t>Meningitis</t>
  </si>
  <si>
    <t>Meningitis and encephalitis</t>
  </si>
  <si>
    <t>Ngan Taung</t>
  </si>
  <si>
    <t>Congenital abnormalities</t>
  </si>
  <si>
    <t>Encephalitis</t>
  </si>
  <si>
    <t>Pauk Tu Taung</t>
  </si>
  <si>
    <t>Congenital abnormalities/deformities</t>
  </si>
  <si>
    <t>Set Khway</t>
  </si>
  <si>
    <t>Congenital deformaties</t>
  </si>
  <si>
    <t>Pneumococcal meningitis</t>
  </si>
  <si>
    <t>Taung Paw Camp</t>
  </si>
  <si>
    <t>Congenital heart disease</t>
  </si>
  <si>
    <t>DM</t>
  </si>
  <si>
    <t>Chronic medical disease</t>
  </si>
  <si>
    <t>Congenital infection</t>
  </si>
  <si>
    <t>Hypertension</t>
  </si>
  <si>
    <t>Conjunctivitis</t>
  </si>
  <si>
    <t>Heart disease</t>
  </si>
  <si>
    <t>Constipation</t>
  </si>
  <si>
    <t>Renal disease</t>
  </si>
  <si>
    <t>COPD</t>
  </si>
  <si>
    <t>HIV/AIDS</t>
  </si>
  <si>
    <t>Delay milestones</t>
  </si>
  <si>
    <t>Hematological diseases</t>
  </si>
  <si>
    <t>Hematological disorder</t>
  </si>
  <si>
    <t>Dengue</t>
  </si>
  <si>
    <t>Thalassemia with severe anamia</t>
  </si>
  <si>
    <t>Fungal infection</t>
  </si>
  <si>
    <t>Skin infection/disease</t>
  </si>
  <si>
    <t>Dental infections</t>
  </si>
  <si>
    <t>Other skin disorders</t>
  </si>
  <si>
    <t>Depression</t>
  </si>
  <si>
    <t>Eczema</t>
  </si>
  <si>
    <t>Pruritis</t>
  </si>
  <si>
    <t>Dribbling during pregnancy</t>
  </si>
  <si>
    <t>Scabies infection</t>
  </si>
  <si>
    <t>Dysnonea</t>
  </si>
  <si>
    <t>Ring worm</t>
  </si>
  <si>
    <t>Dyspepsia</t>
  </si>
  <si>
    <t>Herpes simplex and herpes zoster</t>
  </si>
  <si>
    <t>Ear conal blockage</t>
  </si>
  <si>
    <t>Eye problem/disease</t>
  </si>
  <si>
    <t>Glaucoma</t>
  </si>
  <si>
    <t>Enteric (typhoid and paratyphoid) fevers</t>
  </si>
  <si>
    <t>other vision problem</t>
  </si>
  <si>
    <t>Fall from heigh</t>
  </si>
  <si>
    <t>Xerophthalmia (vitamin A deficiency)</t>
  </si>
  <si>
    <t>Fever of unknown</t>
  </si>
  <si>
    <t>Trachoma</t>
  </si>
  <si>
    <t>Filariasis</t>
  </si>
  <si>
    <t>other eye problem</t>
  </si>
  <si>
    <t>Fits/Epilepsy</t>
  </si>
  <si>
    <t>UTI</t>
  </si>
  <si>
    <t>Genito-urinary diseases</t>
  </si>
  <si>
    <t>Nephrotic syndrome in children</t>
  </si>
  <si>
    <t>food poisoning</t>
  </si>
  <si>
    <t>Urinary incontinence</t>
  </si>
  <si>
    <t>Fracture</t>
  </si>
  <si>
    <t>Urolithiasis</t>
  </si>
  <si>
    <t>Gastritis</t>
  </si>
  <si>
    <t>Genital herpes</t>
  </si>
  <si>
    <t>Genital warts</t>
  </si>
  <si>
    <t>Otitis media</t>
  </si>
  <si>
    <t>Ear problem/disease</t>
  </si>
  <si>
    <t>Otitis externa</t>
  </si>
  <si>
    <t>Gonorrhea</t>
  </si>
  <si>
    <t>Otitis abscess</t>
  </si>
  <si>
    <t>Headache</t>
  </si>
  <si>
    <t>Worm infestation</t>
  </si>
  <si>
    <t>Parasitic disease</t>
  </si>
  <si>
    <t>Heavy/prolong bleeding between period or during intercourse</t>
  </si>
  <si>
    <t>Malaria/ cerebral malaria</t>
  </si>
  <si>
    <t>Schistosomiases</t>
  </si>
  <si>
    <t>Hepatitis</t>
  </si>
  <si>
    <t>other parasitic infection</t>
  </si>
  <si>
    <t>Accident/minor sugical and injuries</t>
  </si>
  <si>
    <t>Injuries</t>
  </si>
  <si>
    <t>Insomnia</t>
  </si>
  <si>
    <t>Irregular cycle</t>
  </si>
  <si>
    <t>Scald</t>
  </si>
  <si>
    <t>Late neonatal sepsis</t>
  </si>
  <si>
    <t>Periorbital and orbital cellulitis</t>
  </si>
  <si>
    <t>Leptospirosis</t>
  </si>
  <si>
    <t>Low birth weight</t>
  </si>
  <si>
    <t>Stab wound</t>
  </si>
  <si>
    <t>Scar</t>
  </si>
  <si>
    <t>Measles</t>
  </si>
  <si>
    <t>Poisoning</t>
  </si>
  <si>
    <t>Tetanus</t>
  </si>
  <si>
    <t>Bacteria disease</t>
  </si>
  <si>
    <t>Menstrual disorder</t>
  </si>
  <si>
    <t>Mental confusion</t>
  </si>
  <si>
    <t>Muscle pain</t>
  </si>
  <si>
    <t>Neonatal jaundice</t>
  </si>
  <si>
    <t>Viral diseases</t>
  </si>
  <si>
    <t>Neonatal sepsis</t>
  </si>
  <si>
    <t>Poliomyelitis</t>
  </si>
  <si>
    <t>Rabies</t>
  </si>
  <si>
    <t>Neuralgia</t>
  </si>
  <si>
    <t>Viral hepatitis</t>
  </si>
  <si>
    <t>Viral haemorrhagic fevers</t>
  </si>
  <si>
    <t>GI problem</t>
  </si>
  <si>
    <t>Painful monthly cramps</t>
  </si>
  <si>
    <t>Peptic ulcer</t>
  </si>
  <si>
    <t>Pelvic pain</t>
  </si>
  <si>
    <t>STI</t>
  </si>
  <si>
    <t>Pile</t>
  </si>
  <si>
    <t>Syphilis</t>
  </si>
  <si>
    <t>Trichomoniasis</t>
  </si>
  <si>
    <t>Vaginal candidiasis</t>
  </si>
  <si>
    <t>Post-traumatic stress disorder</t>
  </si>
  <si>
    <t>Suspected pregnancy</t>
  </si>
  <si>
    <t>Obstetric problem</t>
  </si>
  <si>
    <t>Psychotic disorders</t>
  </si>
  <si>
    <t>Vomitting in pregnancy</t>
  </si>
  <si>
    <t>Sickness in pregnancy</t>
  </si>
  <si>
    <t>Reduce fetal movement in pregnancy</t>
  </si>
  <si>
    <t>Stomach cramps in pregnancy</t>
  </si>
  <si>
    <t>Swelling of hands/face/feet</t>
  </si>
  <si>
    <t>Severe abdominal pain</t>
  </si>
  <si>
    <t>Gynecological problem</t>
  </si>
  <si>
    <t>Severe respiratory distress in neonates</t>
  </si>
  <si>
    <t>White discharge</t>
  </si>
  <si>
    <t>Neonatal problem</t>
  </si>
  <si>
    <t>Stroke</t>
  </si>
  <si>
    <t>Umbilical cord infection/sepsis</t>
  </si>
  <si>
    <t>Mental disorders</t>
  </si>
  <si>
    <t>Other</t>
  </si>
  <si>
    <t>Weakness</t>
  </si>
  <si>
    <t>Hepatic Problem</t>
  </si>
  <si>
    <t>Neurological Problem</t>
  </si>
  <si>
    <t>Surgical Disease</t>
  </si>
  <si>
    <t>Sr No</t>
  </si>
  <si>
    <t>Item Name</t>
  </si>
  <si>
    <t>Operation Defination</t>
  </si>
  <si>
    <t>New consultation</t>
  </si>
  <si>
    <t>1.An individual who is seen for a first time at the Mobile Clinic 
2.patient not previously seen in past 30 days (starting 1 January 2017) or seen for a new condition (confirm with patient record book) 
3.For chronic cases, who is seen for first time at Mobile Clinic And/or acutely new attack or condition due to chronic background stage will be new case.</t>
  </si>
  <si>
    <t>Follow up consultation</t>
  </si>
  <si>
    <t>Follow up consultation means to the same patient who present/ complaint with the same symptom(s) and/or come back to the clinic to re-check disease in the willingness of the patient or MD’s follow up appointment.</t>
  </si>
  <si>
    <t>Age</t>
  </si>
  <si>
    <t>Age refers to completed age of the client (Year/month/day)
If the client is under 1 month please describe completed days
If the client is under 1 year please describe completed month</t>
  </si>
  <si>
    <t>ANC 1</t>
  </si>
  <si>
    <t>ANC-1 means antenatal care taken by pregant woman within first 12th to 14th weeks of gestation</t>
  </si>
  <si>
    <t>ANC 2</t>
  </si>
  <si>
    <t>ANC-2 means antenatal care taken by pregant woman within 15th to 28th week of gestation</t>
  </si>
  <si>
    <t>ANC 3</t>
  </si>
  <si>
    <t>ANC-3 means antenatal care taken by pregant woman within 29th to 34th week of gestation</t>
  </si>
  <si>
    <t>ANC 4</t>
  </si>
  <si>
    <t>ANC-4 means antenatal care taken by pregant woman after 34th week of gestation</t>
  </si>
  <si>
    <t xml:space="preserve"> TT 1</t>
  </si>
  <si>
    <t>  TT 1 means first dose of tetanus toxoid vaccine is given to the pregnant woman</t>
  </si>
  <si>
    <t>TT 2</t>
  </si>
  <si>
    <t>TT 2 means second dose of tetanus toxoid vaccine is given to the same pregnant woman</t>
  </si>
  <si>
    <t>PNC 1</t>
  </si>
  <si>
    <t>PNC-1 (within 48 hrs)</t>
  </si>
  <si>
    <t>PNC 2</t>
  </si>
  <si>
    <t>PNC-2 (After 48 hrs after Delivery)</t>
  </si>
  <si>
    <t xml:space="preserve"> new acceptor (Family planning)</t>
  </si>
  <si>
    <t>1. woman who never used any modern FP method before
2. woman who change from one method to other method which wasn't used before
3. woman used some modern FP method previously and she used the same method again after 6 months later</t>
  </si>
  <si>
    <t>current user (Family planning)</t>
  </si>
  <si>
    <t xml:space="preserve">1.The person woman who used the contraceptive method continuously
2.woman used some modern FP method previously and she used the same method again within 6 months
</t>
  </si>
  <si>
    <t>Severe Acute Malnutrition</t>
  </si>
  <si>
    <t>&lt;11.5cm(MUAC)(Red)</t>
  </si>
  <si>
    <t>Moderate Acute Malnutrition</t>
  </si>
  <si>
    <t>11.5 to 12.5 cm(MUAC) (Yellow)</t>
  </si>
  <si>
    <t>*Disease category is according to MSF guideline 2018 and the list is as follow</t>
  </si>
  <si>
    <t xml:space="preserve">Bronchitis </t>
  </si>
  <si>
    <t xml:space="preserve">Acute sinusitis </t>
  </si>
  <si>
    <t xml:space="preserve">Acute pharyngitis </t>
  </si>
  <si>
    <t>DHF  suspect</t>
  </si>
  <si>
    <t xml:space="preserve">Acute Diarrhoea </t>
  </si>
  <si>
    <t xml:space="preserve">Injuries </t>
  </si>
  <si>
    <t>colitis</t>
  </si>
  <si>
    <t>heavy/prolong bleeding between period or during intercourse</t>
  </si>
  <si>
    <t>menstrual disorder</t>
  </si>
  <si>
    <t>umbilical cord infection/sepsis</t>
  </si>
  <si>
    <t>Categories of Discharge (Nutrition)</t>
  </si>
  <si>
    <t>Category</t>
  </si>
  <si>
    <t>Comments</t>
  </si>
  <si>
    <t>Cured</t>
  </si>
  <si>
    <t>MAM Children reaching the criteria of discharge</t>
  </si>
  <si>
    <t>Defaulter</t>
  </si>
  <si>
    <t>After 2 consecutive absences</t>
  </si>
  <si>
    <t>Unknown</t>
  </si>
  <si>
    <t>No home visit</t>
  </si>
  <si>
    <t>Non Respondent</t>
  </si>
  <si>
    <t>do not reach the cured criteria after 3 months in the program</t>
  </si>
  <si>
    <t>Dead</t>
  </si>
  <si>
    <t>While child is registered in the program or 
within 24 hours or transfer to another health facility
 (follow up required when transfer)</t>
  </si>
  <si>
    <t>Medical Transfer</t>
  </si>
  <si>
    <t>Transfer to Hospital for medical reasons (If the patient needed inpatient care)</t>
  </si>
  <si>
    <t xml:space="preserve">Transfer to TFP </t>
  </si>
  <si>
    <t>If the child falling down to SAM criteria</t>
  </si>
  <si>
    <t>Admission Mistake</t>
  </si>
  <si>
    <t>Measurement error
Cheating case (double cards, wrong child)</t>
  </si>
  <si>
    <t>PHC Database</t>
  </si>
  <si>
    <t>Sr.No</t>
  </si>
  <si>
    <t>Fund</t>
  </si>
  <si>
    <t>Implementing Organization Name</t>
  </si>
  <si>
    <t>Health Post / Clinic</t>
  </si>
  <si>
    <t>State</t>
  </si>
  <si>
    <t>Village Tract</t>
  </si>
  <si>
    <t>Place</t>
  </si>
  <si>
    <t>Type of place 
(Camp/Village/Ward)</t>
  </si>
  <si>
    <t>Name of Medical Person</t>
  </si>
  <si>
    <t>Register No.</t>
  </si>
  <si>
    <t>Register.Code</t>
  </si>
  <si>
    <t>New/
Follow up</t>
  </si>
  <si>
    <t xml:space="preserve">Name of patient </t>
  </si>
  <si>
    <t>Age_yr</t>
  </si>
  <si>
    <t>Age_mth</t>
  </si>
  <si>
    <t>Age_day</t>
  </si>
  <si>
    <t>Age_Group</t>
  </si>
  <si>
    <t>Sex</t>
  </si>
  <si>
    <t>Address 
(if not the same with
Moblile Clinic location)</t>
  </si>
  <si>
    <t>Father Name</t>
  </si>
  <si>
    <t>Diagnosis</t>
  </si>
  <si>
    <t>Sub_Category</t>
  </si>
  <si>
    <t>Consultation Type</t>
  </si>
  <si>
    <t>Treatment</t>
  </si>
  <si>
    <t>eligible to receive PEP?</t>
  </si>
  <si>
    <t>Receive PEP within 72 hours</t>
  </si>
  <si>
    <t>Disability</t>
  </si>
  <si>
    <t>Refered or Not</t>
  </si>
  <si>
    <t>Referral Date</t>
  </si>
  <si>
    <t>Cause of referral</t>
  </si>
  <si>
    <t>Name of Referred Place</t>
  </si>
  <si>
    <t>Type of Referred Facility</t>
  </si>
  <si>
    <t>Follow-up Date</t>
  </si>
  <si>
    <t>Teleconsultation</t>
  </si>
  <si>
    <t>Remarks</t>
  </si>
  <si>
    <t>referral</t>
  </si>
  <si>
    <t>PEP</t>
  </si>
  <si>
    <t>BHA</t>
  </si>
  <si>
    <t>SSDF</t>
  </si>
  <si>
    <t>New</t>
  </si>
  <si>
    <t>Male</t>
  </si>
  <si>
    <t>MCH  Database</t>
  </si>
  <si>
    <t>Note: Please fill the result If only RI done</t>
  </si>
  <si>
    <t>ANC1</t>
  </si>
  <si>
    <t>ANC2</t>
  </si>
  <si>
    <t>ANC3</t>
  </si>
  <si>
    <t>ANC4</t>
  </si>
  <si>
    <t>Kits distribution</t>
  </si>
  <si>
    <t>Delivery Information</t>
  </si>
  <si>
    <t>PNC1</t>
  </si>
  <si>
    <t>PNC2</t>
  </si>
  <si>
    <t>Health Post/Clinic</t>
  </si>
  <si>
    <t>Village/Ward/Camp</t>
  </si>
  <si>
    <t>Alternative Village/
Camp Name</t>
  </si>
  <si>
    <t>Type of Place</t>
  </si>
  <si>
    <t>Helper</t>
  </si>
  <si>
    <t>Pcode</t>
  </si>
  <si>
    <t>Month</t>
  </si>
  <si>
    <t>Quarter</t>
  </si>
  <si>
    <t>Year</t>
  </si>
  <si>
    <t>Reg.No</t>
  </si>
  <si>
    <t>Reg.Code</t>
  </si>
  <si>
    <t>Name</t>
  </si>
  <si>
    <t>Age_Category</t>
  </si>
  <si>
    <t>Age_cat</t>
  </si>
  <si>
    <t>Ethnicity</t>
  </si>
  <si>
    <t>Disable</t>
  </si>
  <si>
    <t>Husband's name</t>
  </si>
  <si>
    <t>LMP</t>
  </si>
  <si>
    <t>EDD</t>
  </si>
  <si>
    <t>LB info</t>
  </si>
  <si>
    <t>High Risk 
Pregnancy</t>
  </si>
  <si>
    <t>Gravida/Parity</t>
  </si>
  <si>
    <t>TT1</t>
  </si>
  <si>
    <t>TT2</t>
  </si>
  <si>
    <t>Syphilis Testing</t>
  </si>
  <si>
    <t>HIV Testing</t>
  </si>
  <si>
    <t>Hep-B Testing</t>
  </si>
  <si>
    <t>ANC1.2</t>
  </si>
  <si>
    <t>ANC1.3</t>
  </si>
  <si>
    <t>ANC1.4</t>
  </si>
  <si>
    <t>ANC1.5</t>
  </si>
  <si>
    <t>ANC2.1</t>
  </si>
  <si>
    <t>ANC2.2</t>
  </si>
  <si>
    <t>ANC2.3</t>
  </si>
  <si>
    <t>ANC2.4</t>
  </si>
  <si>
    <t>ANC2.5</t>
  </si>
  <si>
    <t>ANC3.1</t>
  </si>
  <si>
    <t>ANC3.2</t>
  </si>
  <si>
    <t>ANC3.3</t>
  </si>
  <si>
    <t>ANC3.4</t>
  </si>
  <si>
    <t>ANC3.5</t>
  </si>
  <si>
    <t>ANC4.1</t>
  </si>
  <si>
    <t>ANC4.2</t>
  </si>
  <si>
    <t>ANC4.3</t>
  </si>
  <si>
    <t>ANC4.4</t>
  </si>
  <si>
    <t>ANC4.5</t>
  </si>
  <si>
    <t>Total ANC</t>
  </si>
  <si>
    <t>NBK</t>
  </si>
  <si>
    <t>Happy Baby Kit</t>
  </si>
  <si>
    <t>Diginity Kit</t>
  </si>
  <si>
    <t>CDK</t>
  </si>
  <si>
    <t>Date of Delivery</t>
  </si>
  <si>
    <t>Time</t>
  </si>
  <si>
    <t>wt. of baby</t>
  </si>
  <si>
    <t>Sex of baby</t>
  </si>
  <si>
    <t>Delivered by</t>
  </si>
  <si>
    <t>Name  of Delivered Person</t>
  </si>
  <si>
    <t>Type of Delivered Person</t>
  </si>
  <si>
    <t>SBA</t>
  </si>
  <si>
    <t>Type of delivery</t>
  </si>
  <si>
    <t>Place of delivery</t>
  </si>
  <si>
    <t>Delivery outcome</t>
  </si>
  <si>
    <t>PNC2.1</t>
  </si>
  <si>
    <t>PNC2.2</t>
  </si>
  <si>
    <t>PN2.3</t>
  </si>
  <si>
    <t>PN2.4</t>
  </si>
  <si>
    <t>PN2.5</t>
  </si>
  <si>
    <t>Total_PNC</t>
  </si>
  <si>
    <t>Follow Up Date</t>
  </si>
  <si>
    <t>Referral or Not</t>
  </si>
  <si>
    <r>
      <t xml:space="preserve">Referral ID 
card number
</t>
    </r>
    <r>
      <rPr>
        <b/>
        <sz val="10"/>
        <color theme="0"/>
        <rFont val="Calibri"/>
        <family val="2"/>
        <scheme val="minor"/>
      </rPr>
      <t>(000/MCH/YYYY)</t>
    </r>
  </si>
  <si>
    <t>1</t>
  </si>
  <si>
    <t>2</t>
  </si>
  <si>
    <t>3</t>
  </si>
  <si>
    <t>4</t>
  </si>
  <si>
    <t>5</t>
  </si>
  <si>
    <t>6</t>
  </si>
  <si>
    <t>7</t>
  </si>
  <si>
    <t>8</t>
  </si>
  <si>
    <t>9</t>
  </si>
  <si>
    <t>10</t>
  </si>
  <si>
    <t>11</t>
  </si>
  <si>
    <t>12</t>
  </si>
  <si>
    <t>13</t>
  </si>
  <si>
    <t>14</t>
  </si>
  <si>
    <t>15</t>
  </si>
  <si>
    <t>16</t>
  </si>
  <si>
    <t>17</t>
  </si>
  <si>
    <t>18</t>
  </si>
  <si>
    <t>19</t>
  </si>
  <si>
    <t>20</t>
  </si>
  <si>
    <t>p1</t>
  </si>
  <si>
    <t>p2</t>
  </si>
  <si>
    <t>p3</t>
  </si>
  <si>
    <t>p4</t>
  </si>
  <si>
    <t>p5</t>
  </si>
  <si>
    <t>p6</t>
  </si>
  <si>
    <t>Deli</t>
  </si>
  <si>
    <t>LB</t>
  </si>
  <si>
    <t>Deli Kit</t>
  </si>
  <si>
    <t>Indi_help</t>
  </si>
  <si>
    <t>Indi4times</t>
  </si>
  <si>
    <t>lb_help</t>
  </si>
  <si>
    <t>A1</t>
  </si>
  <si>
    <t>A2</t>
  </si>
  <si>
    <t>A3</t>
  </si>
  <si>
    <t>A4</t>
  </si>
  <si>
    <t>A5</t>
  </si>
  <si>
    <t>A6</t>
  </si>
  <si>
    <t>A7</t>
  </si>
  <si>
    <t>A8</t>
  </si>
  <si>
    <t>A9</t>
  </si>
  <si>
    <t>A10</t>
  </si>
  <si>
    <t>A11</t>
  </si>
  <si>
    <t>A12</t>
  </si>
  <si>
    <t>A13</t>
  </si>
  <si>
    <t>A14</t>
  </si>
  <si>
    <t>A15</t>
  </si>
  <si>
    <t>A16</t>
  </si>
  <si>
    <t>A17</t>
  </si>
  <si>
    <t>A18</t>
  </si>
  <si>
    <t>A19</t>
  </si>
  <si>
    <t>A20</t>
  </si>
  <si>
    <t>AA1</t>
  </si>
  <si>
    <t>AA2</t>
  </si>
  <si>
    <t>AA3</t>
  </si>
  <si>
    <t>AA4</t>
  </si>
  <si>
    <t>AA5</t>
  </si>
  <si>
    <t>AA6</t>
  </si>
  <si>
    <t>AA7</t>
  </si>
  <si>
    <t>AA8</t>
  </si>
  <si>
    <t>AA9</t>
  </si>
  <si>
    <t>AA10</t>
  </si>
  <si>
    <t>AA11</t>
  </si>
  <si>
    <t>AA12</t>
  </si>
  <si>
    <t>AA13</t>
  </si>
  <si>
    <t>AA14</t>
  </si>
  <si>
    <t>AA15</t>
  </si>
  <si>
    <t>AA16</t>
  </si>
  <si>
    <t>AA17</t>
  </si>
  <si>
    <t>AA18</t>
  </si>
  <si>
    <t>AA19</t>
  </si>
  <si>
    <t>AA20</t>
  </si>
  <si>
    <t>AAA1</t>
  </si>
  <si>
    <t>AAA2</t>
  </si>
  <si>
    <t>AAA3</t>
  </si>
  <si>
    <t>AAA4</t>
  </si>
  <si>
    <t>AAA5</t>
  </si>
  <si>
    <t>AAA6</t>
  </si>
  <si>
    <t>AAA7</t>
  </si>
  <si>
    <t>AAA8</t>
  </si>
  <si>
    <t>AAA9</t>
  </si>
  <si>
    <t>AAA10</t>
  </si>
  <si>
    <t>AAA11</t>
  </si>
  <si>
    <t>AAA12</t>
  </si>
  <si>
    <t>AAA13</t>
  </si>
  <si>
    <t>AAA14</t>
  </si>
  <si>
    <t>AAA15</t>
  </si>
  <si>
    <t>AAA16</t>
  </si>
  <si>
    <t>AAA17</t>
  </si>
  <si>
    <t>AAA18</t>
  </si>
  <si>
    <t>AAA19</t>
  </si>
  <si>
    <t>AAA20</t>
  </si>
  <si>
    <t>KNHC</t>
  </si>
  <si>
    <t>IF(AND(AD3=3,AE3=4,</t>
  </si>
  <si>
    <t>Family Planning Database</t>
  </si>
  <si>
    <t>Village</t>
  </si>
  <si>
    <t>Date of Registration
(m/d/yy)</t>
  </si>
  <si>
    <t>Name of Patient</t>
  </si>
  <si>
    <t>Age Category</t>
  </si>
  <si>
    <t>Spouse Name</t>
  </si>
  <si>
    <t>Type_FP</t>
  </si>
  <si>
    <t>Consent</t>
  </si>
  <si>
    <t>Counselling</t>
  </si>
  <si>
    <t>HCG Test</t>
  </si>
  <si>
    <t>Family Planning Method</t>
  </si>
  <si>
    <t>Quantity</t>
  </si>
  <si>
    <t>Condom
(number)</t>
  </si>
  <si>
    <t>Contraceptive Provision</t>
  </si>
  <si>
    <t>New receptor</t>
  </si>
  <si>
    <t>OC pill</t>
  </si>
  <si>
    <t>Meeting_Database (2024-2025)</t>
  </si>
  <si>
    <t xml:space="preserve">Gender of Participant </t>
  </si>
  <si>
    <t>People with Disability (PWD)</t>
  </si>
  <si>
    <t>No.</t>
  </si>
  <si>
    <t>Meeting Place
(Village/Ward/Camp)</t>
  </si>
  <si>
    <t>Type of Site</t>
  </si>
  <si>
    <t>Activity Start Date
(mmm/dd/yy)</t>
  </si>
  <si>
    <t>Activity End Date
(mmm/dd/yy)</t>
  </si>
  <si>
    <t xml:space="preserve">Name of Activity </t>
  </si>
  <si>
    <t>Female</t>
  </si>
  <si>
    <t>Other Gender</t>
  </si>
  <si>
    <t>Total Participants</t>
  </si>
  <si>
    <t>PWD Male</t>
  </si>
  <si>
    <t>PWD Female</t>
  </si>
  <si>
    <t>PWD Other Gender</t>
  </si>
  <si>
    <t>Type of Disability 
(Optional)</t>
  </si>
  <si>
    <t>Helper2</t>
  </si>
  <si>
    <t>Type of Activity</t>
  </si>
  <si>
    <t>Training</t>
  </si>
  <si>
    <t>Meeting</t>
  </si>
  <si>
    <t>Workshop</t>
  </si>
  <si>
    <t>Shan</t>
  </si>
  <si>
    <t>Kayah</t>
  </si>
  <si>
    <t>Kayin</t>
  </si>
  <si>
    <t>Camp</t>
  </si>
  <si>
    <t>Ward</t>
  </si>
  <si>
    <t>Cooking Demonstration Database</t>
  </si>
  <si>
    <t>Gender and age of participant's child</t>
  </si>
  <si>
    <t>Sr</t>
  </si>
  <si>
    <t>Site</t>
  </si>
  <si>
    <t>Type of Beneficiary</t>
  </si>
  <si>
    <t>Activity Name</t>
  </si>
  <si>
    <r>
      <t xml:space="preserve">Activity Date
</t>
    </r>
    <r>
      <rPr>
        <sz val="11"/>
        <color rgb="FFFF9966"/>
        <rFont val="Calibri"/>
        <family val="2"/>
        <scheme val="minor"/>
      </rPr>
      <t>m/d/y</t>
    </r>
  </si>
  <si>
    <t>Total</t>
  </si>
  <si>
    <t>Number of 
Pregnant Women</t>
  </si>
  <si>
    <t>Number of 
Lactating Mother</t>
  </si>
  <si>
    <t>Number of Caregiver</t>
  </si>
  <si>
    <r>
      <rPr>
        <b/>
        <sz val="11"/>
        <color rgb="FFFFFFFF"/>
        <rFont val="Calibri"/>
      </rPr>
      <t>Male</t>
    </r>
    <r>
      <rPr>
        <b/>
        <sz val="11"/>
        <color rgb="FF4472C4"/>
        <rFont val="Calibri"/>
      </rPr>
      <t>2</t>
    </r>
  </si>
  <si>
    <t>Female2</t>
  </si>
  <si>
    <t>Under 5 years old</t>
  </si>
  <si>
    <t>Over 5 years old</t>
  </si>
  <si>
    <r>
      <t xml:space="preserve">Claimed Date
</t>
    </r>
    <r>
      <rPr>
        <sz val="11"/>
        <color rgb="FFFF9966"/>
        <rFont val="Calibri"/>
        <family val="2"/>
        <scheme val="minor"/>
      </rPr>
      <t>m/d/y</t>
    </r>
  </si>
  <si>
    <t>Health Post</t>
  </si>
  <si>
    <t>Remark</t>
  </si>
  <si>
    <t>IYCF Counselling Database</t>
  </si>
  <si>
    <t xml:space="preserve">Site </t>
  </si>
  <si>
    <t>Name of Counsellor</t>
  </si>
  <si>
    <t>Age group</t>
  </si>
  <si>
    <t>Gender</t>
  </si>
  <si>
    <t>Number of U5 Children</t>
  </si>
  <si>
    <t>Child 1 age</t>
  </si>
  <si>
    <t>Child 1 gender</t>
  </si>
  <si>
    <t>Child 2 age</t>
  </si>
  <si>
    <t>Child 2 gender</t>
  </si>
  <si>
    <t>Child 3 age</t>
  </si>
  <si>
    <t>Child 3 gender</t>
  </si>
  <si>
    <t>Awareness Raising Database</t>
  </si>
  <si>
    <t>Participant Gender (လိင်)</t>
  </si>
  <si>
    <t>Participant Type အမျိုးအစား</t>
  </si>
  <si>
    <t>Gender and age of participant's children</t>
  </si>
  <si>
    <t>No</t>
  </si>
  <si>
    <t>Health Pos/Clinict Name</t>
  </si>
  <si>
    <t>VillageTract</t>
  </si>
  <si>
    <t>Alternative Village/Ward/Camp Name</t>
  </si>
  <si>
    <t>PE/Educator Name</t>
  </si>
  <si>
    <t>Position</t>
  </si>
  <si>
    <t>Awareness Topic</t>
  </si>
  <si>
    <t>Disable Female</t>
  </si>
  <si>
    <t>Disable Male</t>
  </si>
  <si>
    <t>Under 5 yr Nutrition Screening Database</t>
  </si>
  <si>
    <t>Screening Site
(Village/Ward/Camp)</t>
  </si>
  <si>
    <t>Date of screening
(mm/dd/yyyy)</t>
  </si>
  <si>
    <t>Name of Child</t>
  </si>
  <si>
    <t>Parents' Name</t>
  </si>
  <si>
    <t>Age_year</t>
  </si>
  <si>
    <t>Disability Status</t>
  </si>
  <si>
    <t>Oedma 0,1,2,3</t>
  </si>
  <si>
    <t>MUAC (mm)</t>
  </si>
  <si>
    <t>Weight (kg)
(optional)</t>
  </si>
  <si>
    <t>Type of Malnutrition</t>
  </si>
  <si>
    <t>Referred
or not</t>
  </si>
  <si>
    <t xml:space="preserve">Nutrition Screening Database (PLW) </t>
  </si>
  <si>
    <t>Donor Fund</t>
  </si>
  <si>
    <t>Nutrition Screened Site
(Village/Ward/Camp)</t>
  </si>
  <si>
    <t>Woman's name</t>
  </si>
  <si>
    <t>PLW type</t>
  </si>
  <si>
    <t>Age of Child</t>
  </si>
  <si>
    <t>Gestation Week</t>
  </si>
  <si>
    <t>Malnourished Status</t>
  </si>
  <si>
    <t>Referred
 or not</t>
  </si>
  <si>
    <t>Distribution Database (Items)</t>
  </si>
  <si>
    <t>Total  Family Member</t>
  </si>
  <si>
    <t>Disable (Yes)</t>
  </si>
  <si>
    <t>Name of Site</t>
  </si>
  <si>
    <t>Date of Distribution 
(mm/dd/yy)</t>
  </si>
  <si>
    <t>Distributed Item Description</t>
  </si>
  <si>
    <t>Sector</t>
  </si>
  <si>
    <t>Quantity of Item</t>
  </si>
  <si>
    <t>No of Household</t>
  </si>
  <si>
    <t>Total Disable Male</t>
  </si>
  <si>
    <t>Total Disable Female</t>
  </si>
  <si>
    <t>Total Disable</t>
  </si>
  <si>
    <t xml:space="preserve">Remarks </t>
  </si>
  <si>
    <t xml:space="preserve"> </t>
  </si>
  <si>
    <t>COMPLAINTS, FEEDBACK AND RESPONSE LOGBOOK</t>
  </si>
  <si>
    <r>
      <rPr>
        <b/>
        <sz val="11"/>
        <color rgb="FFC00000"/>
        <rFont val="Calibri"/>
        <family val="2"/>
        <scheme val="minor"/>
      </rPr>
      <t>Programmatic feedback</t>
    </r>
    <r>
      <rPr>
        <sz val="11"/>
        <color rgb="FFC00000"/>
        <rFont val="Calibri"/>
        <family val="2"/>
        <scheme val="minor"/>
      </rPr>
      <t>: suggestions, ideas, praise, requesting for information or assistance.</t>
    </r>
  </si>
  <si>
    <r>
      <rPr>
        <b/>
        <sz val="11"/>
        <color rgb="FFC00000"/>
        <rFont val="Calibri"/>
        <family val="2"/>
      </rPr>
      <t>Minor complaints</t>
    </r>
    <r>
      <rPr>
        <sz val="11"/>
        <color rgb="FFC00000"/>
        <rFont val="Calibri"/>
        <family val="2"/>
      </rPr>
      <t>: e.g. unfriendly staff, cash cards mulfunctioning, dissatisfaction with clinic operating hours</t>
    </r>
  </si>
  <si>
    <t xml:space="preserve">Country of operation: </t>
  </si>
  <si>
    <t>Program (if applicable):</t>
  </si>
  <si>
    <r>
      <rPr>
        <b/>
        <sz val="11"/>
        <color rgb="FFC00000"/>
        <rFont val="Calibri"/>
        <family val="2"/>
      </rPr>
      <t>Major complaints</t>
    </r>
    <r>
      <rPr>
        <sz val="11"/>
        <color rgb="FFC00000"/>
        <rFont val="Calibri"/>
        <family val="2"/>
      </rPr>
      <t>: e.gs missing assistance, grievances about participant selection, safety risks</t>
    </r>
  </si>
  <si>
    <t>CFRM Focal Point:</t>
  </si>
  <si>
    <t xml:space="preserve">Last reviewed (name and date): </t>
  </si>
  <si>
    <r>
      <rPr>
        <b/>
        <sz val="11"/>
        <color rgb="FFC00000"/>
        <rFont val="Calibri"/>
        <family val="2"/>
      </rPr>
      <t>Reportable incident:</t>
    </r>
    <r>
      <rPr>
        <sz val="11"/>
        <color rgb="FFC00000"/>
        <rFont val="Calibri"/>
        <family val="2"/>
      </rPr>
      <t xml:space="preserve"> Involving a violation or alleged violation ( event that causes harm, misconduct or violation of policy, allegation or suspecion)</t>
    </r>
  </si>
  <si>
    <t>Date Complaint/ Feedback Received (m/d/yyy)</t>
  </si>
  <si>
    <t>Name of Complaint/Feedback Provider</t>
  </si>
  <si>
    <t>Name of Place</t>
  </si>
  <si>
    <t>Phone No. (If permitted)</t>
  </si>
  <si>
    <t>Name of Activity Receiving Complaint/Feedback</t>
  </si>
  <si>
    <t>How Complaint/Feedback Was Received</t>
  </si>
  <si>
    <t>Feedback/Complaint Detailed Description</t>
  </si>
  <si>
    <t xml:space="preserve">Complaint / Feedback Category </t>
  </si>
  <si>
    <t>Action Taken to Respond to Feedback/Complaint</t>
  </si>
  <si>
    <t>Name of Staff Member Responding</t>
  </si>
  <si>
    <t>Name of Organization Responding</t>
  </si>
  <si>
    <t>Date of Response (m/d/yyyy)</t>
  </si>
  <si>
    <t>Referred to Whom (if applicable)</t>
  </si>
  <si>
    <t>Status of Response
(Pending or closed)</t>
  </si>
  <si>
    <t>If Pending, Will Respond on (m/d/yyyy)</t>
  </si>
  <si>
    <t>Letter</t>
  </si>
  <si>
    <t>Orgname</t>
  </si>
  <si>
    <t>Health_org</t>
  </si>
  <si>
    <t>Place_type</t>
  </si>
  <si>
    <t>facility_type</t>
  </si>
  <si>
    <t>ethnicity</t>
  </si>
  <si>
    <t>fp_method</t>
  </si>
  <si>
    <t>RI</t>
  </si>
  <si>
    <t>Muslim</t>
  </si>
  <si>
    <t>Hospital</t>
  </si>
  <si>
    <t>Rakhine</t>
  </si>
  <si>
    <t>Depo</t>
  </si>
  <si>
    <t>TYO</t>
  </si>
  <si>
    <t>SKBZ</t>
  </si>
  <si>
    <t>KHAI</t>
  </si>
  <si>
    <t>Pa Oh</t>
  </si>
  <si>
    <t>POP</t>
  </si>
  <si>
    <t>KMSS</t>
  </si>
  <si>
    <t>NK</t>
  </si>
  <si>
    <t>Burma</t>
  </si>
  <si>
    <t>EC</t>
  </si>
  <si>
    <t>GLAD</t>
  </si>
  <si>
    <t>PHWC</t>
  </si>
  <si>
    <t>Ta'ang(Palaung)</t>
  </si>
  <si>
    <t>Implant</t>
  </si>
  <si>
    <t>ALT</t>
  </si>
  <si>
    <t>Karenni</t>
  </si>
  <si>
    <t>IUD</t>
  </si>
  <si>
    <t>Kayan</t>
  </si>
  <si>
    <t>Copper</t>
  </si>
  <si>
    <t>Innthar</t>
  </si>
  <si>
    <t>Multiload</t>
  </si>
  <si>
    <t>Danu</t>
  </si>
  <si>
    <t>Padaung(Kayan)</t>
  </si>
  <si>
    <t>Bwe</t>
  </si>
  <si>
    <t>Kayaw</t>
  </si>
  <si>
    <t>Others</t>
  </si>
  <si>
    <t>SR_Name_Eng</t>
  </si>
  <si>
    <t>Township_Name_Eng</t>
  </si>
  <si>
    <t>state_code</t>
  </si>
  <si>
    <t>tsp_code</t>
  </si>
  <si>
    <t>Bawlake</t>
  </si>
  <si>
    <t>kayah</t>
  </si>
  <si>
    <t>bawlake</t>
  </si>
  <si>
    <t>Demoso</t>
  </si>
  <si>
    <t>Bu Khu</t>
  </si>
  <si>
    <t>kayin</t>
  </si>
  <si>
    <t>demoso</t>
  </si>
  <si>
    <t>Hpasawng</t>
  </si>
  <si>
    <t>Chi Kweit</t>
  </si>
  <si>
    <t>Shan (East)</t>
  </si>
  <si>
    <t>ess</t>
  </si>
  <si>
    <t>hpasawng</t>
  </si>
  <si>
    <t>Hpruso</t>
  </si>
  <si>
    <t>Hway Aw</t>
  </si>
  <si>
    <t>Shan (South)</t>
  </si>
  <si>
    <t>sss</t>
  </si>
  <si>
    <t>hpruso</t>
  </si>
  <si>
    <t>Loikaw</t>
  </si>
  <si>
    <t>Lwei Waing</t>
  </si>
  <si>
    <t>loikaw</t>
  </si>
  <si>
    <t>Mese</t>
  </si>
  <si>
    <t>Nan Hpe</t>
  </si>
  <si>
    <t>mese</t>
  </si>
  <si>
    <t>Shadaw</t>
  </si>
  <si>
    <t>Nan Lin</t>
  </si>
  <si>
    <t>shadaw</t>
  </si>
  <si>
    <t>Hlaingbwe</t>
  </si>
  <si>
    <t>Saw Lon</t>
  </si>
  <si>
    <t>Thandaunggyi</t>
  </si>
  <si>
    <t>thandaunggyi</t>
  </si>
  <si>
    <t>Hpa-An</t>
  </si>
  <si>
    <t>Wan Lwe</t>
  </si>
  <si>
    <t>Ho Tawng (Ho Tao)</t>
  </si>
  <si>
    <t>ho_tawng_ho_tao</t>
  </si>
  <si>
    <t>Hpapun</t>
  </si>
  <si>
    <t>Daw Bu Ku</t>
  </si>
  <si>
    <t>Kengtung</t>
  </si>
  <si>
    <t>kengtung</t>
  </si>
  <si>
    <t>Kawkareik</t>
  </si>
  <si>
    <t>Daw Hpu</t>
  </si>
  <si>
    <t>Mong Hpen</t>
  </si>
  <si>
    <t>mong_hpen</t>
  </si>
  <si>
    <t>Kyainseikgyi</t>
  </si>
  <si>
    <t>Daw Ka Law Du</t>
  </si>
  <si>
    <t>Mong Kar</t>
  </si>
  <si>
    <t>mong_kar</t>
  </si>
  <si>
    <t>Myawaddy</t>
  </si>
  <si>
    <t>Daw Ta Ma Gyi</t>
  </si>
  <si>
    <t>Mong Pawk</t>
  </si>
  <si>
    <t>mong_pawk</t>
  </si>
  <si>
    <t>Daw Taw Ku</t>
  </si>
  <si>
    <t>Monghpyak</t>
  </si>
  <si>
    <t>mong_hpyak</t>
  </si>
  <si>
    <t>Daw Yauk Khu</t>
  </si>
  <si>
    <t>Monghsat</t>
  </si>
  <si>
    <t>monghsat</t>
  </si>
  <si>
    <t>Mongkhet</t>
  </si>
  <si>
    <t>mongkhet</t>
  </si>
  <si>
    <t>Ho Wan</t>
  </si>
  <si>
    <t>Mongla</t>
  </si>
  <si>
    <t>mongla</t>
  </si>
  <si>
    <t>Hpa Yar Hpyu</t>
  </si>
  <si>
    <t>Mongping</t>
  </si>
  <si>
    <t>mongping</t>
  </si>
  <si>
    <t>Htee Hpoe Ka Loe</t>
  </si>
  <si>
    <t>Mongton</t>
  </si>
  <si>
    <t>mongton</t>
  </si>
  <si>
    <t>Khu Pa Yar</t>
  </si>
  <si>
    <t>Mongyang</t>
  </si>
  <si>
    <t>mongyang</t>
  </si>
  <si>
    <t>Lo Bar Kho</t>
  </si>
  <si>
    <t>Mongyawng</t>
  </si>
  <si>
    <t>mongyawng</t>
  </si>
  <si>
    <t>Lo Pu</t>
  </si>
  <si>
    <t>Nam Hpai</t>
  </si>
  <si>
    <t>namhpai</t>
  </si>
  <si>
    <t>Mya Le</t>
  </si>
  <si>
    <t>Tachileik</t>
  </si>
  <si>
    <t>tachileik</t>
  </si>
  <si>
    <t>Nan Mei Khon</t>
  </si>
  <si>
    <t>Hopong</t>
  </si>
  <si>
    <t>hopong</t>
  </si>
  <si>
    <t>Naung Pale</t>
  </si>
  <si>
    <t>Hsihseng</t>
  </si>
  <si>
    <t>hsihseng</t>
  </si>
  <si>
    <t>Ngwe Taung</t>
  </si>
  <si>
    <t>Kalaw</t>
  </si>
  <si>
    <t>kalaw</t>
  </si>
  <si>
    <t>Oh Kay</t>
  </si>
  <si>
    <t>Kunhing</t>
  </si>
  <si>
    <t>kunhing</t>
  </si>
  <si>
    <t>Pan Pet</t>
  </si>
  <si>
    <t>Kyethi</t>
  </si>
  <si>
    <t>kyethi</t>
  </si>
  <si>
    <t>San Pya (6) Maing</t>
  </si>
  <si>
    <t>Laihka</t>
  </si>
  <si>
    <t>laihka</t>
  </si>
  <si>
    <t>Shan (North)</t>
  </si>
  <si>
    <t>Aik Chan (Ai' Chun)</t>
  </si>
  <si>
    <t>Saung Du Lar</t>
  </si>
  <si>
    <t>Langkho</t>
  </si>
  <si>
    <t>langkho</t>
  </si>
  <si>
    <t>Chinshwehaw Sub-township (Kokang SAZ)</t>
  </si>
  <si>
    <t>Saung Du Ywar Thit</t>
  </si>
  <si>
    <t>Lawksawk</t>
  </si>
  <si>
    <t>lawksawk</t>
  </si>
  <si>
    <t>Hkun Mar (Hkwin Ma)</t>
  </si>
  <si>
    <t>Sin Taung</t>
  </si>
  <si>
    <t>Loilen</t>
  </si>
  <si>
    <t>loilen</t>
  </si>
  <si>
    <t>Hopang</t>
  </si>
  <si>
    <t>Thay Su Le</t>
  </si>
  <si>
    <t>Mawkmai</t>
  </si>
  <si>
    <t>mawkmai</t>
  </si>
  <si>
    <t>Hsawng Hpa (Saun Pha)</t>
  </si>
  <si>
    <t>War Ban Pa Loet</t>
  </si>
  <si>
    <t>Monghsu</t>
  </si>
  <si>
    <t>monghsu</t>
  </si>
  <si>
    <t>Hseni</t>
  </si>
  <si>
    <t>War Thaw Kho Ywar Thit</t>
  </si>
  <si>
    <t>Mongkaing</t>
  </si>
  <si>
    <t>mongkaing</t>
  </si>
  <si>
    <t>Hsipaw</t>
  </si>
  <si>
    <t>Ba Han Lawt</t>
  </si>
  <si>
    <t>Mongnai</t>
  </si>
  <si>
    <t>mongnai</t>
  </si>
  <si>
    <t>Ka Lawng Hpar</t>
  </si>
  <si>
    <t>Mongpan</t>
  </si>
  <si>
    <t>mongpan</t>
  </si>
  <si>
    <t>Kawng Min Hsang</t>
  </si>
  <si>
    <t>Ka Rei Khee</t>
  </si>
  <si>
    <t>Nansang</t>
  </si>
  <si>
    <t>nangsang</t>
  </si>
  <si>
    <t>Konkyan</t>
  </si>
  <si>
    <t>Kaw Thu Doe</t>
  </si>
  <si>
    <t>Nyaungshwe</t>
  </si>
  <si>
    <t>nyaungshwe</t>
  </si>
  <si>
    <t>Konkyan (Kokang SAZ)</t>
  </si>
  <si>
    <t>Kwar Khee</t>
  </si>
  <si>
    <t>Pekon</t>
  </si>
  <si>
    <t>pekon</t>
  </si>
  <si>
    <t>Kunlong</t>
  </si>
  <si>
    <t>Maw Chee</t>
  </si>
  <si>
    <t>Pindaya</t>
  </si>
  <si>
    <t>pindaya</t>
  </si>
  <si>
    <t>Kutkai</t>
  </si>
  <si>
    <t>Mo Sar Khee</t>
  </si>
  <si>
    <t>Pinlaung</t>
  </si>
  <si>
    <t>pinlaung</t>
  </si>
  <si>
    <t>Kyaukme</t>
  </si>
  <si>
    <t>Wan Aung</t>
  </si>
  <si>
    <t>Taunggyi</t>
  </si>
  <si>
    <t>taunggyi</t>
  </si>
  <si>
    <t>Lashio</t>
  </si>
  <si>
    <t>Do Mo Saw</t>
  </si>
  <si>
    <t>Ywangan</t>
  </si>
  <si>
    <t>ywangan</t>
  </si>
  <si>
    <t>Laukkaing</t>
  </si>
  <si>
    <t>Doe Lar Saw</t>
  </si>
  <si>
    <t>Laukkaing (Kokang SAZ)</t>
  </si>
  <si>
    <t>Doe Pa Rei</t>
  </si>
  <si>
    <t>Lin Haw</t>
  </si>
  <si>
    <t>Ho Yar</t>
  </si>
  <si>
    <t>Long Htan</t>
  </si>
  <si>
    <t>Mabein</t>
  </si>
  <si>
    <t>Htee Paw So</t>
  </si>
  <si>
    <t>Man Man Hseng</t>
  </si>
  <si>
    <t>Kay Hlar (Kyei Hpoe Gyi)</t>
  </si>
  <si>
    <t>Man Tun</t>
  </si>
  <si>
    <t>Kay Kaw</t>
  </si>
  <si>
    <t>Manton</t>
  </si>
  <si>
    <t>Mar Kha Yaw Shey</t>
  </si>
  <si>
    <t>Matman</t>
  </si>
  <si>
    <t>Mo So</t>
  </si>
  <si>
    <t>Mongmao</t>
  </si>
  <si>
    <t>Rar Aye Pa Rar</t>
  </si>
  <si>
    <t>Mongmit</t>
  </si>
  <si>
    <t>Raw Daw Khaw</t>
  </si>
  <si>
    <t>Mongyai</t>
  </si>
  <si>
    <t>Taw Khu</t>
  </si>
  <si>
    <t>Muse</t>
  </si>
  <si>
    <t>Tho Thee Hpo</t>
  </si>
  <si>
    <t>Nam Hkam Wu</t>
  </si>
  <si>
    <t>Chi Kei</t>
  </si>
  <si>
    <t>Nam Tit</t>
  </si>
  <si>
    <t>Daw Paw Ka Le</t>
  </si>
  <si>
    <t>Namhkan</t>
  </si>
  <si>
    <t>Htee Se Khar</t>
  </si>
  <si>
    <t>Namhsan</t>
  </si>
  <si>
    <t>Htee Ta Ngar</t>
  </si>
  <si>
    <t>Namtu</t>
  </si>
  <si>
    <t>Kone Thar</t>
  </si>
  <si>
    <t>Nar Kawng</t>
  </si>
  <si>
    <t>Law Da Lay</t>
  </si>
  <si>
    <t>Nar Wee (Na Wi)</t>
  </si>
  <si>
    <t>Ma Htaw Khu</t>
  </si>
  <si>
    <t>Narphan</t>
  </si>
  <si>
    <t>Noe Koe</t>
  </si>
  <si>
    <t>Nawng Hkit</t>
  </si>
  <si>
    <t>Nwar La Woe</t>
  </si>
  <si>
    <t>Nawnghkio</t>
  </si>
  <si>
    <t>Pan Kan</t>
  </si>
  <si>
    <t>Pang Hkam</t>
  </si>
  <si>
    <t>Par Laung</t>
  </si>
  <si>
    <t>Pang Yang</t>
  </si>
  <si>
    <t>Pein Chit</t>
  </si>
  <si>
    <t>Pangsang (Panghkam)</t>
  </si>
  <si>
    <t>Tee Lon</t>
  </si>
  <si>
    <t>Pangwaun</t>
  </si>
  <si>
    <t>Daw Ka Dwee</t>
  </si>
  <si>
    <t>Tangyan</t>
  </si>
  <si>
    <t>Ho Gyit</t>
  </si>
  <si>
    <t>Yawng Lin</t>
  </si>
  <si>
    <t>Mei Se Nan</t>
  </si>
  <si>
    <t>Yin Pang</t>
  </si>
  <si>
    <t>Nan Man</t>
  </si>
  <si>
    <t>Thar Yar</t>
  </si>
  <si>
    <t>Shadaw (Middle)</t>
  </si>
  <si>
    <t>Shadaw (North)</t>
  </si>
  <si>
    <t>Shadaw (South)</t>
  </si>
  <si>
    <t>Than Lwin (East)</t>
  </si>
  <si>
    <t>Ah Doe Thea Pyaw</t>
  </si>
  <si>
    <t>Ah Lel Chaung</t>
  </si>
  <si>
    <t>Bo Khar Lay Kho</t>
  </si>
  <si>
    <t>Chaung Ma Nge</t>
  </si>
  <si>
    <t>Chee Thu Saw (Lower)</t>
  </si>
  <si>
    <t>Dar War Law Chi</t>
  </si>
  <si>
    <t>Dar Yoe</t>
  </si>
  <si>
    <t>Hnget Pyaw Taw</t>
  </si>
  <si>
    <t>Ho Thaw Pa Lo</t>
  </si>
  <si>
    <t>Hoe Chee</t>
  </si>
  <si>
    <t>Hta Mon</t>
  </si>
  <si>
    <t>Htee Thar Saw</t>
  </si>
  <si>
    <t>Ka Lay Kho</t>
  </si>
  <si>
    <t>Ka Lay Ta</t>
  </si>
  <si>
    <t>Ka Saw Pa Lo</t>
  </si>
  <si>
    <t>Kha Mar Di Hpo Li</t>
  </si>
  <si>
    <t>Khon Taing</t>
  </si>
  <si>
    <t>Kya Maing</t>
  </si>
  <si>
    <t>Kyauk Gyi Taung</t>
  </si>
  <si>
    <t>Kyauk Hpyar</t>
  </si>
  <si>
    <t>Kyauk Pon</t>
  </si>
  <si>
    <t>Kyauk Ta Gar</t>
  </si>
  <si>
    <t>Kyay Ka Tawt</t>
  </si>
  <si>
    <t>Kyay Min</t>
  </si>
  <si>
    <t>Kywe Hpyu Taung</t>
  </si>
  <si>
    <t>La Bet Inn Gyi</t>
  </si>
  <si>
    <t>Leik Pyar Gyi</t>
  </si>
  <si>
    <t>Leik Pyar Ka Lay</t>
  </si>
  <si>
    <t>Leik Tho Gyi</t>
  </si>
  <si>
    <t>Lel Kho Doe Kar</t>
  </si>
  <si>
    <t>Lel Kho Doe Kho</t>
  </si>
  <si>
    <t>Maung Ba Lauk</t>
  </si>
  <si>
    <t>Maung Kyaw</t>
  </si>
  <si>
    <t>Maung Nwet Gyi</t>
  </si>
  <si>
    <t>Maung Taing Gyi</t>
  </si>
  <si>
    <t>Me Tin Tein</t>
  </si>
  <si>
    <t>Meik Tha Lin Taung</t>
  </si>
  <si>
    <t>Min Lan Taung</t>
  </si>
  <si>
    <t>Mong Lun</t>
  </si>
  <si>
    <t>Ngwe Taung (Lower)</t>
  </si>
  <si>
    <t>Pyaung Tho</t>
  </si>
  <si>
    <t>Sa Par Kyi</t>
  </si>
  <si>
    <t>Shan Lel Pyin (Lower)</t>
  </si>
  <si>
    <t>Shan Lel Pyin Gyi</t>
  </si>
  <si>
    <t>Sho Kho</t>
  </si>
  <si>
    <t>Si Ke Doe</t>
  </si>
  <si>
    <t>Si Pin Gyi</t>
  </si>
  <si>
    <t>Si Pin Ka Lay</t>
  </si>
  <si>
    <t>Taw Pone</t>
  </si>
  <si>
    <t>Taw Pyar Gyi</t>
  </si>
  <si>
    <t>Tha Lo Bwar</t>
  </si>
  <si>
    <t>Tha Pyay Nyunt</t>
  </si>
  <si>
    <t>Thar Mi Taik</t>
  </si>
  <si>
    <t>Thar Moe Taung</t>
  </si>
  <si>
    <t>Yae Ta Khun</t>
  </si>
  <si>
    <t>Yae Thoe Gyi</t>
  </si>
  <si>
    <t>Ywar Gyi</t>
  </si>
  <si>
    <t>Za Le</t>
  </si>
  <si>
    <t>Zin Taing Gyi</t>
  </si>
  <si>
    <t>Kyein Hkam</t>
  </si>
  <si>
    <t>Nam Du</t>
  </si>
  <si>
    <t>Nam Tun</t>
  </si>
  <si>
    <t>Nawng Tawng</t>
  </si>
  <si>
    <t>Hway Kwei</t>
  </si>
  <si>
    <t>Kat Hpa</t>
  </si>
  <si>
    <t>Kat Htaik</t>
  </si>
  <si>
    <t>Kat Taung</t>
  </si>
  <si>
    <t>Loi Long</t>
  </si>
  <si>
    <t>Loi Mway</t>
  </si>
  <si>
    <t>Mong Da Hkun</t>
  </si>
  <si>
    <t>Mong Inn</t>
  </si>
  <si>
    <t>Mong Kai</t>
  </si>
  <si>
    <t>Mong Lan</t>
  </si>
  <si>
    <t>Mong Lat</t>
  </si>
  <si>
    <t>Mong Naw/Hpar Ta</t>
  </si>
  <si>
    <t>Mong Ngun</t>
  </si>
  <si>
    <t>Mong Pang (Middle)</t>
  </si>
  <si>
    <t>Mong Pat (Lower)</t>
  </si>
  <si>
    <t>Mong Pat (Upper)</t>
  </si>
  <si>
    <t>Mong Zin</t>
  </si>
  <si>
    <t>Nam Hkat</t>
  </si>
  <si>
    <t>Nam Inn</t>
  </si>
  <si>
    <t>Nam Ni/Nam Long</t>
  </si>
  <si>
    <t>Nar Paw</t>
  </si>
  <si>
    <t>Nawng Kon</t>
  </si>
  <si>
    <t>Pang Kyu</t>
  </si>
  <si>
    <t>Pang Mat</t>
  </si>
  <si>
    <t>Pin Tauk</t>
  </si>
  <si>
    <t>Tar Lay</t>
  </si>
  <si>
    <t>Wut Hsawng</t>
  </si>
  <si>
    <t>Yang Hka</t>
  </si>
  <si>
    <t>Yang Kying</t>
  </si>
  <si>
    <t>Yang Law</t>
  </si>
  <si>
    <t>Ho Hin</t>
  </si>
  <si>
    <t>Mong Tway</t>
  </si>
  <si>
    <t>Par Hsan Kya</t>
  </si>
  <si>
    <t>Shea Kyan</t>
  </si>
  <si>
    <t>Ton Long</t>
  </si>
  <si>
    <t>Par Nauk</t>
  </si>
  <si>
    <t>Mong Pawk Market</t>
  </si>
  <si>
    <t>Nam Au</t>
  </si>
  <si>
    <t>Nam Mawng</t>
  </si>
  <si>
    <t>Ton Hpa</t>
  </si>
  <si>
    <t>Wan Kawng</t>
  </si>
  <si>
    <t>Yawng Hat</t>
  </si>
  <si>
    <t>Aik Long</t>
  </si>
  <si>
    <t>Aik Ngu</t>
  </si>
  <si>
    <t>Hsar Lu</t>
  </si>
  <si>
    <t>Hsee Mun</t>
  </si>
  <si>
    <t>Hway Sho</t>
  </si>
  <si>
    <t>Kawng Mu</t>
  </si>
  <si>
    <t>Lan Hsat</t>
  </si>
  <si>
    <t>Long Kaunt</t>
  </si>
  <si>
    <t>Mong He</t>
  </si>
  <si>
    <t>Mong Hpyat</t>
  </si>
  <si>
    <t>Mong Tin</t>
  </si>
  <si>
    <t>Mun Kar Kyawng</t>
  </si>
  <si>
    <t>Nam Het Pong</t>
  </si>
  <si>
    <t>Nam Kone</t>
  </si>
  <si>
    <t>Nam Lan</t>
  </si>
  <si>
    <t>Nam Lauk</t>
  </si>
  <si>
    <t>Nam Nang</t>
  </si>
  <si>
    <t>Nam Pang</t>
  </si>
  <si>
    <t>Nam Yun</t>
  </si>
  <si>
    <t>Taw Nyu Nam Hkam (Lower)</t>
  </si>
  <si>
    <t>Wan Long</t>
  </si>
  <si>
    <t>Wan Pong</t>
  </si>
  <si>
    <t>Ho Nar</t>
  </si>
  <si>
    <t>Hpan Hpu</t>
  </si>
  <si>
    <t>Hsaik Hkawng</t>
  </si>
  <si>
    <t>Hsan Kan</t>
  </si>
  <si>
    <t>Kawng Hmu Kan</t>
  </si>
  <si>
    <t>Kya Ti</t>
  </si>
  <si>
    <t>Loi Hsawng</t>
  </si>
  <si>
    <t>Loi Lan</t>
  </si>
  <si>
    <t>Ma Huong Kan</t>
  </si>
  <si>
    <t>Ma Huong Loi</t>
  </si>
  <si>
    <t>Ma Oht</t>
  </si>
  <si>
    <t>Mae Hsat</t>
  </si>
  <si>
    <t>Mae Nin</t>
  </si>
  <si>
    <t>Mae Pu Long</t>
  </si>
  <si>
    <t>Mae Sum Taung</t>
  </si>
  <si>
    <t>Mong Hta Lang</t>
  </si>
  <si>
    <t>Mong Long</t>
  </si>
  <si>
    <t>Mong Nin</t>
  </si>
  <si>
    <t>Mong Tun (Taung Paw)</t>
  </si>
  <si>
    <t>Mong Yun (Tar Ku)</t>
  </si>
  <si>
    <t>Nang Mun</t>
  </si>
  <si>
    <t>Sa Tone</t>
  </si>
  <si>
    <t>Tant Hseng</t>
  </si>
  <si>
    <t>Wan Nawng</t>
  </si>
  <si>
    <t>Wan Ton (Mong Twin)</t>
  </si>
  <si>
    <t>Wein Nay</t>
  </si>
  <si>
    <t>Hoke Pong</t>
  </si>
  <si>
    <t>Hpar Lan/Kaw</t>
  </si>
  <si>
    <t>Mong Han</t>
  </si>
  <si>
    <t>Mong Hnone</t>
  </si>
  <si>
    <t>Mong Hnyin</t>
  </si>
  <si>
    <t>Nam Hsaw</t>
  </si>
  <si>
    <t>Nam Yang Long</t>
  </si>
  <si>
    <t>Nawng Long</t>
  </si>
  <si>
    <t>Par Hkar Long</t>
  </si>
  <si>
    <t>Par Pun</t>
  </si>
  <si>
    <t>Ton Hpa Kaw</t>
  </si>
  <si>
    <t>Wan Aun</t>
  </si>
  <si>
    <t>Wan Hkoke</t>
  </si>
  <si>
    <t>Wan Nawng Long</t>
  </si>
  <si>
    <t>Wan Ping</t>
  </si>
  <si>
    <t>Hta Pang Long</t>
  </si>
  <si>
    <t>Mong Ma</t>
  </si>
  <si>
    <t>Mong Wa</t>
  </si>
  <si>
    <t>Sut Pa Lway</t>
  </si>
  <si>
    <t>Tar Pin</t>
  </si>
  <si>
    <t>Tar Pong</t>
  </si>
  <si>
    <t>Wan Hpar Hkar</t>
  </si>
  <si>
    <t>Wan Mong Long</t>
  </si>
  <si>
    <t>Hawng Kan</t>
  </si>
  <si>
    <t>Hpar Hkam</t>
  </si>
  <si>
    <t>Hpar Waw</t>
  </si>
  <si>
    <t>Hsi Pawt</t>
  </si>
  <si>
    <t>Hsin Mawng</t>
  </si>
  <si>
    <t>Htam Yang</t>
  </si>
  <si>
    <t>Hway Hku Yu</t>
  </si>
  <si>
    <t>Kone Hsar</t>
  </si>
  <si>
    <t>Kyawng Hkar</t>
  </si>
  <si>
    <t>Mong Hlyan</t>
  </si>
  <si>
    <t>Mong Man</t>
  </si>
  <si>
    <t>Mong Pu Aun</t>
  </si>
  <si>
    <t>Mong Pu Gyi</t>
  </si>
  <si>
    <t>Mong Shen</t>
  </si>
  <si>
    <t>Nam Sho</t>
  </si>
  <si>
    <t>Nar Kyawng</t>
  </si>
  <si>
    <t>Nar Maw</t>
  </si>
  <si>
    <t>Nawng Hkit (Wan Chan)</t>
  </si>
  <si>
    <t>Nawng Kwe</t>
  </si>
  <si>
    <t>Pang Nawng Long (Thit)</t>
  </si>
  <si>
    <t>Pang Waun</t>
  </si>
  <si>
    <t>Pyet Kant</t>
  </si>
  <si>
    <t>Tar Kaw</t>
  </si>
  <si>
    <t>Wan Hpyit</t>
  </si>
  <si>
    <t>Wan Mat Long</t>
  </si>
  <si>
    <t>Wan Tar Hket</t>
  </si>
  <si>
    <t>Yang Hkam</t>
  </si>
  <si>
    <t>Yang Mai</t>
  </si>
  <si>
    <t>Hkaing Long</t>
  </si>
  <si>
    <t>Ho Pang</t>
  </si>
  <si>
    <t>Hpar Chei</t>
  </si>
  <si>
    <t>Hsan Kyu</t>
  </si>
  <si>
    <t>Hway Ah (Hway Ha)</t>
  </si>
  <si>
    <t>Hway Yawng</t>
  </si>
  <si>
    <t>Kone Ti Vi</t>
  </si>
  <si>
    <t>Loi Hkam Long</t>
  </si>
  <si>
    <t>Me Kin</t>
  </si>
  <si>
    <t>Mone Htaw</t>
  </si>
  <si>
    <t>Mong Kan</t>
  </si>
  <si>
    <t>Mong Ton</t>
  </si>
  <si>
    <t>Nam Hu Hkun</t>
  </si>
  <si>
    <t>Pang Say Htauk</t>
  </si>
  <si>
    <t>Tan Goe (Tan Woe)</t>
  </si>
  <si>
    <t>Ann Hkit</t>
  </si>
  <si>
    <t>Ho Tawng</t>
  </si>
  <si>
    <t>Mong Hpyan</t>
  </si>
  <si>
    <t>Mong Lway</t>
  </si>
  <si>
    <t>Mong Pauk (Kachin)</t>
  </si>
  <si>
    <t>Mong Yang</t>
  </si>
  <si>
    <t>Mun Hkam Hing</t>
  </si>
  <si>
    <t>Mut Kin</t>
  </si>
  <si>
    <t>Nam Hsi Pang</t>
  </si>
  <si>
    <t>Pauk Nway</t>
  </si>
  <si>
    <t>Yang Kawng</t>
  </si>
  <si>
    <t>Yang Ngin</t>
  </si>
  <si>
    <t>Hawng Kyant</t>
  </si>
  <si>
    <t>Hway Hpa</t>
  </si>
  <si>
    <t>Keng Hkam</t>
  </si>
  <si>
    <t>Keng Kone</t>
  </si>
  <si>
    <t>Mone Laik</t>
  </si>
  <si>
    <t>Mong Hee</t>
  </si>
  <si>
    <t>Mong Hkan</t>
  </si>
  <si>
    <t>Mong Hsaw</t>
  </si>
  <si>
    <t>Mong Htan</t>
  </si>
  <si>
    <t>Mong Nang</t>
  </si>
  <si>
    <t>Wan Boe</t>
  </si>
  <si>
    <t>Wan Dun Nwet</t>
  </si>
  <si>
    <t>Wan Hpyat</t>
  </si>
  <si>
    <t>Wan Htan Kyant</t>
  </si>
  <si>
    <t>Wan In</t>
  </si>
  <si>
    <t>Wan Man</t>
  </si>
  <si>
    <t>Wan Par Hoke</t>
  </si>
  <si>
    <t>Wan Tat</t>
  </si>
  <si>
    <t>Kan Kawt</t>
  </si>
  <si>
    <t>Nam Pong</t>
  </si>
  <si>
    <t>Nam Yang</t>
  </si>
  <si>
    <t>Hpan Min</t>
  </si>
  <si>
    <t>Kyar Hkam Kyauk</t>
  </si>
  <si>
    <t>Loi Taw Hkam</t>
  </si>
  <si>
    <t>Mong Hpone (Ka)</t>
  </si>
  <si>
    <t>Mong Hpone (Kha)</t>
  </si>
  <si>
    <t>Mong Koe</t>
  </si>
  <si>
    <t>Mong Lin (East)</t>
  </si>
  <si>
    <t>Mong Lin (West)</t>
  </si>
  <si>
    <t>Mong Pa Hlyo</t>
  </si>
  <si>
    <t>Nam Hkin</t>
  </si>
  <si>
    <t>Nar Yawng</t>
  </si>
  <si>
    <t>Baw Kone</t>
  </si>
  <si>
    <t>Hpet Yang</t>
  </si>
  <si>
    <t>Hsa Nin</t>
  </si>
  <si>
    <t>Kone Keng</t>
  </si>
  <si>
    <t>Kyauk Tan</t>
  </si>
  <si>
    <t>Le Thet</t>
  </si>
  <si>
    <t>Loi Aun</t>
  </si>
  <si>
    <t>Long Hay</t>
  </si>
  <si>
    <t>Long Hkoke</t>
  </si>
  <si>
    <t>Mauk Mun</t>
  </si>
  <si>
    <t>Mong Lin</t>
  </si>
  <si>
    <t>Mong Pying</t>
  </si>
  <si>
    <t>Nam Hkoke</t>
  </si>
  <si>
    <t>Nam Par Chee</t>
  </si>
  <si>
    <t>Nar Pong</t>
  </si>
  <si>
    <t>Nar Tit</t>
  </si>
  <si>
    <t>Nawng Day</t>
  </si>
  <si>
    <t>Nawng Lai Mu Hpeik</t>
  </si>
  <si>
    <t>Pawng Lin</t>
  </si>
  <si>
    <t>Sa Ngaw</t>
  </si>
  <si>
    <t>Sam Hpu (Me Nei Taung)</t>
  </si>
  <si>
    <t>Ti Long</t>
  </si>
  <si>
    <t>Bang Yin</t>
  </si>
  <si>
    <t>Bant Bwee</t>
  </si>
  <si>
    <t>Kone Hsut</t>
  </si>
  <si>
    <t>Loi Put</t>
  </si>
  <si>
    <t>Loi Yun Nar Than</t>
  </si>
  <si>
    <t>Nar Hkaik</t>
  </si>
  <si>
    <t>Nawng Mun</t>
  </si>
  <si>
    <t>Par Law Par Kei</t>
  </si>
  <si>
    <t>Pin Son</t>
  </si>
  <si>
    <t>Pong Inn</t>
  </si>
  <si>
    <t>Ta Bet</t>
  </si>
  <si>
    <t>Taung (East)</t>
  </si>
  <si>
    <t>Baw Hseng</t>
  </si>
  <si>
    <t>Baw Nin</t>
  </si>
  <si>
    <t>Kan Bar Ni</t>
  </si>
  <si>
    <t>Kyauk Htat</t>
  </si>
  <si>
    <t>La Mong</t>
  </si>
  <si>
    <t>Lel Kyar</t>
  </si>
  <si>
    <t>Loi An</t>
  </si>
  <si>
    <t>Loi Maw</t>
  </si>
  <si>
    <t>Myin Ma Hti</t>
  </si>
  <si>
    <t>Nang Naing</t>
  </si>
  <si>
    <t>Nang Taing</t>
  </si>
  <si>
    <t>Nawng Ye</t>
  </si>
  <si>
    <t>Ngoke</t>
  </si>
  <si>
    <t>Ngone Thon</t>
  </si>
  <si>
    <t>Pe Yin Taung</t>
  </si>
  <si>
    <t>Pin Hmi</t>
  </si>
  <si>
    <t>Sa Kar Inn</t>
  </si>
  <si>
    <t>Shwe Min Hpone</t>
  </si>
  <si>
    <t>Taung Kwe</t>
  </si>
  <si>
    <t>Taung Lar</t>
  </si>
  <si>
    <t>Thar Mong Hkam</t>
  </si>
  <si>
    <t>Thi Hkawng</t>
  </si>
  <si>
    <t>Thu Ye</t>
  </si>
  <si>
    <t>War Yon Pin</t>
  </si>
  <si>
    <t>Wet Hpyu Yae</t>
  </si>
  <si>
    <t>Yae Cho</t>
  </si>
  <si>
    <t>Hseng Hkawng</t>
  </si>
  <si>
    <t>Keng Lun</t>
  </si>
  <si>
    <t>Kun Pu</t>
  </si>
  <si>
    <t>Kunhing Myo Ma</t>
  </si>
  <si>
    <t>Laik Tat</t>
  </si>
  <si>
    <t>Loi Keng</t>
  </si>
  <si>
    <t>Nar Pwe</t>
  </si>
  <si>
    <t>Ngar Taing</t>
  </si>
  <si>
    <t>Wan Hpai</t>
  </si>
  <si>
    <t>Wan Law</t>
  </si>
  <si>
    <t>Wan Pat</t>
  </si>
  <si>
    <t>Har Wan</t>
  </si>
  <si>
    <t>Hkauk Sant</t>
  </si>
  <si>
    <t>Ho Pong</t>
  </si>
  <si>
    <t>Hpat Nam</t>
  </si>
  <si>
    <t>Hseng Len</t>
  </si>
  <si>
    <t>Keng Len</t>
  </si>
  <si>
    <t>Long Yang</t>
  </si>
  <si>
    <t>Mong Hsaung</t>
  </si>
  <si>
    <t>Mong Kawng</t>
  </si>
  <si>
    <t>Mong Ye</t>
  </si>
  <si>
    <t>Nar Kan</t>
  </si>
  <si>
    <t>Nar Loi</t>
  </si>
  <si>
    <t>Nawng Ae</t>
  </si>
  <si>
    <t>Nawng Sum</t>
  </si>
  <si>
    <t>Nawng Taw</t>
  </si>
  <si>
    <t>Pang Lawt</t>
  </si>
  <si>
    <t>Pang Sei</t>
  </si>
  <si>
    <t>Tu Yar</t>
  </si>
  <si>
    <t>Wan Chin</t>
  </si>
  <si>
    <t>Wan Hai</t>
  </si>
  <si>
    <t>Wan Hkont</t>
  </si>
  <si>
    <t>Wan Hpwee</t>
  </si>
  <si>
    <t>Wan Sat</t>
  </si>
  <si>
    <t>Wan Sein</t>
  </si>
  <si>
    <t>Wan Ton</t>
  </si>
  <si>
    <t>Wan Wa</t>
  </si>
  <si>
    <t>Wan Wut</t>
  </si>
  <si>
    <t>Wein Kawng</t>
  </si>
  <si>
    <t>He Hseng</t>
  </si>
  <si>
    <t>Hpar Lan</t>
  </si>
  <si>
    <t>Myo Ma</t>
  </si>
  <si>
    <t>Nam Toke</t>
  </si>
  <si>
    <t>Nar Man</t>
  </si>
  <si>
    <t>Nawng Kawt</t>
  </si>
  <si>
    <t>Pang Sang</t>
  </si>
  <si>
    <t>Pang Tan</t>
  </si>
  <si>
    <t>Pong Nay</t>
  </si>
  <si>
    <t>Pong Taik</t>
  </si>
  <si>
    <t>Tat Mauk</t>
  </si>
  <si>
    <t>Wan Hti</t>
  </si>
  <si>
    <t>Wan Lay</t>
  </si>
  <si>
    <t>Wan Pang</t>
  </si>
  <si>
    <t>Wan Sang</t>
  </si>
  <si>
    <t>Wan Seit</t>
  </si>
  <si>
    <t>Wan Ying</t>
  </si>
  <si>
    <t>Dar Seik</t>
  </si>
  <si>
    <t>Haik Kwayt</t>
  </si>
  <si>
    <t>Hkon Long</t>
  </si>
  <si>
    <t>Ma Aun Lawng</t>
  </si>
  <si>
    <t>Mae Aw</t>
  </si>
  <si>
    <t>Nawng Aw</t>
  </si>
  <si>
    <t>Pong Htun</t>
  </si>
  <si>
    <t>Wan Hat</t>
  </si>
  <si>
    <t>Wan Sa Lawng</t>
  </si>
  <si>
    <t>Wan Sit</t>
  </si>
  <si>
    <t>Wan Ting</t>
  </si>
  <si>
    <t>Hpawng Taw</t>
  </si>
  <si>
    <t>Hway</t>
  </si>
  <si>
    <t>Kaung Boet</t>
  </si>
  <si>
    <t>Kyauk Gu</t>
  </si>
  <si>
    <t>Kyauk Taw</t>
  </si>
  <si>
    <t>Loi Koe</t>
  </si>
  <si>
    <t>Ma Gyi Kone</t>
  </si>
  <si>
    <t>Mar Thea</t>
  </si>
  <si>
    <t>Myin Taung</t>
  </si>
  <si>
    <t>Nan Lwe</t>
  </si>
  <si>
    <t>Nang Kawng Hmu</t>
  </si>
  <si>
    <t>Nawng Woe</t>
  </si>
  <si>
    <t>Ong Kwe</t>
  </si>
  <si>
    <t>Par Me</t>
  </si>
  <si>
    <t>Yan Twin Ngar Kyaung</t>
  </si>
  <si>
    <t>He Nang</t>
  </si>
  <si>
    <t>Hkauk Nwet</t>
  </si>
  <si>
    <t>Hsa Hawng</t>
  </si>
  <si>
    <t>Hway Tauk</t>
  </si>
  <si>
    <t>Kone Yaw</t>
  </si>
  <si>
    <t>Loilen (East)</t>
  </si>
  <si>
    <t>Mong Pun</t>
  </si>
  <si>
    <t>Nam Hta Mo</t>
  </si>
  <si>
    <t>Nar Yang</t>
  </si>
  <si>
    <t>Nawng Lai</t>
  </si>
  <si>
    <t>Pang Mont</t>
  </si>
  <si>
    <t>Pang Woe</t>
  </si>
  <si>
    <t>Pinlon (East)</t>
  </si>
  <si>
    <t>Sin Chay Hpone</t>
  </si>
  <si>
    <t>Tant Ae</t>
  </si>
  <si>
    <t>Taung Nauk</t>
  </si>
  <si>
    <t>Ho Loi</t>
  </si>
  <si>
    <t>Ho Nam</t>
  </si>
  <si>
    <t>Ka Du Gyi</t>
  </si>
  <si>
    <t>Mong Poke</t>
  </si>
  <si>
    <t>Nam Lut</t>
  </si>
  <si>
    <t>Sint Hseng</t>
  </si>
  <si>
    <t>Sint Win</t>
  </si>
  <si>
    <t>Haik Par</t>
  </si>
  <si>
    <t>Ho Hseng</t>
  </si>
  <si>
    <t>Hpar Ya</t>
  </si>
  <si>
    <t>Hway Hay</t>
  </si>
  <si>
    <t>Kun Kyawng</t>
  </si>
  <si>
    <t>Loi Naing</t>
  </si>
  <si>
    <t>Maw Mayt</t>
  </si>
  <si>
    <t>Mong Awt</t>
  </si>
  <si>
    <t>Mong Sam</t>
  </si>
  <si>
    <t>Myoma Pang Swea</t>
  </si>
  <si>
    <t>Nam Tawng</t>
  </si>
  <si>
    <t>Nar San</t>
  </si>
  <si>
    <t>Nar Waun</t>
  </si>
  <si>
    <t>Nawng Et</t>
  </si>
  <si>
    <t>Wan Hsawt</t>
  </si>
  <si>
    <t>Wan Loi</t>
  </si>
  <si>
    <t>Ham Ngaing</t>
  </si>
  <si>
    <t>Hkay Ong Awayt</t>
  </si>
  <si>
    <t>Ho Hke</t>
  </si>
  <si>
    <t>Hsan Ha</t>
  </si>
  <si>
    <t>Kone Long</t>
  </si>
  <si>
    <t>Loi Kon</t>
  </si>
  <si>
    <t>Loke Tawng</t>
  </si>
  <si>
    <t>Mong Hkun</t>
  </si>
  <si>
    <t>Mong Yun</t>
  </si>
  <si>
    <t>Myo Ma Sin Chay Hpone (East)</t>
  </si>
  <si>
    <t>Myo Ma Sin Chay Hpone (North)</t>
  </si>
  <si>
    <t>Nam Hu</t>
  </si>
  <si>
    <t>Nar Hwei</t>
  </si>
  <si>
    <t>Nawng Sam Hpu</t>
  </si>
  <si>
    <t>Pang Kay Tu</t>
  </si>
  <si>
    <t>Par Hkawng</t>
  </si>
  <si>
    <t>Son Law</t>
  </si>
  <si>
    <t>Ton Law</t>
  </si>
  <si>
    <t>Wan Hway Aum</t>
  </si>
  <si>
    <t>Wan Hway Long</t>
  </si>
  <si>
    <t>Yang Nang</t>
  </si>
  <si>
    <t>Ho Ha</t>
  </si>
  <si>
    <t>Kone Lun</t>
  </si>
  <si>
    <t>Kun Long</t>
  </si>
  <si>
    <t>Kun Nar</t>
  </si>
  <si>
    <t>Mai Hai</t>
  </si>
  <si>
    <t>Nam Maw Sum</t>
  </si>
  <si>
    <t>Nar Hkan</t>
  </si>
  <si>
    <t>Nar Pawt</t>
  </si>
  <si>
    <t>Nawng Hee</t>
  </si>
  <si>
    <t>Nawng Myaing</t>
  </si>
  <si>
    <t>Pang Sein (Kar Ha)</t>
  </si>
  <si>
    <t>Wan Hay</t>
  </si>
  <si>
    <t>Wan Nar</t>
  </si>
  <si>
    <t>Hsar War</t>
  </si>
  <si>
    <t>Mongpan (East)</t>
  </si>
  <si>
    <t>Nam Ting</t>
  </si>
  <si>
    <t>Nar Law</t>
  </si>
  <si>
    <t>Nar Mun</t>
  </si>
  <si>
    <t>Nawng Lum</t>
  </si>
  <si>
    <t>Nawng Yin</t>
  </si>
  <si>
    <t>Taung Kaing</t>
  </si>
  <si>
    <t>Woe Laing</t>
  </si>
  <si>
    <t>Ah Hmat (5)</t>
  </si>
  <si>
    <t>Bant Hin</t>
  </si>
  <si>
    <t>Hai Hpat</t>
  </si>
  <si>
    <t>Hai Laik</t>
  </si>
  <si>
    <t>Hai Nar Gyi</t>
  </si>
  <si>
    <t>Hko Aut</t>
  </si>
  <si>
    <t>Ho Nawng</t>
  </si>
  <si>
    <t>Ho Yang</t>
  </si>
  <si>
    <t>Loi La</t>
  </si>
  <si>
    <t>Loi Ye</t>
  </si>
  <si>
    <t>Met Mon Mun</t>
  </si>
  <si>
    <t>Mong Seik</t>
  </si>
  <si>
    <t>Nam Hsan</t>
  </si>
  <si>
    <t>Nam Lit</t>
  </si>
  <si>
    <t>Ping Hse</t>
  </si>
  <si>
    <t>Ton Huong</t>
  </si>
  <si>
    <t>Bang Pyin</t>
  </si>
  <si>
    <t>He Yar Ywar Ma</t>
  </si>
  <si>
    <t>Inn Chan Kay Lar</t>
  </si>
  <si>
    <t>Inn Hlar Keng Hkam</t>
  </si>
  <si>
    <t>Inn Paw Hkon</t>
  </si>
  <si>
    <t>Inn Tan</t>
  </si>
  <si>
    <t>Inn Tein</t>
  </si>
  <si>
    <t>Khaung Taing</t>
  </si>
  <si>
    <t>Kyauk Taing</t>
  </si>
  <si>
    <t>Kyay Paw Hkon</t>
  </si>
  <si>
    <t>Kyun Gyi</t>
  </si>
  <si>
    <t>Let Maung Kway</t>
  </si>
  <si>
    <t>Lin Kin</t>
  </si>
  <si>
    <t>Lin Lan (North)</t>
  </si>
  <si>
    <t>Lin Lan (South)</t>
  </si>
  <si>
    <t>Long Kan</t>
  </si>
  <si>
    <t>Min Chaung</t>
  </si>
  <si>
    <t>Mong Pyoe</t>
  </si>
  <si>
    <t>Mong Thauk</t>
  </si>
  <si>
    <t>Nang Pang</t>
  </si>
  <si>
    <t>Nang Thea</t>
  </si>
  <si>
    <t>Nga Hpei Chaung</t>
  </si>
  <si>
    <t>Pont Mu</t>
  </si>
  <si>
    <t>San Kar</t>
  </si>
  <si>
    <t>Taung Chay Myin Sa Hkunt</t>
  </si>
  <si>
    <t>Taung Poet Gyi</t>
  </si>
  <si>
    <t>Taung To</t>
  </si>
  <si>
    <t>Tha Le U</t>
  </si>
  <si>
    <t>Tha Pyay Pin</t>
  </si>
  <si>
    <t>Thar Lay</t>
  </si>
  <si>
    <t>Ti Law Sa Khan Gyi</t>
  </si>
  <si>
    <t>Tone Lel</t>
  </si>
  <si>
    <t>Yae Pu</t>
  </si>
  <si>
    <t>Ywar Thar</t>
  </si>
  <si>
    <t>Ah Lel Pa Daung</t>
  </si>
  <si>
    <t>Byeat Taik</t>
  </si>
  <si>
    <t>Hkawng Ei</t>
  </si>
  <si>
    <t>Kone Hson</t>
  </si>
  <si>
    <t>Ku Yin</t>
  </si>
  <si>
    <t>Loi Paw</t>
  </si>
  <si>
    <t>Moe Bye</t>
  </si>
  <si>
    <t>Nar Hee</t>
  </si>
  <si>
    <t>Thi Kyeik</t>
  </si>
  <si>
    <t>Yi Long Yi Kan</t>
  </si>
  <si>
    <t>Yi Nwe</t>
  </si>
  <si>
    <t>Htei Thun</t>
  </si>
  <si>
    <t>Htwet Ni</t>
  </si>
  <si>
    <t>Inn Nge</t>
  </si>
  <si>
    <t>Ku Kaw</t>
  </si>
  <si>
    <t>Kyar Kone</t>
  </si>
  <si>
    <t>Kyauk Su</t>
  </si>
  <si>
    <t>Kyone</t>
  </si>
  <si>
    <t>Me Nei Taung</t>
  </si>
  <si>
    <t>Mong Li</t>
  </si>
  <si>
    <t>Myay Char (North)</t>
  </si>
  <si>
    <t>Myay Char Chaint</t>
  </si>
  <si>
    <t>Myin Mu</t>
  </si>
  <si>
    <t>Nan Kone</t>
  </si>
  <si>
    <t>Nyaung Kauk</t>
  </si>
  <si>
    <t>Nyaung Wun</t>
  </si>
  <si>
    <t>Pang Sit</t>
  </si>
  <si>
    <t>Pin Pyaw</t>
  </si>
  <si>
    <t>Pway Hla</t>
  </si>
  <si>
    <t>Shar Pyar</t>
  </si>
  <si>
    <t>Shwe Pu Htoe</t>
  </si>
  <si>
    <t>Ta Me</t>
  </si>
  <si>
    <t>Taung Paw Gyi</t>
  </si>
  <si>
    <t>Taung Shey</t>
  </si>
  <si>
    <t>Tha Yet Kone</t>
  </si>
  <si>
    <t>Thein Kone</t>
  </si>
  <si>
    <t>Thit Ae Pin</t>
  </si>
  <si>
    <t>Yae Hpyu</t>
  </si>
  <si>
    <t>Bant Bar</t>
  </si>
  <si>
    <t>Bant Pyin</t>
  </si>
  <si>
    <t>Hmway Pyin</t>
  </si>
  <si>
    <t>Hsin Tawng</t>
  </si>
  <si>
    <t>Htein Pin</t>
  </si>
  <si>
    <t>Hti Pawng</t>
  </si>
  <si>
    <t>Leint Nyar</t>
  </si>
  <si>
    <t>Long Poe</t>
  </si>
  <si>
    <t>Long Pyin</t>
  </si>
  <si>
    <t>Min Bu</t>
  </si>
  <si>
    <t>Myauk Hti Bwar</t>
  </si>
  <si>
    <t>Myin Twin</t>
  </si>
  <si>
    <t>Nan Pu Lin</t>
  </si>
  <si>
    <t>Nan Toke</t>
  </si>
  <si>
    <t>Nawng Pi</t>
  </si>
  <si>
    <t>Pawt In</t>
  </si>
  <si>
    <t>Pawt Yar</t>
  </si>
  <si>
    <t>Pin Hkin</t>
  </si>
  <si>
    <t>Pin Mun</t>
  </si>
  <si>
    <t>Pinlaung Gyi</t>
  </si>
  <si>
    <t>Taung Hti Bwar</t>
  </si>
  <si>
    <t>Tha Pyay Kone</t>
  </si>
  <si>
    <t>Ti Kyit</t>
  </si>
  <si>
    <t>Ah Thone Taw</t>
  </si>
  <si>
    <t>Bant Kway</t>
  </si>
  <si>
    <t>Hpar Mun</t>
  </si>
  <si>
    <t>Hpet Kun</t>
  </si>
  <si>
    <t>Hti Hpawng</t>
  </si>
  <si>
    <t>Kat Ku</t>
  </si>
  <si>
    <t>Kyauk Ni</t>
  </si>
  <si>
    <t>Loi Kaw</t>
  </si>
  <si>
    <t>Min Ga Lar</t>
  </si>
  <si>
    <t>Mong Thaw (East)</t>
  </si>
  <si>
    <t>Mong Thaw (West)</t>
  </si>
  <si>
    <t>Nam Hsee</t>
  </si>
  <si>
    <t>Nan Hu</t>
  </si>
  <si>
    <t>Nang Hawng</t>
  </si>
  <si>
    <t>Nawng Hke</t>
  </si>
  <si>
    <t>Nawng Kar</t>
  </si>
  <si>
    <t>Nawng Lay</t>
  </si>
  <si>
    <t>Nawng Pyit</t>
  </si>
  <si>
    <t>Pan Tin</t>
  </si>
  <si>
    <t>Pin Tun</t>
  </si>
  <si>
    <t>Taung Lay Lone</t>
  </si>
  <si>
    <t>Than Te</t>
  </si>
  <si>
    <t>Doke Toe Yae</t>
  </si>
  <si>
    <t>Hpa Yar Gyi Kone</t>
  </si>
  <si>
    <t>Hsat Chan</t>
  </si>
  <si>
    <t>Hsin Gaung</t>
  </si>
  <si>
    <t>Htee Hlaing</t>
  </si>
  <si>
    <t>Inn Kone Ngar Su</t>
  </si>
  <si>
    <t>Kyan Taw</t>
  </si>
  <si>
    <t>Kyauk Hnget</t>
  </si>
  <si>
    <t>Kyauk Ku Pyin</t>
  </si>
  <si>
    <t>Kyauk Myaung</t>
  </si>
  <si>
    <t>Kyauk Pi Zat</t>
  </si>
  <si>
    <t>Lel Kaing</t>
  </si>
  <si>
    <t>Lin Way</t>
  </si>
  <si>
    <t>Myaing</t>
  </si>
  <si>
    <t>Myin Kya Doe</t>
  </si>
  <si>
    <t>Myo Gyi</t>
  </si>
  <si>
    <t>Nan Hkon</t>
  </si>
  <si>
    <t>Nwar Ban Gyi</t>
  </si>
  <si>
    <t>Nyaung Aing</t>
  </si>
  <si>
    <t>Nyaung Kyat</t>
  </si>
  <si>
    <t>Se</t>
  </si>
  <si>
    <t>Ta Pin Pyaw</t>
  </si>
  <si>
    <t>Ya Gyi</t>
  </si>
  <si>
    <t>Ya Ne</t>
  </si>
  <si>
    <t>Referral Database</t>
  </si>
  <si>
    <t>2-4 years disability Questionnaires</t>
  </si>
  <si>
    <t>Fund_Source</t>
  </si>
  <si>
    <t>Villlage</t>
  </si>
  <si>
    <t>Patient Name
(plz write Daw, Ma, U, Mg, Ko)</t>
  </si>
  <si>
    <t>Age_years</t>
  </si>
  <si>
    <t>Age_Months</t>
  </si>
  <si>
    <t>Age_days</t>
  </si>
  <si>
    <t>Seeing</t>
  </si>
  <si>
    <t>Hearing</t>
  </si>
  <si>
    <t>Walking</t>
  </si>
  <si>
    <t>Concentration</t>
  </si>
  <si>
    <t>Self-Care</t>
  </si>
  <si>
    <t>Communication</t>
  </si>
  <si>
    <t>Referred by</t>
  </si>
  <si>
    <t>Causes of Referral</t>
  </si>
  <si>
    <t>Referral Type</t>
  </si>
  <si>
    <t>Referral Hospital</t>
  </si>
  <si>
    <t>Hospitalization
days</t>
  </si>
  <si>
    <t>Dx_PD</t>
  </si>
  <si>
    <t>Sub-Category</t>
  </si>
  <si>
    <t>Status/Output</t>
  </si>
  <si>
    <t>Maternal
Death</t>
  </si>
  <si>
    <t>Fetal/NB
Death</t>
  </si>
  <si>
    <t>Child
Death</t>
  </si>
  <si>
    <t>Other
Death</t>
  </si>
  <si>
    <t>Claimed_Date
(mmm-dd-yyy)</t>
  </si>
  <si>
    <t>Semester</t>
  </si>
  <si>
    <t>Supported_days</t>
  </si>
  <si>
    <t>Cost 
(Treatment)</t>
  </si>
  <si>
    <t>Cost 
(Meal/Per Diem)</t>
  </si>
  <si>
    <t>Cost 
(Transportaion)</t>
  </si>
  <si>
    <t>Total Cost</t>
  </si>
  <si>
    <t>Physical</t>
  </si>
  <si>
    <t>Intellectual</t>
  </si>
  <si>
    <t>Social</t>
  </si>
  <si>
    <t xml:space="preserve">Hearing </t>
  </si>
  <si>
    <t>Speaking</t>
  </si>
  <si>
    <t xml:space="preserve">Seeing </t>
  </si>
  <si>
    <t>Severe</t>
  </si>
  <si>
    <t>Very Severe</t>
  </si>
  <si>
    <t>Overall</t>
  </si>
  <si>
    <t>Organization</t>
  </si>
  <si>
    <t>Financial claimed date was started in September 2025.</t>
  </si>
  <si>
    <t>Organization Name</t>
  </si>
  <si>
    <t>Place Type</t>
  </si>
  <si>
    <t>Type of Delivery/Types of Case</t>
  </si>
  <si>
    <t>Finanicial Claimed Date</t>
  </si>
  <si>
    <t>Chronic/Malignant Case</t>
  </si>
  <si>
    <t>Medical</t>
  </si>
  <si>
    <t>Acute Abdomen</t>
  </si>
  <si>
    <t>Surgical</t>
  </si>
  <si>
    <t>Acute on Chronic Emergency</t>
  </si>
  <si>
    <t>EmOC</t>
  </si>
  <si>
    <t xml:space="preserve">High head at term </t>
  </si>
  <si>
    <t>EmLSCS</t>
  </si>
  <si>
    <t>ECC</t>
  </si>
  <si>
    <t xml:space="preserve">Dengue hemorrhagic fever </t>
  </si>
  <si>
    <t>Major Injuries/Trauma</t>
  </si>
  <si>
    <t>Acute medical condition</t>
  </si>
  <si>
    <t xml:space="preserve">Previous old scar </t>
  </si>
  <si>
    <t>Ischemic Heart Disease</t>
  </si>
  <si>
    <t>Animal Bite</t>
  </si>
  <si>
    <t>Deep Burns &amp; Scald</t>
  </si>
  <si>
    <t xml:space="preserve">Mal-presentation/breech presentation </t>
  </si>
  <si>
    <t>Febrile Fits/Epilepsy</t>
  </si>
  <si>
    <t xml:space="preserve">Pregnancy induced hypertension </t>
  </si>
  <si>
    <t>Severe Malaria</t>
  </si>
  <si>
    <t xml:space="preserve">Animal bite </t>
  </si>
  <si>
    <t>Surgical Emergencies</t>
  </si>
  <si>
    <t xml:space="preserve">Post date </t>
  </si>
  <si>
    <t>Trauma Cases</t>
  </si>
  <si>
    <t xml:space="preserve">Pneumonia </t>
  </si>
  <si>
    <t xml:space="preserve">Prolong labour </t>
  </si>
  <si>
    <t xml:space="preserve">Sepsis </t>
  </si>
  <si>
    <t xml:space="preserve">Difficulty in labour </t>
  </si>
  <si>
    <t>Instru.Delivery</t>
  </si>
  <si>
    <t xml:space="preserve">Labour pain </t>
  </si>
  <si>
    <t>Normal Delivery</t>
  </si>
  <si>
    <t xml:space="preserve">Post-partum hemorrhage </t>
  </si>
  <si>
    <t xml:space="preserve">Surgical disease </t>
  </si>
  <si>
    <t xml:space="preserve">Hematological diseases </t>
  </si>
  <si>
    <t xml:space="preserve">Preterm delivery </t>
  </si>
  <si>
    <t xml:space="preserve">Scar </t>
  </si>
  <si>
    <t xml:space="preserve">Abortion </t>
  </si>
  <si>
    <t xml:space="preserve">Primigravida  </t>
  </si>
  <si>
    <t xml:space="preserve">Pregnancy with medical disease </t>
  </si>
  <si>
    <t xml:space="preserve">Pregnancy with medical emergencies </t>
  </si>
  <si>
    <t xml:space="preserve">Severe pneumonia </t>
  </si>
  <si>
    <t xml:space="preserve">Prolong fever </t>
  </si>
  <si>
    <t xml:space="preserve">Intra uterine fetal death </t>
  </si>
  <si>
    <t xml:space="preserve">Fetal distress </t>
  </si>
  <si>
    <t xml:space="preserve">Jaundice </t>
  </si>
  <si>
    <t xml:space="preserve">TB suspect </t>
  </si>
  <si>
    <t xml:space="preserve">Obstructed labour </t>
  </si>
  <si>
    <t xml:space="preserve">Grand multi-parity/ Grand-multipara </t>
  </si>
  <si>
    <t xml:space="preserve">Elderly pregnancy </t>
  </si>
  <si>
    <t xml:space="preserve">Teenage pregnancy </t>
  </si>
  <si>
    <t xml:space="preserve">Childhood TB </t>
  </si>
  <si>
    <t xml:space="preserve">Eclampsia </t>
  </si>
  <si>
    <t xml:space="preserve">Down syndrome </t>
  </si>
  <si>
    <t xml:space="preserve">Preterm labour </t>
  </si>
  <si>
    <t xml:space="preserve">Bacillary dysentery </t>
  </si>
  <si>
    <t xml:space="preserve">Neonatal jaundice </t>
  </si>
  <si>
    <t xml:space="preserve">Late neonatal sepsis </t>
  </si>
  <si>
    <t xml:space="preserve">Acute viral infection </t>
  </si>
  <si>
    <t xml:space="preserve">Congenital hydrocele </t>
  </si>
  <si>
    <t xml:space="preserve">Fits/epilepsy </t>
  </si>
  <si>
    <t xml:space="preserve">Failure in progress of labour </t>
  </si>
  <si>
    <t>Psychiatric crisis/Drug Overdose</t>
  </si>
  <si>
    <t xml:space="preserve">Twin pregnancy </t>
  </si>
  <si>
    <t xml:space="preserve">Preterm </t>
  </si>
  <si>
    <t xml:space="preserve">Miscarriage </t>
  </si>
  <si>
    <t xml:space="preserve">Bronchiolitis </t>
  </si>
  <si>
    <t>Category2</t>
  </si>
  <si>
    <t>Other2</t>
  </si>
  <si>
    <t>Category5</t>
  </si>
  <si>
    <t>Mal-nutrition</t>
  </si>
  <si>
    <t>Malnutrition_category</t>
  </si>
  <si>
    <t xml:space="preserve">Abdominal distension </t>
  </si>
  <si>
    <t>Surgical  cases</t>
  </si>
  <si>
    <t xml:space="preserve">Abruptio placenta </t>
  </si>
  <si>
    <t xml:space="preserve">APH </t>
  </si>
  <si>
    <t xml:space="preserve">Abdominal pain due to fall </t>
  </si>
  <si>
    <t xml:space="preserve">Age above 35 </t>
  </si>
  <si>
    <t xml:space="preserve">High risk pregnancy </t>
  </si>
  <si>
    <t xml:space="preserve">Accident </t>
  </si>
  <si>
    <t>Accident and injuries</t>
  </si>
  <si>
    <t xml:space="preserve">Age below 18 </t>
  </si>
  <si>
    <t xml:space="preserve">Acute abdomen </t>
  </si>
  <si>
    <t xml:space="preserve">Anencephaly with polyhydromnios </t>
  </si>
  <si>
    <t xml:space="preserve">Other direct causes </t>
  </si>
  <si>
    <t xml:space="preserve">Acute flaccid paralysis </t>
  </si>
  <si>
    <t>Other emergencies</t>
  </si>
  <si>
    <t>Foreign Body Inhalation/acute asthma</t>
  </si>
  <si>
    <t xml:space="preserve">Bad obstetric history </t>
  </si>
  <si>
    <t xml:space="preserve">Acute otitis media </t>
  </si>
  <si>
    <t>Medical disease</t>
  </si>
  <si>
    <t xml:space="preserve">Big Baby </t>
  </si>
  <si>
    <t xml:space="preserve">Prolonged/Obstructed labour </t>
  </si>
  <si>
    <t xml:space="preserve">Acute severe asthma </t>
  </si>
  <si>
    <t xml:space="preserve">Bleeding per vagina  (after exclusion of APH,PPH, abortion) </t>
  </si>
  <si>
    <t xml:space="preserve">Blighted ovum </t>
  </si>
  <si>
    <t xml:space="preserve">Other indirect causes </t>
  </si>
  <si>
    <t xml:space="preserve">Adverse effect following immunization </t>
  </si>
  <si>
    <t>Severe Dehydration</t>
  </si>
  <si>
    <t xml:space="preserve">Cephalopelvic disproportion </t>
  </si>
  <si>
    <t>MDRTB/HIV with complications</t>
  </si>
  <si>
    <t xml:space="preserve">Cervical hematoma </t>
  </si>
  <si>
    <t xml:space="preserve">Anorexia </t>
  </si>
  <si>
    <t xml:space="preserve">Cord around the neck </t>
  </si>
  <si>
    <t xml:space="preserve">Asthma </t>
  </si>
  <si>
    <t xml:space="preserve">Cord/hand prolapse </t>
  </si>
  <si>
    <t>Diarrhoea/GE</t>
  </si>
  <si>
    <t xml:space="preserve">Beri Beri </t>
  </si>
  <si>
    <t>Suspected Preventable or Outbreak-Prone Diseases</t>
  </si>
  <si>
    <t xml:space="preserve">Dribbling </t>
  </si>
  <si>
    <t xml:space="preserve">PROM </t>
  </si>
  <si>
    <t xml:space="preserve">Birth asphyxia </t>
  </si>
  <si>
    <t>Birth asphyxia</t>
  </si>
  <si>
    <t xml:space="preserve">Eclampsia/PIH/Pre-eclampsia </t>
  </si>
  <si>
    <t xml:space="preserve">Bleeding per rectum </t>
  </si>
  <si>
    <t>Mine/War related Injuries</t>
  </si>
  <si>
    <t xml:space="preserve">Ectopic pregnancy </t>
  </si>
  <si>
    <t xml:space="preserve">Failed induction  </t>
  </si>
  <si>
    <t xml:space="preserve">Burns/ wounds </t>
  </si>
  <si>
    <t xml:space="preserve">Failed trial  of labour </t>
  </si>
  <si>
    <t xml:space="preserve">Cellulitis / abscess </t>
  </si>
  <si>
    <t xml:space="preserve">Cerebral malaria/severe malaria </t>
  </si>
  <si>
    <t>Malaria</t>
  </si>
  <si>
    <t xml:space="preserve">Fetal distress  </t>
  </si>
  <si>
    <t xml:space="preserve">Cerebral palsy with acute medical complication </t>
  </si>
  <si>
    <t xml:space="preserve">Cerebral soft tissue infection </t>
  </si>
  <si>
    <t xml:space="preserve">H mole </t>
  </si>
  <si>
    <t xml:space="preserve">Chest infection </t>
  </si>
  <si>
    <t xml:space="preserve">Hematoma with LSCS wound </t>
  </si>
  <si>
    <t xml:space="preserve">Childhood asthma </t>
  </si>
  <si>
    <t>TB</t>
  </si>
  <si>
    <t xml:space="preserve">Hypertension in pregnancy </t>
  </si>
  <si>
    <t xml:space="preserve">Cholangiohepatitis </t>
  </si>
  <si>
    <t xml:space="preserve">Induced abortion  </t>
  </si>
  <si>
    <t xml:space="preserve">Colitis </t>
  </si>
  <si>
    <t xml:space="preserve">Infection in  puerperium </t>
  </si>
  <si>
    <t xml:space="preserve">Common cold/flu with high fever </t>
  </si>
  <si>
    <t xml:space="preserve">IUFD </t>
  </si>
  <si>
    <t xml:space="preserve">Congenital abnormalities/deformities </t>
  </si>
  <si>
    <t xml:space="preserve">Congenital abnormalities </t>
  </si>
  <si>
    <t xml:space="preserve">Intra uterine retardation </t>
  </si>
  <si>
    <t>Neonatal emergencies</t>
  </si>
  <si>
    <t xml:space="preserve">Congenital heart disease </t>
  </si>
  <si>
    <t xml:space="preserve">Labour pain with previous bad delivery </t>
  </si>
  <si>
    <t xml:space="preserve">Congenital hernia </t>
  </si>
  <si>
    <t xml:space="preserve">Maternal and fetal distress </t>
  </si>
  <si>
    <t xml:space="preserve">Maternal distress </t>
  </si>
  <si>
    <t xml:space="preserve">Maternal beri beri </t>
  </si>
  <si>
    <t xml:space="preserve">Congenital infection </t>
  </si>
  <si>
    <t xml:space="preserve">Conjunctivitis </t>
  </si>
  <si>
    <t xml:space="preserve">Dehydration with diarrhoea </t>
  </si>
  <si>
    <t xml:space="preserve">Multiple pregnancy </t>
  </si>
  <si>
    <t xml:space="preserve">Delay milestones </t>
  </si>
  <si>
    <t xml:space="preserve">Old age with multigravida </t>
  </si>
  <si>
    <t xml:space="preserve">Dengue shock  </t>
  </si>
  <si>
    <t xml:space="preserve">Placenta previa </t>
  </si>
  <si>
    <t xml:space="preserve">DHF suspect </t>
  </si>
  <si>
    <t xml:space="preserve">Diarrhoea  </t>
  </si>
  <si>
    <t xml:space="preserve">Postnatal care with anemia/ peripheral neuropathy and odema </t>
  </si>
  <si>
    <t xml:space="preserve">Difficult breathing </t>
  </si>
  <si>
    <t xml:space="preserve">Postnatal with HBs Ag(+) </t>
  </si>
  <si>
    <t xml:space="preserve">PPH </t>
  </si>
  <si>
    <t xml:space="preserve">Drowning </t>
  </si>
  <si>
    <t xml:space="preserve">Pre-eclampsia </t>
  </si>
  <si>
    <t xml:space="preserve">Encephalitis </t>
  </si>
  <si>
    <t xml:space="preserve">Enteric fever/Typhoid </t>
  </si>
  <si>
    <t xml:space="preserve">Pregnancy with accidental injury </t>
  </si>
  <si>
    <t xml:space="preserve">Fall from height </t>
  </si>
  <si>
    <t xml:space="preserve">Pregnancy with acute abdomen </t>
  </si>
  <si>
    <t xml:space="preserve">Febrile fit </t>
  </si>
  <si>
    <t>Febrile Fits</t>
  </si>
  <si>
    <t xml:space="preserve">Pregnancy with acute appendicitis </t>
  </si>
  <si>
    <t xml:space="preserve">Food poisoning </t>
  </si>
  <si>
    <t xml:space="preserve">Pregnancy with acute GE </t>
  </si>
  <si>
    <t xml:space="preserve">Fracture </t>
  </si>
  <si>
    <t xml:space="preserve">Pregnancy with acute retention of urine </t>
  </si>
  <si>
    <t xml:space="preserve">G6PD deficiency </t>
  </si>
  <si>
    <t xml:space="preserve">Pregnancy with diabetes </t>
  </si>
  <si>
    <t xml:space="preserve">Gangrene </t>
  </si>
  <si>
    <t xml:space="preserve">Pregnancy with Dysfunctional Uterine Bleeding </t>
  </si>
  <si>
    <t xml:space="preserve">Gastro enteritis </t>
  </si>
  <si>
    <t xml:space="preserve">Pregnancy with epilepsy/fits </t>
  </si>
  <si>
    <t xml:space="preserve">General danger sign </t>
  </si>
  <si>
    <t xml:space="preserve">Pregnancy with gastritis </t>
  </si>
  <si>
    <t xml:space="preserve">Goiter </t>
  </si>
  <si>
    <t xml:space="preserve">Pregnancy with Heart failure/Heart disease </t>
  </si>
  <si>
    <t xml:space="preserve">Heart disease </t>
  </si>
  <si>
    <t xml:space="preserve">Pregnancy with hepatitis </t>
  </si>
  <si>
    <t xml:space="preserve">Hemangioma </t>
  </si>
  <si>
    <t xml:space="preserve">Pregnancy with high fever/prolong fever </t>
  </si>
  <si>
    <t xml:space="preserve">Hematemesis and Malena </t>
  </si>
  <si>
    <t xml:space="preserve">Hematological disease </t>
  </si>
  <si>
    <t xml:space="preserve">Pregnancy with nutritional deficiency </t>
  </si>
  <si>
    <t xml:space="preserve">Hemiplegia </t>
  </si>
  <si>
    <t xml:space="preserve">Pregnancy with pelvic inflammatory disease </t>
  </si>
  <si>
    <t xml:space="preserve">Hepatic failure </t>
  </si>
  <si>
    <t xml:space="preserve">Pregnancy with retroviral infection </t>
  </si>
  <si>
    <t xml:space="preserve">Hepatitis/Viral hepatitis </t>
  </si>
  <si>
    <t xml:space="preserve">Pregnancy with supra pubic area pain </t>
  </si>
  <si>
    <t xml:space="preserve">High fever/Hyperpyrexia </t>
  </si>
  <si>
    <t xml:space="preserve">Pregnancy with urinary tract infection </t>
  </si>
  <si>
    <t xml:space="preserve">HV/AIDS </t>
  </si>
  <si>
    <t xml:space="preserve">Premature rupture of membrane </t>
  </si>
  <si>
    <t xml:space="preserve">Hyperthermia </t>
  </si>
  <si>
    <t xml:space="preserve">Prematurity </t>
  </si>
  <si>
    <t xml:space="preserve">Hypertrophic pyloric stenosis </t>
  </si>
  <si>
    <t xml:space="preserve">Hypovolemic shock </t>
  </si>
  <si>
    <t xml:space="preserve">Infected ulcer </t>
  </si>
  <si>
    <t xml:space="preserve">Preterm with labour pain </t>
  </si>
  <si>
    <t xml:space="preserve">Inguinal abscess </t>
  </si>
  <si>
    <t xml:space="preserve">Insect bite </t>
  </si>
  <si>
    <t xml:space="preserve">Intestinal colic </t>
  </si>
  <si>
    <t xml:space="preserve">Intestinal obstruction </t>
  </si>
  <si>
    <t xml:space="preserve">Puerperal sepsis </t>
  </si>
  <si>
    <t xml:space="preserve">Intussusception </t>
  </si>
  <si>
    <t xml:space="preserve">Puerperium hypokalaemia </t>
  </si>
  <si>
    <t xml:space="preserve">Investigation for fits </t>
  </si>
  <si>
    <t xml:space="preserve">Retained placenta </t>
  </si>
  <si>
    <t xml:space="preserve">Ruptured ectopic pregnancy </t>
  </si>
  <si>
    <t xml:space="preserve">Joint dislocation </t>
  </si>
  <si>
    <t xml:space="preserve">Ruptured uterus </t>
  </si>
  <si>
    <t xml:space="preserve">Uterine rupture </t>
  </si>
  <si>
    <t xml:space="preserve">Leech in vagina </t>
  </si>
  <si>
    <t xml:space="preserve">Severe chest infection in pregnancy </t>
  </si>
  <si>
    <t xml:space="preserve">Lipoma </t>
  </si>
  <si>
    <t xml:space="preserve">Short stature </t>
  </si>
  <si>
    <t xml:space="preserve">Liver disease </t>
  </si>
  <si>
    <t xml:space="preserve">Spontaneous abortion </t>
  </si>
  <si>
    <t xml:space="preserve">Low birth weight </t>
  </si>
  <si>
    <t>Premature/LBW</t>
  </si>
  <si>
    <t xml:space="preserve">Still birth (if still birth is recorded as hospital diagnosis, please follow THD to check the primary cause for proper diagnosis) </t>
  </si>
  <si>
    <t xml:space="preserve">Low birth weight  </t>
  </si>
  <si>
    <t xml:space="preserve">Malaria </t>
  </si>
  <si>
    <t xml:space="preserve">Triplet pregnancy </t>
  </si>
  <si>
    <t xml:space="preserve">Malnutrition </t>
  </si>
  <si>
    <t xml:space="preserve">Malnutrition   </t>
  </si>
  <si>
    <t xml:space="preserve">Mastoiditis </t>
  </si>
  <si>
    <t xml:space="preserve">Uterine inversion/prolapse </t>
  </si>
  <si>
    <t xml:space="preserve">Measles </t>
  </si>
  <si>
    <t xml:space="preserve">Medical jaundice </t>
  </si>
  <si>
    <t xml:space="preserve">Vaginal tear </t>
  </si>
  <si>
    <t xml:space="preserve">Meningitis </t>
  </si>
  <si>
    <t xml:space="preserve">Monoplegia </t>
  </si>
  <si>
    <t xml:space="preserve">Neck abscess </t>
  </si>
  <si>
    <t xml:space="preserve">Neonatal sepsis </t>
  </si>
  <si>
    <t xml:space="preserve">Nephritis/ Acute glomerular nephritis </t>
  </si>
  <si>
    <t xml:space="preserve">Nephrotic syndrome </t>
  </si>
  <si>
    <t xml:space="preserve">Nose bleeding </t>
  </si>
  <si>
    <t xml:space="preserve">Orthopedic emergencies </t>
  </si>
  <si>
    <t xml:space="preserve">Petrol ingestion </t>
  </si>
  <si>
    <t xml:space="preserve">Pharyngeal abscess </t>
  </si>
  <si>
    <t xml:space="preserve">Phimosis </t>
  </si>
  <si>
    <t xml:space="preserve">Pneumococcal meningitis  </t>
  </si>
  <si>
    <t xml:space="preserve">Poisoning </t>
  </si>
  <si>
    <t xml:space="preserve">Portal hypertension </t>
  </si>
  <si>
    <t xml:space="preserve">Post febrile weakness </t>
  </si>
  <si>
    <t xml:space="preserve">Primary complex </t>
  </si>
  <si>
    <t xml:space="preserve">Protein energy malnutrition (PEM) </t>
  </si>
  <si>
    <t xml:space="preserve">Pulmonary infection (non-pneumonia) </t>
  </si>
  <si>
    <t xml:space="preserve">Pyrexia of unknown origin </t>
  </si>
  <si>
    <t xml:space="preserve">Renal disease </t>
  </si>
  <si>
    <t xml:space="preserve">Renal disorder </t>
  </si>
  <si>
    <t xml:space="preserve">Respiratory distress </t>
  </si>
  <si>
    <t xml:space="preserve">Respiratory tract infection </t>
  </si>
  <si>
    <t xml:space="preserve">Respiratory viral infection </t>
  </si>
  <si>
    <t xml:space="preserve">Scabies infection </t>
  </si>
  <si>
    <t xml:space="preserve">Scald </t>
  </si>
  <si>
    <t xml:space="preserve">Scalp ulcer </t>
  </si>
  <si>
    <t xml:space="preserve">Scarlet fever </t>
  </si>
  <si>
    <t xml:space="preserve">Septic wound with septicemia </t>
  </si>
  <si>
    <t>Septicemia</t>
  </si>
  <si>
    <t xml:space="preserve">Septicemia </t>
  </si>
  <si>
    <t xml:space="preserve">Severe dehydration with diarrhoea </t>
  </si>
  <si>
    <t xml:space="preserve">Severe malnutrition </t>
  </si>
  <si>
    <t xml:space="preserve">Severe respiratory distress in neonates </t>
  </si>
  <si>
    <t xml:space="preserve">Shock </t>
  </si>
  <si>
    <t xml:space="preserve">Soft tissue swelling </t>
  </si>
  <si>
    <t xml:space="preserve">Stab wound </t>
  </si>
  <si>
    <t xml:space="preserve">Steven-Johnson syndrome </t>
  </si>
  <si>
    <t xml:space="preserve">Streptococcus infection buttock </t>
  </si>
  <si>
    <t xml:space="preserve">Submandibular abscess </t>
  </si>
  <si>
    <t xml:space="preserve">Swelling </t>
  </si>
  <si>
    <t xml:space="preserve">Thalassemia with severe anemia </t>
  </si>
  <si>
    <t xml:space="preserve">Tightness of chest </t>
  </si>
  <si>
    <t xml:space="preserve">Tonsillar abscess </t>
  </si>
  <si>
    <t xml:space="preserve">Tonsillitis </t>
  </si>
  <si>
    <t xml:space="preserve">Umbilical cord infection/sepsis </t>
  </si>
  <si>
    <t xml:space="preserve">Urinary tract infection </t>
  </si>
  <si>
    <t xml:space="preserve">Vomiting for investigation </t>
  </si>
  <si>
    <t xml:space="preserve">Whooping cough </t>
  </si>
  <si>
    <t xml:space="preserve">Worm colic with acute abdomen </t>
  </si>
  <si>
    <t>If red color appear in "Cost (Meal/Perdiem cost)" column, please recheck supported day and total supported meal cost.</t>
  </si>
  <si>
    <t>Type_Delivery</t>
  </si>
  <si>
    <t>Consultation Type_revised</t>
  </si>
  <si>
    <t>Reproductive Health</t>
  </si>
  <si>
    <t>Communicable disease</t>
  </si>
  <si>
    <t>Injury related</t>
  </si>
  <si>
    <t>Non-communicable disease</t>
  </si>
  <si>
    <t>mental health condition</t>
  </si>
  <si>
    <t>Other (non-communicable)</t>
  </si>
  <si>
    <t>Communicable ear problem/disease</t>
  </si>
  <si>
    <t>Non-communicable ear problem/disease</t>
  </si>
  <si>
    <t>Communicable eye problem/disease</t>
  </si>
  <si>
    <t>Sexual violence related case</t>
  </si>
  <si>
    <t>Sexual violence</t>
  </si>
  <si>
    <r>
      <t>Quality AN-Care(A</t>
    </r>
    <r>
      <rPr>
        <b/>
        <sz val="11"/>
        <color rgb="FFFF0000"/>
        <rFont val="Calibri"/>
        <family val="2"/>
        <scheme val="minor"/>
      </rPr>
      <t>s per indicator definition, at least AN care 2 time based on total trimester</t>
    </r>
    <r>
      <rPr>
        <b/>
        <sz val="11"/>
        <color theme="0"/>
        <rFont val="Calibri"/>
        <family val="2"/>
        <scheme val="minor"/>
      </rPr>
      <t>)</t>
    </r>
  </si>
  <si>
    <t>PW</t>
  </si>
  <si>
    <t>LW</t>
  </si>
  <si>
    <t>Caregiver</t>
  </si>
  <si>
    <t># of &lt;5yr</t>
  </si>
  <si>
    <t>Total Male</t>
  </si>
  <si>
    <t>Total Female</t>
  </si>
  <si>
    <t>Date of Consultation
(mm/dd/yy)</t>
  </si>
  <si>
    <t>Date of Registration [mm/dd/yy]</t>
  </si>
  <si>
    <t>ANC1.1 [mm/dd/yy]</t>
  </si>
  <si>
    <t>Name of Beneficiary 
(Care giver or PW or LW)</t>
  </si>
  <si>
    <t>Date of Counselling
[mm/dd/yy]</t>
  </si>
  <si>
    <t>Type of Beneficiary 
(PW/LW(U5)/
Caregiver)</t>
  </si>
  <si>
    <t>Activity Date
[mm/dd/yyyy]</t>
  </si>
  <si>
    <t>Date of Referral
(mm-dd-yyy)</t>
  </si>
  <si>
    <t>DOA
(mm-dd-yyy)</t>
  </si>
  <si>
    <t>DOD
(mm-dd-yyy)</t>
  </si>
  <si>
    <t>Shining Star</t>
  </si>
  <si>
    <t>Mandalay</t>
  </si>
  <si>
    <t>Amarapura</t>
  </si>
  <si>
    <t xml:space="preserve">Daw Khin Hla </t>
  </si>
  <si>
    <t>Myit Too</t>
  </si>
  <si>
    <t>U Kyu</t>
  </si>
  <si>
    <t>HT</t>
  </si>
  <si>
    <t>Amlo5, MV, Betex</t>
  </si>
  <si>
    <t xml:space="preserve">Daw Khin Yee </t>
  </si>
  <si>
    <t>Daw Mya Aye</t>
  </si>
  <si>
    <t>Daw Nu Nu Yee</t>
  </si>
  <si>
    <t>Daw Kyu Kyu San</t>
  </si>
  <si>
    <t>U Thi Hla</t>
  </si>
  <si>
    <t>U Kho</t>
  </si>
  <si>
    <t>U Kan Oo</t>
  </si>
  <si>
    <t>U Kyi</t>
  </si>
  <si>
    <t>Skin Allergy</t>
  </si>
  <si>
    <t>Muscle Pain</t>
  </si>
  <si>
    <t>IV25%+VitC, Amlo5, Para, MV, VitC</t>
  </si>
  <si>
    <t>IV B'ton, B'ton, Ranitadine, Ibu, Caladyl Lotion</t>
  </si>
  <si>
    <t>IV B12, Gabapentin, Betex, Ca+</t>
  </si>
  <si>
    <t>IV Pantocid, Amlo5, Pantocid, Zinc, Air X</t>
  </si>
  <si>
    <t>Daw Aye Yee</t>
  </si>
  <si>
    <t>Daw Moh Moh Thwin</t>
  </si>
  <si>
    <t>Mg Han Min Khant</t>
  </si>
  <si>
    <t>U Nyay</t>
  </si>
  <si>
    <t>Daw San San Myint</t>
  </si>
  <si>
    <t>U Thaung Han</t>
  </si>
  <si>
    <t>U Nay Khant</t>
  </si>
  <si>
    <t>U Aung Kyaw</t>
  </si>
  <si>
    <t>U Tin Aung</t>
  </si>
  <si>
    <t>Flu</t>
  </si>
  <si>
    <t>CP</t>
  </si>
  <si>
    <t>HT/DM</t>
  </si>
  <si>
    <t>IV B12, Para, Ca+, MV</t>
  </si>
  <si>
    <t>Amlo5, Para, Cefixime, VitC, Betex</t>
  </si>
  <si>
    <t>PB Vita</t>
  </si>
  <si>
    <t>Amlo5, MV, Cifram Eye Drop</t>
  </si>
  <si>
    <t>IV Hydrocortisone, Dextro, Salbutamol, Gabapentin, Nifedapine</t>
  </si>
  <si>
    <t>Daw Tin Hla</t>
  </si>
  <si>
    <t>Daw Kyi Htay</t>
  </si>
  <si>
    <t>Daw Mya Win</t>
  </si>
  <si>
    <t>Daw Yin Myint</t>
  </si>
  <si>
    <t>U Kyaw Linn Soe</t>
  </si>
  <si>
    <t>U Hla Mg</t>
  </si>
  <si>
    <t>U Than Kyaw</t>
  </si>
  <si>
    <t>U Chit</t>
  </si>
  <si>
    <t>U Nyein</t>
  </si>
  <si>
    <t>Amlo5,Para,MV, Ca+</t>
  </si>
  <si>
    <t>IV Hydrocortisone, Dextro, Prednisolone, MV, Cefixime</t>
  </si>
  <si>
    <t>Metformin, Zinc, Betex</t>
  </si>
  <si>
    <t>Amlo10, Metformin, DMR30, Para, Betex</t>
  </si>
  <si>
    <t>IM Diclo, Ibu, Omex, Ca+</t>
  </si>
  <si>
    <t>Daw Shwe Myint</t>
  </si>
  <si>
    <t>U Nyi</t>
  </si>
  <si>
    <t>Daw Tin Tin Mu</t>
  </si>
  <si>
    <t>Daw Myint Moh San</t>
  </si>
  <si>
    <t>Daw Yee Myint</t>
  </si>
  <si>
    <t>U Hla Sein</t>
  </si>
  <si>
    <t xml:space="preserve">U Bo </t>
  </si>
  <si>
    <t>U Nyo</t>
  </si>
  <si>
    <t>U Kan</t>
  </si>
  <si>
    <t>Back Pain</t>
  </si>
  <si>
    <t>Amlo5, MV, Zinc</t>
  </si>
  <si>
    <t>IV B12, Ibu, Omex, Ca+, Gabapentin</t>
  </si>
  <si>
    <t>Amlo5, Gliclacide, Ato10, Aspiet, Metformin, Allopurinol</t>
  </si>
  <si>
    <t>Cefixime, Dextro, Vit C, Betex</t>
  </si>
  <si>
    <t>Amlo5, zinc, Betex</t>
  </si>
  <si>
    <t xml:space="preserve">Daw Yu Ya Naw </t>
  </si>
  <si>
    <t>Daw Tin San</t>
  </si>
  <si>
    <t>Daw Khin Myaing</t>
  </si>
  <si>
    <t>Daw Saw Mya Yu</t>
  </si>
  <si>
    <t>U Aung Khaing Win</t>
  </si>
  <si>
    <t>U Aung Win</t>
  </si>
  <si>
    <t>U Ba Mg</t>
  </si>
  <si>
    <t>U Sein</t>
  </si>
  <si>
    <t>U Ye Thein</t>
  </si>
  <si>
    <t>U Than Aung</t>
  </si>
  <si>
    <t>Cetrizine, Zinc</t>
  </si>
  <si>
    <t>IV B12, Betex, Losar, Gabapentin, Aldactone, Ato10</t>
  </si>
  <si>
    <t>Amlo5, Para, VitC, Betadine</t>
  </si>
  <si>
    <t>IV25%+VitC, Amlo10, Para, Cetrizine, VitC</t>
  </si>
  <si>
    <t>IV B'ton, B'ton, Ranitadine, Meconazole Cream, Albendazole</t>
  </si>
  <si>
    <t>Daw Mya Mya Hnin</t>
  </si>
  <si>
    <t>Daw Mon Mon Aung</t>
  </si>
  <si>
    <t>Daw Mar Tin</t>
  </si>
  <si>
    <t>Daw Aye Aye San</t>
  </si>
  <si>
    <t>Daw Thi</t>
  </si>
  <si>
    <t>U Tin Mg Win</t>
  </si>
  <si>
    <t>U Thaung Phay</t>
  </si>
  <si>
    <t>U Ni</t>
  </si>
  <si>
    <t>U Shein</t>
  </si>
  <si>
    <t>U Mg Lay</t>
  </si>
  <si>
    <t>IV B12, Gabapentin, Betex, Para</t>
  </si>
  <si>
    <t>Dextro, Cetrizine, Para, VitC, Zinc</t>
  </si>
  <si>
    <t>Para, Cetrizine, Dextro, VitC, Amlo5</t>
  </si>
  <si>
    <t>IV B12, Para, Ca+, Betex, Amlo5</t>
  </si>
  <si>
    <t>Cetrizine, Prednisolone, Vit C, Dextro</t>
  </si>
  <si>
    <t>Christmas May</t>
  </si>
  <si>
    <t>U Wi Lar Tha</t>
  </si>
  <si>
    <t>Daw Myat Kyi</t>
  </si>
  <si>
    <t>U Thet Naing Win</t>
  </si>
  <si>
    <t>U Thaw Pi Ta</t>
  </si>
  <si>
    <t>U Chan Myae Aung</t>
  </si>
  <si>
    <t>U Nay Lone</t>
  </si>
  <si>
    <t>U Han</t>
  </si>
  <si>
    <t>U Phoe Lwin</t>
  </si>
  <si>
    <t>U An Kyan</t>
  </si>
  <si>
    <t>Rheumatoid Arthirtis</t>
  </si>
  <si>
    <t>PB Vita, Dextro</t>
  </si>
  <si>
    <t>IV Hydrocortisone, Dextro, Para, Deriphylline, MV, Gabapentin</t>
  </si>
  <si>
    <t>Ibu, Omex, MV</t>
  </si>
  <si>
    <t>Dextro, Cetrizine, VitC</t>
  </si>
  <si>
    <t>Amlo10, Betex, Ca+, Cetrizine, Meconazole Cream</t>
  </si>
  <si>
    <t>Daw Khin Sein</t>
  </si>
  <si>
    <t>Daw Hla Win</t>
  </si>
  <si>
    <t>Ma Shwe Zin</t>
  </si>
  <si>
    <t>Daw Kyi Sein</t>
  </si>
  <si>
    <t>Daw Khin Myo Oo</t>
  </si>
  <si>
    <t>U Phway</t>
  </si>
  <si>
    <t>U Tin Mg Lwin</t>
  </si>
  <si>
    <t>U Ba Myint</t>
  </si>
  <si>
    <t>VitC</t>
  </si>
  <si>
    <t>IV B12, Amlo5, Ato 10, Betex</t>
  </si>
  <si>
    <t>IV Hydrocortisone, Dextro, Deriphylline, Amlo5, MV</t>
  </si>
  <si>
    <t>IV B12, Gabapentin, Para, Ca+</t>
  </si>
  <si>
    <t>IV B12, Para, Betex, Ca+</t>
  </si>
  <si>
    <t>Ma Khaing Zin Win</t>
  </si>
  <si>
    <t>Daw Win Khaing</t>
  </si>
  <si>
    <t>Daw Khin Tint</t>
  </si>
  <si>
    <t>Daw Kyi Kyi San</t>
  </si>
  <si>
    <t>Daw Khin Myo Than</t>
  </si>
  <si>
    <t>U Kyaw Myint</t>
  </si>
  <si>
    <t>U Thaung Kyaw</t>
  </si>
  <si>
    <t>U Bo Lay</t>
  </si>
  <si>
    <t>U Mg Ko Gyi</t>
  </si>
  <si>
    <t>flu</t>
  </si>
  <si>
    <t>VitC, MMN</t>
  </si>
  <si>
    <t>Cefixime, Dotavarin, Omex, Zinc</t>
  </si>
  <si>
    <t>IV B12, Gabapentin, Betex, Ca+, MV</t>
  </si>
  <si>
    <t>Para, Cinnarizine, MV, Betex</t>
  </si>
  <si>
    <t>U Hla Myint</t>
  </si>
  <si>
    <t>Ma Zue Zue Naing</t>
  </si>
  <si>
    <t>Ma Win Mar</t>
  </si>
  <si>
    <t>Daw Toe Toe Lwin</t>
  </si>
  <si>
    <t>Daw Tin Tin Khaing</t>
  </si>
  <si>
    <t>U Htun Shwe</t>
  </si>
  <si>
    <t>U Yan Naing Soe</t>
  </si>
  <si>
    <t>U Ti Mg</t>
  </si>
  <si>
    <t>U Di Mg</t>
  </si>
  <si>
    <t>U Kyaw Sein</t>
  </si>
  <si>
    <t>IV B12, Ca+, Betex, Gabapentin</t>
  </si>
  <si>
    <t>Cox Syrup, Zinc Syrup</t>
  </si>
  <si>
    <t>IV 25%+VitC+b12, MV, Para, Betex</t>
  </si>
  <si>
    <t>Betex, Zinc</t>
  </si>
  <si>
    <t>IV B12, Betex, Ca+</t>
  </si>
  <si>
    <t>U Thein Han</t>
  </si>
  <si>
    <t>U Mg</t>
  </si>
  <si>
    <t>Amlo10, Losar, Betex, MV, Ca+</t>
  </si>
  <si>
    <t>Daw Kay Thwel Soe</t>
  </si>
  <si>
    <t>U Than Ko</t>
  </si>
  <si>
    <t>IV B12, Ca+, MV, Gabapentin</t>
  </si>
  <si>
    <t>Ma Tin Moe Aung</t>
  </si>
  <si>
    <t>Mg Kyaw Zin Htun</t>
  </si>
  <si>
    <t>Ma Mya Kyar Phyu</t>
  </si>
  <si>
    <t>U Kyaw Htoo Aung</t>
  </si>
  <si>
    <t>U Mg Tin</t>
  </si>
  <si>
    <t>MV, Zinc</t>
  </si>
  <si>
    <t>Baby Cough, B'ton</t>
  </si>
  <si>
    <t>IV B12, MV, Zinc, ORS</t>
  </si>
  <si>
    <t>Mg Aung Khant Kyaw</t>
  </si>
  <si>
    <t>Ma Khin Khin Kyaw</t>
  </si>
  <si>
    <t>Daw Khin Hla</t>
  </si>
  <si>
    <t>Daw Aye Thaung</t>
  </si>
  <si>
    <t>Daw Cherry Win</t>
  </si>
  <si>
    <t>U Mg Ngway</t>
  </si>
  <si>
    <t>U Myint Kyi</t>
  </si>
  <si>
    <t>Skin Problem</t>
  </si>
  <si>
    <t>Both Knee Pain</t>
  </si>
  <si>
    <t>Zinc Syrup</t>
  </si>
  <si>
    <t>PB vita, Zinc</t>
  </si>
  <si>
    <t>IV B12, Ibu, Omex, Ca+, MV</t>
  </si>
  <si>
    <t>IV Hydrocortisone, Predinisolone, Dextro, Deriphylline, Cefixime, MV</t>
  </si>
  <si>
    <t>IV 25%+VitC+B12, MV, Para, Cinnarizine</t>
  </si>
  <si>
    <t>Ma Thu Zar Maw</t>
  </si>
  <si>
    <t>Daw Nway Oo</t>
  </si>
  <si>
    <t>Ma Phue Pyae Thazin</t>
  </si>
  <si>
    <t>Daw Myint Myint Moe</t>
  </si>
  <si>
    <t>Ma Linn Latt Nyein</t>
  </si>
  <si>
    <t>U Htway Tin</t>
  </si>
  <si>
    <t>U Nay Win Htun</t>
  </si>
  <si>
    <t>U Kyaw Swe</t>
  </si>
  <si>
    <t>MV, Dextro, Cinnarizine, Cetrizine</t>
  </si>
  <si>
    <t>IV B12, Cinnarizine, Betex, MV</t>
  </si>
  <si>
    <t>Amlo5, Metformin, Betex, Ato10</t>
  </si>
  <si>
    <t>MV</t>
  </si>
  <si>
    <t>Mg Htoo Wai Htun</t>
  </si>
  <si>
    <t>Ma Yamin Thu</t>
  </si>
  <si>
    <t>Daw Win Hla</t>
  </si>
  <si>
    <t>Ma Htay Htay Aung</t>
  </si>
  <si>
    <t>Ma Toe Thadar Shun</t>
  </si>
  <si>
    <t>U Thae Ko</t>
  </si>
  <si>
    <t xml:space="preserve">U Htun </t>
  </si>
  <si>
    <t>U Than Mg</t>
  </si>
  <si>
    <t>U Hla Phay</t>
  </si>
  <si>
    <t>U Zaw Min Mg</t>
  </si>
  <si>
    <t>IV B'ton, Ranitadine, Cetrizine, Clotri Cream</t>
  </si>
  <si>
    <t>Ibu, Omex, Ca+, Betex</t>
  </si>
  <si>
    <t>MV, Salbutamol, Dextro</t>
  </si>
  <si>
    <t>Daw Lone Lone</t>
  </si>
  <si>
    <t>Daw Lwin Mar Oo</t>
  </si>
  <si>
    <t>Daw Naing Naing Latt</t>
  </si>
  <si>
    <t>Daw Pyone</t>
  </si>
  <si>
    <t>Ma Nilar Aung</t>
  </si>
  <si>
    <t>U Htay</t>
  </si>
  <si>
    <t>U Min Naing</t>
  </si>
  <si>
    <t>U Kan Thar</t>
  </si>
  <si>
    <t>U Soe Win</t>
  </si>
  <si>
    <t>Cervical Spondylosis</t>
  </si>
  <si>
    <t>IV25%+VitC+B12, Para, Zinc, MV, ORS</t>
  </si>
  <si>
    <t>Losar, Aldactone, Omex, Atenolol, Siloxogene</t>
  </si>
  <si>
    <t>IV B12, Para, Cinnarizine, Betex</t>
  </si>
  <si>
    <t>IM Diclo, MV, Para, Amlo5, Zinc</t>
  </si>
  <si>
    <t>IV B12, Gabapentin, Betex</t>
  </si>
  <si>
    <t>Mg Shine Min Thant</t>
  </si>
  <si>
    <t>Kyaukse</t>
  </si>
  <si>
    <t>Ma Try Novel Phyo</t>
  </si>
  <si>
    <t>other</t>
  </si>
  <si>
    <t xml:space="preserve">ARI ( Severe Pneumonia) </t>
  </si>
  <si>
    <t>Kyaukse Hospital</t>
  </si>
  <si>
    <t>-</t>
  </si>
  <si>
    <t>Pann Khwar</t>
  </si>
  <si>
    <t>Ma Khin Pyone Kyi</t>
  </si>
  <si>
    <r>
      <t>P2+1 With POD2</t>
    </r>
    <r>
      <rPr>
        <sz val="9"/>
        <color theme="1"/>
        <rFont val="Times New Roman"/>
        <family val="1"/>
      </rPr>
      <t xml:space="preserve"> with previous 1 scar</t>
    </r>
  </si>
  <si>
    <t>P2+1</t>
  </si>
  <si>
    <t>Ma Yoon Mi Mi Ko</t>
  </si>
  <si>
    <t>ARI ( Severe Pneumonia) UL Epilepsy</t>
  </si>
  <si>
    <t>Ko Lwin Ko Oo</t>
  </si>
  <si>
    <t>CBO/CSO</t>
  </si>
  <si>
    <t>Rt SOF #</t>
  </si>
  <si>
    <t>Linn Hospital</t>
  </si>
  <si>
    <t>D/C</t>
  </si>
  <si>
    <t>EONS with NNJ</t>
  </si>
  <si>
    <t>EOS, NNJ ( ABO incompetability)</t>
  </si>
  <si>
    <t>NNJ</t>
  </si>
  <si>
    <t>Sakyin Wa</t>
  </si>
  <si>
    <t>Daw Kayee Tar</t>
  </si>
  <si>
    <t>Acute Appendicitis</t>
  </si>
  <si>
    <t>KaungThuta Hospital</t>
  </si>
  <si>
    <t>Sagaing</t>
  </si>
  <si>
    <t>Zay Gone</t>
  </si>
  <si>
    <t>Mg Hein Thu Oo</t>
  </si>
  <si>
    <t>Sagaing Hospital</t>
  </si>
  <si>
    <t xml:space="preserve">Ta Goung </t>
  </si>
  <si>
    <t>Mg Khant Zaw Linn</t>
  </si>
  <si>
    <t>Closed BB# ( Right Leg)</t>
  </si>
  <si>
    <t>Mandalay General Hospital</t>
  </si>
  <si>
    <t>Pathein Gyi</t>
  </si>
  <si>
    <t>Ma Naw Yama</t>
  </si>
  <si>
    <t>Ma ThanZin May</t>
  </si>
  <si>
    <t>Acute GE ( Some Dehydration )</t>
  </si>
  <si>
    <t>550 Child Hospital</t>
  </si>
  <si>
    <t>Ma Zun Phoo Wai</t>
  </si>
  <si>
    <t>Mg Shine Bhone Myat</t>
  </si>
  <si>
    <t>ARI ( Severe Pneumonia) with RVI stage 3 with U/L TB</t>
  </si>
  <si>
    <t>Ma Htoo Htoo Aung</t>
  </si>
  <si>
    <t>G1 P0 with 38+5 wk breech  presentation</t>
  </si>
  <si>
    <t>Shwe Hospital</t>
  </si>
  <si>
    <t>G1 P0</t>
  </si>
  <si>
    <t>Sar Taw</t>
  </si>
  <si>
    <t>G1 P0 with twin pregnancy</t>
  </si>
  <si>
    <t>Ye Loon Kyaw Hospital</t>
  </si>
  <si>
    <t>Hlay Htein</t>
  </si>
  <si>
    <t>Ma Shwe Zin Lwin</t>
  </si>
  <si>
    <t>G1 P0 with reduce liquour with fetal distress</t>
  </si>
  <si>
    <t>Htone Bo</t>
  </si>
  <si>
    <t>Mg Min Min Khant</t>
  </si>
  <si>
    <t>ARI Pneumonia</t>
  </si>
  <si>
    <t>Pann Kwal</t>
  </si>
  <si>
    <t>Ma Pann Cherry</t>
  </si>
  <si>
    <t>Severe Bronchiolitis</t>
  </si>
  <si>
    <t>Hman Tan</t>
  </si>
  <si>
    <t>U Htay Myint</t>
  </si>
  <si>
    <t>Anterior MI, Ef 40%</t>
  </si>
  <si>
    <t>AyarOo Hospital</t>
  </si>
  <si>
    <t>Kwal Naphar</t>
  </si>
  <si>
    <t>U Khin Mg Nyein</t>
  </si>
  <si>
    <t>UTI with rt upper creteric stones with septic shock</t>
  </si>
  <si>
    <t>Ziwaka Hospital</t>
  </si>
  <si>
    <t>PyiGyi Tagon</t>
  </si>
  <si>
    <t>Sett Hmu</t>
  </si>
  <si>
    <t>Ma Ei Thet Hlaing</t>
  </si>
  <si>
    <t>Rt leg Injury</t>
  </si>
  <si>
    <t>Thukha Myittar Hospital</t>
  </si>
  <si>
    <t>Keal Yay Kone</t>
  </si>
  <si>
    <t>Ma Wai Wai Mar</t>
  </si>
  <si>
    <t>21yr P1+0 at 3rd POD of EmLSCS for reduce fetal M/M with suspicious CTG</t>
  </si>
  <si>
    <t>P1+0</t>
  </si>
  <si>
    <t>Central Women Hospital</t>
  </si>
  <si>
    <t>Mg B'Wai Wai Mar</t>
  </si>
  <si>
    <t>Tada-U</t>
  </si>
  <si>
    <t>Zay Cho</t>
  </si>
  <si>
    <t>Daw Khin San Tint</t>
  </si>
  <si>
    <t>Rt Femur #</t>
  </si>
  <si>
    <t>Daw Sein Sein Mya</t>
  </si>
  <si>
    <t>Royal Rose Hospital</t>
  </si>
  <si>
    <t>Sin Ywar Gyi</t>
  </si>
  <si>
    <t>Ma Thidar Htun</t>
  </si>
  <si>
    <t>P2+0 with previus 1 scar</t>
  </si>
  <si>
    <t>P2+0</t>
  </si>
  <si>
    <t>Royal Thukha Hospital</t>
  </si>
  <si>
    <t>Ma Hnin Nu Wai</t>
  </si>
  <si>
    <t>P4+0 with major placenta previor</t>
  </si>
  <si>
    <t>P4+0</t>
  </si>
  <si>
    <t>Chan Aye Thar Zan</t>
  </si>
  <si>
    <t>Ma Wun Thwel Htain</t>
  </si>
  <si>
    <t>Mandalay Teaching Hospital</t>
  </si>
  <si>
    <t xml:space="preserve">Nyal Mway 1 </t>
  </si>
  <si>
    <t>Daw Wai Wai Mar</t>
  </si>
  <si>
    <t>P5+2 with twin pregnency with UTI with 1 lap scar</t>
  </si>
  <si>
    <t>P5+2</t>
  </si>
  <si>
    <t>Female- 2.2kg, 2nd Female- 2.1kg</t>
  </si>
  <si>
    <t>Ma Moe Pyae Kywal</t>
  </si>
  <si>
    <t>Ma B' Aye Myat Mon</t>
  </si>
  <si>
    <t>Mg B'Tin Zar Khaing</t>
  </si>
  <si>
    <t>Mg B' Myo Myo Soe</t>
  </si>
  <si>
    <t>Ma Khaing Myat Mon</t>
  </si>
  <si>
    <t>G2 P1+0 with previous 1 scar with PrOM</t>
  </si>
  <si>
    <t>G2 P1+0</t>
  </si>
  <si>
    <t>Amara Yadanar Hospital</t>
  </si>
  <si>
    <t>Female alive, 3.5kg</t>
  </si>
  <si>
    <t>Myin Hmway</t>
  </si>
  <si>
    <t>Ma B' Hline Thandar Yee Oo</t>
  </si>
  <si>
    <t>Mg Pyae Sone Kyaw</t>
  </si>
  <si>
    <t xml:space="preserve">War Chatt </t>
  </si>
  <si>
    <t>Foreign body throat</t>
  </si>
  <si>
    <t>ENT Hospital</t>
  </si>
  <si>
    <t>Ma Shin Bhone PannChi</t>
  </si>
  <si>
    <t>AVI with vomitting</t>
  </si>
  <si>
    <t>Ma Aye Ei Hlaing</t>
  </si>
  <si>
    <t>P3+1 at POD2 of EmLSCS MBS 31wk with severe PE</t>
  </si>
  <si>
    <t>P3+1</t>
  </si>
  <si>
    <t>Mg Kaung Sithu Zaw</t>
  </si>
  <si>
    <t>Dengue Shock Syndrome</t>
  </si>
  <si>
    <t>Mg Phyo Zayar Htun</t>
  </si>
  <si>
    <t>Daw Kyu Kyu Hlaing</t>
  </si>
  <si>
    <t>Second Time, Left side stroke U/L DM, HT, IHD, Hyper Thyroid with AF</t>
  </si>
  <si>
    <t>Chan Mya Tharsi</t>
  </si>
  <si>
    <t>Mya Yee Nandar</t>
  </si>
  <si>
    <t>Ko Than Linn Zaw</t>
  </si>
  <si>
    <t>Closed Distal Tibia #</t>
  </si>
  <si>
    <t>Aye Mya Myittar Hospital</t>
  </si>
  <si>
    <t>Daw Thandar Myo</t>
  </si>
  <si>
    <t>Myoma uterus with anaemia</t>
  </si>
  <si>
    <t>Palace Hospital</t>
  </si>
  <si>
    <t>Ma Hla Hla San</t>
  </si>
  <si>
    <t xml:space="preserve">Maw Kun </t>
  </si>
  <si>
    <t>Wiriya Hospital</t>
  </si>
  <si>
    <t>POD2 of EL LSCS for G2 P1+0 with previous 1 scar</t>
  </si>
  <si>
    <t>Male alive, 2.9kg</t>
  </si>
  <si>
    <t>Ma Kyal Sin Htet</t>
  </si>
  <si>
    <t>Than Ywar</t>
  </si>
  <si>
    <t>ORIF with two kwires &amp; slab, for non-union lateral condyle # Rt for osteomy tarthrolysis</t>
  </si>
  <si>
    <t>Shwe Myint Mo Hospital</t>
  </si>
  <si>
    <t>Cross Township</t>
  </si>
  <si>
    <t>Male alive, 1.9kg</t>
  </si>
  <si>
    <t>Female alive, 3.1kg</t>
  </si>
  <si>
    <t>Female alive, 2.9kg</t>
  </si>
  <si>
    <t>Female alive, 1.4kg</t>
  </si>
  <si>
    <t>Male alive, 3.2kg</t>
  </si>
  <si>
    <t>Male alive, 3kg</t>
  </si>
  <si>
    <t>Ma Aye Thandar Htun</t>
  </si>
  <si>
    <t>If knee jt injury LW If knee jt D/T cycle accident</t>
  </si>
  <si>
    <t>Duwun Hospital</t>
  </si>
  <si>
    <t>33*34 71st</t>
  </si>
  <si>
    <t>30*66st</t>
  </si>
  <si>
    <t>Mg Min Khant</t>
  </si>
  <si>
    <t>BB# lt foeam manipulated under anaesthiesia and POP</t>
  </si>
  <si>
    <t>Ma Aye Khaing</t>
  </si>
  <si>
    <t>LW(U5)</t>
  </si>
  <si>
    <t>Myittoo</t>
  </si>
  <si>
    <t>others</t>
  </si>
  <si>
    <t>Ko Yan Naing Soe</t>
  </si>
  <si>
    <t>Ko Kyaw Htoo Aung</t>
  </si>
  <si>
    <t>Ko Kyaw Linn Soe</t>
  </si>
  <si>
    <t>Ko Thae Ko</t>
  </si>
  <si>
    <t>Ko Zaw Min Mg</t>
  </si>
  <si>
    <t>Ko Nay Win Htun</t>
  </si>
  <si>
    <t>Ma Thae Thae Aye</t>
  </si>
  <si>
    <t>Ma Yadanar Wai</t>
  </si>
  <si>
    <t>Ma Eaint Hmue Thazin</t>
  </si>
  <si>
    <t>Ma Thae Su Nyein</t>
  </si>
  <si>
    <t>Ma Ei Ei</t>
  </si>
  <si>
    <t>Ma Hnin Wutt Hlwar</t>
  </si>
  <si>
    <t>Ma Wai Wai Moe</t>
  </si>
  <si>
    <t>Ma Khaing Mon Myint</t>
  </si>
  <si>
    <t>Ma Khaing Khaing Thin</t>
  </si>
  <si>
    <t>Ma Swe Swe Aung</t>
  </si>
  <si>
    <t>Ma San Mya Mya Htay</t>
  </si>
  <si>
    <t>Ma Yin Yin Aye</t>
  </si>
  <si>
    <t>Ko Kyaw Naing Oo</t>
  </si>
  <si>
    <t>Ko Hein Htet</t>
  </si>
  <si>
    <t>PannKhwar</t>
  </si>
  <si>
    <t>MinKyaung, Innwa</t>
  </si>
  <si>
    <t>Mg Nyan Thuta Paing</t>
  </si>
  <si>
    <t>Ma Nyein Nyein Aye</t>
  </si>
  <si>
    <t>Mg Myat Min Thant</t>
  </si>
  <si>
    <t>U Ball Lone</t>
  </si>
  <si>
    <t>U Chan Aye</t>
  </si>
  <si>
    <t>U Wai Lwin</t>
  </si>
  <si>
    <t>U Htet Shar</t>
  </si>
  <si>
    <t>Kyukse</t>
  </si>
  <si>
    <t>2years and 6month</t>
  </si>
  <si>
    <t>1year and 6month</t>
  </si>
  <si>
    <t>6month</t>
  </si>
  <si>
    <t>Ma San San Mya</t>
  </si>
  <si>
    <t>Health Promoter- Daw Thandar</t>
  </si>
  <si>
    <t>Internal Team Meeting for Duty Assign Delegation</t>
  </si>
  <si>
    <t>Office</t>
  </si>
  <si>
    <t>Mobile Clinic</t>
  </si>
  <si>
    <t>Amapura</t>
  </si>
  <si>
    <t>Health Promotor</t>
  </si>
  <si>
    <t>Nutrition and Diarrhoea</t>
  </si>
  <si>
    <t>Yes</t>
  </si>
  <si>
    <t>1 Male Death</t>
  </si>
  <si>
    <t>Kuyakse</t>
  </si>
  <si>
    <t>Maternal and Child Health</t>
  </si>
  <si>
    <t>Myaung Oo</t>
  </si>
  <si>
    <t>AN Care, PN Care and Diabetes</t>
  </si>
  <si>
    <t>Daw Thandar</t>
  </si>
  <si>
    <t>U Than Naing  Oo</t>
  </si>
  <si>
    <t xml:space="preserve">U Win Naing </t>
  </si>
  <si>
    <t>PSEA</t>
  </si>
  <si>
    <t>PSS</t>
  </si>
  <si>
    <t>Disability Inclusion</t>
  </si>
  <si>
    <t>Assistive Device Support Database</t>
  </si>
  <si>
    <t>WGS Assessment</t>
  </si>
  <si>
    <t>Functional Assessment (Impairment/Barrier)</t>
  </si>
  <si>
    <t>Sr.</t>
  </si>
  <si>
    <t>Village/Camp/Ward Name</t>
  </si>
  <si>
    <t>Phone No</t>
  </si>
  <si>
    <t>Date of Assessment
(mmm-dd-yyy)</t>
  </si>
  <si>
    <t>Beneficary ID</t>
  </si>
  <si>
    <t>Beneficary Name</t>
  </si>
  <si>
    <t>Care giver's name</t>
  </si>
  <si>
    <t>Relationship with Care giver</t>
  </si>
  <si>
    <t>Sensory</t>
  </si>
  <si>
    <t>Communication2</t>
  </si>
  <si>
    <t>Cognitive</t>
  </si>
  <si>
    <t xml:space="preserve">Behavioral </t>
  </si>
  <si>
    <t>Recommended Assistive Device 1</t>
  </si>
  <si>
    <t>Recommended Assistive Device 2</t>
  </si>
  <si>
    <t>Recommended Assistive Device 3</t>
  </si>
  <si>
    <t>Device 1 Modification (Based on Enviroment ssessment)</t>
  </si>
  <si>
    <t>Device 2 Modification (Based on Enviroment ssessment)</t>
  </si>
  <si>
    <t>Device 3 Modification (Based on Enviroment ssessment)</t>
  </si>
  <si>
    <t>ACCESS</t>
  </si>
  <si>
    <t>Tri Star</t>
  </si>
  <si>
    <t>Mahar Aung Myay</t>
  </si>
  <si>
    <t xml:space="preserve">Nay Pu </t>
  </si>
  <si>
    <t>09-444657004</t>
  </si>
  <si>
    <t>U Sa Ka Ra</t>
  </si>
  <si>
    <t>Self</t>
  </si>
  <si>
    <t>Wheelchair, manual/active-adult(with PRC)</t>
  </si>
  <si>
    <t>Unicef</t>
  </si>
  <si>
    <t>No (1) Amarapura</t>
  </si>
  <si>
    <t>09-981994051</t>
  </si>
  <si>
    <t>U Htwe</t>
  </si>
  <si>
    <t>Axillary Crutch,Large</t>
  </si>
  <si>
    <t>Nay Pu Ywar</t>
  </si>
  <si>
    <t>09-777491705</t>
  </si>
  <si>
    <t>Mg Aung Ye Moe</t>
  </si>
  <si>
    <t>U Kyaw Gyi</t>
  </si>
  <si>
    <t>Father</t>
  </si>
  <si>
    <t>Wheelchair,Manual Assistant Controlled Child size(With Comfort Cushion)</t>
  </si>
  <si>
    <t>Chan Mya Tharzi</t>
  </si>
  <si>
    <t xml:space="preserve">Htun Tone </t>
  </si>
  <si>
    <t>09-459325388</t>
  </si>
  <si>
    <t>Ko Kyaw Zaw Lin</t>
  </si>
  <si>
    <t>Ma San San Thaw</t>
  </si>
  <si>
    <t>Mother</t>
  </si>
  <si>
    <t>Pyigyi Tagon</t>
  </si>
  <si>
    <t>Pyigyitagon</t>
  </si>
  <si>
    <t>09-400074276</t>
  </si>
  <si>
    <t>Mg Yan Yan Chan</t>
  </si>
  <si>
    <t>Ma Than Nu</t>
  </si>
  <si>
    <t>Aunty</t>
  </si>
  <si>
    <t>Axillary Crutch,Medium</t>
  </si>
  <si>
    <t>Commode chair</t>
  </si>
  <si>
    <t>09-798791976</t>
  </si>
  <si>
    <t>Daw Hla Pway</t>
  </si>
  <si>
    <t>Ma Yin Htwe</t>
  </si>
  <si>
    <t>Daughter</t>
  </si>
  <si>
    <t>Toilet and shower chairs,static</t>
  </si>
  <si>
    <t>Sintgaing</t>
  </si>
  <si>
    <t>Tha Bat Swal Village</t>
  </si>
  <si>
    <t>09-668152158</t>
  </si>
  <si>
    <t>Ko Aung Moe Naing</t>
  </si>
  <si>
    <t>No (2) Amarapura</t>
  </si>
  <si>
    <t>09-956818153</t>
  </si>
  <si>
    <t>U Tin Thein</t>
  </si>
  <si>
    <t>65st ,118x119, Pyigyitagon</t>
  </si>
  <si>
    <t>09-440080093</t>
  </si>
  <si>
    <t>Daw Khin May Win</t>
  </si>
  <si>
    <t>Kyaw Saw Han</t>
  </si>
  <si>
    <t>Son</t>
  </si>
  <si>
    <t>Htan Taw Village</t>
  </si>
  <si>
    <t>09-976039304</t>
  </si>
  <si>
    <t>U Mya Win</t>
  </si>
  <si>
    <t>Ma Khaing Myint Htwe</t>
  </si>
  <si>
    <t>09-444019955</t>
  </si>
  <si>
    <t>U Paw Wa Ya</t>
  </si>
  <si>
    <t>Naat Ray Kan</t>
  </si>
  <si>
    <t>09-960442223</t>
  </si>
  <si>
    <t>Ma Yi Yi Cho</t>
  </si>
  <si>
    <t>Ma San San Maw</t>
  </si>
  <si>
    <t>Sister</t>
  </si>
  <si>
    <t>Nyaung Pin South</t>
  </si>
  <si>
    <t>09-772342486</t>
  </si>
  <si>
    <t>Ma Shwe Zin Chit</t>
  </si>
  <si>
    <t>Ma Ei Shwe Htay</t>
  </si>
  <si>
    <t>Chan Mya Thizi</t>
  </si>
  <si>
    <t>09-400447486</t>
  </si>
  <si>
    <t>Daw Than Than Win</t>
  </si>
  <si>
    <t>U Win Naing</t>
  </si>
  <si>
    <t>Husband</t>
  </si>
  <si>
    <t>Aoe Bote , Yadanar Bon</t>
  </si>
  <si>
    <t>09-258224583</t>
  </si>
  <si>
    <t>Ma Nwe Nwe Thein</t>
  </si>
  <si>
    <t>Wheelchair,Manual Assistant Controlled(With Comfort Cushion)</t>
  </si>
  <si>
    <t>Min Gyi Village</t>
  </si>
  <si>
    <t>09-750776149</t>
  </si>
  <si>
    <t>Mg Khant Ko Aung</t>
  </si>
  <si>
    <t>Ma Saw Pyae Khaing</t>
  </si>
  <si>
    <t>Wheelchair, manual/active-paediatric(with PRC)</t>
  </si>
  <si>
    <t>Sa Kyin Wa Village</t>
  </si>
  <si>
    <t>09-899920271</t>
  </si>
  <si>
    <t>Ko Soe Myat Naing</t>
  </si>
  <si>
    <t>Daw Aye Nyein San</t>
  </si>
  <si>
    <t>Chaung Kwa, Amarapura</t>
  </si>
  <si>
    <t>09-797286078</t>
  </si>
  <si>
    <t>U Mg Tar</t>
  </si>
  <si>
    <t>Daw Nu Nu Wai</t>
  </si>
  <si>
    <t>Tain Pyar Village , Amarapura</t>
  </si>
  <si>
    <t>09-966559694</t>
  </si>
  <si>
    <t>Ma Shwan Lae Yati</t>
  </si>
  <si>
    <t>Ma Cho Zin Htet</t>
  </si>
  <si>
    <t>Patheingyi</t>
  </si>
  <si>
    <t>Latt Kaung Ward</t>
  </si>
  <si>
    <t>09-450889609</t>
  </si>
  <si>
    <t>Mg Wai Yan Tun</t>
  </si>
  <si>
    <t>Ma Hla Ya Min</t>
  </si>
  <si>
    <t>09-983469554</t>
  </si>
  <si>
    <t>U Kyaw Aye</t>
  </si>
  <si>
    <t>Ma Yoon Wutt Hmone Lwin</t>
  </si>
  <si>
    <t>Grandson</t>
  </si>
  <si>
    <t>09-794562696</t>
  </si>
  <si>
    <t>Daw Nyunt Yi</t>
  </si>
  <si>
    <t>Ko Htut Htut</t>
  </si>
  <si>
    <t>Nephwe</t>
  </si>
  <si>
    <t>Yar Thaw Ward,PGTG</t>
  </si>
  <si>
    <t>09-792536388</t>
  </si>
  <si>
    <t>Ko Si Thu</t>
  </si>
  <si>
    <t>Brother</t>
  </si>
  <si>
    <t>Aung Myay Tharsan</t>
  </si>
  <si>
    <t># (13) Ouk Sat</t>
  </si>
  <si>
    <t>09-797193543</t>
  </si>
  <si>
    <t>Daw Tin Ou</t>
  </si>
  <si>
    <t>Ko Zaw Myo Naing</t>
  </si>
  <si>
    <t>#(883), Myoe Haung</t>
  </si>
  <si>
    <t>09-446635729</t>
  </si>
  <si>
    <t>Mg Thiha Aung</t>
  </si>
  <si>
    <t>#490 Tanpawati</t>
  </si>
  <si>
    <t>09-252549944</t>
  </si>
  <si>
    <t>Daw Myint</t>
  </si>
  <si>
    <t xml:space="preserve">Ta Kaung </t>
  </si>
  <si>
    <t>09-956260215</t>
  </si>
  <si>
    <t>U Win Myint</t>
  </si>
  <si>
    <t>Poe Tan Ward</t>
  </si>
  <si>
    <t>09-761347611</t>
  </si>
  <si>
    <t>U Aung Thant Zin</t>
  </si>
  <si>
    <t>09-666268632</t>
  </si>
  <si>
    <t>Ko Min Min Htet</t>
  </si>
  <si>
    <t>Thandar Aung , War Chat</t>
  </si>
  <si>
    <t>09-894922245</t>
  </si>
  <si>
    <t>Daw Shein</t>
  </si>
  <si>
    <t xml:space="preserve">Elbow crutches,Large </t>
  </si>
  <si>
    <t xml:space="preserve">Kular Ywar, Da None </t>
  </si>
  <si>
    <t>09-793305301</t>
  </si>
  <si>
    <t>Ma Chit Su Han</t>
  </si>
  <si>
    <t>U Tun Tun Win</t>
  </si>
  <si>
    <t>#(880) Sout lote rayy waan</t>
  </si>
  <si>
    <t>09-884734155</t>
  </si>
  <si>
    <t>Ko Khin Mg Oo</t>
  </si>
  <si>
    <t>Chan Aye Thar San</t>
  </si>
  <si>
    <t>78st,27x28Bt,CATZ</t>
  </si>
  <si>
    <t>09-788800885</t>
  </si>
  <si>
    <t>Daw Khin Thaung</t>
  </si>
  <si>
    <t>Folding Walking Frame</t>
  </si>
  <si>
    <t>TanPaWaTi</t>
  </si>
  <si>
    <t>09-402679027</t>
  </si>
  <si>
    <t>Ma Yin Yin Mar</t>
  </si>
  <si>
    <t>Ko Soe Moe</t>
  </si>
  <si>
    <t>#(800) Sout lote rayy waan</t>
  </si>
  <si>
    <t>09-444037935</t>
  </si>
  <si>
    <t>Daw Mya Yin</t>
  </si>
  <si>
    <t>Ko Han Win Aung</t>
  </si>
  <si>
    <t>09-696810066</t>
  </si>
  <si>
    <t>Daw Htay Htay</t>
  </si>
  <si>
    <t>Daw Lwin May Oo</t>
  </si>
  <si>
    <t>U San Tun</t>
  </si>
  <si>
    <t>U Han Win Aung</t>
  </si>
  <si>
    <t>Walking Stick</t>
  </si>
  <si>
    <t>MaYanChan</t>
  </si>
  <si>
    <t>09-783056872</t>
  </si>
  <si>
    <t>Ma Thun Yati Myo</t>
  </si>
  <si>
    <t>Ma Zin Mar</t>
  </si>
  <si>
    <t>09-986057079</t>
  </si>
  <si>
    <t>U Taung Sein</t>
  </si>
  <si>
    <t>Ma Khaing Khaing Mon</t>
  </si>
  <si>
    <t xml:space="preserve">Natt Ray Kan </t>
  </si>
  <si>
    <t>09-786062097</t>
  </si>
  <si>
    <t>U Kyaine</t>
  </si>
  <si>
    <t>Taw Ta Pan , Ward</t>
  </si>
  <si>
    <t>09-787967679</t>
  </si>
  <si>
    <t>Daw Win Win Maw</t>
  </si>
  <si>
    <t>09-798833162</t>
  </si>
  <si>
    <t>U Paw Ngwe</t>
  </si>
  <si>
    <t>Par Ya Mi</t>
  </si>
  <si>
    <t>09-759000514</t>
  </si>
  <si>
    <t>U Myo Myint</t>
  </si>
  <si>
    <t>Kan Tar Yar</t>
  </si>
  <si>
    <t>09-441011436</t>
  </si>
  <si>
    <t>U Mg Nu</t>
  </si>
  <si>
    <t xml:space="preserve">Htone Bo </t>
  </si>
  <si>
    <t>09-977396885</t>
  </si>
  <si>
    <t>Daw Hinn</t>
  </si>
  <si>
    <t>BHA Protection Budget</t>
  </si>
  <si>
    <t>Nan Taw Yar</t>
  </si>
  <si>
    <t>09-975690097</t>
  </si>
  <si>
    <t>Daw Aye Htaw</t>
  </si>
  <si>
    <t>Ma Thandar</t>
  </si>
  <si>
    <t>09-660059825</t>
  </si>
  <si>
    <t>Zayar Ward</t>
  </si>
  <si>
    <t>09-983426416</t>
  </si>
  <si>
    <t>Daw San San Aye</t>
  </si>
  <si>
    <t>Settmu (1)</t>
  </si>
  <si>
    <t>09-899802142</t>
  </si>
  <si>
    <t xml:space="preserve">Daw Saw Yin </t>
  </si>
  <si>
    <t>Ma San Maw</t>
  </si>
  <si>
    <t>Settmu (2)</t>
  </si>
  <si>
    <t>09-</t>
  </si>
  <si>
    <t>Daw Than Aye</t>
  </si>
  <si>
    <t>#500 , Thidar Aye</t>
  </si>
  <si>
    <t>09-402653027</t>
  </si>
  <si>
    <t>Daw Mya Kyi</t>
  </si>
  <si>
    <t>#501,Thar Taw Ya</t>
  </si>
  <si>
    <t>09-402533648</t>
  </si>
  <si>
    <t>Daw Ngwe Po</t>
  </si>
  <si>
    <t xml:space="preserve">Latt Kaung </t>
  </si>
  <si>
    <t>09-768053015</t>
  </si>
  <si>
    <t>Daw TaSit</t>
  </si>
  <si>
    <t>Daw Ta Sit</t>
  </si>
  <si>
    <t xml:space="preserve">Ngwe Zin </t>
  </si>
  <si>
    <t>09-402698705</t>
  </si>
  <si>
    <t>Ko Zaw Min Min</t>
  </si>
  <si>
    <t>Myinttoo</t>
  </si>
  <si>
    <t>09-402740040</t>
  </si>
  <si>
    <t>U Kyaw Lwin</t>
  </si>
  <si>
    <t>Ma Zin Mon</t>
  </si>
  <si>
    <t>09-779025622</t>
  </si>
  <si>
    <t>Daw Sein Me</t>
  </si>
  <si>
    <t>Daw San Nwe</t>
  </si>
  <si>
    <t xml:space="preserve">Zay Kone </t>
  </si>
  <si>
    <t>09-764696510</t>
  </si>
  <si>
    <t>Daw Khin Htay Yi</t>
  </si>
  <si>
    <t>Daw Thi Thi Naing</t>
  </si>
  <si>
    <t>U Soe Tin</t>
  </si>
  <si>
    <t>Aoe Taw Ward</t>
  </si>
  <si>
    <t>09-784407703</t>
  </si>
  <si>
    <t>Daw San Aye</t>
  </si>
  <si>
    <t>09-784407708</t>
  </si>
  <si>
    <t>U Hla Than</t>
  </si>
  <si>
    <t>Daw Chit Khin</t>
  </si>
  <si>
    <t>Wife</t>
  </si>
  <si>
    <t xml:space="preserve">Taung Yin Pon </t>
  </si>
  <si>
    <t>09-794714707</t>
  </si>
  <si>
    <t>Mg Kan Kaung</t>
  </si>
  <si>
    <t>Daw Ei Ei Soe</t>
  </si>
  <si>
    <t>09-674878313</t>
  </si>
  <si>
    <t>U Thein Mg</t>
  </si>
  <si>
    <t>Daw Sandar</t>
  </si>
  <si>
    <t>ParYaMi</t>
  </si>
  <si>
    <t>09-449500970</t>
  </si>
  <si>
    <t>Daw Mya Than</t>
  </si>
  <si>
    <t>09-989049965</t>
  </si>
  <si>
    <t>Daw Own Mar</t>
  </si>
  <si>
    <t>Moe Zar</t>
  </si>
  <si>
    <t>09-794401806</t>
  </si>
  <si>
    <t>Ma Zar Li Maw</t>
  </si>
  <si>
    <t>Yar Htaung</t>
  </si>
  <si>
    <t>09-950371523</t>
  </si>
  <si>
    <t>U Myo Min</t>
  </si>
  <si>
    <t>09-770266956</t>
  </si>
  <si>
    <t>Daw Thu Zar</t>
  </si>
  <si>
    <t>09-266552002</t>
  </si>
  <si>
    <t>U Tin Mg Oo</t>
  </si>
  <si>
    <t>09-960021210</t>
  </si>
  <si>
    <t>Ma Phyo Pyae Mon</t>
  </si>
  <si>
    <t>Waist Belt</t>
  </si>
  <si>
    <t>#880,Sout Loat Ray Win</t>
  </si>
  <si>
    <t>09-761350634</t>
  </si>
  <si>
    <t xml:space="preserve">Daw Htay </t>
  </si>
  <si>
    <t>Daw Htay</t>
  </si>
  <si>
    <t>Kyi Myin Tine</t>
  </si>
  <si>
    <t>09-940981723</t>
  </si>
  <si>
    <t>U Thet Myint</t>
  </si>
  <si>
    <t>Daw San Yi</t>
  </si>
  <si>
    <t>Say Owe Bo</t>
  </si>
  <si>
    <t>09-257098080</t>
  </si>
  <si>
    <t>Daw Khin Mat</t>
  </si>
  <si>
    <t>09-947456639</t>
  </si>
  <si>
    <t>U Zaw Myint</t>
  </si>
  <si>
    <t>09-257323235</t>
  </si>
  <si>
    <t>Daw Hla Own</t>
  </si>
  <si>
    <t>U Than Min Oo</t>
  </si>
  <si>
    <t xml:space="preserve">Pan Gwa </t>
  </si>
  <si>
    <t>09-429869037</t>
  </si>
  <si>
    <t>U Khaw Tin</t>
  </si>
  <si>
    <t>U Kyaw Tin</t>
  </si>
  <si>
    <t>U Yin</t>
  </si>
  <si>
    <t>09-784298248</t>
  </si>
  <si>
    <t>Daw Nyo Thingyan</t>
  </si>
  <si>
    <t>09-981496871</t>
  </si>
  <si>
    <t>Daw Win May</t>
  </si>
  <si>
    <t>09-692588857</t>
  </si>
  <si>
    <t>Daw Mya Shwe</t>
  </si>
  <si>
    <t>Daw Nwe Nwe San</t>
  </si>
  <si>
    <t>(Sa) Ward</t>
  </si>
  <si>
    <t>09-778822593</t>
  </si>
  <si>
    <t>Daw Tin Kyaing</t>
  </si>
  <si>
    <t>Min Rwar</t>
  </si>
  <si>
    <t>09-979939257</t>
  </si>
  <si>
    <t>Daw Lone Pu</t>
  </si>
  <si>
    <t>09-799516827</t>
  </si>
  <si>
    <t>Daw Nyo Sein</t>
  </si>
  <si>
    <t>U Aye Mg</t>
  </si>
  <si>
    <t>09-974713073</t>
  </si>
  <si>
    <t xml:space="preserve">U Mg Soe </t>
  </si>
  <si>
    <t>U Mg Soe</t>
  </si>
  <si>
    <t>Myit Tuu</t>
  </si>
  <si>
    <t>09-791629930</t>
  </si>
  <si>
    <t>Ko Tun Tun Min</t>
  </si>
  <si>
    <t>Ko Tun Tun  Min</t>
  </si>
  <si>
    <t>09-974471912</t>
  </si>
  <si>
    <t>Daw Tin Tin Htwe</t>
  </si>
  <si>
    <t>09-681009889</t>
  </si>
  <si>
    <t>Daw San San</t>
  </si>
  <si>
    <t>09-960939377</t>
  </si>
  <si>
    <t>Daw Kyi Khin</t>
  </si>
  <si>
    <t>#505</t>
  </si>
  <si>
    <t>09-686415003</t>
  </si>
  <si>
    <t>U Gyi Saung</t>
  </si>
  <si>
    <t>09-666703940</t>
  </si>
  <si>
    <t>Daw Nwe Nwe Thin</t>
  </si>
  <si>
    <t xml:space="preserve">Zayar </t>
  </si>
  <si>
    <t>Zayar</t>
  </si>
  <si>
    <t>09-256446097</t>
  </si>
  <si>
    <t>Daw Zin Mar Khaing</t>
  </si>
  <si>
    <t>Zay Kone</t>
  </si>
  <si>
    <t>09-788541801</t>
  </si>
  <si>
    <t>Ma May Zin</t>
  </si>
  <si>
    <t>Takaung</t>
  </si>
  <si>
    <t>Ta Kaung</t>
  </si>
  <si>
    <t>09-663438270</t>
  </si>
  <si>
    <t>Ko Aung Ko Lin</t>
  </si>
  <si>
    <t>09-775718245</t>
  </si>
  <si>
    <t>Ma Aye Theint San</t>
  </si>
  <si>
    <t>09-987763716</t>
  </si>
  <si>
    <t>Ma Mar Yi</t>
  </si>
  <si>
    <t>War Chat Ywar</t>
  </si>
  <si>
    <t>09-257171924</t>
  </si>
  <si>
    <t>U Taung Htay</t>
  </si>
  <si>
    <t>Shin Phyu Shin Hla</t>
  </si>
  <si>
    <t>09-691032712</t>
  </si>
  <si>
    <t>U Di Mo</t>
  </si>
  <si>
    <t>09-618805092</t>
  </si>
  <si>
    <t>U Nyo Mg</t>
  </si>
  <si>
    <t>Sout Loat Ray Wun</t>
  </si>
  <si>
    <t>09-259023835</t>
  </si>
  <si>
    <t>Aung Myat Tun</t>
  </si>
  <si>
    <t>U Mya Aye</t>
  </si>
  <si>
    <t>09-750484328</t>
  </si>
  <si>
    <t>U Aung Tun Lwin</t>
  </si>
  <si>
    <t>09-442219449</t>
  </si>
  <si>
    <t>09-959256916</t>
  </si>
  <si>
    <t>U Kyaw Thet</t>
  </si>
  <si>
    <t>09-259518807</t>
  </si>
  <si>
    <t>U Myint Maw</t>
  </si>
  <si>
    <t>09-402782506</t>
  </si>
  <si>
    <t>Daw Htay Yi</t>
  </si>
  <si>
    <t>Lat Kaung</t>
  </si>
  <si>
    <t>09-693999061</t>
  </si>
  <si>
    <t>Daw Taung</t>
  </si>
  <si>
    <t>09-767813832</t>
  </si>
  <si>
    <t>U Tin Lin</t>
  </si>
  <si>
    <t>09-447390775</t>
  </si>
  <si>
    <t>Sinkar</t>
  </si>
  <si>
    <t>09-780955017</t>
  </si>
  <si>
    <t>Daw Tin Aye</t>
  </si>
  <si>
    <t>Aung Tharyar</t>
  </si>
  <si>
    <t>09-774076290</t>
  </si>
  <si>
    <t>Daw Aye May</t>
  </si>
  <si>
    <t>Kan Thar Yar</t>
  </si>
  <si>
    <t>09-798868078</t>
  </si>
  <si>
    <t>Daw Khin Cho Too</t>
  </si>
  <si>
    <t>09-787699283</t>
  </si>
  <si>
    <t>Daw Aye Aye Nyein</t>
  </si>
  <si>
    <t>Chan Aye Tharzan</t>
  </si>
  <si>
    <t>U Zaw Zaw Htet</t>
  </si>
  <si>
    <t>09-401526413</t>
  </si>
  <si>
    <t>Daw Shwe Lin Yone</t>
  </si>
  <si>
    <t>Daw Ni Ni Win</t>
  </si>
  <si>
    <t>09-886624528</t>
  </si>
  <si>
    <t>Daw Aye San Myint</t>
  </si>
  <si>
    <t>09-959677060</t>
  </si>
  <si>
    <t>Daw Yi Yi Lwin</t>
  </si>
  <si>
    <t>Daw Hay Mar Thin</t>
  </si>
  <si>
    <t>Commonde Chair</t>
  </si>
  <si>
    <t>09-974108752</t>
  </si>
  <si>
    <t>Daw Tin Tin Mar</t>
  </si>
  <si>
    <t>Nan Oo</t>
  </si>
  <si>
    <t>09-962730605</t>
  </si>
  <si>
    <t>U Aung Myo Thant</t>
  </si>
  <si>
    <t>U Aung Myo Thnat</t>
  </si>
  <si>
    <t>09-770266966</t>
  </si>
  <si>
    <t>Daw Hla Aye</t>
  </si>
  <si>
    <t>Daw Htwe Kyi</t>
  </si>
  <si>
    <t>09-981195526</t>
  </si>
  <si>
    <t>Daw Amar Kyi</t>
  </si>
  <si>
    <t>Sein Kone</t>
  </si>
  <si>
    <t>09-682686161</t>
  </si>
  <si>
    <t>Daw Htay Htay Than</t>
  </si>
  <si>
    <t>09-255333371</t>
  </si>
  <si>
    <t>Daw Da Man Yan Ti</t>
  </si>
  <si>
    <t>09-986818153</t>
  </si>
  <si>
    <t>09-765792277</t>
  </si>
  <si>
    <t>U Yar Hu Lar</t>
  </si>
  <si>
    <t>09-768649077</t>
  </si>
  <si>
    <t>Ko Min Min</t>
  </si>
  <si>
    <t>Daw Yi Yi Myint</t>
  </si>
  <si>
    <t>09-774277220</t>
  </si>
  <si>
    <t>Ma Hinn Hinn</t>
  </si>
  <si>
    <t>09-882859855</t>
  </si>
  <si>
    <t>Ko Tun Tun Oo</t>
  </si>
  <si>
    <t>Yan Pyan</t>
  </si>
  <si>
    <t>09-781397221</t>
  </si>
  <si>
    <t>Daw Nyunt Tin</t>
  </si>
  <si>
    <t>U La Min Thar</t>
  </si>
  <si>
    <t>09-257937374</t>
  </si>
  <si>
    <t>Ko Kyaw Naing</t>
  </si>
  <si>
    <t>Tharsi</t>
  </si>
  <si>
    <t>09-964616624</t>
  </si>
  <si>
    <t>Daw Sein Yi</t>
  </si>
  <si>
    <t>U Myo Tint</t>
  </si>
  <si>
    <t>Daw Aye Myint</t>
  </si>
  <si>
    <t>09-400536018</t>
  </si>
  <si>
    <t>Daw Lone</t>
  </si>
  <si>
    <t>U Tun Tun Min</t>
  </si>
  <si>
    <t>09-960939077</t>
  </si>
  <si>
    <t>09-259692940</t>
  </si>
  <si>
    <t>Ma Thin Thin Aye</t>
  </si>
  <si>
    <t>09-660945791</t>
  </si>
  <si>
    <t>Ma Nway Nway</t>
  </si>
  <si>
    <t>Lay Kyun Myay</t>
  </si>
  <si>
    <t>09-403838117</t>
  </si>
  <si>
    <t>U Zar Ni Kyaw</t>
  </si>
  <si>
    <t>Ma Mo Mo</t>
  </si>
  <si>
    <t>Nanda Wun</t>
  </si>
  <si>
    <t>09-447145564</t>
  </si>
  <si>
    <t>U Wai Pone La</t>
  </si>
  <si>
    <t>09-792036368</t>
  </si>
  <si>
    <t>U Min Naung</t>
  </si>
  <si>
    <t xml:space="preserve">Aoe Bo </t>
  </si>
  <si>
    <t>09-402658616</t>
  </si>
  <si>
    <t>War Chat</t>
  </si>
  <si>
    <t>09-687336456</t>
  </si>
  <si>
    <t>Yaw Thit Gyi</t>
  </si>
  <si>
    <t>09-799219678</t>
  </si>
  <si>
    <t>Daw Myint Oo</t>
  </si>
  <si>
    <t>U Hla Mying</t>
  </si>
  <si>
    <t>09-256165978</t>
  </si>
  <si>
    <t>Daw Taung Yin</t>
  </si>
  <si>
    <t>Daw New New Win</t>
  </si>
  <si>
    <t>Nan Oo Myotit</t>
  </si>
  <si>
    <t>09-965277793</t>
  </si>
  <si>
    <t>Mg Ye Htet Kyaw</t>
  </si>
  <si>
    <t>Daw Than Than Myint</t>
  </si>
  <si>
    <t>Elbow crutches,Medium</t>
  </si>
  <si>
    <t>09-772902854</t>
  </si>
  <si>
    <t>Mg Lin Lin Aung</t>
  </si>
  <si>
    <t>Kaung Mu Taw</t>
  </si>
  <si>
    <t>09-979431246</t>
  </si>
  <si>
    <t>U Thar Aye</t>
  </si>
  <si>
    <t>Shwe Min Wun</t>
  </si>
  <si>
    <t>09-401499787</t>
  </si>
  <si>
    <t>Daw Pyone Yi</t>
  </si>
  <si>
    <t>Shwe Bon Thar</t>
  </si>
  <si>
    <t>09-663962488</t>
  </si>
  <si>
    <t>Daw Tin Own</t>
  </si>
  <si>
    <t>Ya Mone</t>
  </si>
  <si>
    <t>09-799204444</t>
  </si>
  <si>
    <t>U Bo Ni</t>
  </si>
  <si>
    <t>Amike Su</t>
  </si>
  <si>
    <t>09-402778283</t>
  </si>
  <si>
    <t>Daw Ngwe Kyi</t>
  </si>
  <si>
    <t>Naung Pin Wun</t>
  </si>
  <si>
    <t>09-897413512</t>
  </si>
  <si>
    <t>Ma Ingyin Oo</t>
  </si>
  <si>
    <t>U Zaw Zaw</t>
  </si>
  <si>
    <t>Tin Pan Kone</t>
  </si>
  <si>
    <t>09-428861559</t>
  </si>
  <si>
    <t>Daw Toe</t>
  </si>
  <si>
    <t>Cervical Soft Collor</t>
  </si>
  <si>
    <t>09-698197555</t>
  </si>
  <si>
    <t xml:space="preserve">Daw Thiri Zaw </t>
  </si>
  <si>
    <t>Daw Thiri Zaw</t>
  </si>
  <si>
    <t>Ta Naing Su</t>
  </si>
  <si>
    <t>09-794008654</t>
  </si>
  <si>
    <t>Daw Aye Mya</t>
  </si>
  <si>
    <t xml:space="preserve">#644 </t>
  </si>
  <si>
    <t>09-688711801</t>
  </si>
  <si>
    <t>Daw Yi Yi Win</t>
  </si>
  <si>
    <t>Latt Kaung</t>
  </si>
  <si>
    <t>Daw Mat Gyi</t>
  </si>
  <si>
    <t>Than Ma Taw</t>
  </si>
  <si>
    <t>09-784917670</t>
  </si>
  <si>
    <t>Daw Kyi Tin</t>
  </si>
  <si>
    <t>09-776822650</t>
  </si>
  <si>
    <t>Daw Win Kyi</t>
  </si>
  <si>
    <t>U San Win</t>
  </si>
  <si>
    <t>09-259048710</t>
  </si>
  <si>
    <t>Daw Hinn Hinn Htwe</t>
  </si>
  <si>
    <t>09-403581077</t>
  </si>
  <si>
    <t>Daw Aye New</t>
  </si>
  <si>
    <t>Myay Soon Wun</t>
  </si>
  <si>
    <t>09-259061282</t>
  </si>
  <si>
    <t>Daw Taung Cho</t>
  </si>
  <si>
    <t>09-448027811</t>
  </si>
  <si>
    <t>U Soe Soe Naing</t>
  </si>
  <si>
    <t>Mya Theingi</t>
  </si>
  <si>
    <t>09-402781102</t>
  </si>
  <si>
    <t>U Soe Aung</t>
  </si>
  <si>
    <t>#852</t>
  </si>
  <si>
    <t>Daw New Tin</t>
  </si>
  <si>
    <t>U Kyi Saung</t>
  </si>
  <si>
    <t>(2x1)</t>
  </si>
  <si>
    <t>Ngwe Zin Yaw</t>
  </si>
  <si>
    <t xml:space="preserve">U Zaw Min </t>
  </si>
  <si>
    <t>U Zaw Min</t>
  </si>
  <si>
    <t>09-780684191</t>
  </si>
  <si>
    <t>U Ta Yoke Gyi</t>
  </si>
  <si>
    <t>09-785954115</t>
  </si>
  <si>
    <t>U Mg Mg Soe</t>
  </si>
  <si>
    <t>Naung Pin Ni</t>
  </si>
  <si>
    <t>#880</t>
  </si>
  <si>
    <t>09-797129064</t>
  </si>
  <si>
    <t>Daw Khin Khin</t>
  </si>
  <si>
    <t>Naung Ni Pin</t>
  </si>
  <si>
    <t>09-782273277</t>
  </si>
  <si>
    <t>U Kyaw Kyaw</t>
  </si>
  <si>
    <t>09-754596147</t>
  </si>
  <si>
    <t>09-426395085</t>
  </si>
  <si>
    <t>Daw Khin Than Tint</t>
  </si>
  <si>
    <t>09-758896791</t>
  </si>
  <si>
    <t>Daw Than Mya</t>
  </si>
  <si>
    <t>Lumbo Sacral Support</t>
  </si>
  <si>
    <t>09-2020025</t>
  </si>
  <si>
    <t>Ma Su Yadanar</t>
  </si>
  <si>
    <t>09-448004499</t>
  </si>
  <si>
    <t>Ma Ei Mon</t>
  </si>
  <si>
    <t>M Ei Mon</t>
  </si>
  <si>
    <t>09-424231585</t>
  </si>
  <si>
    <t>Mg Min Than Zin</t>
  </si>
  <si>
    <t>Daw Chit Htwe</t>
  </si>
  <si>
    <t>Wheel Chair MH-809EF3</t>
  </si>
  <si>
    <t>Kan Gout</t>
  </si>
  <si>
    <t>09-402500061</t>
  </si>
  <si>
    <t>U Myint Shwe</t>
  </si>
  <si>
    <t>Daw Nay Zar Khaing</t>
  </si>
  <si>
    <t>#855</t>
  </si>
  <si>
    <t>09-340178728</t>
  </si>
  <si>
    <t>U Soe Lwin</t>
  </si>
  <si>
    <t>Yan Kin Taung</t>
  </si>
  <si>
    <t>09-757993842</t>
  </si>
  <si>
    <t>Daw Khaing</t>
  </si>
  <si>
    <t xml:space="preserve">Min San </t>
  </si>
  <si>
    <t>09-946377961</t>
  </si>
  <si>
    <t>Daw Myint Myint Than</t>
  </si>
  <si>
    <t>09-401185310</t>
  </si>
  <si>
    <t>U Aye Min Win</t>
  </si>
  <si>
    <t xml:space="preserve">Nyaung Kone </t>
  </si>
  <si>
    <t>09-690834522</t>
  </si>
  <si>
    <t>U Myint Swe</t>
  </si>
  <si>
    <t>Htain Kone</t>
  </si>
  <si>
    <t>09-656434349</t>
  </si>
  <si>
    <t>Mg Kaung Kaung</t>
  </si>
  <si>
    <t>09-969137550</t>
  </si>
  <si>
    <t>U Kyaw Zayar Win</t>
  </si>
  <si>
    <t>Thanmataw</t>
  </si>
  <si>
    <t>Daw Tae</t>
  </si>
  <si>
    <t>Lenkelast® Bandage, elastic, constraining/compressive</t>
  </si>
  <si>
    <t>(5x1)</t>
  </si>
  <si>
    <t>Myinthar</t>
  </si>
  <si>
    <t>Sin Kunt</t>
  </si>
  <si>
    <t>Daw War War</t>
  </si>
  <si>
    <t>09-780129412</t>
  </si>
  <si>
    <t>Daw Nyein Nyein</t>
  </si>
  <si>
    <t>09-675547113</t>
  </si>
  <si>
    <t>Daw Saw Yin</t>
  </si>
  <si>
    <t>Pan Khwar</t>
  </si>
  <si>
    <t>09-797598575</t>
  </si>
  <si>
    <t>Daw Htoo</t>
  </si>
  <si>
    <t>1 Axillary crutch</t>
  </si>
  <si>
    <t>09-266301347</t>
  </si>
  <si>
    <t>U Tin Saung</t>
  </si>
  <si>
    <t>09-769038631</t>
  </si>
  <si>
    <t>Ko Zaw Htet</t>
  </si>
  <si>
    <t>Tharlay Swa</t>
  </si>
  <si>
    <t>09-671789631</t>
  </si>
  <si>
    <t>Mg Kyaw Kyaw</t>
  </si>
  <si>
    <t>Nalmyay 2</t>
  </si>
  <si>
    <t>09-764439529</t>
  </si>
  <si>
    <t>Ma Khin Myo Thike</t>
  </si>
  <si>
    <t>Chanmya Tharsi</t>
  </si>
  <si>
    <t>Aung Pin Lel</t>
  </si>
  <si>
    <t>09-422242366</t>
  </si>
  <si>
    <t>Daw Than Sein</t>
  </si>
  <si>
    <t>Toilet chairs</t>
  </si>
  <si>
    <t>09-256002284</t>
  </si>
  <si>
    <t>Daw Khin Bhone</t>
  </si>
  <si>
    <t>Nalmyay 1</t>
  </si>
  <si>
    <t>09-959591160</t>
  </si>
  <si>
    <t>Daw Nyo Kyi</t>
  </si>
  <si>
    <t>09-400068979</t>
  </si>
  <si>
    <t>U Aye Ko</t>
  </si>
  <si>
    <t>Quad Cane</t>
  </si>
  <si>
    <t>Daw Thaung Shwe</t>
  </si>
  <si>
    <t>09-790601370</t>
  </si>
  <si>
    <t>Daw Aung Kyi</t>
  </si>
  <si>
    <t>09-402554823</t>
  </si>
  <si>
    <t>Daw Ohne Myaing</t>
  </si>
  <si>
    <t>U Soe Tint</t>
  </si>
  <si>
    <t>South Yin Pone</t>
  </si>
  <si>
    <t>09-402409392</t>
  </si>
  <si>
    <t>Daw Khin Ei</t>
  </si>
  <si>
    <t>North Tin Pone</t>
  </si>
  <si>
    <t>09-43160435</t>
  </si>
  <si>
    <t>Daw Ma Ma Gyi</t>
  </si>
  <si>
    <t>09-971951646</t>
  </si>
  <si>
    <t>Daw Mar Mar</t>
  </si>
  <si>
    <t>09-402791128</t>
  </si>
  <si>
    <t>Daw San Kyi</t>
  </si>
  <si>
    <t>Mayan chan</t>
  </si>
  <si>
    <t>09-445521654</t>
  </si>
  <si>
    <t>Daw aye Kyi</t>
  </si>
  <si>
    <t>SaKyin Wa</t>
  </si>
  <si>
    <t>Daw Pyin</t>
  </si>
  <si>
    <t>09-662129617</t>
  </si>
  <si>
    <t>U Yay sut</t>
  </si>
  <si>
    <t>Mg Min Thu Kha Mg</t>
  </si>
  <si>
    <t>Male alive, 7 Lb &amp; 3Oz</t>
  </si>
  <si>
    <t>Male2, 41LB 8 Oz &amp; 61 Lb 7Oz</t>
  </si>
  <si>
    <t>1 Pair Axillary crutch</t>
  </si>
  <si>
    <t>Viral</t>
  </si>
  <si>
    <t>Daw Moh Moh San</t>
  </si>
  <si>
    <t>Daw Phwar Yin</t>
  </si>
  <si>
    <t>B' Tin Zar Myo</t>
  </si>
  <si>
    <t>U Kyaw Shein</t>
  </si>
  <si>
    <t>U Bike</t>
  </si>
  <si>
    <t>U Ye Mg</t>
  </si>
  <si>
    <t>Chest Infection</t>
  </si>
  <si>
    <t>ARI</t>
  </si>
  <si>
    <t>IV B12, Gabapentin, Ibu, Omex, Betex</t>
  </si>
  <si>
    <t>Betex, Salbutamol, Amlo5, Inhaler</t>
  </si>
  <si>
    <t>Lasix, Aldactone, Aspilet</t>
  </si>
  <si>
    <t>Cefixime SR, Baby Cough SR, B'ton</t>
  </si>
  <si>
    <t>Daw Aung Gyi</t>
  </si>
  <si>
    <t>Daw Than Tint</t>
  </si>
  <si>
    <t>Daw WinTin</t>
  </si>
  <si>
    <t>U Thaung</t>
  </si>
  <si>
    <t>U Hla Maw</t>
  </si>
  <si>
    <t>U Shinn</t>
  </si>
  <si>
    <t>U Ohnn</t>
  </si>
  <si>
    <t>U Ba Han</t>
  </si>
  <si>
    <t>left Sciatica</t>
  </si>
  <si>
    <t>Amlo5, Ibu, Omex, MV</t>
  </si>
  <si>
    <t>Ato10, Amlo10, Betex, Zinc</t>
  </si>
  <si>
    <t>IV 25%+B12, Amlo5, Betex, Zinc</t>
  </si>
  <si>
    <t>Aceclo, Omex, Betex, Metformin, Gliclacide, Amlo5, Ato10</t>
  </si>
  <si>
    <t>Deriphylline, Detusin, Para, MV, Ato10</t>
  </si>
  <si>
    <t>Daw Hla Kyin</t>
  </si>
  <si>
    <t>U Yay Baw</t>
  </si>
  <si>
    <t>U Tay Zani Ya</t>
  </si>
  <si>
    <t>U Thar Kywel</t>
  </si>
  <si>
    <t>U Tin Oo</t>
  </si>
  <si>
    <t>U Thura</t>
  </si>
  <si>
    <t>U Myint</t>
  </si>
  <si>
    <t>Heart Disease</t>
  </si>
  <si>
    <t>Hypertension with storke</t>
  </si>
  <si>
    <t>Dressing, Ampiclox, Para, VitC, Ca+</t>
  </si>
  <si>
    <t>Aspilet, Losar, Ato 10, Cardivas</t>
  </si>
  <si>
    <t>IV B12, Para, Cinnarizine, MV</t>
  </si>
  <si>
    <t>Amlo10, Ato 10, MV</t>
  </si>
  <si>
    <t>IM Diclo, Para, Cetrizine, Presco, VitC, Azithro</t>
  </si>
  <si>
    <t>Ma Mee Mee</t>
  </si>
  <si>
    <t>Shin Thaw Ma Nanda</t>
  </si>
  <si>
    <t>U Yay Wa Tha</t>
  </si>
  <si>
    <t>Shin Eaindar Sara</t>
  </si>
  <si>
    <t>Shin Aww Bar Tha</t>
  </si>
  <si>
    <t>U Mg Thant</t>
  </si>
  <si>
    <t>U Cho</t>
  </si>
  <si>
    <t>U Ko Naing</t>
  </si>
  <si>
    <t>U Kyaw Moe Thu</t>
  </si>
  <si>
    <t>U Aung Kyaw Moe</t>
  </si>
  <si>
    <t>Ortits</t>
  </si>
  <si>
    <t>Ortits Media</t>
  </si>
  <si>
    <t>IM Diclo, Ibu, Betex, Cifram, Gentamycin ear drop</t>
  </si>
  <si>
    <t>IV Pantocid, ORS, Pantocid, Zinc, Air X</t>
  </si>
  <si>
    <t>IV B12, Cinnarizine, ORS, MV</t>
  </si>
  <si>
    <t>Para, VitC, Zinc, ORS</t>
  </si>
  <si>
    <t>Cefixime, Para, MV, Cifram ear drop</t>
  </si>
  <si>
    <t>Shin PyinNyar Nanda</t>
  </si>
  <si>
    <t>Shin War Yama</t>
  </si>
  <si>
    <t>Shin Wanna Thiri</t>
  </si>
  <si>
    <t>Shin Nyar Ni Ka</t>
  </si>
  <si>
    <t>Shin Thone Dara</t>
  </si>
  <si>
    <t>U THi Hla Naing</t>
  </si>
  <si>
    <t>U Aung Aung</t>
  </si>
  <si>
    <t>U Thu Thu</t>
  </si>
  <si>
    <t>U Thant Zaw Linn</t>
  </si>
  <si>
    <t>U Myo San</t>
  </si>
  <si>
    <t>Dizziness</t>
  </si>
  <si>
    <t>LOA</t>
  </si>
  <si>
    <t>Cinnarizine, MV, ORS</t>
  </si>
  <si>
    <t>Para, MV</t>
  </si>
  <si>
    <t>MV, ORS</t>
  </si>
  <si>
    <t>MV, ORS, Cevit, Ampiclox</t>
  </si>
  <si>
    <t>Shin Sandi Mar</t>
  </si>
  <si>
    <t>Daw Gyan Bone</t>
  </si>
  <si>
    <t>U Phoe Wine</t>
  </si>
  <si>
    <t>Daw Han Shinn</t>
  </si>
  <si>
    <t>U Myo Htun</t>
  </si>
  <si>
    <t>U Bo Gyi</t>
  </si>
  <si>
    <t>U Htun Hla</t>
  </si>
  <si>
    <t>U Hla Din</t>
  </si>
  <si>
    <t>Gout</t>
  </si>
  <si>
    <t>Calamin Lotion</t>
  </si>
  <si>
    <t>Azithro, Bronhexine, Cevit, Amlo5</t>
  </si>
  <si>
    <t>Allopurinol, Aceclo, Omex, Amlo5, Betex</t>
  </si>
  <si>
    <t>Cetrizine, bronhexine, Amlo10</t>
  </si>
  <si>
    <t>Amlo5, MV, Ibu, Omex</t>
  </si>
  <si>
    <t>U Nyar Na Wara</t>
  </si>
  <si>
    <t>Daw Aye San</t>
  </si>
  <si>
    <t>U Zaw Ti Ka</t>
  </si>
  <si>
    <t>Daw Tin Kyi</t>
  </si>
  <si>
    <t>Daw Aye</t>
  </si>
  <si>
    <t>U Saw Lwin</t>
  </si>
  <si>
    <t>U Tote Phyo</t>
  </si>
  <si>
    <t>U TinHla</t>
  </si>
  <si>
    <t>Acute GE</t>
  </si>
  <si>
    <t>Rt shoulder pain</t>
  </si>
  <si>
    <t>Metformin, Metro, Cifram, FA, ORS</t>
  </si>
  <si>
    <t>Ato10, Amlo5, Allopurinol, Deriphylline, Aspilet</t>
  </si>
  <si>
    <t>Amlo5, Para. Ca+, Betex, AirX</t>
  </si>
  <si>
    <t>IV B12, Amlo5, Detusin, Betex</t>
  </si>
  <si>
    <t>U Thaung Sein</t>
  </si>
  <si>
    <t>Daw Tin Ohne</t>
  </si>
  <si>
    <t>Daw Nyo</t>
  </si>
  <si>
    <t>Daw Tin Thant</t>
  </si>
  <si>
    <t>Ma Ohne</t>
  </si>
  <si>
    <t>U Than Myint</t>
  </si>
  <si>
    <t>U Chit Tin</t>
  </si>
  <si>
    <t>U Ohne Khin</t>
  </si>
  <si>
    <t>U Kyi San</t>
  </si>
  <si>
    <t>Knee Jt Pain</t>
  </si>
  <si>
    <t>IM Diclo, Ibu, Para, Omex, MV</t>
  </si>
  <si>
    <t>Amlo5, Myomas, Betex</t>
  </si>
  <si>
    <t>Amlo5, Metformin, zinc</t>
  </si>
  <si>
    <t>IM Diclo, Amlo5, Aceclo, Omex, Betex</t>
  </si>
  <si>
    <t>Amlo5, MV</t>
  </si>
  <si>
    <t>Daw Chaw</t>
  </si>
  <si>
    <t>Ma Po Po Hlaing</t>
  </si>
  <si>
    <t>Ma May Phue Wathan</t>
  </si>
  <si>
    <t xml:space="preserve">U Ohne  </t>
  </si>
  <si>
    <t>U Pann</t>
  </si>
  <si>
    <t>U Myint Hlaing</t>
  </si>
  <si>
    <t>U Zin Yaw Oo</t>
  </si>
  <si>
    <t>Family Planning</t>
  </si>
  <si>
    <t>Neonatal Care</t>
  </si>
  <si>
    <t>AN Care</t>
  </si>
  <si>
    <t>IV B12, Amlo5, Para, Betex, Zinc</t>
  </si>
  <si>
    <t>Implant, Para, VitC</t>
  </si>
  <si>
    <t>Amlo10, Losar25, Betex, Ato10</t>
  </si>
  <si>
    <t>Folic acid, B1, MMN</t>
  </si>
  <si>
    <t>Neonatal care</t>
  </si>
  <si>
    <t>Daw Mya Mya</t>
  </si>
  <si>
    <t>Aye Mar Khaing</t>
  </si>
  <si>
    <t>Daw Yin Ngway</t>
  </si>
  <si>
    <t>Daw Aye Thant</t>
  </si>
  <si>
    <t>U Thaung Tin</t>
  </si>
  <si>
    <t>U Htun Shein</t>
  </si>
  <si>
    <t>U Chit Tote</t>
  </si>
  <si>
    <t>Eye Problem</t>
  </si>
  <si>
    <t>IV B12, Betex, Zinc</t>
  </si>
  <si>
    <t>Zinc, MOM, Betex</t>
  </si>
  <si>
    <t>Daw Mya Shein</t>
  </si>
  <si>
    <t>Daw Swe</t>
  </si>
  <si>
    <t>Daw Kyi Win</t>
  </si>
  <si>
    <t>Ma Hla Myo Kywel</t>
  </si>
  <si>
    <t>U Zaw Win Aung</t>
  </si>
  <si>
    <t>U Sein Win</t>
  </si>
  <si>
    <t>U Chit Naing</t>
  </si>
  <si>
    <t>U Toe Ni</t>
  </si>
  <si>
    <t>U Than Win</t>
  </si>
  <si>
    <t>Polyuria</t>
  </si>
  <si>
    <t>Para, PB Vita, Zinc, ORS</t>
  </si>
  <si>
    <t>Amlo5, Para, Danzen, Cevit, Ampiclox</t>
  </si>
  <si>
    <t>Zinc,Para, MV</t>
  </si>
  <si>
    <t>Amlo10, Ranitadine, Cetrizine, Metro</t>
  </si>
  <si>
    <t>Cifram, Genta ear drop, MV</t>
  </si>
  <si>
    <t>Daw Than Myint</t>
  </si>
  <si>
    <t>Daw Htay Kyi</t>
  </si>
  <si>
    <t>Daw Nyein</t>
  </si>
  <si>
    <t>Daw Khin Nyein</t>
  </si>
  <si>
    <t>U Aung Thein</t>
  </si>
  <si>
    <t>U Maw</t>
  </si>
  <si>
    <t>U Nyunt Sate</t>
  </si>
  <si>
    <t>U Chit Htun</t>
  </si>
  <si>
    <t>Abdominal Pain</t>
  </si>
  <si>
    <t>IV B12, Para, Ca+, Betex, Gabapentin</t>
  </si>
  <si>
    <t>Myomas, Betex</t>
  </si>
  <si>
    <t>Pantocid, Siloxogene, Amlo10</t>
  </si>
  <si>
    <t>U Paw Han</t>
  </si>
  <si>
    <t>Mg Aung Zin Bo</t>
  </si>
  <si>
    <t>Daw Khin Su</t>
  </si>
  <si>
    <t>Daw Thaung Khin</t>
  </si>
  <si>
    <t>Daw Si</t>
  </si>
  <si>
    <t>U Nay Linn</t>
  </si>
  <si>
    <t>U Toe</t>
  </si>
  <si>
    <t>U Din</t>
  </si>
  <si>
    <t>U Aye Thaung</t>
  </si>
  <si>
    <t>Skin Infection</t>
  </si>
  <si>
    <t>Amlo10, Adactone, Ato20, Trimethazidine</t>
  </si>
  <si>
    <t>Albendazole, B'ton, Caladyl lotion</t>
  </si>
  <si>
    <t>Gliclacide, Metformin, Amlo5, Ato10</t>
  </si>
  <si>
    <t>Amlo5, Ca+, Zinc</t>
  </si>
  <si>
    <t>Amlo10, Metformin, Ca+, Para, Betex</t>
  </si>
  <si>
    <t>U Thein Win</t>
  </si>
  <si>
    <t>U Zaw Han</t>
  </si>
  <si>
    <t>U Wai Linn Aung</t>
  </si>
  <si>
    <t>Daw Nyunt Shwe</t>
  </si>
  <si>
    <t>U Nyan</t>
  </si>
  <si>
    <t>U Yar Gyi</t>
  </si>
  <si>
    <t>U Myat Mg</t>
  </si>
  <si>
    <t>U Htway</t>
  </si>
  <si>
    <t>U Lwin</t>
  </si>
  <si>
    <t>Tinitus</t>
  </si>
  <si>
    <t>IM Diclo, Ibu, Amlo5, Betex</t>
  </si>
  <si>
    <t>Dexa, Aceclo, Omex</t>
  </si>
  <si>
    <t>Amlo10, Losar, MV</t>
  </si>
  <si>
    <t>Amlo5, Betex, Ibu</t>
  </si>
  <si>
    <t>IV 25%+B6+12+Vitc, Myopas, Omex, Aceclo, Ca+, Betex, Cifram Ear drop</t>
  </si>
  <si>
    <t>Daw Than Nu</t>
  </si>
  <si>
    <t>Daw Htay Tint</t>
  </si>
  <si>
    <t>Daw Khin Than Win</t>
  </si>
  <si>
    <t>Daw Han Aye</t>
  </si>
  <si>
    <t>U Chit Myaing</t>
  </si>
  <si>
    <t>U Ant Mg</t>
  </si>
  <si>
    <t>U Nyo Lay</t>
  </si>
  <si>
    <t>LT Sciatica</t>
  </si>
  <si>
    <t>LT Thight Pain</t>
  </si>
  <si>
    <t>Losar25, Lasix,Am;o10, Ato10, Aldactone</t>
  </si>
  <si>
    <t>Ibu, Betex, Amlo5</t>
  </si>
  <si>
    <t>IV25%+B12+VitC, Zinc, VitC,Para, MV, Amlo5</t>
  </si>
  <si>
    <t>Amlo10, Metformin, Gliclacide, Ato10</t>
  </si>
  <si>
    <t>Ibu, Omex, Amlo10</t>
  </si>
  <si>
    <t>Daw Khin Toe</t>
  </si>
  <si>
    <t>Daw Kyu Tin</t>
  </si>
  <si>
    <t>Daw Hmway</t>
  </si>
  <si>
    <t xml:space="preserve">Daw Lone  </t>
  </si>
  <si>
    <t>Daw Kyin Oo</t>
  </si>
  <si>
    <t>U Khin Mg</t>
  </si>
  <si>
    <t>U Thet Htun</t>
  </si>
  <si>
    <t>U Hla Baw</t>
  </si>
  <si>
    <t>U Htun Hlaing</t>
  </si>
  <si>
    <t>U Mya Thwin</t>
  </si>
  <si>
    <t>Frozen Shoulder</t>
  </si>
  <si>
    <t>HT/Chest Infection</t>
  </si>
  <si>
    <t>Losar25, Betex, Aceclo, Omex</t>
  </si>
  <si>
    <t>Aceclo, Omex, Pregabalin, Neurovit</t>
  </si>
  <si>
    <t>IV B12, Para, Ca+, Gabapentin, MV</t>
  </si>
  <si>
    <t>Enam5, Para, Amlo10, Ato20, Aspilet, Metformin, Gliclacide</t>
  </si>
  <si>
    <t>Aspilet, Losar50, Ato 20, Cefixime</t>
  </si>
  <si>
    <t>Hnin Wutt Hlwar</t>
  </si>
  <si>
    <t>Thin Thin Yu</t>
  </si>
  <si>
    <t>U ArKar Phyo</t>
  </si>
  <si>
    <t>U Kyaw Htay Aung</t>
  </si>
  <si>
    <t>U Kyin Sein</t>
  </si>
  <si>
    <t>U Kyaw Naing Oo</t>
  </si>
  <si>
    <t>U Nyunt Shwe</t>
  </si>
  <si>
    <t>AVI</t>
  </si>
  <si>
    <t>Vomiting</t>
  </si>
  <si>
    <t>B'ton, Physiodose, Zinc Syrup</t>
  </si>
  <si>
    <t>Para, Ca+</t>
  </si>
  <si>
    <t>IV B12, Losar, Ato10, Betex</t>
  </si>
  <si>
    <t>Albendazole, Domperidone, ranitadine</t>
  </si>
  <si>
    <t>Amlo5, Memorin, Betex</t>
  </si>
  <si>
    <t>Daw Tote Kyee</t>
  </si>
  <si>
    <t>B' Hmue Thadar Htet</t>
  </si>
  <si>
    <t>Daw Ni</t>
  </si>
  <si>
    <t>Daw Sein Yati</t>
  </si>
  <si>
    <t>U Thein Htun</t>
  </si>
  <si>
    <t>U Tin Moe Thu</t>
  </si>
  <si>
    <t>U Nyunt Htay</t>
  </si>
  <si>
    <t>Jt pain</t>
  </si>
  <si>
    <t>Betex,Ibu, Amlo5, Memorin</t>
  </si>
  <si>
    <t>Zinc, MV</t>
  </si>
  <si>
    <t>B'ton, Physiodose</t>
  </si>
  <si>
    <t>Cefixime, Metro, Zinc, Bilac, ORS</t>
  </si>
  <si>
    <t>Daw Aye Cho</t>
  </si>
  <si>
    <t>Daw Hla Sein</t>
  </si>
  <si>
    <t>Daw Htar Htar New</t>
  </si>
  <si>
    <t>U Nan Tin</t>
  </si>
  <si>
    <t>U Bo</t>
  </si>
  <si>
    <t>U Thaung Thein</t>
  </si>
  <si>
    <t>Thyroid</t>
  </si>
  <si>
    <t>Amlo 10, Ato 10, Betex</t>
  </si>
  <si>
    <t>DMR60, Amlo5, Ato10, Metformin</t>
  </si>
  <si>
    <t>Porpanolol, MV, Bronhexine, Azithro</t>
  </si>
  <si>
    <t>IV25%+B12+VitC, Ibu, Omex, Gabapentin, Ca+</t>
  </si>
  <si>
    <t xml:space="preserve">Para, VitC </t>
  </si>
  <si>
    <t>Daw Ohne Tint</t>
  </si>
  <si>
    <t>Daw Aye Ya</t>
  </si>
  <si>
    <t>Daw Khin Aye Shi</t>
  </si>
  <si>
    <t>U San Htway</t>
  </si>
  <si>
    <t>U Thar Nyan</t>
  </si>
  <si>
    <t>U Kyaw</t>
  </si>
  <si>
    <t>U Hein Htet</t>
  </si>
  <si>
    <t>U Tin Sein</t>
  </si>
  <si>
    <t>Metro, Ibu, Omex, IM Diclo</t>
  </si>
  <si>
    <t>Koff SR, B'ton, Zinc SR</t>
  </si>
  <si>
    <t>Amlo5, Ato10, Betex, Aldactone</t>
  </si>
  <si>
    <t>IV 25%+B12, Ranitadine, Ibu, Ca+, Clotri Cream</t>
  </si>
  <si>
    <t>Daw Than Nwet</t>
  </si>
  <si>
    <t>Daw San Myint</t>
  </si>
  <si>
    <t>Daw Saung</t>
  </si>
  <si>
    <t>Daw Nyunt Yee</t>
  </si>
  <si>
    <t>U Kan Nyunt</t>
  </si>
  <si>
    <t>U Myat Aye</t>
  </si>
  <si>
    <t>U Aung Gyi</t>
  </si>
  <si>
    <t>Ibu, Omex, Cevit, Gabapentin</t>
  </si>
  <si>
    <t>IV B12, Amlo5, Betex, Para</t>
  </si>
  <si>
    <t>Amlo10, Enam5, Salbutamol, Bronhexine, Azithro</t>
  </si>
  <si>
    <t>Zinc, Ca+, MV</t>
  </si>
  <si>
    <t>Daw Mya Sein</t>
  </si>
  <si>
    <t>Daw Myat Than</t>
  </si>
  <si>
    <t>Daw Khinn Nyein</t>
  </si>
  <si>
    <t>Daw Nyunt Wai</t>
  </si>
  <si>
    <t>U Thein Aung</t>
  </si>
  <si>
    <t>U Ba Naing</t>
  </si>
  <si>
    <t>U Ngway Tote</t>
  </si>
  <si>
    <t>U Outaww</t>
  </si>
  <si>
    <t>U Theik Htun</t>
  </si>
  <si>
    <t>Dyspnoea, HT</t>
  </si>
  <si>
    <t>Body ache</t>
  </si>
  <si>
    <t>Para, Bronhexine, Salbutamol, MV</t>
  </si>
  <si>
    <t>IV B12, Zinc, Para, Betex</t>
  </si>
  <si>
    <t>IV B12, Amlo5, Betex, Zinc</t>
  </si>
  <si>
    <t>Daw Yee Cho</t>
  </si>
  <si>
    <t>Daw Maw Maw</t>
  </si>
  <si>
    <t>Daw Swe Mann</t>
  </si>
  <si>
    <t xml:space="preserve">Daw Man Khin </t>
  </si>
  <si>
    <t>Daw Htar Shein</t>
  </si>
  <si>
    <t>U Win Aung</t>
  </si>
  <si>
    <t>U Zayya</t>
  </si>
  <si>
    <t>U Khway Mg</t>
  </si>
  <si>
    <t xml:space="preserve">Detusin, Cetrizine, VitC, Omex </t>
  </si>
  <si>
    <t>Acute Hepatitis</t>
  </si>
  <si>
    <t>Amlo5, Ibu, Omex, Ca+</t>
  </si>
  <si>
    <t>MV, MOM</t>
  </si>
  <si>
    <t xml:space="preserve">IV B12, MV, Zinc </t>
  </si>
  <si>
    <t xml:space="preserve">IV B12, Amlo5, Ato 10, Betex, Para, Cinnarizine </t>
  </si>
  <si>
    <t>Ma Ei Ei Moe</t>
  </si>
  <si>
    <t>Ma Ei Zar</t>
  </si>
  <si>
    <t>U Kywal Htay</t>
  </si>
  <si>
    <t>Refer</t>
  </si>
  <si>
    <t>U Myint Naing</t>
  </si>
  <si>
    <t>Daw Htay Htay Oo</t>
  </si>
  <si>
    <t>U Mar Ni Ta</t>
  </si>
  <si>
    <t>Daw Tar</t>
  </si>
  <si>
    <t xml:space="preserve">Myaung Oo </t>
  </si>
  <si>
    <t>U Thaung Shein</t>
  </si>
  <si>
    <t>U Saw Mann</t>
  </si>
  <si>
    <t>U Sein Khin</t>
  </si>
  <si>
    <t xml:space="preserve">IV B12, Amlo5, Betex, Gabapentin </t>
  </si>
  <si>
    <t>Ato10, Losar 25, Metformin, Ca+</t>
  </si>
  <si>
    <t>IV B12, Gabapentin, MV</t>
  </si>
  <si>
    <t>Nefidapine, Metformin, Aldactone, Ato20</t>
  </si>
  <si>
    <t>Amlo5, Ibu, Metro, Betex</t>
  </si>
  <si>
    <t>U Min Thu</t>
  </si>
  <si>
    <t>Daw Khin San Yee</t>
  </si>
  <si>
    <t>Ma Aye Aye Khaing</t>
  </si>
  <si>
    <t>U Htun Zaw Hein</t>
  </si>
  <si>
    <t>U Zaw Naing</t>
  </si>
  <si>
    <t>U Htun Mg</t>
  </si>
  <si>
    <t>U Bo Chout</t>
  </si>
  <si>
    <t>U Mya San</t>
  </si>
  <si>
    <t>U Tin Htoo</t>
  </si>
  <si>
    <t>Common Cold</t>
  </si>
  <si>
    <t>IV25%+B12+VitC, MV, Cinnarizine, Zinc</t>
  </si>
  <si>
    <t>Betex, Gabapentin, Ibu</t>
  </si>
  <si>
    <t>Para, MV, AirX</t>
  </si>
  <si>
    <t xml:space="preserve">Azithro,Para, Presco, Cevit, Cetrizine </t>
  </si>
  <si>
    <t xml:space="preserve">Aceclo, Omex, MV </t>
  </si>
  <si>
    <t>Daw Tin Htay</t>
  </si>
  <si>
    <t>Daw Htay Yee</t>
  </si>
  <si>
    <t>U Phoe Htoo</t>
  </si>
  <si>
    <t>U Mg Khin</t>
  </si>
  <si>
    <t>U Myint Mg</t>
  </si>
  <si>
    <t>U Ba Htun</t>
  </si>
  <si>
    <t>U Shwe Phar</t>
  </si>
  <si>
    <t xml:space="preserve">Para, MV </t>
  </si>
  <si>
    <t>Amlo 10, Ato 10, MV</t>
  </si>
  <si>
    <t>IV Pantocid, VitC, Zinc, Para, Omex</t>
  </si>
  <si>
    <t>Amlo10, Ibu, Siloxogene, MV</t>
  </si>
  <si>
    <t>MV, FA, VitC</t>
  </si>
  <si>
    <t>U Zine</t>
  </si>
  <si>
    <t>U War Ya Ma</t>
  </si>
  <si>
    <t>Daw Phyu Win</t>
  </si>
  <si>
    <t>Daw Khin Mar Win</t>
  </si>
  <si>
    <t>U Than Htun</t>
  </si>
  <si>
    <t>U Myint Ngway</t>
  </si>
  <si>
    <t xml:space="preserve">U Bo Htay </t>
  </si>
  <si>
    <t>Epigastric Pain</t>
  </si>
  <si>
    <t>Orchitis</t>
  </si>
  <si>
    <t>Amlo5, Betex, zinc</t>
  </si>
  <si>
    <t>Cefixime, Pantocid, Siloxogene</t>
  </si>
  <si>
    <t>Ibu, Omex, Ca+, MV</t>
  </si>
  <si>
    <t>Amlo5, Cefixime, Para, Betex</t>
  </si>
  <si>
    <t>U Tin Zaw</t>
  </si>
  <si>
    <t>Ma Pa Pa Win</t>
  </si>
  <si>
    <t>U Htun Linn Zaw</t>
  </si>
  <si>
    <t>U Tin Win</t>
  </si>
  <si>
    <t>U Wine</t>
  </si>
  <si>
    <t>Migrane</t>
  </si>
  <si>
    <t>IV B12,Para, Ca+, Zinc, Gabapentin</t>
  </si>
  <si>
    <t>Losar,Ibu, Omex, Dexa, Trypta, Asprin, Betex</t>
  </si>
  <si>
    <t>Amlo5, Cinnarizine, Para, Betex</t>
  </si>
  <si>
    <t>Metformin, DMR30, Amlo5, Zinc</t>
  </si>
  <si>
    <t>IV Pantocid, Pantocid, Zinc, Gabapentin, Airx</t>
  </si>
  <si>
    <t>Daw Thida</t>
  </si>
  <si>
    <t>Ma Ei Ei Phyu</t>
  </si>
  <si>
    <t>U Moe win</t>
  </si>
  <si>
    <t>U Myint Aung</t>
  </si>
  <si>
    <t>Daw Thida Swe</t>
  </si>
  <si>
    <t>U Ohne Mg</t>
  </si>
  <si>
    <t>U Kyaw Soe</t>
  </si>
  <si>
    <t>U Min Kyaw</t>
  </si>
  <si>
    <t>U Wae Zaw</t>
  </si>
  <si>
    <t>Fungal Infection</t>
  </si>
  <si>
    <t>MMN</t>
  </si>
  <si>
    <t>IV B12, Betex, Para</t>
  </si>
  <si>
    <t>Amlo10, Betex, Ibu</t>
  </si>
  <si>
    <t>IM Diclo, Ibu, Omex, MV</t>
  </si>
  <si>
    <t>IV B'ton, Ranitadine, B'ton, zinc, Clotri Cream</t>
  </si>
  <si>
    <t>U Htay Kywel</t>
  </si>
  <si>
    <t>Daw Tout</t>
  </si>
  <si>
    <t>Daw San Lwin</t>
  </si>
  <si>
    <t>Daw Shwe Thee</t>
  </si>
  <si>
    <t>U Nyan Tint</t>
  </si>
  <si>
    <t>U Myat Thein</t>
  </si>
  <si>
    <t>U Nyo Eain</t>
  </si>
  <si>
    <t>Bloody Pile</t>
  </si>
  <si>
    <t>Cevit, MOM, Aspilet, Amlo5</t>
  </si>
  <si>
    <t>Amlo5, Metformin, MV, Para</t>
  </si>
  <si>
    <t>IV B12, Betex, MV, Para</t>
  </si>
  <si>
    <t>Aspilet, Clopilet, Pantocid, Ato20, VMR35</t>
  </si>
  <si>
    <t>IV B12, Cardivas, Amlo10, MV</t>
  </si>
  <si>
    <t>Daw Thein Thein Win</t>
  </si>
  <si>
    <t xml:space="preserve">Mg Kyaw  </t>
  </si>
  <si>
    <t>Ma Than Oo</t>
  </si>
  <si>
    <t>U Mg Kyaw</t>
  </si>
  <si>
    <t>U Kalar</t>
  </si>
  <si>
    <t>Metformin, MV, Clopilet, Amlo10, Mettoprolol</t>
  </si>
  <si>
    <t>Cevit, Cifram, Cifram Eye drop</t>
  </si>
  <si>
    <t xml:space="preserve">PB Vita </t>
  </si>
  <si>
    <t>Losartan, DMR, Metformin, Amlo10</t>
  </si>
  <si>
    <t xml:space="preserve">Daw Khin Moe </t>
  </si>
  <si>
    <t>Daw Mar Khin</t>
  </si>
  <si>
    <t>Daw Nyunt Sein</t>
  </si>
  <si>
    <t>U Phyo Aung</t>
  </si>
  <si>
    <t>Daw Chel</t>
  </si>
  <si>
    <t>Daw Tut</t>
  </si>
  <si>
    <t>U Hla Chit</t>
  </si>
  <si>
    <t xml:space="preserve">IM Diclo, Amlo10, Aceclo, Omex </t>
  </si>
  <si>
    <t>MV, Para, Ca+</t>
  </si>
  <si>
    <t xml:space="preserve">IM Diclo, Para, Ca+, Gabapentin </t>
  </si>
  <si>
    <t xml:space="preserve">Amlo5, Metformin, Betex </t>
  </si>
  <si>
    <t>IM Diclo, Azithro, Cevit, Dextro, Ibu</t>
  </si>
  <si>
    <t>Daw Nyo Tin</t>
  </si>
  <si>
    <t>U Min Aung</t>
  </si>
  <si>
    <t>U Htun Myaing</t>
  </si>
  <si>
    <t>U Pyae</t>
  </si>
  <si>
    <t>Daw Kyin Soe</t>
  </si>
  <si>
    <t>Ma Myat Noe Wai</t>
  </si>
  <si>
    <t>Limb Pain</t>
  </si>
  <si>
    <t xml:space="preserve">IM Diclo, Ibu, Betex </t>
  </si>
  <si>
    <t>Amlo5, Ato10, Ibu, MV, Omex</t>
  </si>
  <si>
    <t>IV B12, Betex, MV, Ca+, Zinc, Amlo5</t>
  </si>
  <si>
    <t>Amlo10, Para, Ca+</t>
  </si>
  <si>
    <t>Cefixime, Prednisolone, Detusin, Cetrizine, Inhaler</t>
  </si>
  <si>
    <t>U Paw Myar</t>
  </si>
  <si>
    <t>Ma Nu Nu Win</t>
  </si>
  <si>
    <t>U Htun shwe</t>
  </si>
  <si>
    <t>Ma Thet Hmue Khin</t>
  </si>
  <si>
    <t>Daw Aye Lwin</t>
  </si>
  <si>
    <t>Blurred vision</t>
  </si>
  <si>
    <t>TOC</t>
  </si>
  <si>
    <t xml:space="preserve">Amlo10, Aceclo, Omex, MV </t>
  </si>
  <si>
    <t>IV B12, Ibu, Omex, Amlo5, MV</t>
  </si>
  <si>
    <t>U Mg Khaing</t>
  </si>
  <si>
    <t>U Kyee Dan</t>
  </si>
  <si>
    <t>Ma Yoon Thiri Swe</t>
  </si>
  <si>
    <t>Daw Mar Khaing</t>
  </si>
  <si>
    <t>U Htun Sein</t>
  </si>
  <si>
    <t>U Wel</t>
  </si>
  <si>
    <t>Daw Ma Ma Win</t>
  </si>
  <si>
    <t>Dyspnoea</t>
  </si>
  <si>
    <t>Metformin, Gliclacide, Losar</t>
  </si>
  <si>
    <t>Amlo5, Losar,Betex,Aceclo, Omex</t>
  </si>
  <si>
    <t>IV25%+B6+12+Vitc, B1, MV</t>
  </si>
  <si>
    <t>IV25%+B6+12+Vitc, Cadilol, MV</t>
  </si>
  <si>
    <t xml:space="preserve">Daw Mar Win </t>
  </si>
  <si>
    <t>Ma Tin Oo Hlaing</t>
  </si>
  <si>
    <t>U Swe Than</t>
  </si>
  <si>
    <t>U Phoe Kyar</t>
  </si>
  <si>
    <t xml:space="preserve">Cefixime SR </t>
  </si>
  <si>
    <t>IV 25%+B6+12+VitC, Betex, Amlo5</t>
  </si>
  <si>
    <t>Folic acid, B1</t>
  </si>
  <si>
    <t>Amlo5, Betex</t>
  </si>
  <si>
    <t>Daw Kyu Kyu Khaing</t>
  </si>
  <si>
    <t>Ma EI Ei Mon</t>
  </si>
  <si>
    <t>Daw Htay Myint</t>
  </si>
  <si>
    <t>Yamin Oo</t>
  </si>
  <si>
    <t>U Tin Htay</t>
  </si>
  <si>
    <t>U Kyaw Shwe</t>
  </si>
  <si>
    <t>U Mya Htway</t>
  </si>
  <si>
    <t>U Htun Ei</t>
  </si>
  <si>
    <t>U Lwin Moe Oo</t>
  </si>
  <si>
    <t>U Chit Oo</t>
  </si>
  <si>
    <t>Toothache</t>
  </si>
  <si>
    <t xml:space="preserve">IV B12, Para, Betex </t>
  </si>
  <si>
    <t>Metformin, DMR80, AMlo5, MV</t>
  </si>
  <si>
    <t>Para, Cevit, Ampiclox</t>
  </si>
  <si>
    <t>Amlo5, Metformin, Zinc, Ato10</t>
  </si>
  <si>
    <t>U Yee</t>
  </si>
  <si>
    <t>Ma Tar</t>
  </si>
  <si>
    <t>Ma Khin Thuzar</t>
  </si>
  <si>
    <t>Daw Khin Hla Hla</t>
  </si>
  <si>
    <t>U Chaw</t>
  </si>
  <si>
    <t>U Aung Din</t>
  </si>
  <si>
    <t>U Nyunt Shein</t>
  </si>
  <si>
    <t>U Zaw Moe</t>
  </si>
  <si>
    <t>U Kywar</t>
  </si>
  <si>
    <t>HT with old stroke</t>
  </si>
  <si>
    <t>Amlo10, Ato 10, Betex, Zinc</t>
  </si>
  <si>
    <t>Amlo5</t>
  </si>
  <si>
    <t>IM Depo</t>
  </si>
  <si>
    <t>Daw Aye Maw</t>
  </si>
  <si>
    <t>Daw Tin Tin Win</t>
  </si>
  <si>
    <t>Daw Cho Myint</t>
  </si>
  <si>
    <t>U Toe Aung</t>
  </si>
  <si>
    <t>U Tout</t>
  </si>
  <si>
    <t>U Paw Sa</t>
  </si>
  <si>
    <t>U Chit Khaing</t>
  </si>
  <si>
    <t>Ear problem</t>
  </si>
  <si>
    <t>RT Parotid region pain</t>
  </si>
  <si>
    <t>MV, Ibu, Renatiidne, Cifram ear drop</t>
  </si>
  <si>
    <t xml:space="preserve">Aceclo, Omex, Betex </t>
  </si>
  <si>
    <t>IV B12,Ibu, MV, Zinc,FA</t>
  </si>
  <si>
    <t>Betex,prednisolone,Omex</t>
  </si>
  <si>
    <t>Daw Thin Thin Swe</t>
  </si>
  <si>
    <t>U Thaw Pi Da</t>
  </si>
  <si>
    <t>Ma Thin Thin Nwel</t>
  </si>
  <si>
    <t>Mg Kaung Myat Thu</t>
  </si>
  <si>
    <t>Daw Ohne Yee</t>
  </si>
  <si>
    <t>U Ba Su</t>
  </si>
  <si>
    <t>U Min Min Thu</t>
  </si>
  <si>
    <t>U Hla Nyunt</t>
  </si>
  <si>
    <t>HT/Family Planning</t>
  </si>
  <si>
    <t>IV B12, IM Depo, Enam5, Betex</t>
  </si>
  <si>
    <t>Amlo10, MV, Ca+</t>
  </si>
  <si>
    <t xml:space="preserve">Folic acid, B1,Cetrizine </t>
  </si>
  <si>
    <t>Clotri Cream</t>
  </si>
  <si>
    <t>IV B12, Amlo5,Para,MV,Zinc</t>
  </si>
  <si>
    <t>Ma Phyu Phyu San</t>
  </si>
  <si>
    <t>Daw Yin Nu</t>
  </si>
  <si>
    <t>U Win Myaing</t>
  </si>
  <si>
    <t>Mg Wai Yan Oo</t>
  </si>
  <si>
    <t>Daw Tin Nu</t>
  </si>
  <si>
    <t>U Kyaut Khae</t>
  </si>
  <si>
    <t>U Lwin Myo Oo</t>
  </si>
  <si>
    <t>Para, AirX, MMN, Presco</t>
  </si>
  <si>
    <t>Fever</t>
  </si>
  <si>
    <t>Dovarin, Omex, MV</t>
  </si>
  <si>
    <t>IV B12, B1, Omex, Zinc</t>
  </si>
  <si>
    <t>Azithro SR</t>
  </si>
  <si>
    <t>IV 25%+ B12+VitC, Para, MV, Ca+, Cinnarizine</t>
  </si>
  <si>
    <t>U Phoe Pyae</t>
  </si>
  <si>
    <t>U Nyan Naw Bar Tha</t>
  </si>
  <si>
    <t>Daw Mya Htway</t>
  </si>
  <si>
    <t>U Pana Wa</t>
  </si>
  <si>
    <t>U Htun Pa</t>
  </si>
  <si>
    <t>U Pyae Sone</t>
  </si>
  <si>
    <t>Metformin, Ato 10, MV</t>
  </si>
  <si>
    <t>IM Diclo, Ibu, Pantocid, MV</t>
  </si>
  <si>
    <t>IM Diclo, Ibu, Ca+, Denzen, Omex</t>
  </si>
  <si>
    <t>Amlo5, Betex, Zinc, Cinnarizine</t>
  </si>
  <si>
    <t>Presco, MV</t>
  </si>
  <si>
    <t>Daw Wah Wah Tin</t>
  </si>
  <si>
    <t>U Tin Htun</t>
  </si>
  <si>
    <t>Daw Cho</t>
  </si>
  <si>
    <t xml:space="preserve">Daw Khin Than  </t>
  </si>
  <si>
    <t>U Phoe Aye</t>
  </si>
  <si>
    <t>U San Htoo</t>
  </si>
  <si>
    <t>U Ba Shein</t>
  </si>
  <si>
    <t>Lt shoulder pain</t>
  </si>
  <si>
    <t>IM Diclo, Ibu, Omex, Allopurinol</t>
  </si>
  <si>
    <t>IV B12, Para, Cinnarizine, MV ,Zinc</t>
  </si>
  <si>
    <t>Ibu, Memorin, Betex</t>
  </si>
  <si>
    <t>Betex, MV, Aceclo, Omex</t>
  </si>
  <si>
    <t>IM Diclo, amlo5, Myomas, Omex, MV</t>
  </si>
  <si>
    <t>Daw Ohnemar</t>
  </si>
  <si>
    <t>Daw Ohne Paing</t>
  </si>
  <si>
    <t>Daw San Maw</t>
  </si>
  <si>
    <t>Daw Aye Aye Maw</t>
  </si>
  <si>
    <t>U Yar Lay</t>
  </si>
  <si>
    <t>U San Myint</t>
  </si>
  <si>
    <t>U Kyi Soe</t>
  </si>
  <si>
    <t>U Nyein Mg</t>
  </si>
  <si>
    <t>Dexa, Ibu, Omex, MV</t>
  </si>
  <si>
    <t>IV 25%+B6+12+VitC, Amlo10, MV,Ibu</t>
  </si>
  <si>
    <t>Amlo5, MV,Myomas, Omex</t>
  </si>
  <si>
    <t>Aceclo, Omex, Ca+, Betex</t>
  </si>
  <si>
    <t>Ko Aung Thet Kyaw</t>
  </si>
  <si>
    <t>Ma Nwet</t>
  </si>
  <si>
    <t>Ma Moe Sandar</t>
  </si>
  <si>
    <t>U Kyaw Gyi Myaing</t>
  </si>
  <si>
    <t>U Nyan Aye</t>
  </si>
  <si>
    <t>U Mya Mg</t>
  </si>
  <si>
    <t>Ulcer</t>
  </si>
  <si>
    <t>Cough</t>
  </si>
  <si>
    <t>GE</t>
  </si>
  <si>
    <t>Ampiclox, Para, Denzen, Vitc</t>
  </si>
  <si>
    <t>Azithro, Amlo10, Dextro, Cevit</t>
  </si>
  <si>
    <t>Metro, Folic acid, Zinc, ORS</t>
  </si>
  <si>
    <t>Ma Thiri</t>
  </si>
  <si>
    <t>U Than Naing Win</t>
  </si>
  <si>
    <t>Daw Khaing Oo</t>
  </si>
  <si>
    <t>Daw Shwe Htee</t>
  </si>
  <si>
    <t>U Thaw Ma Na</t>
  </si>
  <si>
    <t xml:space="preserve">U Kyaw Htay  </t>
  </si>
  <si>
    <t>U Tin Mg</t>
  </si>
  <si>
    <t>Anal Ulcer</t>
  </si>
  <si>
    <t>Allopurinol, Aceclo, Omex</t>
  </si>
  <si>
    <t>Aldactone, Lasix, Gabapentin, Betex, Amlo5</t>
  </si>
  <si>
    <t>Metro, Cifram, Cevit, MOM</t>
  </si>
  <si>
    <t>Ma Hla Hla Win</t>
  </si>
  <si>
    <t>Ma A Mi Ko</t>
  </si>
  <si>
    <t>Ma Shwe Zin Myint Htet</t>
  </si>
  <si>
    <t>Ma Me Me Hlaing</t>
  </si>
  <si>
    <t>Daw Thein Mya</t>
  </si>
  <si>
    <t>U Myint Kyaw</t>
  </si>
  <si>
    <t>U Kyaing</t>
  </si>
  <si>
    <t>LT Knee pain</t>
  </si>
  <si>
    <t>Ear Blockage</t>
  </si>
  <si>
    <t>Amlo10, Allopurinol, Ibu, Omex</t>
  </si>
  <si>
    <t>Cifram ear drop</t>
  </si>
  <si>
    <t>Folic acid</t>
  </si>
  <si>
    <t>IV25%+B12+VitC, Para, Cinnarizine, MV</t>
  </si>
  <si>
    <t>IV B12, Betex, FA, MV, zinc</t>
  </si>
  <si>
    <t>Daw Pwar</t>
  </si>
  <si>
    <t xml:space="preserve">Daw Maw  </t>
  </si>
  <si>
    <t>U Win Maung</t>
  </si>
  <si>
    <t>Daw Myint Myint Aye</t>
  </si>
  <si>
    <t>Daw Than Khin</t>
  </si>
  <si>
    <t>U Sein Aung</t>
  </si>
  <si>
    <t>U Ba Sein</t>
  </si>
  <si>
    <t>U Phone Ngway</t>
  </si>
  <si>
    <t>U Bo Naing</t>
  </si>
  <si>
    <t>DM/HT</t>
  </si>
  <si>
    <t>Dm</t>
  </si>
  <si>
    <t>Metformin, Amlo5, MV, Gliclacide</t>
  </si>
  <si>
    <t>IV Pantocid, Amlo5, Zinc, MV, Omex</t>
  </si>
  <si>
    <t>Betex, MV</t>
  </si>
  <si>
    <t>Metformin, Ibu, Omex, Ca+, Gabapentin</t>
  </si>
  <si>
    <t>U Thet Naing Oo</t>
  </si>
  <si>
    <t>Daw Aye Khaing</t>
  </si>
  <si>
    <t>Ma Soe Moe Khaing</t>
  </si>
  <si>
    <t>Ma May Bhone Oo</t>
  </si>
  <si>
    <t>Ma Tin Yu Maw</t>
  </si>
  <si>
    <t>Khin Phone Yu Hlaing</t>
  </si>
  <si>
    <t>U Mg Kyaing</t>
  </si>
  <si>
    <t>U Kyatt Nii</t>
  </si>
  <si>
    <t>U Myo Lwin Oo</t>
  </si>
  <si>
    <t>U Myat Htway</t>
  </si>
  <si>
    <t>U Kyaw Swar Hlaing</t>
  </si>
  <si>
    <t>Cerebral Palscy</t>
  </si>
  <si>
    <t>Numbness</t>
  </si>
  <si>
    <t>Parotid Swelling Mump</t>
  </si>
  <si>
    <t>IV B12, Ibu, Omex, Ca+</t>
  </si>
  <si>
    <t>Ca+, Para, Gabapentin, MV</t>
  </si>
  <si>
    <t>IV25%=B12+VitC, Para, MV, Gabapentin, Omex</t>
  </si>
  <si>
    <t>Losar, Betex</t>
  </si>
  <si>
    <t>Betex</t>
  </si>
  <si>
    <t xml:space="preserve">Ibu, Betex </t>
  </si>
  <si>
    <t>Flumox, Cevit, Para</t>
  </si>
  <si>
    <t>Ma Yati Aung</t>
  </si>
  <si>
    <t>Ma Chit Khun Chan Myae</t>
  </si>
  <si>
    <t>Ma May Yamon Phue</t>
  </si>
  <si>
    <t>Ma Poe Ei Phyu</t>
  </si>
  <si>
    <t>Mg Bhone Hlyan Htet</t>
  </si>
  <si>
    <t>U Hlaing Oo</t>
  </si>
  <si>
    <t>U Aung Kyaw Soe</t>
  </si>
  <si>
    <t>U Htway Aung Kyaw</t>
  </si>
  <si>
    <t>Dental problem</t>
  </si>
  <si>
    <t>Para sr, Koff sr, B'ton, ORS</t>
  </si>
  <si>
    <t>Pb Vita</t>
  </si>
  <si>
    <t>B'ton, Presco, ORS</t>
  </si>
  <si>
    <t>Airx, Para sr</t>
  </si>
  <si>
    <t>Daw Htay Htay Lwin</t>
  </si>
  <si>
    <t>Daw Yee Yee Mar</t>
  </si>
  <si>
    <t>Daw Ohnmar Myint</t>
  </si>
  <si>
    <t>Mg Kaung Khant Hein</t>
  </si>
  <si>
    <t>Ma Khin Zan Nadi Thu</t>
  </si>
  <si>
    <t>Su Yati Thaw</t>
  </si>
  <si>
    <t>U Thein Swe</t>
  </si>
  <si>
    <t>Ma Khant Khant Kyal Sin Thaw</t>
  </si>
  <si>
    <t xml:space="preserve">Daw Nyunt Nyunt </t>
  </si>
  <si>
    <t>Daw Yee San</t>
  </si>
  <si>
    <t xml:space="preserve">U Tin Myint </t>
  </si>
  <si>
    <t>U Hein Htet Aung</t>
  </si>
  <si>
    <t>U Aung Myint Thu</t>
  </si>
  <si>
    <t>U Hla Myo Thein</t>
  </si>
  <si>
    <t>U Myint Swe Oo</t>
  </si>
  <si>
    <t>U Sein Khant</t>
  </si>
  <si>
    <t>U Yee Shwin</t>
  </si>
  <si>
    <t>Lt Foor pain</t>
  </si>
  <si>
    <t>Gliclacid, Zinc, Amlo5</t>
  </si>
  <si>
    <t>Para sr</t>
  </si>
  <si>
    <t>Metformin,Gliclacide, Ca+, Ibu</t>
  </si>
  <si>
    <t>Cefixime, Para, VitC, Meconazole cream</t>
  </si>
  <si>
    <t>Para sr, zinc sr</t>
  </si>
  <si>
    <t>Cetrizine, koff sr, B'ton, VItC</t>
  </si>
  <si>
    <t>Gliclacide, Metformin, Aceclo, MV, Omex, Ato10</t>
  </si>
  <si>
    <t>Aceclo, Omex, Gabapentin, Cetrizine</t>
  </si>
  <si>
    <t>Metformin, Amlo10, Zinc</t>
  </si>
  <si>
    <t xml:space="preserve">Metformin, Amlo5, MV </t>
  </si>
  <si>
    <t>Daw Sann Tint</t>
  </si>
  <si>
    <t>Mg Swan Htet Naing</t>
  </si>
  <si>
    <t>Daw Khin Mar Yin</t>
  </si>
  <si>
    <t>Daw Khin Mar Lwin</t>
  </si>
  <si>
    <t>Daw Mu Sam</t>
  </si>
  <si>
    <t>U MG MG</t>
  </si>
  <si>
    <t>U Kyaw Than</t>
  </si>
  <si>
    <t>Mg Bhone Pyae Zan</t>
  </si>
  <si>
    <t>Daw Daw</t>
  </si>
  <si>
    <t>Ma Hnin Yu Kyi</t>
  </si>
  <si>
    <t>U HtunKyaing</t>
  </si>
  <si>
    <t>U Soe Min Thu</t>
  </si>
  <si>
    <t>U Kyin Mg</t>
  </si>
  <si>
    <t>U Thein</t>
  </si>
  <si>
    <t>U Nyunt</t>
  </si>
  <si>
    <t>U Aung Myat</t>
  </si>
  <si>
    <t>U Myo Thet Khaing</t>
  </si>
  <si>
    <t>U Htaw</t>
  </si>
  <si>
    <t>U Aung Htun</t>
  </si>
  <si>
    <t xml:space="preserve">Amlo5, Ca+, Ibu </t>
  </si>
  <si>
    <t>B'ton, Koff sr, PB Vita</t>
  </si>
  <si>
    <t xml:space="preserve">Myomas, Omex, MV,Amlo5, Bronhexine </t>
  </si>
  <si>
    <t>Metformin, Amlo10, Ato10, Losar</t>
  </si>
  <si>
    <t>DMR80, Aspilet, Bisoprolol, Metformin, Trimethazidine, Metacard, Pantocid, Ampiclox, Cevit</t>
  </si>
  <si>
    <t xml:space="preserve">Metformin, Amlo10, Ato10, MV </t>
  </si>
  <si>
    <t>IV B12, Amlo10, Ibu, Omex, Ca+</t>
  </si>
  <si>
    <t>B'tom, Zinc, Clotri cream</t>
  </si>
  <si>
    <t>IV B12, zinc, Para, Betex,MV</t>
  </si>
  <si>
    <t xml:space="preserve">Ibu, Betadine </t>
  </si>
  <si>
    <t>Mg Linn Htet Naing</t>
  </si>
  <si>
    <t>Ma May Kyue Khin</t>
  </si>
  <si>
    <t>Daw Ngel Lay</t>
  </si>
  <si>
    <t xml:space="preserve">U Myo Thant </t>
  </si>
  <si>
    <t>Ma Pan Ei Phyu</t>
  </si>
  <si>
    <t>Ma Su Su Naing</t>
  </si>
  <si>
    <t>Daw Aye Sein</t>
  </si>
  <si>
    <t>U Sein Mg</t>
  </si>
  <si>
    <t>Daw Aye Aye Htway</t>
  </si>
  <si>
    <t>Daw Swe Swe</t>
  </si>
  <si>
    <t>U Sai Aung</t>
  </si>
  <si>
    <t>U Khin Mg Myint</t>
  </si>
  <si>
    <t>U Ba Khin</t>
  </si>
  <si>
    <t>U Aye Myint</t>
  </si>
  <si>
    <t>U Kan Sein</t>
  </si>
  <si>
    <t>U Aung Htoo</t>
  </si>
  <si>
    <t>U Kyi Shwe</t>
  </si>
  <si>
    <t>U Nyunt Mg</t>
  </si>
  <si>
    <t>White Discharge</t>
  </si>
  <si>
    <t xml:space="preserve">Koff SR, B'ton, VitC </t>
  </si>
  <si>
    <t>Cefixime, zinc sr, B'ton, Physiodose, Para</t>
  </si>
  <si>
    <t>IM Diclo, Amlo5, Ibu, Omex, Ca+</t>
  </si>
  <si>
    <t>IV B12, Para, Amlo5, Cinnarizine,MV</t>
  </si>
  <si>
    <t>Cevit, Cetrizine, Aceclo, Omex</t>
  </si>
  <si>
    <t>Candidis V6, Clotri cream</t>
  </si>
  <si>
    <t>IV 25%+B6+12+vitc, Mv, zinc, Para, Ors</t>
  </si>
  <si>
    <t>IV B12, MOM, MV, Zinc</t>
  </si>
  <si>
    <t>IV Pantocid, Omex,Zinc,Kidlac,Airx, ORS</t>
  </si>
  <si>
    <t>Metformin, Amlo10, Airx, Omex</t>
  </si>
  <si>
    <t>Daw Khin Than Nwet</t>
  </si>
  <si>
    <t>Daw Swe Swe Than</t>
  </si>
  <si>
    <t>U Myint Thein</t>
  </si>
  <si>
    <t>Daw Myint Myint Khin</t>
  </si>
  <si>
    <t>Daw Myint Myint Oo</t>
  </si>
  <si>
    <t>U Tin Mg Nyunt</t>
  </si>
  <si>
    <t>U Htein Win</t>
  </si>
  <si>
    <t>U Than Chaung</t>
  </si>
  <si>
    <t>U Thit</t>
  </si>
  <si>
    <t>U Pwa Gyi</t>
  </si>
  <si>
    <t>U Khin Aung</t>
  </si>
  <si>
    <t>U Mg Mg</t>
  </si>
  <si>
    <t>HT/Lt sciatica</t>
  </si>
  <si>
    <t>IHD</t>
  </si>
  <si>
    <t>Metformin, Amlo10, Allopurinol, Ibu, Omex, MV, Linaglitin</t>
  </si>
  <si>
    <t>Metformin, Amlo10, Gliclacide, Myomas, Omex, MV, Enam10,, ato10</t>
  </si>
  <si>
    <t>IV 25%+B12+Vitc, Ibu, Omex, MV, ORS</t>
  </si>
  <si>
    <t>Amlo10, Losar50, Metformin,Ato10, Airx, Ca+</t>
  </si>
  <si>
    <t>Metacard, Metoprolol, Amlo10, Omex, Siloxogene, MV</t>
  </si>
  <si>
    <t>IM Diclo,Aceclo, Omex,Denzen, Para, Metformin</t>
  </si>
  <si>
    <t>IV 25%+B12+VitC, MV, FA</t>
  </si>
  <si>
    <t>IV B12, Para, Ca+, Gabapentin, Amlo10</t>
  </si>
  <si>
    <t>Aspilet, Amlo5, Trimethazidine, Ato10, Cardivas, Myomas,Omex,MV</t>
  </si>
  <si>
    <t>Amlo5, Presco,Cetrizine,MV</t>
  </si>
  <si>
    <t>Daw San Nu</t>
  </si>
  <si>
    <t>Daw Thin Thin Khaing</t>
  </si>
  <si>
    <t xml:space="preserve">Daw Than Hla </t>
  </si>
  <si>
    <t>Daw Thandar Htway</t>
  </si>
  <si>
    <t>Ma Aye Su Khaing</t>
  </si>
  <si>
    <t>Daw Yin</t>
  </si>
  <si>
    <t>Ma Aye Aye Myint</t>
  </si>
  <si>
    <t>U Luu Kaung</t>
  </si>
  <si>
    <t>U Mat Yin</t>
  </si>
  <si>
    <t>U Myan</t>
  </si>
  <si>
    <t>U Myat Nyunt</t>
  </si>
  <si>
    <t>U Khin Mg Aye</t>
  </si>
  <si>
    <t>U San</t>
  </si>
  <si>
    <t>Ca Breast/ HT</t>
  </si>
  <si>
    <t>SLE</t>
  </si>
  <si>
    <t>Metformin, Amlo5, Ato10, MV, Cetrizien, Presco</t>
  </si>
  <si>
    <t>Azithro, Dextro, Cetrizine, VitC</t>
  </si>
  <si>
    <t>Amlo5, MV, Vitc</t>
  </si>
  <si>
    <t>Aspilet, Amlo10, Ato10, Para, MV</t>
  </si>
  <si>
    <t>IM Depo, Methylpropanolol, Prednisolone, Gabapentin,Omex, Myomas, Mv</t>
  </si>
  <si>
    <t>IV25%+B12+Vitc, amlo5, Memorin, MV,Aceclo, Omex</t>
  </si>
  <si>
    <t>Amlo5, MV,Zinc</t>
  </si>
  <si>
    <t>U Hla Shwe</t>
  </si>
  <si>
    <t>Daw Khin Swe OO</t>
  </si>
  <si>
    <t>Mg Htet Arkar</t>
  </si>
  <si>
    <t>Daw Khin Sint</t>
  </si>
  <si>
    <t>Daw Mya Han</t>
  </si>
  <si>
    <t>Daw Tin Tin</t>
  </si>
  <si>
    <t>Daw Aye Shwe</t>
  </si>
  <si>
    <t>Daw Yee Lay</t>
  </si>
  <si>
    <t>Daw Yin Nwet</t>
  </si>
  <si>
    <t>Daw Mi Mi</t>
  </si>
  <si>
    <t>U Aye Ngway</t>
  </si>
  <si>
    <t>U Ngel Lay</t>
  </si>
  <si>
    <t>U Mya Shin</t>
  </si>
  <si>
    <t>U Pyo</t>
  </si>
  <si>
    <t>U Hla Thwin</t>
  </si>
  <si>
    <t>U Kywat</t>
  </si>
  <si>
    <t>U Saw Mg</t>
  </si>
  <si>
    <t>U Lue Tote</t>
  </si>
  <si>
    <t>Lipoma</t>
  </si>
  <si>
    <t>Injury to Rt upper chest</t>
  </si>
  <si>
    <t>Amlo5, MV, MOM</t>
  </si>
  <si>
    <t>Amlo5,MV,Gabapentin,Aceclo,Omex</t>
  </si>
  <si>
    <t>Para,MV</t>
  </si>
  <si>
    <t>Amlo5,MV,Para</t>
  </si>
  <si>
    <t>IM Diclo,Amlo5,Ibu,Omex,Para,Ca+</t>
  </si>
  <si>
    <t>Amlo10, MV,Presco,Cetrizine</t>
  </si>
  <si>
    <t>IV25%+B6+12+Vitc,Amlo5, Cinnarizine, Para,MV, Caladyl lotion</t>
  </si>
  <si>
    <t>Amlo5,MV</t>
  </si>
  <si>
    <t>Metformin, Amlo5, Ranitadine,Cetrizine,Clotri Cream</t>
  </si>
  <si>
    <t>IV B12, Amlo5, MV, Para</t>
  </si>
  <si>
    <t>Daw Khin Mar Htway</t>
  </si>
  <si>
    <t>U Shwe Nan</t>
  </si>
  <si>
    <t>Daw Myint Myint Maw</t>
  </si>
  <si>
    <t>Mg Aung Phyo Thu</t>
  </si>
  <si>
    <t>Ma Su SU Lwin</t>
  </si>
  <si>
    <t>U Khin Mg Than</t>
  </si>
  <si>
    <t>U Kyaw Min</t>
  </si>
  <si>
    <t>Ma Moe Wah</t>
  </si>
  <si>
    <t>U San Htay</t>
  </si>
  <si>
    <t>U Kyar Yone</t>
  </si>
  <si>
    <t>U MinThura</t>
  </si>
  <si>
    <t>U Thit Lwin</t>
  </si>
  <si>
    <t>U Nyi Mg</t>
  </si>
  <si>
    <t>U Chit Thein</t>
  </si>
  <si>
    <t>Can't sleep well</t>
  </si>
  <si>
    <t>Amlo5, Trypta, Myomas, Omex,MV</t>
  </si>
  <si>
    <t>IV B12,Amlo5, Omex, MV. Airx</t>
  </si>
  <si>
    <t>Metformin, Amlo5, Gliclacide, Aceclo, Omex, MV, Ato10</t>
  </si>
  <si>
    <t>Metformin, Amlo5, MV</t>
  </si>
  <si>
    <t>IV B12, Amlo5, Presco, Ibu, Cetrizine,Omex</t>
  </si>
  <si>
    <t>IM Diclo,Paral VItC, Cetrizine,Detusin, ORS</t>
  </si>
  <si>
    <t>IV Hydro, Deriphylline,Prednisolone,Presco, Cetrizine, Inhaler</t>
  </si>
  <si>
    <t>Amlo5, Aceclo,MV</t>
  </si>
  <si>
    <t>IV Pantocid, Amlo5, Amoxil, Omex,B1, Zinc,Clarithromycin</t>
  </si>
  <si>
    <t>Daw Soe</t>
  </si>
  <si>
    <t>Ma Kyi Kyi Khaing</t>
  </si>
  <si>
    <t>U Niang Naing Win</t>
  </si>
  <si>
    <t>Ma Toe Toe Lwin</t>
  </si>
  <si>
    <t>Ma Zue Nay Win</t>
  </si>
  <si>
    <t>Myat Yati Htun</t>
  </si>
  <si>
    <t>Ma Myint Myint Maw</t>
  </si>
  <si>
    <t>Ma Khaing Zin Nway</t>
  </si>
  <si>
    <t>Ma Thae Thae Lwin</t>
  </si>
  <si>
    <t>U Kyaw Yee</t>
  </si>
  <si>
    <t>U Than Nyunt</t>
  </si>
  <si>
    <t>U Win Ko</t>
  </si>
  <si>
    <t>U Khant Win</t>
  </si>
  <si>
    <t>U Mg Oo</t>
  </si>
  <si>
    <t>U Nay Zin Htun</t>
  </si>
  <si>
    <t>U Pyone Mg</t>
  </si>
  <si>
    <t>FLU</t>
  </si>
  <si>
    <t>Neuropathy</t>
  </si>
  <si>
    <t>Gliclacide, Amlo5,Metformin, Betex, Ato10</t>
  </si>
  <si>
    <t>IM Diclo, Para, Cevit, Cinnarizine, Cetrizine, ORS</t>
  </si>
  <si>
    <t>Betex, Gabapentin, IV 25%+B6+!2+Vitc</t>
  </si>
  <si>
    <t>IV B12, Ranitadine, Cetrizine,Para,MV, Clotri cream</t>
  </si>
  <si>
    <t>Dextro,Cefixime,Cevit, Amlo5</t>
  </si>
  <si>
    <t>MMN, AirX</t>
  </si>
  <si>
    <t>Para, B'ton</t>
  </si>
  <si>
    <t>CST</t>
  </si>
  <si>
    <t>Ma Su Shwe Zin</t>
  </si>
  <si>
    <t>B' Su Shwe Zin</t>
  </si>
  <si>
    <t>Mg Shine Min Htet</t>
  </si>
  <si>
    <t>Ma Phuu Thazin Khaing</t>
  </si>
  <si>
    <t>Ma Hnin Yu Wai</t>
  </si>
  <si>
    <t>Ma Chan Mi Mi Thaw</t>
  </si>
  <si>
    <t>U Tin Ohne Kyi</t>
  </si>
  <si>
    <t>Ma Thae Chit Phue</t>
  </si>
  <si>
    <t>U Than Shwe</t>
  </si>
  <si>
    <t>U Moe Min Oo</t>
  </si>
  <si>
    <t>U Khant Ko Oo</t>
  </si>
  <si>
    <t>U San Linn Oo</t>
  </si>
  <si>
    <t>U Pyae Phyo Mg</t>
  </si>
  <si>
    <t>U Aung Shein</t>
  </si>
  <si>
    <t>U Ye Linn Aung</t>
  </si>
  <si>
    <t>Baby Show</t>
  </si>
  <si>
    <t>TOC/Sneezing</t>
  </si>
  <si>
    <t>IV 25%+B6+12+VitC, Para, Cetrizine, Presco, MV, Ors</t>
  </si>
  <si>
    <t>Detusin, B'ton, VitC</t>
  </si>
  <si>
    <t>Physiodose</t>
  </si>
  <si>
    <t>Aceclo, Omex,MV</t>
  </si>
  <si>
    <t>Azithro sr, B'ton</t>
  </si>
  <si>
    <t>Persco, VitC,B'ton, ORS</t>
  </si>
  <si>
    <t>Ibu, Cinnarizine,Betex, Bronhexine,IV25%+B6+12+Vitc</t>
  </si>
  <si>
    <t>MV, FA, ORS</t>
  </si>
  <si>
    <t>A,lo5, Aceclo, MV, Omex</t>
  </si>
  <si>
    <t xml:space="preserve">U Tin Soe </t>
  </si>
  <si>
    <t>Daw Thein Thein Maw</t>
  </si>
  <si>
    <t>B' Hay Mar Nyein Lwin</t>
  </si>
  <si>
    <t>Ma Hay Mar Nyein Lwin</t>
  </si>
  <si>
    <t>Daw Mar Mar Wai</t>
  </si>
  <si>
    <t>Daw Myint Myint New</t>
  </si>
  <si>
    <t>U Win Sein</t>
  </si>
  <si>
    <t>Daw Mar Htay</t>
  </si>
  <si>
    <t>Ma Naing Naing Htway</t>
  </si>
  <si>
    <t>U Zaw Myo Htike</t>
  </si>
  <si>
    <t>U San Lwin</t>
  </si>
  <si>
    <t>U Aung Than</t>
  </si>
  <si>
    <t xml:space="preserve">U Aung Myint  </t>
  </si>
  <si>
    <t>U Thaung Nyunt</t>
  </si>
  <si>
    <t>Bloading</t>
  </si>
  <si>
    <t>PNC</t>
  </si>
  <si>
    <t>Para,MV,Amlo10</t>
  </si>
  <si>
    <t>IV Pantocid,Metro,Zinc, Cinnariizne, Kidlac, MV</t>
  </si>
  <si>
    <t>AirX drop</t>
  </si>
  <si>
    <t>MV, ORS,Ferovit</t>
  </si>
  <si>
    <t>Para, MV,Vitc</t>
  </si>
  <si>
    <t>Ibu, Siloxogene, Omex,Cifram Eye Drop</t>
  </si>
  <si>
    <t>IM Diclo, Aceclo, Omex, MV, Para</t>
  </si>
  <si>
    <t>IV B'ton, Ranitadine, B'ton, zinc, Caladyl Lotion</t>
  </si>
  <si>
    <t>ORS, Cinnarizine, MV</t>
  </si>
  <si>
    <t>Metformin, Gliclacide, Ato10</t>
  </si>
  <si>
    <t>Ma Aye Myat Mon</t>
  </si>
  <si>
    <t>Ma Nway Nway Win</t>
  </si>
  <si>
    <t>Ma Ei Thandar Htun</t>
  </si>
  <si>
    <t>Ma Yin Nwel Myat</t>
  </si>
  <si>
    <t>Ma Khin Mar Kyi</t>
  </si>
  <si>
    <t>Ma Moe Sein</t>
  </si>
  <si>
    <t>U Win Swe</t>
  </si>
  <si>
    <t>Ko Linn Linn</t>
  </si>
  <si>
    <t>Ma Hnin Ei Swe</t>
  </si>
  <si>
    <t xml:space="preserve">U Zaw Min  </t>
  </si>
  <si>
    <t>U Naing Win</t>
  </si>
  <si>
    <t>U Ye Htun Aung</t>
  </si>
  <si>
    <t>U Win Lwin Oo</t>
  </si>
  <si>
    <t>U Sein Pwa</t>
  </si>
  <si>
    <t>U Thi</t>
  </si>
  <si>
    <t>U Ohne Myint</t>
  </si>
  <si>
    <t>ANC</t>
  </si>
  <si>
    <t>Dog Bite</t>
  </si>
  <si>
    <t>MMN, AirX, MOM</t>
  </si>
  <si>
    <t>FA</t>
  </si>
  <si>
    <t>Presco, Cetrizine, Vitc</t>
  </si>
  <si>
    <t>IV B12,Para,MV,Ca+</t>
  </si>
  <si>
    <t>Metformin,Gliclacide, Cinnarizine, Para</t>
  </si>
  <si>
    <t>IM ATT, Myomas, Omex,MV,Ampiclox</t>
  </si>
  <si>
    <t>Betex, Aspilet</t>
  </si>
  <si>
    <t>MV, Domparidone, Ranitadine</t>
  </si>
  <si>
    <t>Thin Yati</t>
  </si>
  <si>
    <t>Thae Pyae Sone</t>
  </si>
  <si>
    <t>Ma ME Me Zaw</t>
  </si>
  <si>
    <t>U Hla Win</t>
  </si>
  <si>
    <t>U Thaw ZawZaw</t>
  </si>
  <si>
    <t>U Khin Mg Oo</t>
  </si>
  <si>
    <t>Cefixime, Para, VitC</t>
  </si>
  <si>
    <t>MV, Ferrovit</t>
  </si>
  <si>
    <t>3 month</t>
  </si>
  <si>
    <t>Ma Ei EI Phyu</t>
  </si>
  <si>
    <t>Ma Htway</t>
  </si>
  <si>
    <t>Daw Mar Kyi</t>
  </si>
  <si>
    <t>Ma Ei Ei Thin</t>
  </si>
  <si>
    <t>Daw Chaw Su</t>
  </si>
  <si>
    <t xml:space="preserve">U Than Naing  </t>
  </si>
  <si>
    <t>U Phoe Sate</t>
  </si>
  <si>
    <t>U Phyu Tote</t>
  </si>
  <si>
    <t>IV B'ton, Albendazole, B'ton, Ranitadine, Caladyl Lotion</t>
  </si>
  <si>
    <t>IV B12, Metformin, Amlo10, Gabapentin, Ca+</t>
  </si>
  <si>
    <t>IV25%+B12+VitC, MV, FA, Cinnarizine, ORS</t>
  </si>
  <si>
    <t>IV B12, MV, Zinc, Siloxogene</t>
  </si>
  <si>
    <t>IM Diclo, MV, Para, Ca+, Zinc, ORS</t>
  </si>
  <si>
    <t>Ma Htoo Khaing</t>
  </si>
  <si>
    <t>Daw Khin Shein</t>
  </si>
  <si>
    <t>Daw Yin Shwe</t>
  </si>
  <si>
    <t>Ma Nay Phyo Mon</t>
  </si>
  <si>
    <t>U Ti</t>
  </si>
  <si>
    <t>U Hla Aung Shwe</t>
  </si>
  <si>
    <t>U Hla Han</t>
  </si>
  <si>
    <t>U Nay Mon</t>
  </si>
  <si>
    <t>HT, IHD</t>
  </si>
  <si>
    <t>DM, HT</t>
  </si>
  <si>
    <t>IV B12, MV, Para, Cinnarizine, Zinc</t>
  </si>
  <si>
    <t>Amlo5, Losar25, Ato10, Lasix, Aspilet, Aldactone</t>
  </si>
  <si>
    <t>IV B12, Amlo5, Cinnarizine, MV</t>
  </si>
  <si>
    <t>Losar 50, Metformin, Ato10</t>
  </si>
  <si>
    <t>Metro sr, Zinc sr, Para sr, Kidlac</t>
  </si>
  <si>
    <t>Daw Soe Soe</t>
  </si>
  <si>
    <t>Daw Moe Moe</t>
  </si>
  <si>
    <t>Daw Aung Thaung</t>
  </si>
  <si>
    <t>Daw Hla Ngway</t>
  </si>
  <si>
    <t>Daw Hla Than</t>
  </si>
  <si>
    <t xml:space="preserve">U Wae  </t>
  </si>
  <si>
    <t>U Nyi Pu</t>
  </si>
  <si>
    <t>HT, DM</t>
  </si>
  <si>
    <t>Ca+, Ato10, Panto 20, MV</t>
  </si>
  <si>
    <t>Amlo5, Cinnarizine, Para, MV</t>
  </si>
  <si>
    <t>IV B12, Zinc, MV</t>
  </si>
  <si>
    <t>Amlo5, Losar 50, Metformin, Gliclacide</t>
  </si>
  <si>
    <t>Para, Cinnarizine, MV, Ca+, ORS</t>
  </si>
  <si>
    <t>Ma Shwe Pone Chit</t>
  </si>
  <si>
    <t>Daw Tin Aung</t>
  </si>
  <si>
    <t>Ma Ei Zin Khaing</t>
  </si>
  <si>
    <t>U Aung Hla</t>
  </si>
  <si>
    <t>U Tin Soe Aung</t>
  </si>
  <si>
    <t>U Su Yin</t>
  </si>
  <si>
    <t>U Kyaw Min Khaing</t>
  </si>
  <si>
    <t>Gall stone</t>
  </si>
  <si>
    <t>IV B2, Amlo10, MV, Ca+</t>
  </si>
  <si>
    <t>PB Vita, Para sr</t>
  </si>
  <si>
    <t>IV B12, Zinc, Ca+</t>
  </si>
  <si>
    <t>IV Pantocid, Pantocid, Zinc, Datavarin, Airx</t>
  </si>
  <si>
    <t>IV 25%+ B12+VitC, Para, MV, Cevit</t>
  </si>
  <si>
    <t>Daw Pae Tin</t>
  </si>
  <si>
    <t>U Soe Nyi</t>
  </si>
  <si>
    <t>Daw Than Htay</t>
  </si>
  <si>
    <t>Daw Myint Myint Kyi</t>
  </si>
  <si>
    <t>U Paw Oo</t>
  </si>
  <si>
    <t xml:space="preserve">U Htun Win </t>
  </si>
  <si>
    <t>U Ba San</t>
  </si>
  <si>
    <t>U Ohne Phay</t>
  </si>
  <si>
    <t>U Mya Phay</t>
  </si>
  <si>
    <t>IV B12, Amlo5, Cinnarizine, Para, Ca+</t>
  </si>
  <si>
    <t>Metformin, Amlo5, MOM</t>
  </si>
  <si>
    <t>Ca+, Ibu, Gabapentin</t>
  </si>
  <si>
    <t>IV 25%+B12+Vitc, Vitc, Presco, Para, Amlo5</t>
  </si>
  <si>
    <t>IV Pantocid, Omex,Zinc,Ca+,Airx</t>
  </si>
  <si>
    <t xml:space="preserve">Daw Tin Tin </t>
  </si>
  <si>
    <t>Daw Shan</t>
  </si>
  <si>
    <t>Daw Hla Shein</t>
  </si>
  <si>
    <t>Ma Pa Pa Linn</t>
  </si>
  <si>
    <t>Ma Htay Win</t>
  </si>
  <si>
    <t>U Han Paing</t>
  </si>
  <si>
    <t>U Sein Thant</t>
  </si>
  <si>
    <t>U Ba Thoun</t>
  </si>
  <si>
    <t>U Ohne</t>
  </si>
  <si>
    <t xml:space="preserve">U Hla Aung  </t>
  </si>
  <si>
    <t>Metformin, Gliclacide, Para, Ca+</t>
  </si>
  <si>
    <t>Cefixime, Ibu, Omex,Ca+</t>
  </si>
  <si>
    <t>IM Diclo, Ca+, Aceclo, Omex</t>
  </si>
  <si>
    <t>Amlo10,MV</t>
  </si>
  <si>
    <t>IV B12, Para,Gabapentin, MV, ORS</t>
  </si>
  <si>
    <t>Daw Khin Mya</t>
  </si>
  <si>
    <t>Ma Hnin Nwel Oo</t>
  </si>
  <si>
    <t>Daw Phyu Pyar Win</t>
  </si>
  <si>
    <t>U Tin Aye</t>
  </si>
  <si>
    <t>U PyaePhyo Wai</t>
  </si>
  <si>
    <t>U Po</t>
  </si>
  <si>
    <t>Cough, Asthma</t>
  </si>
  <si>
    <t>MV, Cinnarizine, Air X</t>
  </si>
  <si>
    <t>Domperidone, Zinc, Para, ORS</t>
  </si>
  <si>
    <t>IV B12, Amlo5, Ca+, MV</t>
  </si>
  <si>
    <t>IV 25%+ B6+12+Vitc, MV, Cinnarizine, Siloxogene</t>
  </si>
  <si>
    <t>IV Hydro, Salbutamol, Bronhexine, Prednisolone, Cevit</t>
  </si>
  <si>
    <t>Daw Kaung Yin</t>
  </si>
  <si>
    <t>Ma Nyo Nyo Aung</t>
  </si>
  <si>
    <t>Daw Hla Yee</t>
  </si>
  <si>
    <t>Daw Mya Kon</t>
  </si>
  <si>
    <t>U Kyaw Yin</t>
  </si>
  <si>
    <t>U Kyaw Aung</t>
  </si>
  <si>
    <t>U Htun Aung</t>
  </si>
  <si>
    <t>U Paw Chan</t>
  </si>
  <si>
    <t>U San Nyo</t>
  </si>
  <si>
    <t>IM Dexa, Gliclacide, Metformin, Amlo10, Ibu, Omex</t>
  </si>
  <si>
    <t>Para, Ibu, Omex, Betex</t>
  </si>
  <si>
    <t>Amlo5, Ato10, MV</t>
  </si>
  <si>
    <t>Amlo5, Aceclo, Omex</t>
  </si>
  <si>
    <t>IV B12, Zinc, MV, Para</t>
  </si>
  <si>
    <t>U Thein Aung Soe</t>
  </si>
  <si>
    <t>U Aung San</t>
  </si>
  <si>
    <t>Ma Nan Aye Win</t>
  </si>
  <si>
    <t>Mg Pyae Phyo Htun</t>
  </si>
  <si>
    <t>Shin Nanda Na Ta za</t>
  </si>
  <si>
    <t>U Win</t>
  </si>
  <si>
    <t>U Sal Than</t>
  </si>
  <si>
    <t>U Mg Thin</t>
  </si>
  <si>
    <t>Ca+, Ibu, Omex, Presco, VitC</t>
  </si>
  <si>
    <t>IV B12, MV,Gabapentin, Zinc, ORS</t>
  </si>
  <si>
    <t>IM Diclo, Para, VItC, Presco, Cetrizine</t>
  </si>
  <si>
    <t>Flumox, Cevit, Cetrizine, Miconazole cream</t>
  </si>
  <si>
    <t>Shin Ni Par Ka</t>
  </si>
  <si>
    <t>Shin San Ti Ta</t>
  </si>
  <si>
    <t>Shin Thu Ma Na</t>
  </si>
  <si>
    <t xml:space="preserve">Daw Than Tin </t>
  </si>
  <si>
    <t>U Soe Shwe</t>
  </si>
  <si>
    <t>U Aung Thu</t>
  </si>
  <si>
    <t>U Aung Myo Naing</t>
  </si>
  <si>
    <t xml:space="preserve">U Kyaw Naing  </t>
  </si>
  <si>
    <t>U Hla Tin</t>
  </si>
  <si>
    <t>Leg Ulcer</t>
  </si>
  <si>
    <t>Albendazole, B'ton, Clotri cream</t>
  </si>
  <si>
    <t>IM ATT, Betadine, Para,Cevit,Ampiclox</t>
  </si>
  <si>
    <t>Cetrizine, Cevit, Albemdazole, Clotri cram, Hydro cream</t>
  </si>
  <si>
    <t>IM Diclo, Aceclo, Omex, MV, Amlo5</t>
  </si>
  <si>
    <t>U Pyin Nyar Won Tha</t>
  </si>
  <si>
    <t>Daw Ohne Sin</t>
  </si>
  <si>
    <t>Daw Nyo Nyo Win</t>
  </si>
  <si>
    <t>Daw Su Su Myaing</t>
  </si>
  <si>
    <t xml:space="preserve">U Nay Win  </t>
  </si>
  <si>
    <t>U Sai Han</t>
  </si>
  <si>
    <t>U Sal Mg</t>
  </si>
  <si>
    <t>U Ohne Ngway</t>
  </si>
  <si>
    <t>U Nyunt Thein</t>
  </si>
  <si>
    <t>IV B12, Ca+, Gabapentin, Ibu</t>
  </si>
  <si>
    <t>IM Diclo+ Dexa, Aceclo, Ibu, Omex,MV</t>
  </si>
  <si>
    <t>IV B12, Gabapentin, MV, Zinc</t>
  </si>
  <si>
    <t>IV B12, Ca+, Gabapentin</t>
  </si>
  <si>
    <t>Amlo10</t>
  </si>
  <si>
    <t>U Naing Myo Linn</t>
  </si>
  <si>
    <t>Mg Bhone Myat Paing</t>
  </si>
  <si>
    <t>Daw Aye Thein</t>
  </si>
  <si>
    <t>U Kyaw Htay</t>
  </si>
  <si>
    <t>U Sein Ngwy</t>
  </si>
  <si>
    <t>U TheinAung Soe</t>
  </si>
  <si>
    <t>U Aye Thein Nyunt</t>
  </si>
  <si>
    <t>U Tin Swe</t>
  </si>
  <si>
    <t xml:space="preserve">IV B12, Ibu, Omex, Ca+ </t>
  </si>
  <si>
    <t>Para, Cetrizine, ORS, VitC, Koff sr</t>
  </si>
  <si>
    <t>Amlo10, Ato10, Metformin, Losar 50, MV</t>
  </si>
  <si>
    <t>Metformin, Ca+, Ibu, Omex</t>
  </si>
  <si>
    <t>IV25%+B12+VitC, MV, Zinc, Gabapentin</t>
  </si>
  <si>
    <t>Daw Win Sein</t>
  </si>
  <si>
    <t>Daw Than Than Hlaing</t>
  </si>
  <si>
    <t>Daw Mya Htay</t>
  </si>
  <si>
    <t>U Aung Soe</t>
  </si>
  <si>
    <t>U Hla Thaung</t>
  </si>
  <si>
    <t>U Sai Shwin</t>
  </si>
  <si>
    <t>Ibu, Omex, Ca+</t>
  </si>
  <si>
    <t>Vit C, Neomycin Cream</t>
  </si>
  <si>
    <t>IV 25%+B6+12+Vitc, MV, Ibu</t>
  </si>
  <si>
    <t>Daw Sein Hmei</t>
  </si>
  <si>
    <t>Ko Phoe Lone</t>
  </si>
  <si>
    <t>Daw Phwar Yone</t>
  </si>
  <si>
    <t>Ma Pa Pa</t>
  </si>
  <si>
    <t>U Ba</t>
  </si>
  <si>
    <t>U Chit Thae</t>
  </si>
  <si>
    <t>U Phoe Ohne</t>
  </si>
  <si>
    <t xml:space="preserve">U Myo Lwin  </t>
  </si>
  <si>
    <t>U Kyaw Nyan</t>
  </si>
  <si>
    <t>Rt knee pain</t>
  </si>
  <si>
    <t>Rt Submandibular swelling</t>
  </si>
  <si>
    <t>IV Hydro, Deriphylline,Prednisolone, Bronhexien, Omex</t>
  </si>
  <si>
    <t>IV B12, Amlo5, Deriphylline, Cinnarizine, MV</t>
  </si>
  <si>
    <t>Ma Yin Yin Nwel</t>
  </si>
  <si>
    <t>Phwar Saw Yin</t>
  </si>
  <si>
    <t>Daw Mu Mu Hnin</t>
  </si>
  <si>
    <t>Daw San Nwet</t>
  </si>
  <si>
    <t>U Aung Htay Nyunt</t>
  </si>
  <si>
    <t>U Phoe Kha</t>
  </si>
  <si>
    <t>U Thaung Ngway</t>
  </si>
  <si>
    <t>U Thaw Ba</t>
  </si>
  <si>
    <t>Weakness, Nape Pain</t>
  </si>
  <si>
    <t>Amlo10, Detusin, Domperidone, Omex</t>
  </si>
  <si>
    <t>Cinnarizine, MV, Myopas</t>
  </si>
  <si>
    <t>IV B12, Cinnarizine, Presco, MV, ORS</t>
  </si>
  <si>
    <t>IV B12, Ibu,Omex, Ca+, Gabapentin</t>
  </si>
  <si>
    <t>Metformin, Amlo10, Ato10, Betex</t>
  </si>
  <si>
    <t>Ma Phue Phue</t>
  </si>
  <si>
    <t>Daw Nyo Nyo San</t>
  </si>
  <si>
    <t>Ma Yee Yee Thant</t>
  </si>
  <si>
    <t>Daw Nwae Soe</t>
  </si>
  <si>
    <t>Daw Thet Thet Htway</t>
  </si>
  <si>
    <t>Daw Wai Wai Lwin</t>
  </si>
  <si>
    <t>U Kyan Aung</t>
  </si>
  <si>
    <t>U Than Hlaing</t>
  </si>
  <si>
    <t>U TinPhay</t>
  </si>
  <si>
    <t>IM Diclo, Para, Vitc, Presco, Cetrizine, ORS</t>
  </si>
  <si>
    <t>Cinnarizine, MV, Zinc, Albemdazole</t>
  </si>
  <si>
    <t>IV B12, Ibu, Omex, Betadine</t>
  </si>
  <si>
    <t>Metformin, Amlo5, Metacard, Ato10</t>
  </si>
  <si>
    <t>Dextro,Cevit, Amlo5</t>
  </si>
  <si>
    <t>Ma Lae</t>
  </si>
  <si>
    <t>U Htun Tint</t>
  </si>
  <si>
    <t>Ma Aye Aye Aung</t>
  </si>
  <si>
    <t>Ma Su Su Zaw</t>
  </si>
  <si>
    <t>B' Htay Htay Aung</t>
  </si>
  <si>
    <t>U Khin Mg Kyi</t>
  </si>
  <si>
    <t>U Mya Gyi</t>
  </si>
  <si>
    <t>U Zaw Naing Htun</t>
  </si>
  <si>
    <t xml:space="preserve">Weakness </t>
  </si>
  <si>
    <t>Dizziness, HT</t>
  </si>
  <si>
    <t>Para, Presco, Cetrizine, VItC, ORS</t>
  </si>
  <si>
    <t>Amlo5, MV, Cinnarizine</t>
  </si>
  <si>
    <t>Ma Nyo Win</t>
  </si>
  <si>
    <t>Mg Aung Bhone Myat</t>
  </si>
  <si>
    <t>Ma Ni Ni Win</t>
  </si>
  <si>
    <t>U Myo Aung</t>
  </si>
  <si>
    <t>Daw Yee Htway</t>
  </si>
  <si>
    <t>U Kan Hlaing</t>
  </si>
  <si>
    <t>U Nan Win</t>
  </si>
  <si>
    <t>U Phoe Shwe</t>
  </si>
  <si>
    <t>U Kyaw Win</t>
  </si>
  <si>
    <t>MMN, MV</t>
  </si>
  <si>
    <t>Cox sr, B'ton, Zinc Sr</t>
  </si>
  <si>
    <t>IV B12, Cinnarizine, MV, Para</t>
  </si>
  <si>
    <t>Aspolet, Ato10, Amlo5</t>
  </si>
  <si>
    <t>Para, Cinnarizine, Omex, AirX</t>
  </si>
  <si>
    <t xml:space="preserve">Daw Tote  </t>
  </si>
  <si>
    <t>Ma Thiri May</t>
  </si>
  <si>
    <t>Mg Yan Linn Aung</t>
  </si>
  <si>
    <t>U Hla Shan</t>
  </si>
  <si>
    <t xml:space="preserve">U Htet  </t>
  </si>
  <si>
    <t>U Htet</t>
  </si>
  <si>
    <t>Cetrizine, Betex, Vitc</t>
  </si>
  <si>
    <t>IV Hydro, Cefram,Salbutamol, Bronhexine</t>
  </si>
  <si>
    <t>MV, Vitc, ORS</t>
  </si>
  <si>
    <t>Ma Mya Zar Li Oo</t>
  </si>
  <si>
    <t>U Zin Ko Oo</t>
  </si>
  <si>
    <t>Daw Tin Tin San</t>
  </si>
  <si>
    <t>Ma Jue Eain dra Myat</t>
  </si>
  <si>
    <t>U Kyi Mg</t>
  </si>
  <si>
    <t>U Aung Min Oo</t>
  </si>
  <si>
    <t>U Thein Myint</t>
  </si>
  <si>
    <t>U Tin Hlaing</t>
  </si>
  <si>
    <t>U Htun Min</t>
  </si>
  <si>
    <t>Headache, Cough</t>
  </si>
  <si>
    <t>Epilepsy</t>
  </si>
  <si>
    <t>Zeptol, Neurovit</t>
  </si>
  <si>
    <t>IV Hydro, Amlo5, Prednisoloe, Detusin, Cetrizine, MV</t>
  </si>
  <si>
    <t>Azithro sr</t>
  </si>
  <si>
    <t>Ma Hline Kabyar Cho</t>
  </si>
  <si>
    <t>Daw Mya Soe</t>
  </si>
  <si>
    <t>Ma Thet Thet Khaing</t>
  </si>
  <si>
    <t>Nan Shwe Pyone Moe</t>
  </si>
  <si>
    <t>U Thein Zaw Moe</t>
  </si>
  <si>
    <t>U Than Htoo Aung</t>
  </si>
  <si>
    <t>U Wa Lay</t>
  </si>
  <si>
    <t>U Than</t>
  </si>
  <si>
    <t>U Khun Mg Kone</t>
  </si>
  <si>
    <t>U Bhone Kyaw</t>
  </si>
  <si>
    <t>Vitc, Zinc</t>
  </si>
  <si>
    <t>Metformin, Amlo5, Betex</t>
  </si>
  <si>
    <t>Myopas, Omex, Betex, Cinnarizine</t>
  </si>
  <si>
    <t>IV B12, MV, Zinc</t>
  </si>
  <si>
    <t>Ma San Htway</t>
  </si>
  <si>
    <t>Phyu Thazin Htway</t>
  </si>
  <si>
    <t>Mg Htet Naing Linn</t>
  </si>
  <si>
    <t>Daw Sein Tint</t>
  </si>
  <si>
    <t>U Sate Tin</t>
  </si>
  <si>
    <t>DAW Hlaing Thazin Htway</t>
  </si>
  <si>
    <t>U Pyaw Phyo Linn</t>
  </si>
  <si>
    <t>U Kyouk Hlae</t>
  </si>
  <si>
    <t>IV 25%+B6+12+Vitc, Presco, Amlo5, Cetrizine, Vitc, Para</t>
  </si>
  <si>
    <t>Ibu, Omex, Mv, Ato10, Amlo5</t>
  </si>
  <si>
    <t>Cefixime, B'ton, Cox sr, Para</t>
  </si>
  <si>
    <t>Albendazole, Dextro, Cevit, Amoxil</t>
  </si>
  <si>
    <t>Metformin, Gliclacide, Aceclo, Amlo5, MV</t>
  </si>
  <si>
    <t>Thit Cho Kone</t>
  </si>
  <si>
    <t>Mg Walar Thant Hein</t>
  </si>
  <si>
    <t>Menigitis, ARI ( Pneumonia )</t>
  </si>
  <si>
    <t>Ywar Htoung</t>
  </si>
  <si>
    <t>Ma Aye Aye Thu</t>
  </si>
  <si>
    <t>P6+0 POD4 of hysterotomy &amp; delivary of IUFD</t>
  </si>
  <si>
    <t>IUFD</t>
  </si>
  <si>
    <t>Phyout Sate Kone</t>
  </si>
  <si>
    <t>Closed pott's # ( Rt ankle POD3)</t>
  </si>
  <si>
    <t>P6+0</t>
  </si>
  <si>
    <t>Ortho Hospital</t>
  </si>
  <si>
    <t>Sint Kaing</t>
  </si>
  <si>
    <t>Kay Ni Kan</t>
  </si>
  <si>
    <t>Severe PE with uterus with cardiogenic shock</t>
  </si>
  <si>
    <t>Ma B' Moe Thu Zar</t>
  </si>
  <si>
    <t>Preterm, LBW</t>
  </si>
  <si>
    <t>Ma Moe Thu Zar</t>
  </si>
  <si>
    <t>P3+0 at 31+3 wk with PPROM Preterm labour</t>
  </si>
  <si>
    <t>Female alive, 1.7kg</t>
  </si>
  <si>
    <t>Tha Man Gone</t>
  </si>
  <si>
    <t>Ma B' Zar Zar Win</t>
  </si>
  <si>
    <t>Preterm, LBW, TTN</t>
  </si>
  <si>
    <t>Teaching Hospital</t>
  </si>
  <si>
    <t>Myit Thar</t>
  </si>
  <si>
    <t xml:space="preserve">Butar </t>
  </si>
  <si>
    <t>Ma Saung Yu Ya</t>
  </si>
  <si>
    <t>Gway Gyi Gone</t>
  </si>
  <si>
    <t>Ma Nyein Nyein Htway</t>
  </si>
  <si>
    <t>Head Injuries D/t RTA</t>
  </si>
  <si>
    <t>NN62,51*120st</t>
  </si>
  <si>
    <t>Ma Zar Zar Win</t>
  </si>
  <si>
    <t xml:space="preserve">P1+1 With Severe PE and Abnormal doppler scan </t>
  </si>
  <si>
    <t>330 Teaching Hospital</t>
  </si>
  <si>
    <t>Alive Female,1.8 kg</t>
  </si>
  <si>
    <t>U Aung Moe</t>
  </si>
  <si>
    <t>BB# left leg</t>
  </si>
  <si>
    <t>Ma Baby Ei Mon Khing 1</t>
  </si>
  <si>
    <t xml:space="preserve">Preterm, LBW, RD$, NNJ </t>
  </si>
  <si>
    <t xml:space="preserve">Kyee Pya </t>
  </si>
  <si>
    <t>Mg Htet Phone Khant</t>
  </si>
  <si>
    <t xml:space="preserve">Epilepsy </t>
  </si>
  <si>
    <t>Ma Aye Aye Thin</t>
  </si>
  <si>
    <t>P3+0 With Post Date With Failure to Progress</t>
  </si>
  <si>
    <t>D/C, Male Alive,2.8kg</t>
  </si>
  <si>
    <t>Mg Wai Yan Myo</t>
  </si>
  <si>
    <t>ARI very severe Pneumonia</t>
  </si>
  <si>
    <t>Kun Thee Tan</t>
  </si>
  <si>
    <t>Ma Kywat Kywat Khaing</t>
  </si>
  <si>
    <t>P1+0 With Obstructed Labour</t>
  </si>
  <si>
    <t>Ma Aye Thidar Win</t>
  </si>
  <si>
    <t>POD1 P4+1 with Previous scar</t>
  </si>
  <si>
    <t>Taw Win Thukha Hospital</t>
  </si>
  <si>
    <t xml:space="preserve">D/C </t>
  </si>
  <si>
    <t>Daw Hla Myint</t>
  </si>
  <si>
    <t xml:space="preserve">U Chit Hlaing </t>
  </si>
  <si>
    <t>Daw Tin Mya</t>
  </si>
  <si>
    <t>U Chun</t>
  </si>
  <si>
    <t>U Phae</t>
  </si>
  <si>
    <t>U Phoe Hlu</t>
  </si>
  <si>
    <t>U Aung Nyunt</t>
  </si>
  <si>
    <t>U San Hla</t>
  </si>
  <si>
    <t>Knee Jt Pain, Toothache, HT</t>
  </si>
  <si>
    <t>IV B12, IV B'ton, Amlo 10,  Ato 10, Ibu, Omex, Ca+</t>
  </si>
  <si>
    <t>IV B12, Amlo10, Cinnarizine, Para, MV, Ca+</t>
  </si>
  <si>
    <t>Deriphylline, Detusin,Cetrizine,Vitc, MV</t>
  </si>
  <si>
    <t>Amlo5, Aceclo, Omex, Para, Cevit, MV</t>
  </si>
  <si>
    <t>IV B12, Para, MV, Zinc, ORS</t>
  </si>
  <si>
    <t>Kyee Pya</t>
  </si>
  <si>
    <t>U San Yin</t>
  </si>
  <si>
    <t>Daw Than Tin</t>
  </si>
  <si>
    <t>Daw Ni Ma</t>
  </si>
  <si>
    <t>Daw Pyae</t>
  </si>
  <si>
    <t>U Nwe</t>
  </si>
  <si>
    <t>U Pha Nyein</t>
  </si>
  <si>
    <t>Knee Jt Pain, Back Pain</t>
  </si>
  <si>
    <t>Body ache, HT</t>
  </si>
  <si>
    <t>Amlo5, Cinnarizine, Neurovit</t>
  </si>
  <si>
    <t>IV 25%+B12, MV, Zinc, Detusin</t>
  </si>
  <si>
    <t>Aspilet, Amlo5, Ato10, MV</t>
  </si>
  <si>
    <t>Myopas, Siloxogene, Trypta, Neurovit</t>
  </si>
  <si>
    <t>Amlo5, Ibu, Para, Omex</t>
  </si>
  <si>
    <t>Daw Tote</t>
  </si>
  <si>
    <t>Daw Win Myint</t>
  </si>
  <si>
    <t>Daw Khin shein</t>
  </si>
  <si>
    <t>U Myae</t>
  </si>
  <si>
    <t>U Thoen</t>
  </si>
  <si>
    <t>U Sein Htun</t>
  </si>
  <si>
    <t>U Thike Htun</t>
  </si>
  <si>
    <t>U Paw san</t>
  </si>
  <si>
    <t>RA, Hypertension</t>
  </si>
  <si>
    <t>Muscle Pain, Knee Pain, HT, Heart Disease</t>
  </si>
  <si>
    <t>IV B12, Ibu,Omex, Ca+, MV</t>
  </si>
  <si>
    <t>IM Diclo+Dexa, Aceclo, Siloxogene, Myopas</t>
  </si>
  <si>
    <t>Amlo5, Ibu,Aspilet, Cardivas, Omex</t>
  </si>
  <si>
    <t>IV 25%+B12, Para, Cevit, Cefixime, MV</t>
  </si>
  <si>
    <t>Daw Khin Myint</t>
  </si>
  <si>
    <t>Daw Wine</t>
  </si>
  <si>
    <t>Daw Htar</t>
  </si>
  <si>
    <t>Daw Thein Yin</t>
  </si>
  <si>
    <t>U Hmee</t>
  </si>
  <si>
    <t>U Phoe Nyunt</t>
  </si>
  <si>
    <t>U Mye</t>
  </si>
  <si>
    <t>Lumber spine#</t>
  </si>
  <si>
    <t>IV B12, Amlo5, Aspilet, Ato10, MV, Gabapentin</t>
  </si>
  <si>
    <t>Amlo5, Aspilet, Ato10, MV</t>
  </si>
  <si>
    <t>IM Diclo+Dexa, Ca+, Aceclo, Omex, Myopas, MOM, Salbutamol</t>
  </si>
  <si>
    <t>Amlo5, Ca+, Para,MV</t>
  </si>
  <si>
    <t>Daw Tin Myaing</t>
  </si>
  <si>
    <t>Daw Thein Tin</t>
  </si>
  <si>
    <t>Daw Tin Paing</t>
  </si>
  <si>
    <t>U Than Lwin</t>
  </si>
  <si>
    <t>Daw Hla Thone</t>
  </si>
  <si>
    <t>U Htun Saung</t>
  </si>
  <si>
    <t>U Aung Chit</t>
  </si>
  <si>
    <t>Body ache, HT, Back Pain</t>
  </si>
  <si>
    <t>Losar50, Ibu, Siloxogene, Ato10</t>
  </si>
  <si>
    <t>Amlo5, MV, Para, Hydro cream</t>
  </si>
  <si>
    <t>Amlo5, Ato10, MV, Para</t>
  </si>
  <si>
    <t>IV B12, Para, Mv, Gabapentin</t>
  </si>
  <si>
    <t>Metformin, Amlo5, Ato10, Ca+</t>
  </si>
  <si>
    <t>Daw Mar Yee</t>
  </si>
  <si>
    <t>Chest infection ( RVI on ART )</t>
  </si>
  <si>
    <t>Ma Babay Aye Ei Hlaing</t>
  </si>
  <si>
    <t>Preterm</t>
  </si>
  <si>
    <t>Ma Theint Theint Thu</t>
  </si>
  <si>
    <t>P3+0 with previous 2 scar</t>
  </si>
  <si>
    <t>Male alive, 2.5 kg</t>
  </si>
  <si>
    <t>Daw Kyan</t>
  </si>
  <si>
    <t>Daw Tin Ei</t>
  </si>
  <si>
    <t>Daw Mya</t>
  </si>
  <si>
    <t>U Phoe Thein</t>
  </si>
  <si>
    <t>U Kyaw Thin</t>
  </si>
  <si>
    <t>U Bo Htan</t>
  </si>
  <si>
    <t>U Hmat</t>
  </si>
  <si>
    <t>U Chit Hlaing</t>
  </si>
  <si>
    <t>Palpitation, Dizziness, HT</t>
  </si>
  <si>
    <t>Cough, Body ache, ARI</t>
  </si>
  <si>
    <t>Propanolol, Amlo5, Cinnarizine, Neurovit</t>
  </si>
  <si>
    <t>Cefixime, Presco, Cetrizine, MV</t>
  </si>
  <si>
    <t>Myopas, Betex, MV</t>
  </si>
  <si>
    <t>Gliclacide, Amlo5,Metformin, Ibu, Omex, Ato10</t>
  </si>
  <si>
    <t>Amlo5, Dextro, Para, Azithro, MV</t>
  </si>
  <si>
    <t>Ma Aye Khiang</t>
  </si>
  <si>
    <t>Daw Thaung</t>
  </si>
  <si>
    <t>U Mg Gyi</t>
  </si>
  <si>
    <t>Daw Oate</t>
  </si>
  <si>
    <t>U Tin Ngway</t>
  </si>
  <si>
    <t>U Kyaw Kaung</t>
  </si>
  <si>
    <t>Arthritis, Nape Pain</t>
  </si>
  <si>
    <t>Lt sided Stroke</t>
  </si>
  <si>
    <t>IV B12, Para, Cinnarizine, MV, Ca+</t>
  </si>
  <si>
    <t>IM Diclo, Aceclo, Omex, Para, MV</t>
  </si>
  <si>
    <t>AMlo5, Cinnarizine, Neurovit,MV</t>
  </si>
  <si>
    <t>Cardivas, Amlo10, Aspilet, Trimethazidine, IV 25%+B6+12+Vitc</t>
  </si>
  <si>
    <t>MV, Ca+</t>
  </si>
  <si>
    <t>Daw Saw Yee</t>
  </si>
  <si>
    <t>Ma Sapal Khaing Thinn</t>
  </si>
  <si>
    <t>Daw Nyunt</t>
  </si>
  <si>
    <t>Ma Soe Sandar</t>
  </si>
  <si>
    <t>U Zaw Gyi</t>
  </si>
  <si>
    <t>U Shwe Aung</t>
  </si>
  <si>
    <t>U Khin Mg Tin</t>
  </si>
  <si>
    <t>Back Pain, HT</t>
  </si>
  <si>
    <t>DM\HT</t>
  </si>
  <si>
    <t>IV B12+6, Amlo10, Losar50, Myopas, Para, Siloxogene, Betex, Ato10</t>
  </si>
  <si>
    <t>MV, Cevit</t>
  </si>
  <si>
    <t>Gliclacide, Losar50, Ato10, Para, Gabapentin</t>
  </si>
  <si>
    <t>IM Diclo, Para, MV, Gabapentin</t>
  </si>
  <si>
    <t>ORS, B1, MV</t>
  </si>
  <si>
    <t>Mg Toe Tat Hlyan</t>
  </si>
  <si>
    <t xml:space="preserve">U Thein Aung  </t>
  </si>
  <si>
    <t>Daw Mya Tin</t>
  </si>
  <si>
    <t>U Soe Mg</t>
  </si>
  <si>
    <t>Daw Tin Shein</t>
  </si>
  <si>
    <t>U Aung Zaw Myo</t>
  </si>
  <si>
    <t>U Mya Din</t>
  </si>
  <si>
    <t>U Kyaw Kunt</t>
  </si>
  <si>
    <t>Cough, ARI</t>
  </si>
  <si>
    <t>Azithro sr, Baby Cough Sr</t>
  </si>
  <si>
    <t>Amlo5, MV, Ca+, Gabapentin</t>
  </si>
  <si>
    <t>IV B12, Ibu,Omex, Ca+, Zinc</t>
  </si>
  <si>
    <t>Ibu, Omex, ca+, Gabapentin</t>
  </si>
  <si>
    <t>IV 25%+ B12+Vitc, Mv, Zinc, Para</t>
  </si>
  <si>
    <t>Daw Thay Tin</t>
  </si>
  <si>
    <t>Daw Khin Cho Win</t>
  </si>
  <si>
    <t>Daw Khin</t>
  </si>
  <si>
    <t>Ko Kyaw Paing Htun</t>
  </si>
  <si>
    <t>Ko Mya Lwin</t>
  </si>
  <si>
    <t>U Myat Thaung</t>
  </si>
  <si>
    <t>U Pyae Wa</t>
  </si>
  <si>
    <t>Knee Jt pain, HT</t>
  </si>
  <si>
    <t>weakness</t>
  </si>
  <si>
    <t>Dizziness, Sorethroat, ARI</t>
  </si>
  <si>
    <t>IV B12, Detusin, Para, MV</t>
  </si>
  <si>
    <t>Salbutamol, Cevit, Amoxil, Cinnarizine, Omex, Siloxogne, IV 25%+B12+VitC</t>
  </si>
  <si>
    <t>IV 25%+B6+12+Vitc, MV, Zinc,Ors</t>
  </si>
  <si>
    <t>Daw Ohen Tin</t>
  </si>
  <si>
    <t>Daw Tin Win</t>
  </si>
  <si>
    <t>U Kyaw Win Naing</t>
  </si>
  <si>
    <t>Daw Khin Thin Mar</t>
  </si>
  <si>
    <t xml:space="preserve">U Kyaw Win  </t>
  </si>
  <si>
    <t>U Ko Oo</t>
  </si>
  <si>
    <t>U Nyi Toe</t>
  </si>
  <si>
    <t xml:space="preserve">U Hlaing  </t>
  </si>
  <si>
    <t>Lt sided Pain, Back Pain</t>
  </si>
  <si>
    <t>HT, Knee jt pain</t>
  </si>
  <si>
    <t>Pain In Hernia, RIH</t>
  </si>
  <si>
    <t>Myopas, Para, Omex, MV</t>
  </si>
  <si>
    <t>Amlo10, Para , Ibu, Omex</t>
  </si>
  <si>
    <t>Para, Siloxogene, Bronhexine, Nifedipine, Cefxime</t>
  </si>
  <si>
    <t>IV 25%+B12+Vitc, MV, Ibu, Omex, Ca+, ORS</t>
  </si>
  <si>
    <t>IV B12, Amlo10, MV, Gabapentin</t>
  </si>
  <si>
    <t>Daw San San Myaing</t>
  </si>
  <si>
    <t>Ko Khaing Win</t>
  </si>
  <si>
    <t>Daw Than Oo</t>
  </si>
  <si>
    <t>Daw San</t>
  </si>
  <si>
    <t>U Moe Oo</t>
  </si>
  <si>
    <t>Blurred vision, Constipation</t>
  </si>
  <si>
    <t>Body ache, Back Pain</t>
  </si>
  <si>
    <t>IV b12, Para, Gabapentin, Ca+</t>
  </si>
  <si>
    <t>IV Pantocid, Omex, zinc, AirX</t>
  </si>
  <si>
    <t>Metformin, DMR 60, Losar 50, MV</t>
  </si>
  <si>
    <t>MV, MOM, Ibu, Omex</t>
  </si>
  <si>
    <t>IM Diclo, Aceclo, Omex, Myopas, Neurovit</t>
  </si>
  <si>
    <t>Daw Yee Khaing</t>
  </si>
  <si>
    <t>Daw Htay Ma</t>
  </si>
  <si>
    <t>Daw Nan Kywat Khaing</t>
  </si>
  <si>
    <t>Daw Than Than Aye</t>
  </si>
  <si>
    <t>U Kyaw Linn</t>
  </si>
  <si>
    <t>U Nyo Gyi</t>
  </si>
  <si>
    <t>U Khin Wan</t>
  </si>
  <si>
    <t>White Discharge per vagina</t>
  </si>
  <si>
    <t>Nape pain, Rt UL Pain</t>
  </si>
  <si>
    <t>IV B12, Para, Zinc, VitC</t>
  </si>
  <si>
    <t>ORS, IV 25%+B6+12+Vitc, Para, Cefixime, Ibu,Siloxogene, Domperidone</t>
  </si>
  <si>
    <t>IV B12, Para, MV, Amlo5</t>
  </si>
  <si>
    <t>U Paw San</t>
  </si>
  <si>
    <t>Daw Win Tin</t>
  </si>
  <si>
    <t>U Sein Myint</t>
  </si>
  <si>
    <t>U Thar Din</t>
  </si>
  <si>
    <t>Knee Pain</t>
  </si>
  <si>
    <t>Back Pain, Knee Jt Pain</t>
  </si>
  <si>
    <t>Lower Limb Pain, HT</t>
  </si>
  <si>
    <t xml:space="preserve">IV B12, Gabapentin, </t>
  </si>
  <si>
    <t>Detusin, Ibu,Omex, Ca+</t>
  </si>
  <si>
    <t>Amlo5, Para, Ibu, Betex, Omex</t>
  </si>
  <si>
    <t>Losar 50, Ibu, MV, Ca+</t>
  </si>
  <si>
    <t>Daw Khin Zar Lwin</t>
  </si>
  <si>
    <t>Mg Min Htet Kyaw</t>
  </si>
  <si>
    <t>Daw win Yee</t>
  </si>
  <si>
    <t>U Saw Myint</t>
  </si>
  <si>
    <t>U Hmat Gyi</t>
  </si>
  <si>
    <t>U Aung Myo Htet</t>
  </si>
  <si>
    <t xml:space="preserve">U Aung Min  </t>
  </si>
  <si>
    <t>AN care 3</t>
  </si>
  <si>
    <t>back Pain</t>
  </si>
  <si>
    <t>MMN, Air X</t>
  </si>
  <si>
    <t>Para, Pb Vita, ORS</t>
  </si>
  <si>
    <t>IV B12, Amlo10, MV, Ato10</t>
  </si>
  <si>
    <t>Myopas, Para, Omex, Betex, Pregabalin</t>
  </si>
  <si>
    <t>Daw Khaing Zar</t>
  </si>
  <si>
    <t>Daw Aye Aye Thin</t>
  </si>
  <si>
    <t>Baby Aye Aye Thin</t>
  </si>
  <si>
    <t>Daw Sandar Oo</t>
  </si>
  <si>
    <t>Daw Paw</t>
  </si>
  <si>
    <t>U Kyi Tin</t>
  </si>
  <si>
    <t>Utin Win</t>
  </si>
  <si>
    <t>U Aung Nyein</t>
  </si>
  <si>
    <t>POD2, LSCS</t>
  </si>
  <si>
    <t>AGE</t>
  </si>
  <si>
    <t>ORS, Probiotic, FA, Aceclo</t>
  </si>
  <si>
    <t>Daw Htay Naing</t>
  </si>
  <si>
    <t>U Mone</t>
  </si>
  <si>
    <t>U Ohne Sein</t>
  </si>
  <si>
    <t>U Phoe Than</t>
  </si>
  <si>
    <t>Eye Pain</t>
  </si>
  <si>
    <t>HT, Lower Limb Pain</t>
  </si>
  <si>
    <t>Propanolol, Myopas, Cinnarizine, Omex, Ca+</t>
  </si>
  <si>
    <t>Amlo5, Ibu, Para, Omex, IM Diclo</t>
  </si>
  <si>
    <t>Aceclo, Omex, Ca+</t>
  </si>
  <si>
    <t>Daw Khin Mar Cho</t>
  </si>
  <si>
    <t xml:space="preserve">Daw Win Than </t>
  </si>
  <si>
    <t>Daw Yin Mya</t>
  </si>
  <si>
    <t>Daw Than Win</t>
  </si>
  <si>
    <t>Mg La Min Khant</t>
  </si>
  <si>
    <t xml:space="preserve">U Mone </t>
  </si>
  <si>
    <t>U lay</t>
  </si>
  <si>
    <t>Knee Jt Pain, Cough</t>
  </si>
  <si>
    <t>Cinnarizine, MV</t>
  </si>
  <si>
    <t>Amlo5, Losar 25, Gliclacide, Aspilet, Ato10</t>
  </si>
  <si>
    <t>Amlo5, Dextro, Para, Azithro, Cevit</t>
  </si>
  <si>
    <t>IV B12, Para, MV,</t>
  </si>
  <si>
    <t>Koff sr, PB Vita</t>
  </si>
  <si>
    <t>Daw Win</t>
  </si>
  <si>
    <t>Daw Hnin Hnin Khaing</t>
  </si>
  <si>
    <t>Daw Yee Mon</t>
  </si>
  <si>
    <t>U Han Hmat</t>
  </si>
  <si>
    <t>U Tin Nwe</t>
  </si>
  <si>
    <t>U Aung Ko</t>
  </si>
  <si>
    <t>HT, Back Pain</t>
  </si>
  <si>
    <t>Gouty Arthritis</t>
  </si>
  <si>
    <t>IV Hydro, Cefixime, Prednisolone, Detusin, Cetrizien</t>
  </si>
  <si>
    <t>Amlo5, Neurovit, Omex, Aceclo</t>
  </si>
  <si>
    <t>IV B12, Amlo5, Cinnarizine, Para, MV</t>
  </si>
  <si>
    <t>IM Diclo, Allopurinol, Ca+</t>
  </si>
  <si>
    <t>Amlo5, Omex, Para, Ibu</t>
  </si>
  <si>
    <t xml:space="preserve">Ma Ngel </t>
  </si>
  <si>
    <t>Ma Pyae Hmue Paing</t>
  </si>
  <si>
    <t>Daw May Thu Hlaing</t>
  </si>
  <si>
    <t>Mg Aung Khit Thaw</t>
  </si>
  <si>
    <t>Ma Ei Eaindra Aung</t>
  </si>
  <si>
    <t>U Tin Shinn</t>
  </si>
  <si>
    <t>U San Min Hlaing</t>
  </si>
  <si>
    <t>U Aung Aung Myo</t>
  </si>
  <si>
    <t>Spinal injection site pain</t>
  </si>
  <si>
    <t>Cough, Fever</t>
  </si>
  <si>
    <t>IM Diclo, Para, Cevit, MV</t>
  </si>
  <si>
    <t>Zinc sr</t>
  </si>
  <si>
    <t>Myopas, Omex, Neurovit</t>
  </si>
  <si>
    <t>Cough sr, Amoxil, Cevit</t>
  </si>
  <si>
    <t>Cevit, Metro, Para</t>
  </si>
  <si>
    <t>Putsu Kyaung</t>
  </si>
  <si>
    <t>PyiGyiTagon</t>
  </si>
  <si>
    <t>Panan</t>
  </si>
  <si>
    <t>Ma Ei Ei Mon</t>
  </si>
  <si>
    <t>U Aung Mg</t>
  </si>
  <si>
    <t>Daw Than Sint</t>
  </si>
  <si>
    <t>Daw Khin Mar Kyi</t>
  </si>
  <si>
    <t>U Mg Pu</t>
  </si>
  <si>
    <t>U Nyunt Sein</t>
  </si>
  <si>
    <t xml:space="preserve">Back Pain </t>
  </si>
  <si>
    <t>Lt Lower Limb Pain</t>
  </si>
  <si>
    <t>IV B12, Amlo5, Para, Cinnarizine, MV</t>
  </si>
  <si>
    <t>IV B12, Para, MOM, Gabapentin</t>
  </si>
  <si>
    <t>Para, Ibu, Omex, MV</t>
  </si>
  <si>
    <t>IV B12, MV, Zinc, Para</t>
  </si>
  <si>
    <t>Daw Win Tint</t>
  </si>
  <si>
    <t>U Win Saung</t>
  </si>
  <si>
    <t>Daw Kyi Aye</t>
  </si>
  <si>
    <t>Daw Cho Lwin</t>
  </si>
  <si>
    <t>Daw Tin Shwe</t>
  </si>
  <si>
    <t>U Thein Lwin</t>
  </si>
  <si>
    <t>Yati Phyo</t>
  </si>
  <si>
    <t>U Thein Saung</t>
  </si>
  <si>
    <t>U Thone</t>
  </si>
  <si>
    <t>U Hla Kyaw</t>
  </si>
  <si>
    <t>U Hla Htay</t>
  </si>
  <si>
    <t>U Paw</t>
  </si>
  <si>
    <t>U Thaung Aung</t>
  </si>
  <si>
    <t>U Naing Win Soe</t>
  </si>
  <si>
    <t>Mump, Viral  infection</t>
  </si>
  <si>
    <t>IV B12, MV,Para, Ca+</t>
  </si>
  <si>
    <t>Amlo5, Para, Siloxogene, MV</t>
  </si>
  <si>
    <t>IV B12, Ca+, Zinc, Para</t>
  </si>
  <si>
    <t>IV 25%+B12+Vitc, MV, Zinc, Para</t>
  </si>
  <si>
    <t>Amlo5, Betex, Myopas, Cinnarizine, Omex, IV 25%+B6+12+Vitc</t>
  </si>
  <si>
    <t>Para suppo, Ampiclox, Cevit, Para</t>
  </si>
  <si>
    <t>Clopilet, Amlo10, Ato10, Losar25, MV</t>
  </si>
  <si>
    <t>U Mg Htet</t>
  </si>
  <si>
    <t>Daw Tin Ngway</t>
  </si>
  <si>
    <t>Ma Kay Thwel Khaing</t>
  </si>
  <si>
    <t>U Phoe Sein</t>
  </si>
  <si>
    <t>Knee jt pain, HT</t>
  </si>
  <si>
    <t>Knee Jt pain, Thigh Pain</t>
  </si>
  <si>
    <t>Amlo5, Para, Ibu, Omex</t>
  </si>
  <si>
    <t>IV B12, MV, Ibu, Omex, Clotri Cream</t>
  </si>
  <si>
    <t>Para, Ibu, Omex, Amlo5</t>
  </si>
  <si>
    <t>Ca+, Gabapentin</t>
  </si>
  <si>
    <t>MV, Para, Cinnarizine</t>
  </si>
  <si>
    <t>Daw Maw Maw San</t>
  </si>
  <si>
    <t>Daw Mar Mar Lwin</t>
  </si>
  <si>
    <t>Mg Zwe Man Oo</t>
  </si>
  <si>
    <t>U Zaw Htun</t>
  </si>
  <si>
    <t>Daw Aye Hmee</t>
  </si>
  <si>
    <t>Daw Mya Mya Sein</t>
  </si>
  <si>
    <t>Daw Nu Nu Win</t>
  </si>
  <si>
    <t>Daw Myo</t>
  </si>
  <si>
    <t>U Chit Han</t>
  </si>
  <si>
    <t>U Aung Myo Oo</t>
  </si>
  <si>
    <t>U Pan</t>
  </si>
  <si>
    <t>U Hmat Tin</t>
  </si>
  <si>
    <t>HT/IHD</t>
  </si>
  <si>
    <t>Lt knee jt pain</t>
  </si>
  <si>
    <t>Cough, Sneezing, ARI</t>
  </si>
  <si>
    <t>Epigastric Pain, Dizziness, Swelling on Head</t>
  </si>
  <si>
    <t>Dyspnoea,HT</t>
  </si>
  <si>
    <t>Numbness of all Limbs,DM</t>
  </si>
  <si>
    <t>Losar25, Aspilet, Ato 10, Omex</t>
  </si>
  <si>
    <t>Para, Ibu, Omex, Ca+</t>
  </si>
  <si>
    <t>Bronhexine, Cevit, Cetrizine</t>
  </si>
  <si>
    <t>Cinnarizine, Omex, MOM, Neurovit</t>
  </si>
  <si>
    <t>Amlo10, Metformin, Aspilet, Ato10, Losar25</t>
  </si>
  <si>
    <t>Ibu, Omex, Amlo5</t>
  </si>
  <si>
    <t>Aspilet, Ato10, MV</t>
  </si>
  <si>
    <t>Ibu, Omex, VitC, Betadine</t>
  </si>
  <si>
    <t>Amlo5, Ato10, Metformin, Neurovit</t>
  </si>
  <si>
    <t>Amlo5, Ato10, Metformin, Neurovit, Levo, MOM</t>
  </si>
  <si>
    <t>U Htun Htun Win</t>
  </si>
  <si>
    <t>Daw Aye Aye Mon</t>
  </si>
  <si>
    <t>Daw Moe Khaing</t>
  </si>
  <si>
    <t>Daw Khin Htay</t>
  </si>
  <si>
    <t>Daw Myint Kyi</t>
  </si>
  <si>
    <t>U Zinn</t>
  </si>
  <si>
    <t>Daw Nu Nu</t>
  </si>
  <si>
    <t>U Win Mg</t>
  </si>
  <si>
    <t xml:space="preserve">U San Min </t>
  </si>
  <si>
    <t>U Mya Thaung</t>
  </si>
  <si>
    <t>U Chit San</t>
  </si>
  <si>
    <t xml:space="preserve">U Paw San  </t>
  </si>
  <si>
    <t>U  Thein Mg</t>
  </si>
  <si>
    <t>Heel Pain</t>
  </si>
  <si>
    <t>Back Pain, HT, DM</t>
  </si>
  <si>
    <t>Both Knee jt Pain</t>
  </si>
  <si>
    <t>Numbness of Lower Limbs,HT</t>
  </si>
  <si>
    <t>IM Diclo+Dexa, Amlo5, Hydro cream, Diclo, Omex</t>
  </si>
  <si>
    <t>Metformin, Neurovit, Gabapentin, Diclo, Siloxogene</t>
  </si>
  <si>
    <t>IM Diclo, Ibu Omex, Ca+</t>
  </si>
  <si>
    <t>IM B12, Para, MV, Zinc, Cinnarizine</t>
  </si>
  <si>
    <t>IV B12, Aceclo, Omex, Cetrizine, MV, Amlo5, DMR 30</t>
  </si>
  <si>
    <t>IV B12, Para, MV, FA, ORS</t>
  </si>
  <si>
    <t>IM Diclo+Dexa, Omex, MV, Diclo</t>
  </si>
  <si>
    <t>Amlo5, Neurovit</t>
  </si>
  <si>
    <t>U Hla San</t>
  </si>
  <si>
    <t>Daw Nyo San</t>
  </si>
  <si>
    <t>Daw Khin San Oo</t>
  </si>
  <si>
    <t>Daw Khin Moe Hnin</t>
  </si>
  <si>
    <t>Daw Khin Swe Win</t>
  </si>
  <si>
    <t>Daw Tin Nwe</t>
  </si>
  <si>
    <t>Ma Soe Soe Htay</t>
  </si>
  <si>
    <t>U Aung Maung</t>
  </si>
  <si>
    <t>U Tin MG</t>
  </si>
  <si>
    <t>U Thar Htun</t>
  </si>
  <si>
    <t>U Aye Luu</t>
  </si>
  <si>
    <t>U Htun Kyaing</t>
  </si>
  <si>
    <t>U Thein Tin</t>
  </si>
  <si>
    <t>U Tint</t>
  </si>
  <si>
    <t>Lt sisded lower limb pain, HT</t>
  </si>
  <si>
    <t>Back Pain, UTI</t>
  </si>
  <si>
    <t>Lower Limb Pain &amp; Numbness</t>
  </si>
  <si>
    <t>Amlo5, Losar25, Ato10, Lasix, Aspilet, Aldactone, MV</t>
  </si>
  <si>
    <t>Metformin, Amlo10, Siloxogene, Ibu, Cetrizine</t>
  </si>
  <si>
    <t>Presco, Cetrizine, Prednisolone, Vitc</t>
  </si>
  <si>
    <t>Para, Vitc, Cetrizine, Amlo10, Detusin</t>
  </si>
  <si>
    <t>IV B12, Aceclo, Omex, Presco, MV</t>
  </si>
  <si>
    <t>IV B12, Para, Ca+</t>
  </si>
  <si>
    <t>Amlo5, Diclo, Omex, gabapentin, Neurovit</t>
  </si>
  <si>
    <t>IM Diclo, Aceclo, Omex, Ca+, Cefixime</t>
  </si>
  <si>
    <t>IV B12, Para, Ca+, Presco</t>
  </si>
  <si>
    <t>IV 25%+B6+12+Vitc, ORS, B1, Domperidone, Siloxogene, Diclo, MV, Clotri Cream</t>
  </si>
  <si>
    <t>Mg Aye Chan Aung</t>
  </si>
  <si>
    <t>Daw Khin Than Myint</t>
  </si>
  <si>
    <t>U  Myint Aung</t>
  </si>
  <si>
    <t>Daw Hla Tin Khaing</t>
  </si>
  <si>
    <t>Daw Khin Win</t>
  </si>
  <si>
    <t>Ma Cho Cho Nwel</t>
  </si>
  <si>
    <t>Daw Su Lae Win</t>
  </si>
  <si>
    <t>Daw Yin Yin Htway</t>
  </si>
  <si>
    <t>Ma Myint Myat Thazin</t>
  </si>
  <si>
    <t>Mg Aung Kaung Myat</t>
  </si>
  <si>
    <t>U Aung Pyae Sone</t>
  </si>
  <si>
    <t>U Pwel Zone</t>
  </si>
  <si>
    <t>U Kan Htun</t>
  </si>
  <si>
    <t>U Khaing Myint</t>
  </si>
  <si>
    <t>Numbness of all Limbs</t>
  </si>
  <si>
    <t>IV B12, Aceclo, Omex, MV, ORS</t>
  </si>
  <si>
    <t>Metformin, Gliclacide, Amlo5, Ato10</t>
  </si>
  <si>
    <t>Neurovit, Amlo5, Ato10, Gabapentin</t>
  </si>
  <si>
    <t>Cinnarizine, Para, MV</t>
  </si>
  <si>
    <t>MV sr</t>
  </si>
  <si>
    <t>Amlo5, Metformin, Zinc, Losar</t>
  </si>
  <si>
    <t>Daw Khin Win Tint</t>
  </si>
  <si>
    <t>Mg Hein Thura Naing</t>
  </si>
  <si>
    <t>Daw Khin Thet Nwel</t>
  </si>
  <si>
    <t>Mg Khun Sett Phyo</t>
  </si>
  <si>
    <t>Daw Thae Thae Mon</t>
  </si>
  <si>
    <t>Daw Sandar Linn</t>
  </si>
  <si>
    <t>Mg Htun Lwin</t>
  </si>
  <si>
    <t>Daw Htar Htar Lwin</t>
  </si>
  <si>
    <t>U Aung Myan</t>
  </si>
  <si>
    <t>U Zaw Hlaing Min</t>
  </si>
  <si>
    <t>U Bo Win</t>
  </si>
  <si>
    <t>U Khaing Zaw Oo</t>
  </si>
  <si>
    <t>U Ni Toe</t>
  </si>
  <si>
    <t>U Tin Nwel</t>
  </si>
  <si>
    <t>U San Linn Htun</t>
  </si>
  <si>
    <t>Viral infection</t>
  </si>
  <si>
    <t>lt knee pain</t>
  </si>
  <si>
    <t>Dizziness, LOA</t>
  </si>
  <si>
    <t>Metformin, Para, Ca+</t>
  </si>
  <si>
    <t>Koff sr, Cetrizine, Vitc</t>
  </si>
  <si>
    <t>IV Pantocid, Aceclo, Omex, Ca+, AitX</t>
  </si>
  <si>
    <t>Para, PB Vita</t>
  </si>
  <si>
    <t>IM Diclo, Para, VitC, Cetrizine, Presco, Meconazole cream</t>
  </si>
  <si>
    <t>IV 25%+B6+12+Vitc, Diclo, Omex, MV, Cinnarizine</t>
  </si>
  <si>
    <t>Cefixime sr, Para sr, Zinc sr, Cifram ear drop</t>
  </si>
  <si>
    <t>IM Diclo, Detusin, VitC, Para, ORS</t>
  </si>
  <si>
    <t>U Sein Lin</t>
  </si>
  <si>
    <t>Daw Sout Sout Aung</t>
  </si>
  <si>
    <t>Daw Khin Shwe</t>
  </si>
  <si>
    <t>Ko Win Min Than</t>
  </si>
  <si>
    <t>U Mg Thar</t>
  </si>
  <si>
    <t>Daw Tin</t>
  </si>
  <si>
    <t>U Aye</t>
  </si>
  <si>
    <t>U Aung Khant</t>
  </si>
  <si>
    <t>U Aye Lwin</t>
  </si>
  <si>
    <t>Joint pain</t>
  </si>
  <si>
    <t>Knee joint pain, Body pain</t>
  </si>
  <si>
    <t>Psychiasteric Problem</t>
  </si>
  <si>
    <t>Lower limb Numbness</t>
  </si>
  <si>
    <t>Back pain</t>
  </si>
  <si>
    <t>Diclo, Omex, Neurovit</t>
  </si>
  <si>
    <t>Amlo5, Omex, MV, Aceclo, Cardivas</t>
  </si>
  <si>
    <t>AMlo10, MV, Cinnarizine</t>
  </si>
  <si>
    <t>Amlo10, MV, Presco</t>
  </si>
  <si>
    <t>Aceclo, Omex, Siloxogene</t>
  </si>
  <si>
    <t xml:space="preserve">Cinnarizine, MV, Zinc </t>
  </si>
  <si>
    <t xml:space="preserve">Amlo5, Neurovit, Gabapentin </t>
  </si>
  <si>
    <t>IV B12, Aceclo, Omex, Ca+</t>
  </si>
  <si>
    <t>Ma Aye Sandar</t>
  </si>
  <si>
    <t>Ma Aye Me Zaw</t>
  </si>
  <si>
    <t>Ma Sandar Htway</t>
  </si>
  <si>
    <t xml:space="preserve">Ma Han Zar Phyo </t>
  </si>
  <si>
    <t>U Kyaw San</t>
  </si>
  <si>
    <t>Ma Ei Thandar Phyo</t>
  </si>
  <si>
    <t>Daw Hla San Yee</t>
  </si>
  <si>
    <t>U Zaw Aung</t>
  </si>
  <si>
    <t>U Pyaw Phyo Aung</t>
  </si>
  <si>
    <t>U Tin Shwe</t>
  </si>
  <si>
    <t>U Aung Khin</t>
  </si>
  <si>
    <t>U Phyo Wa</t>
  </si>
  <si>
    <t>U Kyi Bo</t>
  </si>
  <si>
    <t>U Soe Naing</t>
  </si>
  <si>
    <t>Hyper Thyroid</t>
  </si>
  <si>
    <t>Abdominal Distension</t>
  </si>
  <si>
    <t>Asthma, IHD</t>
  </si>
  <si>
    <t>Genito-urinary problem</t>
  </si>
  <si>
    <t>IM Diclo, Para, Cevit, Detusin, ORS</t>
  </si>
  <si>
    <t>Propanolol, MV</t>
  </si>
  <si>
    <t>Albendazole, Zinc sr</t>
  </si>
  <si>
    <t>Amlo5, Omex, AirX, MV</t>
  </si>
  <si>
    <t>Deriphylline, Amlo5, MV, Bronhexine</t>
  </si>
  <si>
    <t>Amlo10, Myopas, Omex, Siloxogene, Betex</t>
  </si>
  <si>
    <t>Cefixime, Dotavarin, Omex, Cevit</t>
  </si>
  <si>
    <t>IV B12, Para, MV, Cevit</t>
  </si>
  <si>
    <t>Daw Thay Lay</t>
  </si>
  <si>
    <t>Daw Thaung Kywel</t>
  </si>
  <si>
    <t>Daw Nyunt Nyunt Htay</t>
  </si>
  <si>
    <t>Daw Po</t>
  </si>
  <si>
    <t>Ma Khin Cho Win</t>
  </si>
  <si>
    <t xml:space="preserve">Daw Yin Hla </t>
  </si>
  <si>
    <t>U Hla Htun</t>
  </si>
  <si>
    <t>U San Shyar</t>
  </si>
  <si>
    <t>U Kyaw Zaww</t>
  </si>
  <si>
    <t>U San Kyaw</t>
  </si>
  <si>
    <t>U Shi</t>
  </si>
  <si>
    <t>U Hlaing</t>
  </si>
  <si>
    <t>IV B12, Para, Ca+, Gabapentin</t>
  </si>
  <si>
    <t>IV B12, Ibu, Omex, MV, Zinc</t>
  </si>
  <si>
    <t>IV B12, Amlo5, Losar25, Ca+, Para, MV, Vitc</t>
  </si>
  <si>
    <t>IV Pantocid, Ibu, Omex, Ca+</t>
  </si>
  <si>
    <t>IV Pantocid, Ibu, AirX, Ca+</t>
  </si>
  <si>
    <t>Ibu,MV</t>
  </si>
  <si>
    <t>VitC, Ca+, MV</t>
  </si>
  <si>
    <t>IV b12, Amlo5, MV, Zinc</t>
  </si>
  <si>
    <t>Tama Taw</t>
  </si>
  <si>
    <t>Ma Yu Ya Kyaw</t>
  </si>
  <si>
    <t>Daw Wai San</t>
  </si>
  <si>
    <t>U Phoe Sal</t>
  </si>
  <si>
    <t>U Paw Sein</t>
  </si>
  <si>
    <t>Dental Caries</t>
  </si>
  <si>
    <t>Knee Joint pain</t>
  </si>
  <si>
    <t>Knee Joint pain, Blurred Vision</t>
  </si>
  <si>
    <t>Cardivas, Amlo5, Ato10, Metformin, MV</t>
  </si>
  <si>
    <t>Anaclox, Cevit, Para</t>
  </si>
  <si>
    <t>Cinnarizine, Ibu, Omex, ORS</t>
  </si>
  <si>
    <t>Amlo5, Para, Ibu, Siloxogene</t>
  </si>
  <si>
    <t>Dexa, Aceclo, Omex, MV</t>
  </si>
  <si>
    <t>Daw Khin Mar</t>
  </si>
  <si>
    <t>Daw Hnin Si</t>
  </si>
  <si>
    <t>Daw Hla Htay</t>
  </si>
  <si>
    <t>Daw Khin Win Maw</t>
  </si>
  <si>
    <t>Daw Yu</t>
  </si>
  <si>
    <t>U Ba Myaing</t>
  </si>
  <si>
    <t>U Chit Than</t>
  </si>
  <si>
    <t>U Chit Taw</t>
  </si>
  <si>
    <t>Cough,Fever</t>
  </si>
  <si>
    <t>HT, Cough, Heart Disease</t>
  </si>
  <si>
    <t>Body Ache</t>
  </si>
  <si>
    <t>Nape pain, Knee Joint Pain</t>
  </si>
  <si>
    <t>LSCS scar, Back Pain</t>
  </si>
  <si>
    <t>Aspilet, Ato10, Lasix,Aldactone, Omex</t>
  </si>
  <si>
    <t>IV 25%+B6+12+Vitc, Trypta, MV, ORS</t>
  </si>
  <si>
    <t>Azithro, Para, Cevit, Dextro</t>
  </si>
  <si>
    <t>Amlo5, Asprin, Ato10, Dextro, Azithro, MV, Para</t>
  </si>
  <si>
    <t>IV 25%+B12, Para, Ca+, Gabapentin</t>
  </si>
  <si>
    <t>IV 25%+B12+Vitc, FA, MV, Ibu, Omex, ORS</t>
  </si>
  <si>
    <t>Cefixime, Prednisolone, Detusin, Inhaler</t>
  </si>
  <si>
    <t>Diclo, Omex, MV</t>
  </si>
  <si>
    <t>Myopas, Betex, Siloxogene, Para</t>
  </si>
  <si>
    <t>IM Diclo, Myopas, Omex, Para, Ibu, Cefixime, Siloxogene</t>
  </si>
  <si>
    <t>Daw Khin Kyi</t>
  </si>
  <si>
    <t>U Tin Myint</t>
  </si>
  <si>
    <t>Ma Aye Aye</t>
  </si>
  <si>
    <t>Ma Zue Zue May</t>
  </si>
  <si>
    <t>U Aung Linn</t>
  </si>
  <si>
    <t>Mg Aung ko Hein</t>
  </si>
  <si>
    <t>Mg Zwe Naing Myint</t>
  </si>
  <si>
    <t>U Mg Nyein</t>
  </si>
  <si>
    <t>U Sein Phay</t>
  </si>
  <si>
    <t xml:space="preserve">U Shwe  </t>
  </si>
  <si>
    <t xml:space="preserve">U Lwin Myo  </t>
  </si>
  <si>
    <t>U Aung Ye Kyaw</t>
  </si>
  <si>
    <t>U Hla</t>
  </si>
  <si>
    <t>U Chit Thaung</t>
  </si>
  <si>
    <t>Knee joint Pain, Back Pain</t>
  </si>
  <si>
    <t xml:space="preserve">GE </t>
  </si>
  <si>
    <t>Para, Ibu,Omec, Ca+</t>
  </si>
  <si>
    <t>Amlo5, Losar,MV</t>
  </si>
  <si>
    <t>IV Hydro, Cefixime, Dextro, Betex, Lasix</t>
  </si>
  <si>
    <t>IV 25%+B12, Para, Cinnarizine, MV</t>
  </si>
  <si>
    <t>IM Diclo, Ibu,Omex, Betex</t>
  </si>
  <si>
    <t>Cefixime, Neomycin cream, B'ton</t>
  </si>
  <si>
    <t>Presco, Cetrizne, Para</t>
  </si>
  <si>
    <t>Cefixime, Para, Zinc</t>
  </si>
  <si>
    <t>IV 25%+B12+Vitc, Cinnarizine, Para, Betex</t>
  </si>
  <si>
    <t>Metformoin, Gliclacide, MV</t>
  </si>
  <si>
    <t>Daw Soe Soe Nwel</t>
  </si>
  <si>
    <t>Ma Ei Khaing</t>
  </si>
  <si>
    <t>Daw Than Than Nwel</t>
  </si>
  <si>
    <t>Daw Hlaing</t>
  </si>
  <si>
    <t>Ma Than Myint</t>
  </si>
  <si>
    <t xml:space="preserve">Daw Win Win  </t>
  </si>
  <si>
    <t>Ma Oo</t>
  </si>
  <si>
    <t>Daw Tin Mar</t>
  </si>
  <si>
    <t>U Myo Thein</t>
  </si>
  <si>
    <t>U Win Mg Sein</t>
  </si>
  <si>
    <t>U Than Htay</t>
  </si>
  <si>
    <t>U San Mg</t>
  </si>
  <si>
    <t>Blurred Vision</t>
  </si>
  <si>
    <t>HT,DM</t>
  </si>
  <si>
    <t>Cifram, MOM, Ibu, Omex, Neomycin cream</t>
  </si>
  <si>
    <t>Cifram eye drop, Para, MV, Betex</t>
  </si>
  <si>
    <t>IV Pantocid, SIloxogene</t>
  </si>
  <si>
    <t>Gliclacide, Metformin, Amlo5, Betex</t>
  </si>
  <si>
    <t>Amlo10, Metformin, Betex, Zinc</t>
  </si>
  <si>
    <t>IV Pantocid, Omex, Siloxogene, Cifram</t>
  </si>
  <si>
    <t>Cefixime, Para, Vitc, Betadine</t>
  </si>
  <si>
    <t>IV 25%+B12, Cinnarizine, Para, MV</t>
  </si>
  <si>
    <t>Metfomin, Losar50., Amlo10</t>
  </si>
  <si>
    <t>IV Pantocid, Ibu, Omex, Cinnarizine</t>
  </si>
  <si>
    <t>Daw Zin Zin</t>
  </si>
  <si>
    <t>Ma Thida</t>
  </si>
  <si>
    <t>U Win Khin</t>
  </si>
  <si>
    <t>Ma Thazin</t>
  </si>
  <si>
    <t>Ma Aye Hnin</t>
  </si>
  <si>
    <t>Ma Hnin Thet Wai</t>
  </si>
  <si>
    <t>Daw Mar Mar Htay</t>
  </si>
  <si>
    <t>U Mg Sein</t>
  </si>
  <si>
    <t>U Htun Myint</t>
  </si>
  <si>
    <t xml:space="preserve">Daw Wai  </t>
  </si>
  <si>
    <t>U Ko Myint</t>
  </si>
  <si>
    <t>U Ba Phay</t>
  </si>
  <si>
    <t>U Mg Myint</t>
  </si>
  <si>
    <t>U Khant Mg</t>
  </si>
  <si>
    <t>U Wai Htun</t>
  </si>
  <si>
    <t>Sneezing, Common Cold</t>
  </si>
  <si>
    <t>DM, Skin infection</t>
  </si>
  <si>
    <t>IM B'ton, Albendazole, Fluconazole cream</t>
  </si>
  <si>
    <t>IM Diclo, Aceclo, Para, Omex</t>
  </si>
  <si>
    <t>IV NS+B12, Amlo10, Metformin, Betex</t>
  </si>
  <si>
    <t>Aceclo, Para, Omex</t>
  </si>
  <si>
    <t>IM Diclo, Aceclo, Amlo10, Omex</t>
  </si>
  <si>
    <t xml:space="preserve">Albendazole, Meconazloe cream, Zinc, Cetrizine </t>
  </si>
  <si>
    <t>IM Diclo, Para, Vitc, Detusin, Cetrizine</t>
  </si>
  <si>
    <t>Ibu,Omex, Ca+, ORS</t>
  </si>
  <si>
    <t>Metformin, Ranitadine, B'ton, Mecanazole cream</t>
  </si>
  <si>
    <t>Ibu, Omex, Betadine</t>
  </si>
  <si>
    <t>Put Sue</t>
  </si>
  <si>
    <t>Ma May Htoo Myat</t>
  </si>
  <si>
    <t>Ma Pyae Phyo Aye</t>
  </si>
  <si>
    <t>Ma Yadanar Phyo</t>
  </si>
  <si>
    <t>Ma Htun Yati Mg</t>
  </si>
  <si>
    <t>Ma Ei Ei Tin</t>
  </si>
  <si>
    <t>Ma Ei Zar Linn</t>
  </si>
  <si>
    <t>Mg Min Pyae Sone</t>
  </si>
  <si>
    <t>Mg Aung Zin Toe</t>
  </si>
  <si>
    <t>Mg Hein Min Thant</t>
  </si>
  <si>
    <t>Mg Htet Myat Ko</t>
  </si>
  <si>
    <t>Ma Su Lin Htet</t>
  </si>
  <si>
    <t>Mg Thura Kyaw Zin</t>
  </si>
  <si>
    <t>Ma Shwe Ngone Phue</t>
  </si>
  <si>
    <t>Ma Yamone Wint Nwel</t>
  </si>
  <si>
    <t xml:space="preserve">Mg Shine Min Khant </t>
  </si>
  <si>
    <t>Mg Paing Paing</t>
  </si>
  <si>
    <t>Daw Thin Thida Soe</t>
  </si>
  <si>
    <t>Daw Thiri Shwe Zin</t>
  </si>
  <si>
    <t>Daw Ngu Wah</t>
  </si>
  <si>
    <t>Daw Lae Lae Mon</t>
  </si>
  <si>
    <t>Daw Khaing Khaing Win</t>
  </si>
  <si>
    <t>Daw Hlaing Hlaing Win</t>
  </si>
  <si>
    <t>Ma Sein</t>
  </si>
  <si>
    <t>Daw Win Nwel Soe</t>
  </si>
  <si>
    <t>Daw Wah Wah Lin</t>
  </si>
  <si>
    <t>Daw Thin Thin Thwel</t>
  </si>
  <si>
    <t>Ma Su</t>
  </si>
  <si>
    <t>South Ywar Thit</t>
  </si>
  <si>
    <t>Ma Jue Jue</t>
  </si>
  <si>
    <t>Ma Win Pa Pa</t>
  </si>
  <si>
    <t>Mg Aung Pyae Sone</t>
  </si>
  <si>
    <t>Mg Bhone Pyae Khant</t>
  </si>
  <si>
    <t>Mg Aung Thiha Phyo</t>
  </si>
  <si>
    <t>Mg Bo Bo Aung</t>
  </si>
  <si>
    <t>Mg Shine Thura Ko</t>
  </si>
  <si>
    <t>Mg Htet Myat Aung</t>
  </si>
  <si>
    <t>Ma Chit Thae Tone</t>
  </si>
  <si>
    <t>Ma Htet Nadi Hlaing</t>
  </si>
  <si>
    <t>Mg Htet Myat Lin</t>
  </si>
  <si>
    <t>Ma Shwe Yaung Hlwan</t>
  </si>
  <si>
    <t>Ma Hnin Hnin Hlaing</t>
  </si>
  <si>
    <t>Ma Gout Gout</t>
  </si>
  <si>
    <t>Ma Khin Myint</t>
  </si>
  <si>
    <t>Ma Aye Aye Soe</t>
  </si>
  <si>
    <t>Daw Yee Yee Myint</t>
  </si>
  <si>
    <t>Ma Yee Yee Htway</t>
  </si>
  <si>
    <t>Ma Aye Aye Lwin</t>
  </si>
  <si>
    <t>Ma Soe Sandar Hlaing</t>
  </si>
  <si>
    <t>Ma Theingi Win</t>
  </si>
  <si>
    <t>Ma Khaing Phyo Wai</t>
  </si>
  <si>
    <t>Shan Kalay Kyun</t>
  </si>
  <si>
    <t>Mg Pyae Sone Aung</t>
  </si>
  <si>
    <t>Mg Thar Chit Dway</t>
  </si>
  <si>
    <t>Ma May Thawdar Oo</t>
  </si>
  <si>
    <t>Ma Su Myat Thiri</t>
  </si>
  <si>
    <t>Mg Aung Kaung Khant</t>
  </si>
  <si>
    <t>Mg Khant Wai Yan Phyo</t>
  </si>
  <si>
    <t>Mg Myo Htet Aung</t>
  </si>
  <si>
    <t>Ma Shwe Poe Eain</t>
  </si>
  <si>
    <t>Ma Thae Su Myat Htun</t>
  </si>
  <si>
    <t>Ma Eaint Chit</t>
  </si>
  <si>
    <t>Ma Theint Theint Nway</t>
  </si>
  <si>
    <t>Daw Khin Aye Win</t>
  </si>
  <si>
    <t>Ma Myat Noe Hnin Pwint</t>
  </si>
  <si>
    <t>Ma Thidar Nwel</t>
  </si>
  <si>
    <t>Ma Su Lae Win</t>
  </si>
  <si>
    <t>Daw Zin Zin Mar</t>
  </si>
  <si>
    <t>Daw Aye Aye Mar</t>
  </si>
  <si>
    <t>Ma Thazin Nwel</t>
  </si>
  <si>
    <t>Daw Tin Tin Htike</t>
  </si>
  <si>
    <t>Ma Lae Lae Win</t>
  </si>
  <si>
    <t>Ko Myat Naing</t>
  </si>
  <si>
    <t>Ma Yee Phyo Wai</t>
  </si>
  <si>
    <t>Ma Win Pa Pa Khin</t>
  </si>
  <si>
    <t>Mg Hein Ko Aung</t>
  </si>
  <si>
    <t>Ma Shwe Yati Moe Myint</t>
  </si>
  <si>
    <t>Ma Jue Sandi Nyein</t>
  </si>
  <si>
    <t>Ma win Yamon Phue</t>
  </si>
  <si>
    <t>Ma Thazin Htet</t>
  </si>
  <si>
    <t>Mg Oakkar Myint Myat</t>
  </si>
  <si>
    <t>Mg Bhone Nyan Zin</t>
  </si>
  <si>
    <t>Ma Ei Thinzar Hlaing</t>
  </si>
  <si>
    <t>Ma Wai Wai Lwin</t>
  </si>
  <si>
    <t>Ma Myat MyatThu</t>
  </si>
  <si>
    <t>Ma Thuzar Htun</t>
  </si>
  <si>
    <t>Ma Zin Zar Hlaing</t>
  </si>
  <si>
    <t>Ma Thi Thi</t>
  </si>
  <si>
    <t>Ma Aye Myint</t>
  </si>
  <si>
    <t>Ma Thin Thidar Soe</t>
  </si>
  <si>
    <t>Ma San Thidar</t>
  </si>
  <si>
    <t>Ma Khin Myo Aye</t>
  </si>
  <si>
    <t>Ma Myo Mon Kyaw</t>
  </si>
  <si>
    <t>Ma Thin Thin Win</t>
  </si>
  <si>
    <t>Ma Jue Eaindra Myat</t>
  </si>
  <si>
    <t>Ma Phyu Thazin Htway</t>
  </si>
  <si>
    <t>Ma Aye Aye Chit</t>
  </si>
  <si>
    <t>Ma Thin Myat Aung</t>
  </si>
  <si>
    <t>Ma Hlaing Thazin Htway</t>
  </si>
  <si>
    <t>Mg Lamin Khant</t>
  </si>
  <si>
    <t>Ma Yuya Kyaw</t>
  </si>
  <si>
    <t>Ma Hnin Thu Hlaing</t>
  </si>
  <si>
    <t>Mg Ye Yint Phyo</t>
  </si>
  <si>
    <t>Ma Jue Jue San</t>
  </si>
  <si>
    <t>Ma Eaindra Aung</t>
  </si>
  <si>
    <t>Ma Chan Thiri Ko</t>
  </si>
  <si>
    <t xml:space="preserve">Mg Htun Lwin </t>
  </si>
  <si>
    <t>Ma Yu Yu Khaing</t>
  </si>
  <si>
    <t xml:space="preserve">Ma Soe Sandar </t>
  </si>
  <si>
    <t>Ma Mar Mar Lwin</t>
  </si>
  <si>
    <t>Ma Win Win Khaing</t>
  </si>
  <si>
    <t>Ma Zar Chi Linn</t>
  </si>
  <si>
    <t>Ma Htay San Oo</t>
  </si>
  <si>
    <t>Ma May Thu Hlaing</t>
  </si>
  <si>
    <t>Ma Nilar Win</t>
  </si>
  <si>
    <t>Ma Than Than Aye</t>
  </si>
  <si>
    <t>Ma Zin Mar Moe</t>
  </si>
  <si>
    <t>Ma Phyu Phyu Nwel</t>
  </si>
  <si>
    <t>Ma Khin Thet Nwel</t>
  </si>
  <si>
    <t>Pa Nan</t>
  </si>
  <si>
    <t>TaMa Taw</t>
  </si>
  <si>
    <t>Ma Khin Zaw Lwin</t>
  </si>
  <si>
    <t>Pyi Gyi Tagon</t>
  </si>
  <si>
    <t>16 Months</t>
  </si>
  <si>
    <t>36 Months</t>
  </si>
  <si>
    <t>9 Months</t>
  </si>
  <si>
    <t>Health Promoter- Daw Yin Mar Oo</t>
  </si>
  <si>
    <t>Ma San Dar Htway</t>
  </si>
  <si>
    <t>Ma Khin Zar Lwin</t>
  </si>
  <si>
    <t>Ma Ngel</t>
  </si>
  <si>
    <t>12 months</t>
  </si>
  <si>
    <t xml:space="preserve">48 months </t>
  </si>
  <si>
    <t xml:space="preserve">27 months </t>
  </si>
  <si>
    <t>26 months</t>
  </si>
  <si>
    <t>41 months</t>
  </si>
  <si>
    <t>16 days</t>
  </si>
  <si>
    <t xml:space="preserve">Ma Htway </t>
  </si>
  <si>
    <t>21 months</t>
  </si>
  <si>
    <t>10 months</t>
  </si>
  <si>
    <t>15 months</t>
  </si>
  <si>
    <t xml:space="preserve">Ma Htay  </t>
  </si>
  <si>
    <t>30 Months</t>
  </si>
  <si>
    <t>Daw Htay San Oo</t>
  </si>
  <si>
    <t>6 Months</t>
  </si>
  <si>
    <t>24 Months</t>
  </si>
  <si>
    <t>Ta Ma Taw</t>
  </si>
  <si>
    <t>Ma Ni Lar Win</t>
  </si>
  <si>
    <t>20 Months</t>
  </si>
  <si>
    <t>18 months</t>
  </si>
  <si>
    <t>U Nay Kyi</t>
  </si>
  <si>
    <t>Natt Yay Kan</t>
  </si>
  <si>
    <t>Trochonteric # (Lt)</t>
  </si>
  <si>
    <t>Miba Myittar Clinic</t>
  </si>
  <si>
    <t xml:space="preserve">Ma Har Aung Myay </t>
  </si>
  <si>
    <t>36*69 st</t>
  </si>
  <si>
    <t>Mg Yatu</t>
  </si>
  <si>
    <t>Closed bone # Lt FA</t>
  </si>
  <si>
    <t>69, 37*38 st</t>
  </si>
  <si>
    <t>Mg Aung Myint Myat</t>
  </si>
  <si>
    <t>S/C bone # Rt Humerous type II</t>
  </si>
  <si>
    <t>Thit Sar Yarzar Hospital</t>
  </si>
  <si>
    <t xml:space="preserve">Put Sue </t>
  </si>
  <si>
    <t>Measle</t>
  </si>
  <si>
    <t>Personal Hygiene &amp; Diarrhea</t>
  </si>
  <si>
    <t>Cholera</t>
  </si>
  <si>
    <t xml:space="preserve">Dengue </t>
  </si>
  <si>
    <t>13 days</t>
  </si>
  <si>
    <t>15 days</t>
  </si>
  <si>
    <t>1 year</t>
  </si>
  <si>
    <t xml:space="preserve">Ma Linn Latt Nnyein </t>
  </si>
  <si>
    <t>8 months</t>
  </si>
  <si>
    <t>Pan Kwar</t>
  </si>
  <si>
    <t>17 days</t>
  </si>
  <si>
    <t>6 months</t>
  </si>
  <si>
    <t>Ma Thin Thin Yu</t>
  </si>
  <si>
    <t>3 years</t>
  </si>
  <si>
    <t>3 months</t>
  </si>
  <si>
    <t>Ma Thin Oo Hlaing</t>
  </si>
  <si>
    <t>11 days</t>
  </si>
  <si>
    <t>Ma Ei Sandar Htun</t>
  </si>
  <si>
    <t>Ma Mi Mi Zaw</t>
  </si>
  <si>
    <t>1 month</t>
  </si>
  <si>
    <t>Put sue</t>
  </si>
  <si>
    <t>16 months</t>
  </si>
  <si>
    <t>36 months</t>
  </si>
  <si>
    <t>9 months</t>
  </si>
  <si>
    <t>27 months</t>
  </si>
  <si>
    <t>30 months</t>
  </si>
  <si>
    <t>24 months</t>
  </si>
  <si>
    <t>20 months</t>
  </si>
  <si>
    <t>Mg Aung Walar Kyaw</t>
  </si>
  <si>
    <t>70*71, 33 st</t>
  </si>
  <si>
    <t>DEOR # ( Lt )</t>
  </si>
  <si>
    <t>Ma Thet Su Wai</t>
  </si>
  <si>
    <t xml:space="preserve">Zay Tan </t>
  </si>
  <si>
    <t>Medical condyl # of humerus ( Lt )</t>
  </si>
  <si>
    <t>Abnoraml movement disorder</t>
  </si>
  <si>
    <t>Abnormal movement disorder</t>
  </si>
  <si>
    <t>Ko Zaw Zaw</t>
  </si>
  <si>
    <t>09-798827517</t>
  </si>
  <si>
    <t>Knee cap compeel</t>
  </si>
  <si>
    <t>Lambo sacral belt</t>
  </si>
  <si>
    <t>Ko Zaw Myat</t>
  </si>
  <si>
    <t>Daw Hmat Gyi</t>
  </si>
  <si>
    <t>09-794043997</t>
  </si>
  <si>
    <t>???</t>
  </si>
  <si>
    <t>09-443117338</t>
  </si>
  <si>
    <t>09-266886099</t>
  </si>
  <si>
    <t>09-681403516</t>
  </si>
  <si>
    <t>09-894644002</t>
  </si>
  <si>
    <t>09-790384123</t>
  </si>
  <si>
    <t>Ywar Thar Aye</t>
  </si>
  <si>
    <t>Daw Pwar Shain</t>
  </si>
  <si>
    <t>09-407711033</t>
  </si>
  <si>
    <t xml:space="preserve">Mal Zel Pin </t>
  </si>
  <si>
    <t>Daw Ohne Tin</t>
  </si>
  <si>
    <t>09-677058519</t>
  </si>
  <si>
    <t>09-43172666</t>
  </si>
  <si>
    <t>Daw Shain</t>
  </si>
  <si>
    <t>09-772502356</t>
  </si>
  <si>
    <t>Daw Hla thone</t>
  </si>
  <si>
    <t>09-258013730</t>
  </si>
  <si>
    <t>09-667080922</t>
  </si>
  <si>
    <t xml:space="preserve">Daw Mya Than </t>
  </si>
  <si>
    <t>Walking Frame</t>
  </si>
  <si>
    <t xml:space="preserve">U Moe Hein </t>
  </si>
  <si>
    <t>Lambar orthotic</t>
  </si>
  <si>
    <t>Ko Ko Mg</t>
  </si>
  <si>
    <t>Wat Kone</t>
  </si>
  <si>
    <t>09-425054877</t>
  </si>
  <si>
    <t>09-968718791</t>
  </si>
  <si>
    <t>U Htay Mg</t>
  </si>
  <si>
    <t>09-958020485</t>
  </si>
  <si>
    <t>Knee Support</t>
  </si>
  <si>
    <t>09-791826100</t>
  </si>
  <si>
    <t>Daw Aye Aye Thein</t>
  </si>
  <si>
    <t>09-777840486</t>
  </si>
  <si>
    <t>Chair commote</t>
  </si>
  <si>
    <t>09-758391221</t>
  </si>
  <si>
    <t>09-404683345</t>
  </si>
  <si>
    <t>U Aung</t>
  </si>
  <si>
    <t>09-686692065</t>
  </si>
  <si>
    <t>09-979334115</t>
  </si>
  <si>
    <t>Walking frame</t>
  </si>
  <si>
    <t>Belt</t>
  </si>
  <si>
    <t xml:space="preserve">U Htun Lwin </t>
  </si>
  <si>
    <t>Daw Khin Mar Swe</t>
  </si>
  <si>
    <t>Daw Myint Swe</t>
  </si>
  <si>
    <t>U Nwar</t>
  </si>
  <si>
    <t>U Sein Mg Than</t>
  </si>
  <si>
    <t>Dysuria</t>
  </si>
  <si>
    <t>AMlo5, Para, Betex</t>
  </si>
  <si>
    <t>Metformin, MV</t>
  </si>
  <si>
    <t>Dotavarin, Zinc, Amlo5</t>
  </si>
  <si>
    <t>IV B12, Metformin, Myopas, Betex, Zinc</t>
  </si>
  <si>
    <t>IV B12, Omex, Myopas, MV, Ca+, Zinc</t>
  </si>
  <si>
    <t>Ma Win Swe</t>
  </si>
  <si>
    <t>U Khant Paing</t>
  </si>
  <si>
    <t>Daw Khaing Soe</t>
  </si>
  <si>
    <t>Daw Yin Htun</t>
  </si>
  <si>
    <t>Daw Aye Moe</t>
  </si>
  <si>
    <t>U Phoe Paine</t>
  </si>
  <si>
    <t>Nape Pain</t>
  </si>
  <si>
    <t>Chest Pain</t>
  </si>
  <si>
    <t>Allopurinol, Amlo10</t>
  </si>
  <si>
    <t>Ibu, Ca+, MV</t>
  </si>
  <si>
    <t>DMR60, Gabapentin, Metformin, Betex, Omex</t>
  </si>
  <si>
    <t>IM Diclo, Myomas, Omex, Zinc, MV</t>
  </si>
  <si>
    <t>Omex, Siloxogene</t>
  </si>
  <si>
    <t>Mg Ye Myint</t>
  </si>
  <si>
    <t>U Phoe Ni</t>
  </si>
  <si>
    <t>U Htun Htun Hlaing</t>
  </si>
  <si>
    <t>Daw Khin Myint May</t>
  </si>
  <si>
    <t>Daw Moe Swe Myint</t>
  </si>
  <si>
    <t>U Htun Thar</t>
  </si>
  <si>
    <t>U Htay Win</t>
  </si>
  <si>
    <t>U Phay Thaung</t>
  </si>
  <si>
    <t>U Ye</t>
  </si>
  <si>
    <t>U Swe Thar</t>
  </si>
  <si>
    <t>Weakness, Blurred Vision</t>
  </si>
  <si>
    <t>Ampiclox, Para, Vitc</t>
  </si>
  <si>
    <t>IV 25%+B6+12+vitc, omex, siloxogene, ibu, betex</t>
  </si>
  <si>
    <t>IV 25%+B6+12+vitc, myopas, betex, zinc, MV</t>
  </si>
  <si>
    <t>B'ton, Zinc, Meconazole cream</t>
  </si>
  <si>
    <t>Asprin, Spiranolactone, Atenolol, Amlo5, Ato10</t>
  </si>
  <si>
    <t>Ma Wai Wai Aung</t>
  </si>
  <si>
    <t>Ma Swe Swe Win</t>
  </si>
  <si>
    <t>Ma May Yati Hlaing</t>
  </si>
  <si>
    <t>U Htun Phay</t>
  </si>
  <si>
    <t xml:space="preserve">Mg Aung Phyo  </t>
  </si>
  <si>
    <t xml:space="preserve">U Htay  </t>
  </si>
  <si>
    <t>U Myint Mg Kyi</t>
  </si>
  <si>
    <t xml:space="preserve">U Khaing Zaw  </t>
  </si>
  <si>
    <t>cough</t>
  </si>
  <si>
    <t>Betex, FA, Zinc, IV 25%+B6+12+Vitc</t>
  </si>
  <si>
    <t>Ca+, Ibu, Omex, Betex</t>
  </si>
  <si>
    <t>Para sr, Cough sr, zinc sr, b'ton, ORS</t>
  </si>
  <si>
    <t>Dextro, Cetrizine, Zinc, Vitc</t>
  </si>
  <si>
    <t>May Thu Htun</t>
  </si>
  <si>
    <t>U Khiang Myel Htun</t>
  </si>
  <si>
    <t>U Kyee Aung</t>
  </si>
  <si>
    <t>AMlo5, Para, Ibu,Omex, MV</t>
  </si>
  <si>
    <t>IV25%+B6+12+Vitc, Ca+, Myoaps, Omex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</si>
</sst>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0"/>
    <numFmt numFmtId="165" formatCode="mmm\ \-\ dd\ \-\ yyyy"/>
    <numFmt numFmtId="166" formatCode="m/d/yy;@"/>
    <numFmt numFmtId="167" formatCode="_(* #,##0_);_(* \(#,##0\);_(* &quot;-&quot;??_);_(@_)"/>
    <numFmt numFmtId="168" formatCode="mmm\-dd\-yyyy"/>
  </numFmts>
  <fonts count="53" x14ac:knownFonts="1">
    <font>
      <sz val="11"/>
      <color theme="1"/>
      <name val="Calibri"/>
      <family val="2"/>
      <scheme val="minor"/>
    </font>
    <font>
      <b/>
      <sz val="11"/>
      <color theme="0"/>
      <name val="Calibri"/>
      <family val="2"/>
      <scheme val="minor"/>
    </font>
    <font>
      <u/>
      <sz val="11"/>
      <color theme="10"/>
      <name val="Calibri"/>
      <family val="2"/>
      <scheme val="minor"/>
    </font>
    <font>
      <b/>
      <u/>
      <sz val="14"/>
      <color rgb="FF00B0F0"/>
      <name val="Calibri"/>
      <family val="2"/>
      <scheme val="minor"/>
    </font>
    <font>
      <b/>
      <sz val="16"/>
      <name val="Calibri"/>
      <family val="2"/>
      <scheme val="minor"/>
    </font>
    <font>
      <sz val="11"/>
      <name val="Calibri"/>
      <family val="2"/>
      <scheme val="minor"/>
    </font>
    <font>
      <b/>
      <sz val="11"/>
      <name val="Calibri"/>
      <family val="2"/>
      <scheme val="minor"/>
    </font>
    <font>
      <b/>
      <sz val="12"/>
      <color theme="1"/>
      <name val="Candara"/>
      <family val="2"/>
    </font>
    <font>
      <sz val="12"/>
      <color theme="1"/>
      <name val="Candara"/>
      <family val="2"/>
    </font>
    <font>
      <sz val="11"/>
      <color theme="1"/>
      <name val="Candara"/>
      <family val="2"/>
    </font>
    <font>
      <sz val="12"/>
      <color rgb="FF000000"/>
      <name val="Candara"/>
      <family val="2"/>
    </font>
    <font>
      <b/>
      <sz val="12"/>
      <color rgb="FF000000"/>
      <name val="Candara"/>
      <family val="2"/>
    </font>
    <font>
      <b/>
      <sz val="11"/>
      <color theme="1"/>
      <name val="Candara"/>
      <family val="2"/>
    </font>
    <font>
      <b/>
      <sz val="14"/>
      <color theme="1"/>
      <name val="Candara"/>
      <family val="2"/>
    </font>
    <font>
      <b/>
      <sz val="16"/>
      <color theme="0"/>
      <name val="Calibri"/>
      <family val="2"/>
      <scheme val="minor"/>
    </font>
    <font>
      <b/>
      <sz val="10"/>
      <color theme="0"/>
      <name val="Calibri"/>
      <family val="2"/>
      <scheme val="minor"/>
    </font>
    <font>
      <sz val="11"/>
      <color theme="0"/>
      <name val="Calibri"/>
      <family val="2"/>
      <scheme val="minor"/>
    </font>
    <font>
      <b/>
      <sz val="14"/>
      <color rgb="FF002060"/>
      <name val="Calibri"/>
      <family val="2"/>
      <scheme val="minor"/>
    </font>
    <font>
      <b/>
      <sz val="14"/>
      <name val="Calibri"/>
      <family val="2"/>
      <scheme val="minor"/>
    </font>
    <font>
      <sz val="12"/>
      <color theme="1"/>
      <name val="Calibri"/>
      <family val="2"/>
      <scheme val="minor"/>
    </font>
    <font>
      <sz val="12"/>
      <color theme="1"/>
      <name val="Calibri"/>
      <family val="2"/>
    </font>
    <font>
      <b/>
      <sz val="16"/>
      <color theme="1"/>
      <name val="Calibri"/>
      <family val="2"/>
    </font>
    <font>
      <b/>
      <sz val="12"/>
      <color theme="1"/>
      <name val="Calibri"/>
      <family val="2"/>
    </font>
    <font>
      <sz val="11"/>
      <color rgb="FFC00000"/>
      <name val="Calibri"/>
      <family val="2"/>
      <scheme val="minor"/>
    </font>
    <font>
      <b/>
      <sz val="11"/>
      <color rgb="FFC00000"/>
      <name val="Calibri"/>
      <family val="2"/>
      <scheme val="minor"/>
    </font>
    <font>
      <sz val="11"/>
      <color rgb="FFC00000"/>
      <name val="Calibri"/>
      <family val="2"/>
    </font>
    <font>
      <b/>
      <sz val="11"/>
      <color rgb="FFC00000"/>
      <name val="Calibri"/>
      <family val="2"/>
    </font>
    <font>
      <sz val="11"/>
      <color rgb="FFFF9966"/>
      <name val="Calibri"/>
      <family val="2"/>
      <scheme val="minor"/>
    </font>
    <font>
      <b/>
      <sz val="18"/>
      <color theme="1"/>
      <name val="Calibri"/>
      <family val="2"/>
      <scheme val="minor"/>
    </font>
    <font>
      <b/>
      <sz val="14"/>
      <color theme="1"/>
      <name val="Calibri"/>
      <family val="2"/>
      <scheme val="minor"/>
    </font>
    <font>
      <b/>
      <sz val="12"/>
      <color rgb="FF0070C0"/>
      <name val="Calibri"/>
      <family val="2"/>
    </font>
    <font>
      <b/>
      <sz val="11"/>
      <color theme="0"/>
      <name val="Calibri"/>
    </font>
    <font>
      <b/>
      <sz val="11"/>
      <color rgb="FFFFFFFF"/>
      <name val="Calibri"/>
    </font>
    <font>
      <b/>
      <sz val="11"/>
      <color rgb="FF4472C4"/>
      <name val="Calibri"/>
    </font>
    <font>
      <sz val="11"/>
      <color theme="1"/>
      <name val="Calibri"/>
      <family val="2"/>
      <scheme val="minor"/>
    </font>
    <font>
      <sz val="11"/>
      <color rgb="FFFF0000"/>
      <name val="Calibri"/>
      <family val="2"/>
      <scheme val="minor"/>
    </font>
    <font>
      <sz val="10"/>
      <color theme="1"/>
      <name val="Times New Roman"/>
      <family val="1"/>
    </font>
    <font>
      <sz val="10"/>
      <color theme="1"/>
      <name val="Times New Roman"/>
    </font>
    <font>
      <b/>
      <sz val="11"/>
      <color rgb="FFFF0000"/>
      <name val="Calibri"/>
      <family val="2"/>
      <scheme val="minor"/>
    </font>
    <font>
      <b/>
      <u val="double"/>
      <sz val="16"/>
      <color rgb="FF00B050"/>
      <name val="Calibri"/>
      <family val="2"/>
      <scheme val="minor"/>
    </font>
    <font>
      <b/>
      <sz val="11"/>
      <color theme="1"/>
      <name val="Calibri"/>
      <family val="2"/>
      <scheme val="minor"/>
    </font>
    <font>
      <b/>
      <sz val="9"/>
      <color theme="1"/>
      <name val="Calibri"/>
      <family val="2"/>
      <scheme val="minor"/>
    </font>
    <font>
      <b/>
      <sz val="11"/>
      <color rgb="FF000000"/>
      <name val="Calibri"/>
      <family val="2"/>
      <scheme val="minor"/>
    </font>
    <font>
      <b/>
      <sz val="12"/>
      <color rgb="FF0070C0"/>
      <name val="Calibri"/>
      <family val="2"/>
      <scheme val="minor"/>
    </font>
    <font>
      <sz val="8"/>
      <name val="Calibri"/>
      <family val="2"/>
      <scheme val="minor"/>
    </font>
    <font>
      <sz val="9"/>
      <color theme="1"/>
      <name val="Times New Roman"/>
      <family val="1"/>
    </font>
    <font>
      <sz val="11"/>
      <color theme="1"/>
      <name val="Calibri"/>
      <scheme val="minor"/>
    </font>
    <font>
      <b/>
      <sz val="11"/>
      <color theme="1"/>
      <name val="Calibri"/>
      <family val="2"/>
    </font>
    <font>
      <sz val="11"/>
      <name val="Calibri"/>
      <family val="2"/>
    </font>
    <font>
      <sz val="11"/>
      <color theme="1"/>
      <name val="Calibri"/>
      <family val="2"/>
    </font>
    <font>
      <b/>
      <sz val="11"/>
      <color theme="0"/>
      <name val="Calibri"/>
      <family val="2"/>
    </font>
    <font>
      <b/>
      <sz val="16"/>
      <color theme="0"/>
      <name val="Calibri"/>
      <family val="2"/>
    </font>
    <font>
      <u/>
      <sz val="11"/>
      <color theme="1"/>
      <name val="Calibri"/>
      <family val="2"/>
      <scheme val="minor"/>
    </font>
  </fonts>
  <fills count="33">
    <fill>
      <patternFill patternType="none"/>
    </fill>
    <fill>
      <patternFill patternType="gray125"/>
    </fill>
    <fill>
      <patternFill patternType="solid">
        <fgColor theme="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8" tint="-0.249977111117893"/>
        <bgColor indexed="64"/>
      </patternFill>
    </fill>
    <fill>
      <patternFill patternType="solid">
        <fgColor theme="7"/>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rgb="FF002060"/>
        <bgColor indexed="64"/>
      </patternFill>
    </fill>
    <fill>
      <patternFill patternType="solid">
        <fgColor rgb="FF002060"/>
        <bgColor theme="6"/>
      </patternFill>
    </fill>
    <fill>
      <patternFill patternType="solid">
        <fgColor rgb="FF002060"/>
        <bgColor theme="9"/>
      </patternFill>
    </fill>
    <fill>
      <patternFill patternType="solid">
        <fgColor theme="3" tint="0.79998168889431442"/>
        <bgColor indexed="64"/>
      </patternFill>
    </fill>
    <fill>
      <patternFill patternType="solid">
        <fgColor theme="9" tint="0.59999389629810485"/>
        <bgColor theme="0" tint="-0.14999847407452621"/>
      </patternFill>
    </fill>
    <fill>
      <patternFill patternType="solid">
        <fgColor rgb="FFFF9966"/>
        <bgColor indexed="64"/>
      </patternFill>
    </fill>
    <fill>
      <patternFill patternType="solid">
        <fgColor theme="8" tint="-0.24994659260841701"/>
        <bgColor indexed="64"/>
      </patternFill>
    </fill>
    <fill>
      <patternFill patternType="solid">
        <fgColor theme="9"/>
        <bgColor indexed="64"/>
      </patternFill>
    </fill>
    <fill>
      <patternFill patternType="solid">
        <fgColor rgb="FF6666A0"/>
        <bgColor indexed="64"/>
      </patternFill>
    </fill>
    <fill>
      <patternFill patternType="solid">
        <fgColor theme="4" tint="-0.249977111117893"/>
        <bgColor indexed="64"/>
      </patternFill>
    </fill>
    <fill>
      <patternFill patternType="solid">
        <fgColor rgb="FFFFFF00"/>
        <bgColor rgb="FF000000"/>
      </patternFill>
    </fill>
    <fill>
      <patternFill patternType="solid">
        <fgColor theme="9" tint="-0.499984740745262"/>
        <bgColor indexed="64"/>
      </patternFill>
    </fill>
    <fill>
      <patternFill patternType="solid">
        <fgColor theme="8" tint="0.59999389629810485"/>
        <bgColor indexed="64"/>
      </patternFill>
    </fill>
    <fill>
      <patternFill patternType="solid">
        <fgColor rgb="FFFFD965"/>
        <bgColor rgb="FFFFD965"/>
      </patternFill>
    </fill>
    <fill>
      <patternFill patternType="solid">
        <fgColor rgb="FF9CC2E5"/>
        <bgColor rgb="FF9CC2E5"/>
      </patternFill>
    </fill>
    <fill>
      <patternFill patternType="solid">
        <fgColor rgb="FF757070"/>
        <bgColor rgb="FF757070"/>
      </patternFill>
    </fill>
  </fills>
  <borders count="47">
    <border>
      <left/>
      <right/>
      <top/>
      <bottom/>
      <diagonal/>
    </border>
    <border>
      <left style="thin">
        <color indexed="64"/>
      </left>
      <right/>
      <top/>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theme="0"/>
      </left>
      <right style="thin">
        <color theme="0"/>
      </right>
      <top/>
      <bottom style="thin">
        <color theme="0"/>
      </bottom>
      <diagonal/>
    </border>
    <border>
      <left style="thin">
        <color theme="1"/>
      </left>
      <right/>
      <top style="thin">
        <color indexed="64"/>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1"/>
      </right>
      <top style="thin">
        <color theme="1"/>
      </top>
      <bottom/>
      <diagonal/>
    </border>
    <border>
      <left style="thin">
        <color theme="1"/>
      </left>
      <right/>
      <top style="thin">
        <color theme="1"/>
      </top>
      <bottom/>
      <diagonal/>
    </border>
    <border>
      <left/>
      <right style="thin">
        <color theme="1"/>
      </right>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style="thin">
        <color indexed="64"/>
      </right>
      <top style="thin">
        <color rgb="FF8EA9DB"/>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theme="4"/>
      </right>
      <top style="thin">
        <color theme="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5">
    <xf numFmtId="0" fontId="0" fillId="0" borderId="0"/>
    <xf numFmtId="0" fontId="2" fillId="0" borderId="0" applyNumberFormat="0" applyFill="0" applyBorder="0" applyAlignment="0" applyProtection="0"/>
    <xf numFmtId="0" fontId="19" fillId="0" borderId="0"/>
    <xf numFmtId="43" fontId="34" fillId="0" borderId="0" applyFont="0" applyFill="0" applyBorder="0" applyAlignment="0" applyProtection="0"/>
    <xf numFmtId="0" fontId="46" fillId="0" borderId="0"/>
  </cellStyleXfs>
  <cellXfs count="332">
    <xf numFmtId="0" fontId="0" fillId="0" borderId="0" xfId="0"/>
    <xf numFmtId="0" fontId="3" fillId="0" borderId="0" xfId="1" applyFont="1" applyFill="1" applyAlignment="1">
      <alignment vertical="center"/>
    </xf>
    <xf numFmtId="0" fontId="4" fillId="0" borderId="1"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xf numFmtId="0" fontId="5" fillId="0" borderId="0" xfId="0" applyFont="1" applyAlignment="1">
      <alignment textRotation="90"/>
    </xf>
    <xf numFmtId="0" fontId="1" fillId="2" borderId="0" xfId="0"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textRotation="90"/>
    </xf>
    <xf numFmtId="0" fontId="1" fillId="3" borderId="0" xfId="0" applyFont="1" applyFill="1"/>
    <xf numFmtId="0" fontId="0" fillId="4" borderId="2" xfId="0" applyFill="1" applyBorder="1"/>
    <xf numFmtId="0" fontId="0" fillId="0" borderId="2" xfId="0" applyBorder="1"/>
    <xf numFmtId="0" fontId="0" fillId="4" borderId="3" xfId="0" applyFill="1" applyBorder="1"/>
    <xf numFmtId="0" fontId="0" fillId="4" borderId="4" xfId="0" applyFill="1" applyBorder="1"/>
    <xf numFmtId="0" fontId="1" fillId="3" borderId="6" xfId="0" applyFont="1" applyFill="1" applyBorder="1"/>
    <xf numFmtId="0" fontId="1" fillId="3" borderId="5" xfId="0" applyFont="1" applyFill="1" applyBorder="1"/>
    <xf numFmtId="0" fontId="0" fillId="4" borderId="6" xfId="0" applyFill="1" applyBorder="1"/>
    <xf numFmtId="0" fontId="0" fillId="4" borderId="5" xfId="0" applyFill="1" applyBorder="1"/>
    <xf numFmtId="0" fontId="0" fillId="0" borderId="6" xfId="0" applyBorder="1"/>
    <xf numFmtId="0" fontId="0" fillId="0" borderId="5" xfId="0" applyBorder="1"/>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left" vertical="center" wrapText="1"/>
    </xf>
    <xf numFmtId="0" fontId="8" fillId="6" borderId="8" xfId="0" applyFont="1" applyFill="1" applyBorder="1" applyAlignment="1">
      <alignment horizontal="left" vertical="center" wrapText="1"/>
    </xf>
    <xf numFmtId="0" fontId="8" fillId="0" borderId="8" xfId="0" applyFont="1" applyBorder="1" applyAlignment="1">
      <alignment vertical="center" wrapText="1"/>
    </xf>
    <xf numFmtId="0" fontId="8" fillId="0" borderId="8" xfId="0" applyFont="1" applyBorder="1" applyAlignment="1">
      <alignment horizontal="justify" vertical="center" wrapText="1"/>
    </xf>
    <xf numFmtId="0" fontId="9" fillId="0" borderId="8" xfId="0" applyFont="1" applyBorder="1" applyAlignment="1">
      <alignment horizontal="left" wrapText="1"/>
    </xf>
    <xf numFmtId="0" fontId="8" fillId="0" borderId="0" xfId="0" applyFont="1" applyAlignment="1">
      <alignment vertical="center" wrapText="1"/>
    </xf>
    <xf numFmtId="0" fontId="10" fillId="0" borderId="8" xfId="0" applyFont="1" applyBorder="1" applyAlignment="1">
      <alignment vertical="center" wrapText="1"/>
    </xf>
    <xf numFmtId="0" fontId="8" fillId="5" borderId="7" xfId="0" applyFont="1" applyFill="1" applyBorder="1" applyAlignment="1">
      <alignment horizontal="center" vertical="center"/>
    </xf>
    <xf numFmtId="0" fontId="9" fillId="7" borderId="8" xfId="0" applyFont="1" applyFill="1" applyBorder="1" applyAlignment="1">
      <alignment horizontal="left"/>
    </xf>
    <xf numFmtId="0" fontId="9" fillId="0" borderId="8" xfId="0" applyFont="1" applyBorder="1" applyAlignment="1">
      <alignment horizontal="left"/>
    </xf>
    <xf numFmtId="0" fontId="9" fillId="0" borderId="8" xfId="0" applyFont="1" applyBorder="1"/>
    <xf numFmtId="0" fontId="12" fillId="0" borderId="8" xfId="0" applyFont="1" applyBorder="1" applyAlignment="1">
      <alignment horizontal="center"/>
    </xf>
    <xf numFmtId="0" fontId="12" fillId="7" borderId="8" xfId="0" applyFont="1" applyFill="1" applyBorder="1" applyAlignment="1">
      <alignment horizontal="center"/>
    </xf>
    <xf numFmtId="0" fontId="9" fillId="7" borderId="8" xfId="0" applyFont="1" applyFill="1" applyBorder="1"/>
    <xf numFmtId="0" fontId="8" fillId="0" borderId="0" xfId="0" applyFont="1"/>
    <xf numFmtId="0" fontId="13" fillId="0" borderId="8" xfId="0" applyFont="1" applyBorder="1" applyAlignment="1">
      <alignment horizontal="center" vertical="center"/>
    </xf>
    <xf numFmtId="0" fontId="8" fillId="0" borderId="8" xfId="0" applyFont="1" applyBorder="1"/>
    <xf numFmtId="0" fontId="8" fillId="0" borderId="8" xfId="0" applyFont="1" applyBorder="1" applyAlignment="1">
      <alignment wrapText="1"/>
    </xf>
    <xf numFmtId="0" fontId="0" fillId="8" borderId="0" xfId="0" applyFill="1"/>
    <xf numFmtId="49" fontId="0" fillId="0" borderId="0" xfId="0" applyNumberFormat="1"/>
    <xf numFmtId="0" fontId="4" fillId="9" borderId="0" xfId="0" applyFont="1" applyFill="1" applyAlignment="1">
      <alignment horizontal="center" vertical="center"/>
    </xf>
    <xf numFmtId="0" fontId="6" fillId="0" borderId="0" xfId="0" applyFont="1" applyAlignment="1">
      <alignment horizontal="center" vertical="center"/>
    </xf>
    <xf numFmtId="0" fontId="6" fillId="14" borderId="0" xfId="0" applyFont="1" applyFill="1" applyAlignment="1">
      <alignment horizontal="center" vertical="center"/>
    </xf>
    <xf numFmtId="0" fontId="6" fillId="16" borderId="0" xfId="0" applyFont="1" applyFill="1" applyAlignment="1">
      <alignment horizontal="center" vertical="center"/>
    </xf>
    <xf numFmtId="0" fontId="1" fillId="0" borderId="0" xfId="0" applyFont="1" applyAlignment="1">
      <alignment horizontal="center" vertical="center"/>
    </xf>
    <xf numFmtId="0" fontId="1" fillId="0" borderId="0" xfId="0" applyFont="1"/>
    <xf numFmtId="0" fontId="0" fillId="2" borderId="0" xfId="0" applyFill="1" applyAlignment="1">
      <alignment horizontal="center" vertical="center"/>
    </xf>
    <xf numFmtId="166" fontId="0" fillId="2" borderId="0" xfId="0" applyNumberFormat="1" applyFill="1" applyAlignment="1">
      <alignment horizontal="center" vertical="center"/>
    </xf>
    <xf numFmtId="14" fontId="0" fillId="0" borderId="0" xfId="0" applyNumberFormat="1" applyAlignment="1">
      <alignment horizontal="center" vertical="center"/>
    </xf>
    <xf numFmtId="0" fontId="1" fillId="17" borderId="0" xfId="0" applyFont="1" applyFill="1" applyAlignment="1">
      <alignment horizontal="center" vertical="center"/>
    </xf>
    <xf numFmtId="0" fontId="1" fillId="17" borderId="0" xfId="0" applyFont="1" applyFill="1" applyAlignment="1">
      <alignment horizontal="center" vertical="center" wrapText="1"/>
    </xf>
    <xf numFmtId="0" fontId="6" fillId="11" borderId="0" xfId="0" applyFont="1" applyFill="1" applyAlignment="1">
      <alignment vertical="center"/>
    </xf>
    <xf numFmtId="0" fontId="6" fillId="12" borderId="0" xfId="0" applyFont="1" applyFill="1" applyAlignment="1">
      <alignment vertical="center"/>
    </xf>
    <xf numFmtId="0" fontId="6" fillId="10" borderId="0" xfId="0" applyFont="1" applyFill="1" applyAlignment="1">
      <alignment vertical="center"/>
    </xf>
    <xf numFmtId="0" fontId="6" fillId="13" borderId="0" xfId="0" applyFont="1" applyFill="1" applyAlignment="1">
      <alignment vertical="center"/>
    </xf>
    <xf numFmtId="0" fontId="6" fillId="14" borderId="0" xfId="0" applyFont="1" applyFill="1" applyAlignment="1">
      <alignment vertical="center"/>
    </xf>
    <xf numFmtId="0" fontId="6" fillId="15" borderId="0" xfId="0" applyFont="1" applyFill="1" applyAlignment="1">
      <alignment vertical="center"/>
    </xf>
    <xf numFmtId="1" fontId="0" fillId="0" borderId="0" xfId="0" applyNumberFormat="1" applyAlignment="1">
      <alignment horizontal="center" vertical="center"/>
    </xf>
    <xf numFmtId="0" fontId="1" fillId="17" borderId="14" xfId="0" applyFont="1" applyFill="1" applyBorder="1" applyAlignment="1">
      <alignment horizontal="center" vertical="center" wrapText="1"/>
    </xf>
    <xf numFmtId="0" fontId="1" fillId="18" borderId="13" xfId="0" applyFont="1" applyFill="1" applyBorder="1" applyAlignment="1">
      <alignment horizontal="center" vertical="center"/>
    </xf>
    <xf numFmtId="0" fontId="1" fillId="18" borderId="14" xfId="0" applyFont="1" applyFill="1" applyBorder="1" applyAlignment="1">
      <alignment horizontal="center" vertical="center"/>
    </xf>
    <xf numFmtId="0" fontId="1" fillId="18" borderId="14" xfId="0" applyFont="1" applyFill="1" applyBorder="1" applyAlignment="1">
      <alignment horizontal="center" vertical="center" wrapText="1"/>
    </xf>
    <xf numFmtId="0" fontId="1" fillId="18" borderId="15" xfId="0" applyFont="1" applyFill="1" applyBorder="1" applyAlignment="1">
      <alignment horizontal="center" vertical="center"/>
    </xf>
    <xf numFmtId="14" fontId="0" fillId="0" borderId="0" xfId="0" applyNumberFormat="1"/>
    <xf numFmtId="0" fontId="17" fillId="0" borderId="0" xfId="0" applyFont="1" applyAlignment="1">
      <alignment vertical="center"/>
    </xf>
    <xf numFmtId="0" fontId="6" fillId="0" borderId="0" xfId="0" applyFont="1" applyAlignment="1">
      <alignment vertical="center"/>
    </xf>
    <xf numFmtId="0" fontId="18" fillId="0" borderId="0" xfId="0" applyFont="1" applyAlignment="1">
      <alignment vertical="center"/>
    </xf>
    <xf numFmtId="0" fontId="1" fillId="17" borderId="0" xfId="0" applyFont="1" applyFill="1" applyAlignment="1">
      <alignment horizontal="center" vertical="center" textRotation="90"/>
    </xf>
    <xf numFmtId="0" fontId="1" fillId="19" borderId="13" xfId="0" applyFont="1" applyFill="1" applyBorder="1" applyAlignment="1">
      <alignment horizontal="center" vertical="center"/>
    </xf>
    <xf numFmtId="0" fontId="1" fillId="19" borderId="13" xfId="0" applyFont="1" applyFill="1" applyBorder="1" applyAlignment="1">
      <alignment horizontal="center" vertical="center" wrapText="1"/>
    </xf>
    <xf numFmtId="0" fontId="1" fillId="19" borderId="14" xfId="0" applyFont="1" applyFill="1" applyBorder="1" applyAlignment="1">
      <alignment horizontal="center" vertical="center"/>
    </xf>
    <xf numFmtId="0" fontId="1" fillId="19" borderId="14" xfId="0" applyFont="1" applyFill="1" applyBorder="1" applyAlignment="1">
      <alignment horizontal="center" vertical="center" wrapText="1"/>
    </xf>
    <xf numFmtId="0" fontId="1" fillId="19" borderId="15" xfId="0" applyFont="1" applyFill="1" applyBorder="1" applyAlignment="1">
      <alignment horizontal="center" vertical="center"/>
    </xf>
    <xf numFmtId="0" fontId="20" fillId="0" borderId="0" xfId="2" applyFont="1"/>
    <xf numFmtId="0" fontId="21" fillId="0" borderId="0" xfId="2" applyFont="1"/>
    <xf numFmtId="0" fontId="22" fillId="0" borderId="0" xfId="2" applyFont="1"/>
    <xf numFmtId="0" fontId="22" fillId="20" borderId="20" xfId="2" applyFont="1" applyFill="1" applyBorder="1" applyAlignment="1">
      <alignment horizontal="right" vertical="center" wrapText="1"/>
    </xf>
    <xf numFmtId="0" fontId="22" fillId="20" borderId="21" xfId="2" applyFont="1" applyFill="1" applyBorder="1" applyAlignment="1">
      <alignment vertical="center" wrapText="1"/>
    </xf>
    <xf numFmtId="0" fontId="22" fillId="20" borderId="22" xfId="2" applyFont="1" applyFill="1" applyBorder="1" applyAlignment="1">
      <alignment vertical="center" wrapText="1"/>
    </xf>
    <xf numFmtId="0" fontId="22" fillId="20" borderId="10" xfId="2" applyFont="1" applyFill="1" applyBorder="1" applyAlignment="1">
      <alignment vertical="center" wrapText="1"/>
    </xf>
    <xf numFmtId="0" fontId="20" fillId="0" borderId="0" xfId="2" applyFont="1" applyAlignment="1">
      <alignment vertical="top" wrapText="1"/>
    </xf>
    <xf numFmtId="0" fontId="20" fillId="0" borderId="8" xfId="2" applyFont="1" applyBorder="1"/>
    <xf numFmtId="0" fontId="4" fillId="6" borderId="0" xfId="0" applyFont="1" applyFill="1" applyAlignment="1">
      <alignment vertical="center"/>
    </xf>
    <xf numFmtId="0" fontId="0" fillId="6" borderId="0" xfId="0" applyFill="1"/>
    <xf numFmtId="0" fontId="5" fillId="6" borderId="0" xfId="0" applyFont="1" applyFill="1"/>
    <xf numFmtId="0" fontId="0" fillId="5" borderId="0" xfId="0" applyFill="1"/>
    <xf numFmtId="0" fontId="14" fillId="0" borderId="16" xfId="0" applyFont="1" applyBorder="1" applyAlignment="1">
      <alignment vertical="center"/>
    </xf>
    <xf numFmtId="0" fontId="16" fillId="0" borderId="0" xfId="0" applyFont="1"/>
    <xf numFmtId="0" fontId="1" fillId="17" borderId="16" xfId="0" applyFont="1" applyFill="1" applyBorder="1" applyAlignment="1">
      <alignment horizontal="center" vertical="center"/>
    </xf>
    <xf numFmtId="0" fontId="1" fillId="17" borderId="16" xfId="0" applyFont="1" applyFill="1" applyBorder="1" applyAlignment="1">
      <alignment horizontal="center" vertical="center" wrapText="1"/>
    </xf>
    <xf numFmtId="0" fontId="1" fillId="17" borderId="23" xfId="0" applyFont="1" applyFill="1" applyBorder="1" applyAlignment="1">
      <alignment horizontal="center" vertical="center" wrapText="1"/>
    </xf>
    <xf numFmtId="0" fontId="1" fillId="17" borderId="23" xfId="0" applyFont="1" applyFill="1" applyBorder="1" applyAlignment="1">
      <alignment horizontal="center" vertical="center"/>
    </xf>
    <xf numFmtId="0" fontId="1" fillId="17" borderId="16" xfId="0" applyFont="1" applyFill="1" applyBorder="1" applyAlignment="1">
      <alignment horizontal="center" wrapText="1"/>
    </xf>
    <xf numFmtId="0" fontId="23" fillId="0" borderId="0" xfId="0" applyFont="1" applyAlignment="1">
      <alignment vertical="center"/>
    </xf>
    <xf numFmtId="0" fontId="25" fillId="0" borderId="0" xfId="2" applyFont="1" applyAlignment="1">
      <alignment vertical="center"/>
    </xf>
    <xf numFmtId="0" fontId="25" fillId="0" borderId="8" xfId="2" applyFont="1" applyBorder="1" applyAlignment="1">
      <alignment vertical="center"/>
    </xf>
    <xf numFmtId="0" fontId="0" fillId="0" borderId="0" xfId="0" applyAlignment="1">
      <alignment horizontal="center" vertical="center" wrapText="1"/>
    </xf>
    <xf numFmtId="0" fontId="0" fillId="0" borderId="24" xfId="0" applyBorder="1" applyAlignment="1">
      <alignment vertical="center"/>
    </xf>
    <xf numFmtId="0" fontId="0" fillId="0" borderId="0" xfId="0" applyAlignment="1">
      <alignment vertical="center"/>
    </xf>
    <xf numFmtId="0" fontId="1" fillId="23" borderId="0" xfId="0" applyFont="1" applyFill="1" applyAlignment="1">
      <alignment horizontal="center" vertical="center" wrapText="1"/>
    </xf>
    <xf numFmtId="0" fontId="1" fillId="23" borderId="12" xfId="0" applyFont="1" applyFill="1" applyBorder="1" applyAlignment="1">
      <alignment horizontal="center" vertical="center" wrapText="1"/>
    </xf>
    <xf numFmtId="0" fontId="3" fillId="0" borderId="0" xfId="1" applyFont="1" applyFill="1" applyAlignment="1">
      <alignment horizontal="center" vertical="center"/>
    </xf>
    <xf numFmtId="0" fontId="0" fillId="0" borderId="8" xfId="0" applyBorder="1" applyAlignment="1">
      <alignment horizontal="center" vertical="center"/>
    </xf>
    <xf numFmtId="0" fontId="0" fillId="0" borderId="0" xfId="0" applyAlignment="1">
      <alignment horizontal="center"/>
    </xf>
    <xf numFmtId="0" fontId="0" fillId="0" borderId="7" xfId="0" applyBorder="1" applyAlignment="1">
      <alignment vertical="center" wrapText="1"/>
    </xf>
    <xf numFmtId="0" fontId="0" fillId="0" borderId="8" xfId="0" applyBorder="1" applyAlignment="1">
      <alignment vertical="center"/>
    </xf>
    <xf numFmtId="14" fontId="0" fillId="0" borderId="8" xfId="0" applyNumberFormat="1" applyBorder="1" applyAlignment="1">
      <alignment horizontal="center" vertical="center"/>
    </xf>
    <xf numFmtId="0" fontId="0" fillId="0" borderId="9" xfId="0" applyBorder="1" applyAlignment="1">
      <alignment horizontal="center" vertical="center"/>
    </xf>
    <xf numFmtId="0" fontId="16" fillId="13" borderId="25" xfId="0" applyFont="1" applyFill="1" applyBorder="1" applyAlignment="1">
      <alignment horizontal="center" vertical="center"/>
    </xf>
    <xf numFmtId="0" fontId="16" fillId="13" borderId="12" xfId="0" applyFont="1" applyFill="1" applyBorder="1" applyAlignment="1">
      <alignment horizontal="center" vertical="center" wrapText="1"/>
    </xf>
    <xf numFmtId="0" fontId="16" fillId="24" borderId="12" xfId="0" applyFont="1" applyFill="1" applyBorder="1" applyAlignment="1">
      <alignment horizontal="center" vertical="center"/>
    </xf>
    <xf numFmtId="0" fontId="16" fillId="24" borderId="12" xfId="0" applyFont="1" applyFill="1" applyBorder="1" applyAlignment="1">
      <alignment horizontal="center" vertical="center" wrapText="1"/>
    </xf>
    <xf numFmtId="0" fontId="16" fillId="25" borderId="12" xfId="0" applyFont="1" applyFill="1" applyBorder="1" applyAlignment="1">
      <alignment horizontal="center" vertical="center" wrapText="1"/>
    </xf>
    <xf numFmtId="0" fontId="16" fillId="25" borderId="12" xfId="0" applyFont="1" applyFill="1" applyBorder="1" applyAlignment="1">
      <alignment horizontal="center" vertical="center"/>
    </xf>
    <xf numFmtId="0" fontId="1" fillId="26" borderId="12" xfId="0" applyFont="1" applyFill="1" applyBorder="1" applyAlignment="1">
      <alignment horizontal="center" vertical="center" wrapText="1"/>
    </xf>
    <xf numFmtId="0" fontId="16" fillId="13" borderId="12" xfId="0" applyFont="1" applyFill="1" applyBorder="1" applyAlignment="1">
      <alignment horizontal="center" vertical="center"/>
    </xf>
    <xf numFmtId="0" fontId="16" fillId="13" borderId="26" xfId="0" applyFont="1" applyFill="1" applyBorder="1" applyAlignment="1">
      <alignment horizontal="center" vertical="center"/>
    </xf>
    <xf numFmtId="0" fontId="1" fillId="22" borderId="0" xfId="0" applyFont="1" applyFill="1" applyAlignment="1">
      <alignment horizontal="center" vertical="center"/>
    </xf>
    <xf numFmtId="0" fontId="28" fillId="0" borderId="0" xfId="0" applyFont="1" applyAlignment="1">
      <alignment vertical="center"/>
    </xf>
    <xf numFmtId="0" fontId="29" fillId="0" borderId="0" xfId="0" applyFont="1" applyAlignment="1">
      <alignment horizontal="left" vertical="center"/>
    </xf>
    <xf numFmtId="0" fontId="1" fillId="18" borderId="13" xfId="0" applyFont="1" applyFill="1" applyBorder="1" applyAlignment="1">
      <alignment horizontal="left" vertical="center"/>
    </xf>
    <xf numFmtId="0" fontId="31" fillId="13" borderId="32" xfId="0" applyFont="1" applyFill="1" applyBorder="1" applyAlignment="1">
      <alignment vertical="center"/>
    </xf>
    <xf numFmtId="0" fontId="31" fillId="13" borderId="32" xfId="0" applyFont="1" applyFill="1" applyBorder="1" applyAlignment="1">
      <alignment vertical="center" wrapText="1"/>
    </xf>
    <xf numFmtId="0" fontId="0" fillId="0" borderId="0" xfId="0" applyAlignment="1">
      <alignment horizontal="left" vertical="center" wrapText="1"/>
    </xf>
    <xf numFmtId="0" fontId="0" fillId="0" borderId="26"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horizontal="center" vertical="center" textRotation="90"/>
    </xf>
    <xf numFmtId="0" fontId="0" fillId="28" borderId="12" xfId="0" applyFill="1" applyBorder="1" applyAlignment="1">
      <alignment horizontal="center" vertical="center" textRotation="90"/>
    </xf>
    <xf numFmtId="0" fontId="0" fillId="28" borderId="12" xfId="0" applyFill="1" applyBorder="1" applyAlignment="1">
      <alignment horizontal="center" vertical="center" wrapText="1"/>
    </xf>
    <xf numFmtId="0" fontId="0" fillId="28" borderId="12" xfId="0" applyFill="1" applyBorder="1" applyAlignment="1">
      <alignment horizontal="center" vertical="center"/>
    </xf>
    <xf numFmtId="0" fontId="0" fillId="28" borderId="25" xfId="0" applyFill="1" applyBorder="1" applyAlignment="1">
      <alignment horizontal="center" vertical="center"/>
    </xf>
    <xf numFmtId="0" fontId="35" fillId="0" borderId="0" xfId="0" applyFont="1" applyAlignment="1">
      <alignment horizontal="center" vertical="center" wrapText="1"/>
    </xf>
    <xf numFmtId="0" fontId="0" fillId="0" borderId="26" xfId="0" applyBorder="1" applyAlignment="1">
      <alignment horizontal="center" vertical="center" wrapText="1"/>
    </xf>
    <xf numFmtId="164" fontId="36" fillId="0" borderId="33" xfId="0" applyNumberFormat="1" applyFont="1" applyBorder="1" applyAlignment="1">
      <alignment horizontal="center" vertical="center"/>
    </xf>
    <xf numFmtId="0" fontId="36" fillId="0" borderId="10" xfId="0" applyFont="1" applyBorder="1" applyAlignment="1">
      <alignment horizontal="center" vertical="center"/>
    </xf>
    <xf numFmtId="0" fontId="36" fillId="0" borderId="10" xfId="0" applyFont="1" applyBorder="1" applyAlignment="1">
      <alignment horizontal="center" vertical="center" wrapText="1"/>
    </xf>
    <xf numFmtId="0" fontId="36" fillId="0" borderId="0" xfId="0" applyFont="1" applyAlignment="1">
      <alignment horizontal="center" vertical="center"/>
    </xf>
    <xf numFmtId="165" fontId="36" fillId="0" borderId="10" xfId="0" applyNumberFormat="1" applyFont="1" applyBorder="1" applyAlignment="1">
      <alignment horizontal="center" vertical="center"/>
    </xf>
    <xf numFmtId="167" fontId="36" fillId="0" borderId="10" xfId="3" applyNumberFormat="1" applyFont="1" applyBorder="1" applyAlignment="1" applyProtection="1">
      <alignment horizontal="center" vertical="center"/>
    </xf>
    <xf numFmtId="0" fontId="36" fillId="0" borderId="10" xfId="3" applyNumberFormat="1" applyFont="1" applyBorder="1" applyAlignment="1" applyProtection="1">
      <alignment horizontal="center" vertical="center"/>
    </xf>
    <xf numFmtId="0" fontId="37" fillId="0" borderId="0" xfId="0" applyFont="1" applyAlignment="1">
      <alignment horizontal="center" vertical="center"/>
    </xf>
    <xf numFmtId="164" fontId="36" fillId="0" borderId="0" xfId="0" applyNumberFormat="1" applyFont="1" applyAlignment="1">
      <alignment horizontal="center" vertical="center"/>
    </xf>
    <xf numFmtId="0" fontId="36" fillId="0" borderId="0" xfId="0" applyFont="1" applyAlignment="1">
      <alignment horizontal="center" vertical="center" wrapText="1"/>
    </xf>
    <xf numFmtId="165" fontId="36" fillId="0" borderId="0" xfId="0" applyNumberFormat="1" applyFont="1" applyAlignment="1">
      <alignment horizontal="center" vertical="center"/>
    </xf>
    <xf numFmtId="0" fontId="36" fillId="0" borderId="0" xfId="3" applyNumberFormat="1" applyFont="1" applyAlignment="1" applyProtection="1">
      <alignment horizontal="center" vertical="center"/>
    </xf>
    <xf numFmtId="0" fontId="36" fillId="0" borderId="19" xfId="3" applyNumberFormat="1" applyFont="1" applyBorder="1" applyAlignment="1" applyProtection="1">
      <alignment horizontal="center" vertical="center"/>
    </xf>
    <xf numFmtId="0" fontId="36" fillId="0" borderId="1" xfId="0" applyFont="1" applyBorder="1" applyAlignment="1">
      <alignment horizontal="center" vertical="center"/>
    </xf>
    <xf numFmtId="0" fontId="36" fillId="0" borderId="0" xfId="3" applyNumberFormat="1" applyFont="1" applyFill="1" applyBorder="1" applyAlignment="1" applyProtection="1">
      <alignment horizontal="center" vertical="center"/>
    </xf>
    <xf numFmtId="0" fontId="36" fillId="0" borderId="19" xfId="3" applyNumberFormat="1" applyFont="1" applyFill="1" applyBorder="1" applyAlignment="1" applyProtection="1">
      <alignment horizontal="center" vertical="center"/>
    </xf>
    <xf numFmtId="0" fontId="36" fillId="29" borderId="10" xfId="0" applyFont="1" applyFill="1" applyBorder="1" applyAlignment="1">
      <alignment horizontal="center" vertical="center"/>
    </xf>
    <xf numFmtId="0" fontId="36" fillId="29" borderId="0" xfId="0" applyFont="1" applyFill="1" applyAlignment="1">
      <alignment horizontal="center" vertical="center"/>
    </xf>
    <xf numFmtId="0" fontId="1" fillId="3" borderId="35" xfId="0" applyFont="1" applyFill="1" applyBorder="1"/>
    <xf numFmtId="0" fontId="36" fillId="29" borderId="10" xfId="3" applyNumberFormat="1" applyFont="1" applyFill="1" applyBorder="1" applyAlignment="1" applyProtection="1">
      <alignment horizontal="center" vertical="center"/>
    </xf>
    <xf numFmtId="0" fontId="36" fillId="29" borderId="34" xfId="0" applyFont="1" applyFill="1" applyBorder="1" applyAlignment="1">
      <alignment horizontal="center" vertical="center"/>
    </xf>
    <xf numFmtId="0" fontId="0" fillId="29" borderId="0" xfId="0" applyFill="1"/>
    <xf numFmtId="0" fontId="0" fillId="29" borderId="0" xfId="0" applyFill="1" applyAlignment="1">
      <alignment horizontal="center" vertical="center"/>
    </xf>
    <xf numFmtId="0" fontId="0" fillId="0" borderId="0" xfId="0" applyFont="1" applyAlignment="1">
      <alignment horizontal="center" vertical="center"/>
    </xf>
    <xf numFmtId="0" fontId="39" fillId="0" borderId="0" xfId="0" applyFont="1" applyAlignment="1">
      <alignment vertical="center"/>
    </xf>
    <xf numFmtId="17" fontId="37" fillId="0" borderId="0" xfId="0" applyNumberFormat="1" applyFont="1" applyAlignment="1">
      <alignment horizontal="center" vertical="center"/>
    </xf>
    <xf numFmtId="0" fontId="6" fillId="11" borderId="0" xfId="0" applyFont="1" applyFill="1" applyAlignment="1">
      <alignment vertical="center" wrapText="1"/>
    </xf>
    <xf numFmtId="0" fontId="0" fillId="0" borderId="0" xfId="0" applyFont="1"/>
    <xf numFmtId="0" fontId="0" fillId="0" borderId="0" xfId="0" applyFont="1" applyAlignment="1">
      <alignment horizontal="center" vertical="center" wrapText="1"/>
    </xf>
    <xf numFmtId="0" fontId="41" fillId="0" borderId="30" xfId="0" applyFont="1" applyBorder="1" applyAlignment="1">
      <alignment horizontal="center" vertical="center" wrapText="1"/>
    </xf>
    <xf numFmtId="0" fontId="40" fillId="0" borderId="30" xfId="0" applyFont="1" applyBorder="1" applyAlignment="1">
      <alignment horizontal="center" vertical="center" wrapText="1"/>
    </xf>
    <xf numFmtId="0" fontId="40" fillId="24" borderId="30" xfId="0" applyFont="1" applyFill="1" applyBorder="1" applyAlignment="1">
      <alignment vertical="center" wrapText="1"/>
    </xf>
    <xf numFmtId="0" fontId="40" fillId="24" borderId="0" xfId="0" applyFont="1" applyFill="1" applyAlignment="1">
      <alignment vertical="center" wrapText="1"/>
    </xf>
    <xf numFmtId="164" fontId="0" fillId="0" borderId="0" xfId="0" applyNumberFormat="1" applyFont="1" applyAlignment="1">
      <alignment horizontal="center" vertical="center"/>
    </xf>
    <xf numFmtId="0" fontId="0" fillId="21" borderId="0" xfId="0" applyFont="1" applyFill="1" applyAlignment="1">
      <alignment vertical="center"/>
    </xf>
    <xf numFmtId="165" fontId="0" fillId="0" borderId="0" xfId="0" applyNumberFormat="1" applyFont="1" applyAlignment="1">
      <alignment horizontal="center" vertical="center"/>
    </xf>
    <xf numFmtId="0" fontId="41" fillId="0" borderId="0" xfId="0" applyFont="1" applyAlignment="1">
      <alignment horizontal="center" vertical="center" textRotation="90" wrapText="1"/>
    </xf>
    <xf numFmtId="0" fontId="0" fillId="17" borderId="0" xfId="0" applyFont="1" applyFill="1" applyAlignment="1">
      <alignment horizontal="center" vertical="center"/>
    </xf>
    <xf numFmtId="0" fontId="0" fillId="17" borderId="0" xfId="0" applyFont="1" applyFill="1" applyAlignment="1">
      <alignment horizontal="center" vertical="center" wrapText="1"/>
    </xf>
    <xf numFmtId="0" fontId="0" fillId="17" borderId="0" xfId="0" applyFont="1" applyFill="1" applyAlignment="1">
      <alignment horizontal="left" vertical="center"/>
    </xf>
    <xf numFmtId="0" fontId="1" fillId="13" borderId="32" xfId="0" applyFont="1" applyFill="1" applyBorder="1" applyAlignment="1">
      <alignment vertical="center" wrapText="1"/>
    </xf>
    <xf numFmtId="14" fontId="0" fillId="0" borderId="0" xfId="0" applyNumberFormat="1" applyFont="1"/>
    <xf numFmtId="164" fontId="0" fillId="0" borderId="0" xfId="0" applyNumberFormat="1" applyFill="1" applyAlignment="1">
      <alignment horizontal="center" vertical="center"/>
    </xf>
    <xf numFmtId="0" fontId="0" fillId="0" borderId="0" xfId="0" applyFill="1" applyAlignment="1">
      <alignment horizontal="center" vertical="center"/>
    </xf>
    <xf numFmtId="165" fontId="0" fillId="0" borderId="0" xfId="0" applyNumberFormat="1" applyFill="1" applyAlignment="1">
      <alignment horizontal="center" vertical="center"/>
    </xf>
    <xf numFmtId="0" fontId="0" fillId="29" borderId="0" xfId="0" applyNumberFormat="1" applyFill="1" applyAlignment="1">
      <alignment horizontal="center" vertical="center"/>
    </xf>
    <xf numFmtId="0" fontId="0" fillId="0" borderId="0" xfId="0" applyNumberFormat="1" applyFill="1" applyAlignment="1">
      <alignment horizontal="center" vertical="center"/>
    </xf>
    <xf numFmtId="164" fontId="0" fillId="5" borderId="0" xfId="0" applyNumberFormat="1" applyFill="1" applyAlignment="1">
      <alignment horizontal="center" vertical="center"/>
    </xf>
    <xf numFmtId="0" fontId="0" fillId="5" borderId="0" xfId="0" applyFill="1" applyAlignment="1">
      <alignment horizontal="center" vertical="center"/>
    </xf>
    <xf numFmtId="165" fontId="0" fillId="5" borderId="0" xfId="0" applyNumberFormat="1" applyFill="1" applyAlignment="1">
      <alignment horizontal="center" vertical="center"/>
    </xf>
    <xf numFmtId="0" fontId="0" fillId="5" borderId="0" xfId="0" applyNumberFormat="1" applyFill="1" applyAlignment="1">
      <alignment horizontal="center" vertical="center"/>
    </xf>
    <xf numFmtId="0" fontId="37" fillId="0" borderId="0" xfId="0" applyFont="1" applyAlignment="1" applyProtection="1">
      <alignment horizontal="center" vertical="center"/>
    </xf>
    <xf numFmtId="0" fontId="37" fillId="0" borderId="0" xfId="0" applyFont="1" applyAlignment="1" applyProtection="1">
      <alignment horizontal="center" vertical="center" wrapText="1"/>
    </xf>
    <xf numFmtId="0" fontId="37" fillId="29" borderId="0" xfId="0" applyNumberFormat="1" applyFont="1" applyFill="1" applyAlignment="1" applyProtection="1">
      <alignment horizontal="center" vertical="center"/>
    </xf>
    <xf numFmtId="0" fontId="37" fillId="0" borderId="0" xfId="0" applyNumberFormat="1" applyFont="1" applyAlignment="1" applyProtection="1">
      <alignment horizontal="center" vertical="center"/>
    </xf>
    <xf numFmtId="165" fontId="37" fillId="0" borderId="0" xfId="0" applyNumberFormat="1" applyFont="1" applyAlignment="1" applyProtection="1">
      <alignment horizontal="center" vertical="center"/>
    </xf>
    <xf numFmtId="165" fontId="37" fillId="0" borderId="19" xfId="0" applyNumberFormat="1" applyFont="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37" fillId="29" borderId="19" xfId="0" applyNumberFormat="1" applyFont="1" applyFill="1" applyBorder="1" applyAlignment="1" applyProtection="1">
      <alignment horizontal="center" vertical="center"/>
    </xf>
    <xf numFmtId="0" fontId="37" fillId="0" borderId="0" xfId="3" applyNumberFormat="1" applyFont="1" applyAlignment="1" applyProtection="1">
      <alignment horizontal="center" vertical="center"/>
    </xf>
    <xf numFmtId="0" fontId="37" fillId="0" borderId="19" xfId="3" applyNumberFormat="1" applyFont="1" applyBorder="1" applyAlignment="1" applyProtection="1">
      <alignment horizontal="center" vertical="center"/>
    </xf>
    <xf numFmtId="0" fontId="37" fillId="29" borderId="0" xfId="3" applyNumberFormat="1" applyFont="1" applyFill="1" applyAlignment="1" applyProtection="1">
      <alignment horizontal="center" vertical="center"/>
    </xf>
    <xf numFmtId="0" fontId="37" fillId="0" borderId="1" xfId="0" applyFont="1" applyBorder="1" applyAlignment="1" applyProtection="1">
      <alignment horizontal="center" vertical="center"/>
    </xf>
    <xf numFmtId="0" fontId="0" fillId="29" borderId="10" xfId="0" applyFont="1" applyFill="1" applyBorder="1" applyAlignment="1">
      <alignment horizontal="center" vertical="center"/>
    </xf>
    <xf numFmtId="164" fontId="36" fillId="0" borderId="33" xfId="0" applyNumberFormat="1" applyFont="1" applyFill="1" applyBorder="1" applyAlignment="1">
      <alignment horizontal="center" vertical="center"/>
    </xf>
    <xf numFmtId="0" fontId="36" fillId="0" borderId="10" xfId="0" applyFont="1" applyFill="1" applyBorder="1" applyAlignment="1">
      <alignment horizontal="center" vertical="center"/>
    </xf>
    <xf numFmtId="0" fontId="36" fillId="0" borderId="0" xfId="0" applyFont="1" applyFill="1" applyAlignment="1">
      <alignment horizontal="center" vertical="center"/>
    </xf>
    <xf numFmtId="0" fontId="36" fillId="0" borderId="0" xfId="0" applyFont="1" applyFill="1" applyAlignment="1">
      <alignment horizontal="center" vertical="center" wrapText="1"/>
    </xf>
    <xf numFmtId="165" fontId="36" fillId="0" borderId="0" xfId="0" applyNumberFormat="1" applyFont="1" applyFill="1" applyAlignment="1">
      <alignment horizontal="center" vertical="center"/>
    </xf>
    <xf numFmtId="0" fontId="36" fillId="0" borderId="10" xfId="0" applyFont="1" applyFill="1" applyBorder="1" applyAlignment="1">
      <alignment horizontal="center" vertical="center" wrapText="1"/>
    </xf>
    <xf numFmtId="165" fontId="36" fillId="0" borderId="10" xfId="0" applyNumberFormat="1" applyFont="1" applyFill="1" applyBorder="1" applyAlignment="1">
      <alignment horizontal="center" vertical="center"/>
    </xf>
    <xf numFmtId="167" fontId="36" fillId="0" borderId="10" xfId="3" applyNumberFormat="1" applyFont="1" applyFill="1" applyBorder="1" applyAlignment="1" applyProtection="1">
      <alignment horizontal="center" vertical="center"/>
    </xf>
    <xf numFmtId="0" fontId="36" fillId="0" borderId="0" xfId="3" applyNumberFormat="1" applyFont="1" applyFill="1" applyAlignment="1" applyProtection="1">
      <alignment horizontal="center" vertical="center"/>
    </xf>
    <xf numFmtId="0" fontId="36" fillId="0" borderId="1" xfId="0" applyFont="1" applyFill="1" applyBorder="1" applyAlignment="1">
      <alignment horizontal="center" vertical="center"/>
    </xf>
    <xf numFmtId="0" fontId="0" fillId="0" borderId="10" xfId="0" applyFont="1" applyFill="1" applyBorder="1" applyAlignment="1">
      <alignment horizontal="center" vertical="center"/>
    </xf>
    <xf numFmtId="0" fontId="37" fillId="0" borderId="0" xfId="0" applyFont="1" applyFill="1" applyAlignment="1">
      <alignment horizontal="center" vertical="center"/>
    </xf>
    <xf numFmtId="0" fontId="0" fillId="0" borderId="0" xfId="0" applyFill="1"/>
    <xf numFmtId="0" fontId="36" fillId="0" borderId="0" xfId="0" applyFont="1" applyAlignment="1" applyProtection="1">
      <alignment horizontal="center" vertical="center"/>
    </xf>
    <xf numFmtId="0" fontId="36" fillId="0" borderId="0" xfId="0" applyFont="1" applyAlignment="1" applyProtection="1">
      <alignment horizontal="center" vertical="center" wrapText="1"/>
    </xf>
    <xf numFmtId="0" fontId="37" fillId="0" borderId="0" xfId="0" applyNumberFormat="1" applyFont="1" applyFill="1" applyAlignment="1" applyProtection="1">
      <alignment horizontal="center" vertical="center"/>
    </xf>
    <xf numFmtId="0" fontId="36" fillId="0" borderId="1" xfId="0" applyFont="1" applyFill="1" applyBorder="1" applyAlignment="1" applyProtection="1">
      <alignment horizontal="center" vertical="center" wrapText="1"/>
    </xf>
    <xf numFmtId="165" fontId="36" fillId="0" borderId="19" xfId="0" applyNumberFormat="1" applyFont="1" applyBorder="1" applyAlignment="1" applyProtection="1">
      <alignment horizontal="center" vertical="center"/>
    </xf>
    <xf numFmtId="0" fontId="37" fillId="0" borderId="0" xfId="0" applyFont="1" applyFill="1" applyAlignment="1" applyProtection="1">
      <alignment horizontal="center" vertical="center"/>
    </xf>
    <xf numFmtId="0" fontId="36" fillId="0" borderId="0" xfId="0" applyFont="1" applyFill="1" applyAlignment="1" applyProtection="1">
      <alignment horizontal="center" vertical="center"/>
    </xf>
    <xf numFmtId="0" fontId="36" fillId="0" borderId="0" xfId="0" applyFont="1" applyFill="1" applyAlignment="1" applyProtection="1">
      <alignment horizontal="center" vertical="center" wrapText="1"/>
    </xf>
    <xf numFmtId="165" fontId="37" fillId="0" borderId="0" xfId="0" applyNumberFormat="1" applyFont="1" applyFill="1" applyAlignment="1" applyProtection="1">
      <alignment horizontal="center" vertical="center"/>
    </xf>
    <xf numFmtId="165" fontId="37" fillId="0" borderId="19" xfId="0" applyNumberFormat="1" applyFont="1" applyFill="1" applyBorder="1" applyAlignment="1" applyProtection="1">
      <alignment horizontal="center" vertical="center"/>
    </xf>
    <xf numFmtId="0" fontId="37" fillId="0" borderId="19" xfId="0" applyNumberFormat="1" applyFont="1" applyFill="1" applyBorder="1" applyAlignment="1" applyProtection="1">
      <alignment horizontal="center" vertical="center"/>
    </xf>
    <xf numFmtId="0" fontId="37" fillId="0" borderId="0" xfId="3" applyNumberFormat="1" applyFont="1" applyFill="1" applyAlignment="1" applyProtection="1">
      <alignment horizontal="center" vertical="center"/>
    </xf>
    <xf numFmtId="0" fontId="37" fillId="0" borderId="19" xfId="3" applyNumberFormat="1"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164" fontId="0" fillId="0" borderId="29" xfId="0" applyNumberFormat="1" applyFont="1" applyBorder="1" applyAlignment="1">
      <alignment horizontal="center" vertical="center"/>
    </xf>
    <xf numFmtId="164" fontId="0" fillId="21" borderId="0" xfId="0" applyNumberFormat="1" applyFont="1" applyFill="1" applyAlignment="1">
      <alignment horizontal="center" vertical="center"/>
    </xf>
    <xf numFmtId="0" fontId="0" fillId="0" borderId="0" xfId="0" applyFont="1" applyFill="1" applyAlignment="1">
      <alignment horizontal="center" vertical="center"/>
    </xf>
    <xf numFmtId="0" fontId="0" fillId="0" borderId="0" xfId="0" applyNumberFormat="1" applyAlignment="1">
      <alignment horizontal="center" vertical="center"/>
    </xf>
    <xf numFmtId="0" fontId="0" fillId="2" borderId="0" xfId="0" applyNumberFormat="1" applyFill="1" applyAlignment="1">
      <alignment horizontal="center" vertical="center"/>
    </xf>
    <xf numFmtId="14" fontId="0" fillId="0" borderId="0" xfId="0" applyNumberFormat="1" applyFill="1" applyAlignment="1">
      <alignment horizontal="center" vertical="center"/>
    </xf>
    <xf numFmtId="0" fontId="0" fillId="0" borderId="0" xfId="0" applyNumberFormat="1"/>
    <xf numFmtId="0" fontId="0" fillId="29" borderId="0" xfId="0" applyNumberFormat="1" applyFill="1"/>
    <xf numFmtId="0" fontId="0" fillId="0" borderId="0" xfId="0" applyNumberFormat="1" applyFont="1"/>
    <xf numFmtId="0" fontId="36" fillId="0" borderId="10" xfId="3" applyNumberFormat="1" applyFont="1" applyFill="1" applyBorder="1" applyAlignment="1" applyProtection="1">
      <alignment horizontal="center" vertical="center"/>
    </xf>
    <xf numFmtId="164" fontId="36" fillId="0" borderId="0" xfId="0" applyNumberFormat="1" applyFont="1" applyFill="1" applyAlignment="1">
      <alignment horizontal="center" vertical="center"/>
    </xf>
    <xf numFmtId="0" fontId="37" fillId="0" borderId="0" xfId="0" applyFont="1" applyFill="1" applyAlignment="1" applyProtection="1">
      <alignment horizontal="center" vertical="center" wrapText="1"/>
    </xf>
    <xf numFmtId="0" fontId="34" fillId="0" borderId="36" xfId="4" applyFont="1" applyBorder="1"/>
    <xf numFmtId="0" fontId="47" fillId="0" borderId="36" xfId="4" applyFont="1" applyBorder="1" applyAlignment="1">
      <alignment horizontal="center" vertical="center"/>
    </xf>
    <xf numFmtId="0" fontId="49" fillId="0" borderId="36" xfId="4" applyFont="1" applyBorder="1" applyAlignment="1">
      <alignment horizontal="left" vertical="center"/>
    </xf>
    <xf numFmtId="0" fontId="49" fillId="0" borderId="36" xfId="4" applyFont="1" applyBorder="1" applyAlignment="1">
      <alignment horizontal="center" vertical="center"/>
    </xf>
    <xf numFmtId="0" fontId="49" fillId="0" borderId="36" xfId="4" applyFont="1" applyBorder="1" applyAlignment="1">
      <alignment horizontal="right" vertical="center"/>
    </xf>
    <xf numFmtId="168" fontId="49" fillId="0" borderId="36" xfId="4" applyNumberFormat="1" applyFont="1" applyBorder="1" applyAlignment="1">
      <alignment horizontal="center" vertical="center"/>
    </xf>
    <xf numFmtId="0" fontId="46" fillId="0" borderId="0" xfId="4"/>
    <xf numFmtId="0" fontId="51" fillId="0" borderId="36" xfId="4" applyFont="1" applyBorder="1" applyAlignment="1">
      <alignment horizontal="center" vertical="center"/>
    </xf>
    <xf numFmtId="0" fontId="47" fillId="0" borderId="46" xfId="4" applyFont="1" applyBorder="1" applyAlignment="1">
      <alignment horizontal="center" vertical="center" wrapText="1"/>
    </xf>
    <xf numFmtId="0" fontId="49" fillId="0" borderId="46" xfId="4" applyFont="1" applyBorder="1" applyAlignment="1">
      <alignment horizontal="center" vertical="center" wrapText="1"/>
    </xf>
    <xf numFmtId="0" fontId="49" fillId="0" borderId="46" xfId="4" applyFont="1" applyBorder="1" applyAlignment="1">
      <alignment horizontal="center" vertical="center"/>
    </xf>
    <xf numFmtId="0" fontId="50" fillId="31" borderId="46" xfId="4" applyFont="1" applyFill="1" applyBorder="1" applyAlignment="1">
      <alignment horizontal="center" vertical="center" textRotation="90" wrapText="1"/>
    </xf>
    <xf numFmtId="0" fontId="50" fillId="32" borderId="46" xfId="4" applyFont="1" applyFill="1" applyBorder="1" applyAlignment="1">
      <alignment horizontal="center" vertical="center" textRotation="90" wrapText="1"/>
    </xf>
    <xf numFmtId="0" fontId="46" fillId="0" borderId="8" xfId="4" applyBorder="1"/>
    <xf numFmtId="14" fontId="46" fillId="0" borderId="8" xfId="4" applyNumberFormat="1" applyBorder="1"/>
    <xf numFmtId="168" fontId="49" fillId="0" borderId="8" xfId="4" applyNumberFormat="1" applyFont="1" applyBorder="1"/>
    <xf numFmtId="0" fontId="49" fillId="0" borderId="8" xfId="4" applyFont="1" applyBorder="1" applyAlignment="1">
      <alignment horizontal="center"/>
    </xf>
    <xf numFmtId="0" fontId="46" fillId="5" borderId="8" xfId="4" applyFill="1" applyBorder="1"/>
    <xf numFmtId="0" fontId="49" fillId="0" borderId="8" xfId="4" applyFont="1" applyBorder="1" applyAlignment="1">
      <alignment horizontal="right"/>
    </xf>
    <xf numFmtId="0" fontId="49" fillId="0" borderId="0" xfId="4" applyFont="1" applyAlignment="1">
      <alignment horizontal="right"/>
    </xf>
    <xf numFmtId="168" fontId="49" fillId="0" borderId="0" xfId="4" applyNumberFormat="1" applyFont="1"/>
    <xf numFmtId="0" fontId="49" fillId="0" borderId="0" xfId="4" applyFont="1" applyAlignment="1">
      <alignment horizontal="center"/>
    </xf>
    <xf numFmtId="0" fontId="46" fillId="0" borderId="8" xfId="4" applyFill="1" applyBorder="1"/>
    <xf numFmtId="14" fontId="46" fillId="0" borderId="8" xfId="4" applyNumberFormat="1" applyFill="1" applyBorder="1"/>
    <xf numFmtId="0" fontId="46" fillId="0" borderId="10" xfId="4" applyFill="1" applyBorder="1"/>
    <xf numFmtId="14" fontId="46" fillId="0" borderId="10" xfId="4" applyNumberFormat="1" applyFill="1" applyBorder="1"/>
    <xf numFmtId="17" fontId="46" fillId="0" borderId="8" xfId="4" applyNumberFormat="1" applyFill="1" applyBorder="1"/>
    <xf numFmtId="0" fontId="34" fillId="0" borderId="8" xfId="4" applyFont="1" applyFill="1" applyBorder="1"/>
    <xf numFmtId="0" fontId="49" fillId="0" borderId="8" xfId="4" applyFont="1" applyFill="1" applyBorder="1" applyAlignment="1">
      <alignment horizontal="right"/>
    </xf>
    <xf numFmtId="168" fontId="49" fillId="0" borderId="8" xfId="4" applyNumberFormat="1" applyFont="1" applyFill="1" applyBorder="1"/>
    <xf numFmtId="0" fontId="49" fillId="0" borderId="8" xfId="4" applyFont="1" applyFill="1" applyBorder="1" applyAlignment="1">
      <alignment horizontal="center"/>
    </xf>
    <xf numFmtId="0" fontId="49" fillId="0" borderId="10" xfId="4" applyFont="1" applyFill="1" applyBorder="1" applyAlignment="1">
      <alignment horizontal="right"/>
    </xf>
    <xf numFmtId="168" fontId="49" fillId="0" borderId="10" xfId="4" applyNumberFormat="1" applyFont="1" applyFill="1" applyBorder="1"/>
    <xf numFmtId="0" fontId="49" fillId="0" borderId="10" xfId="4" applyFont="1" applyFill="1" applyBorder="1" applyAlignment="1">
      <alignment horizontal="center"/>
    </xf>
    <xf numFmtId="0" fontId="0" fillId="0" borderId="8" xfId="4" applyFont="1" applyFill="1" applyBorder="1"/>
    <xf numFmtId="0" fontId="52" fillId="0" borderId="0" xfId="0" applyFont="1" applyFill="1" applyAlignment="1">
      <alignment horizontal="center" vertical="center"/>
    </xf>
    <xf numFmtId="164" fontId="37" fillId="0" borderId="0" xfId="0" applyNumberFormat="1" applyFont="1" applyAlignment="1" applyProtection="1">
      <alignment horizontal="center" vertical="center"/>
    </xf>
    <xf numFmtId="167" fontId="37" fillId="0" borderId="1" xfId="3" applyNumberFormat="1" applyFont="1" applyBorder="1" applyAlignment="1" applyProtection="1">
      <alignment horizontal="center" vertical="center"/>
    </xf>
    <xf numFmtId="0" fontId="0" fillId="0" borderId="10" xfId="4" applyFont="1" applyFill="1" applyBorder="1"/>
    <xf numFmtId="0" fontId="12" fillId="7" borderId="10" xfId="0" applyFont="1" applyFill="1" applyBorder="1" applyAlignment="1">
      <alignment horizontal="center" vertical="center"/>
    </xf>
    <xf numFmtId="0" fontId="12" fillId="7" borderId="11" xfId="0" applyFont="1" applyFill="1" applyBorder="1" applyAlignment="1">
      <alignment horizontal="center" vertical="center"/>
    </xf>
    <xf numFmtId="0" fontId="12" fillId="7" borderId="12" xfId="0"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3" fillId="5" borderId="0" xfId="0" applyFont="1" applyFill="1" applyAlignment="1">
      <alignment horizontal="center"/>
    </xf>
    <xf numFmtId="0" fontId="6" fillId="15" borderId="0" xfId="0" applyFont="1" applyFill="1" applyAlignment="1">
      <alignment horizontal="center" vertical="center"/>
    </xf>
    <xf numFmtId="0" fontId="6" fillId="10" borderId="0" xfId="0" applyFont="1" applyFill="1" applyAlignment="1">
      <alignment horizontal="center" vertical="center"/>
    </xf>
    <xf numFmtId="0" fontId="6" fillId="14" borderId="0" xfId="0" applyFont="1" applyFill="1" applyAlignment="1">
      <alignment horizontal="center" vertical="center"/>
    </xf>
    <xf numFmtId="0" fontId="14" fillId="17" borderId="0" xfId="0" applyFont="1" applyFill="1" applyAlignment="1">
      <alignment horizontal="center" vertical="center"/>
    </xf>
    <xf numFmtId="0" fontId="6" fillId="11" borderId="0" xfId="0" applyFont="1" applyFill="1" applyAlignment="1">
      <alignment horizontal="center" vertical="center"/>
    </xf>
    <xf numFmtId="0" fontId="6" fillId="12" borderId="0" xfId="0" applyFont="1" applyFill="1" applyAlignment="1">
      <alignment horizontal="center" vertical="center"/>
    </xf>
    <xf numFmtId="0" fontId="6" fillId="13" borderId="0" xfId="0" applyFont="1" applyFill="1" applyAlignment="1">
      <alignment horizontal="center" vertical="center"/>
    </xf>
    <xf numFmtId="0" fontId="30" fillId="27" borderId="7" xfId="0" applyFont="1" applyFill="1" applyBorder="1" applyAlignment="1"/>
    <xf numFmtId="0" fontId="30" fillId="27" borderId="31" xfId="0" applyFont="1" applyFill="1" applyBorder="1" applyAlignment="1"/>
    <xf numFmtId="0" fontId="30" fillId="27" borderId="9" xfId="0" applyFont="1" applyFill="1" applyBorder="1" applyAlignment="1"/>
    <xf numFmtId="0" fontId="43" fillId="27" borderId="7" xfId="0" applyFont="1" applyFill="1" applyBorder="1" applyAlignment="1"/>
    <xf numFmtId="0" fontId="43" fillId="27" borderId="31" xfId="0" applyFont="1" applyFill="1" applyBorder="1" applyAlignment="1"/>
    <xf numFmtId="0" fontId="43" fillId="27" borderId="9" xfId="0" applyFont="1" applyFill="1" applyBorder="1" applyAlignment="1"/>
    <xf numFmtId="0" fontId="42" fillId="5" borderId="31" xfId="0" applyFont="1" applyFill="1" applyBorder="1" applyAlignment="1">
      <alignment wrapText="1"/>
    </xf>
    <xf numFmtId="0" fontId="42" fillId="5" borderId="9" xfId="0" applyFont="1" applyFill="1" applyBorder="1" applyAlignment="1">
      <alignment wrapText="1"/>
    </xf>
    <xf numFmtId="0" fontId="14" fillId="13" borderId="0" xfId="0" applyFont="1" applyFill="1" applyAlignment="1">
      <alignment horizontal="center" vertical="center"/>
    </xf>
    <xf numFmtId="0" fontId="1" fillId="28" borderId="0" xfId="0" applyFont="1" applyFill="1" applyAlignment="1">
      <alignment horizontal="center" vertical="center"/>
    </xf>
    <xf numFmtId="0" fontId="14" fillId="0" borderId="18" xfId="0" applyFont="1" applyBorder="1" applyAlignment="1">
      <alignment horizontal="center" vertical="center"/>
    </xf>
    <xf numFmtId="0" fontId="14" fillId="0" borderId="17" xfId="0" applyFont="1" applyBorder="1" applyAlignment="1">
      <alignment horizontal="center" vertical="center"/>
    </xf>
    <xf numFmtId="0" fontId="1" fillId="17" borderId="16" xfId="0" applyFont="1" applyFill="1" applyBorder="1" applyAlignment="1">
      <alignment horizontal="center"/>
    </xf>
    <xf numFmtId="0" fontId="1" fillId="17" borderId="18" xfId="0" applyFont="1" applyFill="1" applyBorder="1" applyAlignment="1">
      <alignment horizontal="center"/>
    </xf>
    <xf numFmtId="0" fontId="1" fillId="24" borderId="28" xfId="0" applyFont="1" applyFill="1" applyBorder="1" applyAlignment="1">
      <alignment horizontal="center" vertical="center" wrapText="1"/>
    </xf>
    <xf numFmtId="0" fontId="1" fillId="24" borderId="27" xfId="0" applyFont="1" applyFill="1" applyBorder="1" applyAlignment="1">
      <alignment horizontal="center" vertical="center" wrapText="1"/>
    </xf>
    <xf numFmtId="0" fontId="1" fillId="25" borderId="0" xfId="0" applyFont="1" applyFill="1" applyAlignment="1">
      <alignment horizontal="center" vertical="center" wrapText="1"/>
    </xf>
    <xf numFmtId="0" fontId="1" fillId="25" borderId="29" xfId="0" applyFont="1" applyFill="1" applyBorder="1" applyAlignment="1">
      <alignment horizontal="center" vertical="center" wrapText="1"/>
    </xf>
    <xf numFmtId="0" fontId="22" fillId="0" borderId="0" xfId="2" applyFont="1" applyAlignment="1">
      <alignment horizontal="left"/>
    </xf>
    <xf numFmtId="0" fontId="22" fillId="0" borderId="19" xfId="2" applyFont="1" applyBorder="1" applyAlignment="1">
      <alignment horizontal="left"/>
    </xf>
    <xf numFmtId="0" fontId="20" fillId="0" borderId="7" xfId="2" applyFont="1" applyBorder="1" applyAlignment="1">
      <alignment horizontal="center"/>
    </xf>
    <xf numFmtId="0" fontId="20" fillId="0" borderId="9" xfId="2" applyFont="1" applyBorder="1" applyAlignment="1">
      <alignment horizontal="center"/>
    </xf>
    <xf numFmtId="0" fontId="22" fillId="0" borderId="7" xfId="2" applyFont="1" applyBorder="1" applyAlignment="1">
      <alignment horizontal="left"/>
    </xf>
    <xf numFmtId="0" fontId="22" fillId="0" borderId="9" xfId="2" applyFont="1" applyBorder="1" applyAlignment="1">
      <alignment horizontal="left"/>
    </xf>
    <xf numFmtId="0" fontId="47" fillId="30" borderId="37" xfId="4" applyFont="1" applyFill="1" applyBorder="1" applyAlignment="1">
      <alignment horizontal="center" vertical="center"/>
    </xf>
    <xf numFmtId="0" fontId="48" fillId="0" borderId="38" xfId="4" applyFont="1" applyBorder="1"/>
    <xf numFmtId="0" fontId="48" fillId="0" borderId="39" xfId="4" applyFont="1" applyBorder="1"/>
    <xf numFmtId="0" fontId="50" fillId="31" borderId="40" xfId="4" applyFont="1" applyFill="1" applyBorder="1" applyAlignment="1">
      <alignment horizontal="center" vertical="center" wrapText="1"/>
    </xf>
    <xf numFmtId="0" fontId="48" fillId="0" borderId="41" xfId="4" applyFont="1" applyBorder="1"/>
    <xf numFmtId="0" fontId="48" fillId="0" borderId="42" xfId="4" applyFont="1" applyBorder="1"/>
    <xf numFmtId="0" fontId="48" fillId="0" borderId="43" xfId="4" applyFont="1" applyBorder="1"/>
    <xf numFmtId="0" fontId="48" fillId="0" borderId="44" xfId="4" applyFont="1" applyBorder="1"/>
    <xf numFmtId="0" fontId="48" fillId="0" borderId="45" xfId="4" applyFont="1" applyBorder="1"/>
    <xf numFmtId="0" fontId="50" fillId="32" borderId="40" xfId="4" applyFont="1" applyFill="1" applyBorder="1" applyAlignment="1">
      <alignment horizontal="center" vertical="center" wrapText="1"/>
    </xf>
  </cellXfs>
  <cellStyles count="5">
    <cellStyle name="Comma" xfId="3" builtinId="3"/>
    <cellStyle name="Hyperlink" xfId="1" builtinId="8"/>
    <cellStyle name="Normal" xfId="0" builtinId="0"/>
    <cellStyle name="Normal 2" xfId="2" xr:uid="{00000000-0005-0000-0000-000002000000}"/>
    <cellStyle name="Normal 3" xfId="4" xr:uid="{885491D8-7EA4-4E5D-9E38-331DB43186AC}"/>
  </cellStyles>
  <dxfs count="503">
    <dxf>
      <fill>
        <patternFill>
          <bgColor rgb="FFFFFF00"/>
        </patternFill>
      </fill>
    </dxf>
    <dxf>
      <fill>
        <patternFill>
          <bgColor rgb="FFFFFF00"/>
        </patternFill>
      </fill>
    </dxf>
    <dxf>
      <font>
        <color rgb="FF9C0006"/>
      </font>
      <fill>
        <patternFill>
          <bgColor rgb="FFFFFF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0000"/>
        </patternFill>
      </fill>
    </dxf>
    <dxf>
      <font>
        <color rgb="FF9C0006"/>
      </font>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theme="1" tint="0.499984740745262"/>
        </patternFill>
      </fill>
    </dxf>
    <dxf>
      <fill>
        <patternFill>
          <bgColor rgb="FFFF0000"/>
        </patternFill>
      </fil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scheme val="minor"/>
      </font>
      <fill>
        <patternFill patternType="solid">
          <fgColor theme="4"/>
          <bgColor theme="4"/>
        </patternFill>
      </fill>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strike val="0"/>
        <outline val="0"/>
        <shadow val="0"/>
        <u val="none"/>
        <vertAlign val="baseline"/>
        <sz val="11"/>
        <color theme="0"/>
        <name val="Calibri"/>
        <scheme val="minor"/>
      </font>
      <fill>
        <patternFill patternType="solid">
          <fgColor indexed="64"/>
          <bgColor theme="1"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border outline="0">
        <bottom style="thick">
          <color theme="0"/>
        </bottom>
      </border>
    </dxf>
    <dxf>
      <font>
        <b/>
        <i val="0"/>
        <strike val="0"/>
        <condense val="0"/>
        <extend val="0"/>
        <outline val="0"/>
        <shadow val="0"/>
        <u val="none"/>
        <vertAlign val="baseline"/>
        <sz val="11"/>
        <color theme="0"/>
        <name val="Calibri"/>
        <scheme val="minor"/>
      </font>
      <fill>
        <patternFill patternType="solid">
          <fgColor theme="9"/>
          <bgColor rgb="FF002060"/>
        </patternFill>
      </fill>
      <alignment horizontal="center" vertical="center" textRotation="0" wrapText="0" indent="0" justifyLastLine="0" shrinkToFit="0" readingOrder="0"/>
      <border diagonalUp="0" diagonalDown="0" outline="0">
        <left style="thin">
          <color theme="0"/>
        </left>
        <right style="thin">
          <color theme="0"/>
        </right>
        <top/>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165" formatCode="mmm\ \-\ dd\ \-\ yyyy"/>
      <alignment horizontal="center" vertical="center" textRotation="0" wrapText="0" indent="0" justifyLastLine="0" shrinkToFit="0" readingOrder="0"/>
    </dxf>
    <dxf>
      <numFmt numFmtId="165" formatCode="mmm\ \-\ dd\ \-\ yyyy"/>
      <alignment horizontal="center" vertical="center" textRotation="0" wrapText="0" indent="0" justifyLastLine="0" shrinkToFit="0" readingOrder="0"/>
    </dxf>
    <dxf>
      <numFmt numFmtId="165" formatCode="mmm\ \-\ dd\ \-\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indent="0" justifyLastLine="0" shrinkToFit="0" readingOrder="0"/>
    </dxf>
    <dxf>
      <alignment horizontal="center" vertical="center" textRotation="0" indent="0" justifyLastLine="0" shrinkToFit="0" readingOrder="0"/>
    </dxf>
    <dxf>
      <font>
        <b/>
        <strike val="0"/>
        <outline val="0"/>
        <shadow val="0"/>
        <u val="none"/>
        <vertAlign val="baseline"/>
        <sz val="11"/>
        <color theme="0"/>
        <name val="Calibri"/>
        <scheme val="minor"/>
      </font>
      <fill>
        <patternFill>
          <fgColor indexed="64"/>
          <bgColor rgb="FF002060"/>
        </patternFill>
      </fill>
      <alignment horizontal="center" vertical="center" textRotation="0" indent="0" justifyLastLine="0" shrinkToFit="0" readingOrder="0"/>
    </dxf>
    <dxf>
      <font>
        <strike val="0"/>
        <outline val="0"/>
        <shadow val="0"/>
        <u val="none"/>
        <vertAlign val="baseline"/>
        <sz val="10"/>
        <name val="Times New Roman"/>
        <scheme val="none"/>
      </font>
      <numFmt numFmtId="0" formatCode="Genera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border outline="0">
        <left style="thin">
          <color indexed="64"/>
        </left>
      </border>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alignment horizontal="center" vertical="center" indent="0" justifyLastLine="0" shrinkToFit="0" readingOrder="0"/>
      <border outline="0">
        <right style="thin">
          <color indexed="64"/>
        </right>
      </border>
      <protection locked="1" hidden="0"/>
    </dxf>
    <dxf>
      <font>
        <strike val="0"/>
        <outline val="0"/>
        <shadow val="0"/>
        <u val="none"/>
        <vertAlign val="baseline"/>
        <sz val="10"/>
        <name val="Times New Roman"/>
        <scheme val="none"/>
      </font>
      <numFmt numFmtId="0" formatCode="General"/>
      <alignment horizontal="center" vertical="center" indent="0" justifyLastLine="0" shrinkToFit="0" readingOrder="0"/>
      <protection locked="1" hidden="0"/>
    </dxf>
    <dxf>
      <font>
        <strike val="0"/>
        <outline val="0"/>
        <shadow val="0"/>
        <u val="none"/>
        <vertAlign val="baseline"/>
        <sz val="10"/>
        <name val="Times New Roman"/>
        <scheme val="none"/>
      </font>
      <numFmt numFmtId="167" formatCode="_(* #,##0_);_(* \(#,##0\);_(* &quot;-&quot;??_);_(@_)"/>
      <alignment horizontal="center" vertical="center" indent="0" justifyLastLine="0" shrinkToFit="0" readingOrder="0"/>
      <border outline="0">
        <left style="thin">
          <color indexed="64"/>
        </left>
      </border>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border outline="0">
        <right style="thin">
          <color indexed="64"/>
        </right>
      </border>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165" formatCode="mmm\ \-\ dd\ \-\ yyyy"/>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fill>
        <patternFill patternType="none">
          <fgColor indexed="64"/>
          <bgColor auto="1"/>
        </patternFill>
      </fill>
      <alignment horizontal="center" vertical="center" textRotation="0" wrapText="1" indent="0" justifyLastLine="0" shrinkToFit="0" readingOrder="0"/>
      <border outline="0">
        <left style="thin">
          <color indexed="64"/>
        </left>
      </border>
      <protection locked="1" hidden="0"/>
    </dxf>
    <dxf>
      <font>
        <strike val="0"/>
        <outline val="0"/>
        <shadow val="0"/>
        <u val="none"/>
        <vertAlign val="baseline"/>
        <sz val="10"/>
        <name val="Times New Roman"/>
        <scheme val="none"/>
      </font>
      <numFmt numFmtId="0" formatCode="General"/>
      <fill>
        <patternFill patternType="solid">
          <fgColor indexed="64"/>
          <bgColor theme="8" tint="0.59999389629810485"/>
        </patternFill>
      </fill>
      <alignment horizontal="center" vertical="center" indent="0" justifyLastLine="0" shrinkToFit="0" readingOrder="0"/>
      <protection locked="1" hidden="0"/>
    </dxf>
    <dxf>
      <font>
        <strike val="0"/>
        <outline val="0"/>
        <shadow val="0"/>
        <u val="none"/>
        <vertAlign val="baseline"/>
        <sz val="10"/>
        <name val="Times New Roman"/>
        <scheme val="none"/>
      </font>
      <numFmt numFmtId="165" formatCode="mmm\ \-\ dd\ \-\ yyyy"/>
      <alignment horizontal="center" vertical="center" indent="0" justifyLastLine="0" shrinkToFit="0" readingOrder="0"/>
      <border outline="0">
        <right style="thin">
          <color indexed="64"/>
        </right>
      </border>
      <protection locked="1" hidden="0"/>
    </dxf>
    <dxf>
      <font>
        <strike val="0"/>
        <outline val="0"/>
        <shadow val="0"/>
        <u val="none"/>
        <vertAlign val="baseline"/>
        <sz val="10"/>
        <name val="Times New Roman"/>
        <scheme val="none"/>
      </font>
      <numFmt numFmtId="165" formatCode="mmm\ \-\ dd\ \-\ yyyy"/>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textRotation="0" wrapText="1"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numFmt numFmtId="165" formatCode="mmm\ \-\ dd\ \-\ yyyy"/>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alignment horizontal="center" vertical="center" indent="0" justifyLastLine="0" shrinkToFit="0" readingOrder="0"/>
      <protection locked="1" hidden="0"/>
    </dxf>
    <dxf>
      <font>
        <strike val="0"/>
        <outline val="0"/>
        <shadow val="0"/>
        <u val="none"/>
        <vertAlign val="baseline"/>
        <sz val="10"/>
        <name val="Times New Roman"/>
        <scheme val="none"/>
      </font>
      <numFmt numFmtId="0" formatCode="General"/>
      <fill>
        <patternFill patternType="none">
          <fgColor indexed="64"/>
          <bgColor auto="1"/>
        </patternFill>
      </fill>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textRotation="0" wrapText="1"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font>
        <strike val="0"/>
        <outline val="0"/>
        <shadow val="0"/>
        <u val="none"/>
        <vertAlign val="baseline"/>
        <sz val="10"/>
        <name val="Times New Roman"/>
        <scheme val="none"/>
      </font>
      <numFmt numFmtId="164" formatCode="000"/>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numFmt numFmtId="164" formatCode="000"/>
      <alignment horizontal="center" vertical="center" textRotation="0" wrapText="0" indent="0" justifyLastLine="0" shrinkToFit="0" readingOrder="0"/>
      <protection locked="1" hidden="0"/>
    </dxf>
    <dxf>
      <font>
        <strike val="0"/>
        <outline val="0"/>
        <shadow val="0"/>
        <u val="none"/>
        <vertAlign val="baseline"/>
        <sz val="10"/>
        <name val="Times New Roman"/>
        <scheme val="none"/>
      </font>
      <alignment horizontal="center" vertical="center" indent="0" justifyLastLine="0" shrinkToFit="0" readingOrder="0"/>
      <protection locked="1" hidden="0"/>
    </dxf>
    <dxf>
      <alignment horizontal="center" vertical="center" indent="0" justifyLastLine="0" shrinkToFit="0" readingOrder="0"/>
      <protection locked="1" hidden="0"/>
    </dxf>
    <dxf>
      <numFmt numFmtId="0" formatCode="General"/>
    </dxf>
    <dxf>
      <numFmt numFmtId="0" formatCode="General"/>
      <fill>
        <patternFill patternType="solid">
          <fgColor indexed="64"/>
          <bgColor theme="8" tint="0.59999389629810485"/>
        </patternFill>
      </fill>
    </dxf>
    <dxf>
      <numFmt numFmtId="0" formatCode="General"/>
      <fill>
        <patternFill patternType="solid">
          <fgColor indexed="64"/>
          <bgColor theme="8" tint="0.59999389629810485"/>
        </patternFill>
      </fill>
    </dxf>
    <dxf>
      <numFmt numFmtId="0" formatCode="General"/>
      <fill>
        <patternFill patternType="solid">
          <fgColor indexed="64"/>
          <bgColor theme="8" tint="0.59999389629810485"/>
        </patternFill>
      </fill>
    </dxf>
    <dxf>
      <border outline="0">
        <bottom style="thick">
          <color theme="0"/>
        </bottom>
      </border>
    </dxf>
    <dxf>
      <font>
        <b/>
        <i val="0"/>
        <strike val="0"/>
        <condense val="0"/>
        <extend val="0"/>
        <outline val="0"/>
        <shadow val="0"/>
        <u val="none"/>
        <vertAlign val="baseline"/>
        <sz val="11"/>
        <color theme="0"/>
        <name val="Calibri"/>
        <scheme val="minor"/>
      </font>
      <fill>
        <patternFill patternType="solid">
          <fgColor theme="9"/>
          <bgColor rgb="FF002060"/>
        </patternFill>
      </fill>
      <alignment horizontal="center" vertical="center" textRotation="0" wrapText="0" indent="0" justifyLastLine="0" shrinkToFit="0" readingOrder="0"/>
      <border diagonalUp="0" diagonalDown="0" outline="0">
        <left style="thin">
          <color theme="0"/>
        </left>
        <right style="thin">
          <color theme="0"/>
        </right>
        <top/>
        <bottom/>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19" formatCode="m/d/yyyy"/>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fill>
        <patternFill patternType="solid">
          <fgColor indexed="64"/>
          <bgColor rgb="FF002060"/>
        </patternFill>
      </fill>
      <alignment horizontal="center" vertical="center" textRotation="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fill>
        <patternFill patternType="none">
          <fgColor indexed="64"/>
          <bgColor rgb="FF92D050"/>
        </patternFill>
      </fill>
      <alignment horizontal="center" vertical="center" textRotation="0" wrapText="0" indent="0" justifyLastLine="0" shrinkToFit="0" readingOrder="0"/>
    </dxf>
    <dxf>
      <font>
        <strike val="0"/>
        <outline val="0"/>
        <shadow val="0"/>
        <vertAlign val="baseline"/>
        <name val="Calibri"/>
        <family val="2"/>
        <scheme val="minor"/>
      </font>
    </dxf>
    <dxf>
      <font>
        <b val="0"/>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numFmt numFmtId="165" formatCode="mmm\ \-\ dd\ \-\ yyyy"/>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numFmt numFmtId="164" formatCode="000"/>
      <fill>
        <patternFill patternType="solid">
          <fgColor theme="0" tint="-0.14999847407452621"/>
          <bgColor theme="9" tint="0.59999389629810485"/>
        </patternFill>
      </fill>
      <alignment horizontal="center" vertical="center" textRotation="0" wrapText="0" indent="0" justifyLastLine="0" shrinkToFit="0" readingOrder="0"/>
    </dxf>
    <dxf>
      <font>
        <strike val="0"/>
        <outline val="0"/>
        <shadow val="0"/>
        <vertAlign val="baseline"/>
        <name val="Calibri"/>
        <family val="2"/>
        <scheme val="minor"/>
      </font>
      <numFmt numFmtId="164" formatCode="000"/>
      <alignment horizontal="center" vertical="center" textRotation="0" wrapText="0" indent="0" justifyLastLine="0" shrinkToFit="0" readingOrder="0"/>
    </dxf>
    <dxf>
      <font>
        <strike val="0"/>
        <outline val="0"/>
        <shadow val="0"/>
        <vertAlign val="baseline"/>
        <name val="Calibri"/>
        <family val="2"/>
        <scheme val="minor"/>
      </font>
      <numFmt numFmtId="164" formatCode="000"/>
      <alignment horizontal="center" vertical="center" textRotation="0" wrapText="0" indent="0" justifyLastLine="0" shrinkToFit="0" readingOrder="0"/>
      <border outline="0">
        <right style="thin">
          <color theme="1"/>
        </right>
      </border>
    </dxf>
    <dxf>
      <font>
        <strike val="0"/>
        <outline val="0"/>
        <shadow val="0"/>
        <vertAlign val="baseline"/>
        <name val="Calibri"/>
        <family val="2"/>
        <scheme val="minor"/>
      </font>
      <alignment horizontal="center" vertical="center" textRotation="0" wrapText="0" indent="0" justifyLastLine="0" shrinkToFit="0" readingOrder="0"/>
    </dxf>
    <dxf>
      <font>
        <strike val="0"/>
        <outline val="0"/>
        <shadow val="0"/>
        <vertAlign val="baseline"/>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mm\ \-\ dd\ \-\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top style="thin">
          <color indexed="64"/>
        </top>
        <bottom style="thin">
          <color theme="1"/>
        </bottom>
      </border>
    </dxf>
    <dxf>
      <numFmt numFmtId="164" formatCode="000"/>
      <alignment horizontal="center" vertical="center" textRotation="0" wrapText="0" indent="0" justifyLastLine="0" shrinkToFit="0" readingOrder="0"/>
      <border outline="0">
        <right style="thin">
          <color theme="1"/>
        </right>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fill>
        <patternFill patternType="none">
          <fgColor indexed="64"/>
          <bgColor auto="1"/>
        </patternFill>
      </fill>
    </dxf>
    <dxf>
      <numFmt numFmtId="0" formatCode="General"/>
    </dxf>
    <dxf>
      <numFmt numFmtId="0" formatCode="General"/>
    </dxf>
    <dxf>
      <numFmt numFmtId="0" formatCode="General"/>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64" formatCode="000"/>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1"/>
        <color theme="0"/>
        <name val="Calibri"/>
        <scheme val="minor"/>
      </font>
      <fill>
        <patternFill patternType="solid">
          <fgColor theme="6"/>
          <bgColor rgb="FF002060"/>
        </patternFill>
      </fill>
      <alignment horizontal="center" vertical="center" textRotation="0" wrapText="0" indent="0" justifyLastLine="0" shrinkToFit="0" readingOrder="0"/>
      <border diagonalUp="0" diagonalDown="0" outline="0">
        <left style="thin">
          <color theme="0"/>
        </left>
        <right style="thin">
          <color theme="0"/>
        </right>
        <top/>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mm\ \-\ dd\ \-\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fill>
        <patternFill patternType="solid">
          <fgColor indexed="64"/>
          <bgColor theme="6"/>
        </patternFill>
      </fill>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fill>
        <patternFill patternType="none">
          <fgColor indexed="64"/>
          <bgColor indexed="65"/>
        </patternFill>
      </fill>
      <alignment horizontal="center" vertical="center" textRotation="0" wrapText="0" indent="0" justifyLastLine="0" shrinkToFit="0" readingOrder="0"/>
    </dxf>
    <dxf>
      <numFmt numFmtId="19" formatCode="m/d/yyyy"/>
      <fill>
        <patternFill patternType="none">
          <fgColor indexed="64"/>
          <bgColor auto="1"/>
        </patternFill>
      </fill>
      <alignment horizontal="center" vertical="center" textRotation="0" indent="0" justifyLastLine="0" shrinkToFit="0" readingOrder="0"/>
    </dxf>
    <dxf>
      <numFmt numFmtId="19" formatCode="m/d/yyyy"/>
      <fill>
        <patternFill patternType="none">
          <fgColor indexed="64"/>
          <bgColor auto="1"/>
        </patternFill>
      </fill>
      <alignment horizontal="center" vertical="center" textRotation="0" indent="0" justifyLastLine="0" shrinkToFit="0" readingOrder="0"/>
    </dxf>
    <dxf>
      <numFmt numFmtId="19" formatCode="m/d/yyyy"/>
      <fill>
        <patternFill patternType="none">
          <fgColor indexed="64"/>
          <bgColor auto="1"/>
        </patternFill>
      </fill>
      <alignment horizontal="center" vertical="center" textRotation="0" indent="0" justifyLastLine="0" shrinkToFit="0" readingOrder="0"/>
    </dxf>
    <dxf>
      <numFmt numFmtId="0" formatCode="General"/>
      <fill>
        <patternFill patternType="solid">
          <fgColor indexed="64"/>
          <bgColor theme="6"/>
        </patternFill>
      </fill>
      <alignment horizontal="center" vertical="center" textRotation="0" indent="0" justifyLastLine="0" shrinkToFit="0" readingOrder="0"/>
    </dxf>
    <dxf>
      <numFmt numFmtId="0" formatCode="General"/>
      <fill>
        <patternFill patternType="solid">
          <fgColor indexed="64"/>
          <bgColor theme="6"/>
        </patternFill>
      </fill>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6" formatCode="m/d/yy;@"/>
      <fill>
        <patternFill patternType="solid">
          <fgColor indexed="64"/>
          <bgColor theme="6"/>
        </patternFill>
      </fill>
      <alignment horizontal="center" vertical="center" textRotation="0" wrapText="0" indent="0" justifyLastLine="0" shrinkToFit="0" readingOrder="0"/>
    </dxf>
    <dxf>
      <numFmt numFmtId="165" formatCode="mmm\ \-\ dd\ \-\ yyyy"/>
      <alignment horizontal="center" vertical="center" textRotation="0" indent="0" justifyLastLine="0" shrinkToFit="0" readingOrder="0"/>
    </dxf>
    <dxf>
      <numFmt numFmtId="165" formatCode="mmm\ \-\ dd\ \-\ yy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fill>
        <patternFill patternType="solid">
          <fgColor indexed="64"/>
          <bgColor theme="6"/>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1" formatCode="0"/>
      <alignment horizontal="center" vertical="center" textRotation="0" indent="0" justifyLastLine="0" shrinkToFit="0" readingOrder="0"/>
    </dxf>
    <dxf>
      <fill>
        <patternFill patternType="solid">
          <fgColor indexed="64"/>
          <bgColor theme="6"/>
        </patternFill>
      </fill>
      <alignment horizontal="center" vertical="center" textRotation="0" indent="0" justifyLastLine="0" shrinkToFit="0" readingOrder="0"/>
    </dxf>
    <dxf>
      <fill>
        <patternFill patternType="solid">
          <fgColor indexed="64"/>
          <bgColor theme="6"/>
        </patternFill>
      </fill>
      <alignment horizontal="center" vertical="center" textRotation="0" indent="0" justifyLastLine="0" shrinkToFit="0" readingOrder="0"/>
    </dxf>
    <dxf>
      <fill>
        <patternFill patternType="solid">
          <fgColor indexed="64"/>
          <bgColor theme="6"/>
        </patternFill>
      </fill>
      <alignment horizontal="center" vertical="center" textRotation="0" indent="0" justifyLastLine="0" shrinkToFit="0" readingOrder="0"/>
    </dxf>
    <dxf>
      <numFmt numFmtId="165" formatCode="mmm\ \-\ dd\ \-\ yyyy"/>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wrapText="0" indent="0" justifyLastLine="0" shrinkToFit="0" readingOrder="0"/>
    </dxf>
    <dxf>
      <numFmt numFmtId="164" formatCode="000"/>
      <alignment horizontal="center" vertical="center" textRotation="0" indent="0" justifyLastLine="0" shrinkToFit="0" readingOrder="0"/>
    </dxf>
    <dxf>
      <alignment horizontal="center" vertical="center" textRotation="0" indent="0" justifyLastLine="0" shrinkToFit="0" readingOrder="0"/>
    </dxf>
    <dxf>
      <font>
        <b/>
        <strike val="0"/>
        <outline val="0"/>
        <shadow val="0"/>
        <u val="none"/>
        <vertAlign val="baseline"/>
        <sz val="11"/>
        <color theme="0"/>
        <name val="Calibri"/>
        <scheme val="minor"/>
      </font>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65" formatCode="mmm\ \-\ dd\ \-\ 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theme="8" tint="0.59999389629810485"/>
        </patternFill>
      </fill>
      <alignment horizontal="center" vertical="center" textRotation="0" wrapText="0" indent="0" justifyLastLine="0" shrinkToFit="0" readingOrder="0"/>
    </dxf>
    <dxf>
      <numFmt numFmtId="0" formatCode="General"/>
      <fill>
        <patternFill patternType="none">
          <fgColor indexed="64"/>
          <bgColor theme="8" tint="0.5999938962981048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solid">
          <fgColor indexed="64"/>
          <bgColor theme="8" tint="0.5999938962981048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65" formatCode="mmm\ \-\ dd\ \-\ 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64" formatCode="000"/>
      <fill>
        <patternFill patternType="none">
          <fgColor indexed="64"/>
          <bgColor auto="1"/>
        </patternFill>
      </fill>
      <alignment horizontal="center" vertical="center" textRotation="0" wrapText="0" indent="0" justifyLastLine="0" shrinkToFit="0" readingOrder="0"/>
    </dxf>
    <dxf>
      <numFmt numFmtId="164" formatCode="000"/>
      <fill>
        <patternFill patternType="none">
          <fgColor indexed="64"/>
          <bgColor indexed="65"/>
        </patternFill>
      </fill>
      <alignment horizontal="center" vertical="center" textRotation="0" wrapText="0" indent="0" justifyLastLine="0" shrinkToFit="0" readingOrder="0"/>
    </dxf>
    <dxf>
      <numFmt numFmtId="164" formatCode="000"/>
      <fill>
        <patternFill patternType="none">
          <fgColor indexed="64"/>
          <bgColor indexed="65"/>
        </patternFill>
      </fill>
      <alignment horizontal="center" vertical="center" textRotation="0" wrapText="0" indent="0" justifyLastLine="0" shrinkToFit="0" readingOrder="0"/>
    </dxf>
    <dxf>
      <numFmt numFmtId="164" formatCode="000"/>
      <fill>
        <patternFill patternType="none">
          <fgColor indexed="64"/>
          <bgColor indexed="65"/>
        </patternFill>
      </fill>
      <alignment horizontal="center" vertical="center" textRotation="0" wrapText="0" indent="0" justifyLastLine="0" shrinkToFit="0" readingOrder="0"/>
    </dxf>
    <dxf>
      <numFmt numFmtId="164" formatCode="0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1"/>
        <color theme="0"/>
        <name val="Calibri"/>
        <scheme val="minor"/>
      </font>
      <fill>
        <patternFill>
          <fgColor indexed="64"/>
          <bgColor theme="6"/>
        </patternFill>
      </fill>
      <alignment horizontal="center" vertical="center" textRotation="0" wrapText="0" indent="0" justifyLastLine="0" shrinkToFit="0" readingOrder="0"/>
    </dxf>
    <dxf>
      <font>
        <b/>
        <i val="0"/>
        <strike val="0"/>
        <color theme="0"/>
      </font>
      <fill>
        <patternFill>
          <bgColor theme="8" tint="-0.24994659260841701"/>
        </patternFill>
      </fill>
    </dxf>
    <dxf>
      <border diagonalUp="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strike val="0"/>
        <color theme="0"/>
      </font>
      <fill>
        <patternFill>
          <bgColor theme="8" tint="-0.24994659260841701"/>
        </patternFill>
      </fill>
    </dxf>
    <dxf>
      <border diagonalUp="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strike val="0"/>
        <color theme="0"/>
      </font>
      <fill>
        <patternFill>
          <bgColor theme="8" tint="-0.24994659260841701"/>
        </patternFill>
      </fill>
    </dxf>
    <dxf>
      <border diagonalUp="1">
        <left style="thin">
          <color auto="1"/>
        </left>
        <right style="thin">
          <color auto="1"/>
        </right>
        <top style="thin">
          <color auto="1"/>
        </top>
        <bottom style="thin">
          <color auto="1"/>
        </bottom>
        <diagonal style="thin">
          <color auto="1"/>
        </diagonal>
        <vertical style="thin">
          <color auto="1"/>
        </vertical>
        <horizontal style="thin">
          <color auto="1"/>
        </horizontal>
      </border>
    </dxf>
    <dxf>
      <fill>
        <patternFill patternType="solid">
          <fgColor rgb="FFBDD6EE"/>
          <bgColor rgb="FFBDD6EE"/>
        </patternFill>
      </fill>
    </dxf>
    <dxf>
      <fill>
        <patternFill patternType="solid">
          <fgColor rgb="FFD8D8D8"/>
          <bgColor rgb="FFD8D8D8"/>
        </patternFill>
      </fill>
    </dxf>
    <dxf>
      <fill>
        <patternFill patternType="solid">
          <fgColor theme="0"/>
          <bgColor theme="0"/>
        </patternFill>
      </fill>
    </dxf>
  </dxfs>
  <tableStyles count="4" defaultTableStyle="TableStyleMedium2" defaultPivotStyle="PivotStyleLight16">
    <tableStyle name="Assistive Device Support-style" pivot="0" count="3" xr9:uid="{499E3B37-7AAC-4024-918A-61ACFC5A9DC4}">
      <tableStyleElement type="headerRow" dxfId="502"/>
      <tableStyleElement type="firstRowStripe" dxfId="501"/>
      <tableStyleElement type="secondRowStripe" dxfId="500"/>
    </tableStyle>
    <tableStyle name="Table Style 2" pivot="0" count="2" xr9:uid="{00000000-0011-0000-FFFF-FFFF00000000}">
      <tableStyleElement type="wholeTable" dxfId="499"/>
      <tableStyleElement type="headerRow" dxfId="498"/>
    </tableStyle>
    <tableStyle name="Table Style 2 2" pivot="0" count="2" xr9:uid="{BE52BF93-5B0D-4877-BCD1-730008858BCD}">
      <tableStyleElement type="wholeTable" dxfId="497"/>
      <tableStyleElement type="headerRow" dxfId="496"/>
    </tableStyle>
    <tableStyle name="Table Style 2 2 2" pivot="0" count="2" xr9:uid="{88425111-765F-4E72-9A90-02C04ACAB59C}">
      <tableStyleElement type="wholeTable" dxfId="495"/>
      <tableStyleElement type="headerRow" dxfId="4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sheetMetadata" Target="metadata.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9.%20ACCESS%202021_2023\0.YGN\4.%20Database\mmddyy_ACCESS_MEL_Kyethi_mont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angLamPau(RIMMR)\AppData\Local\Temp\3e3fbfce-a398-494b-92bb-6f26d858bd35_Forms&amp;Formats%20from%20ChanML.zip.d35\Database\mmddyyyy_ACCESS_MEAL_Datab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ungKyawThet(RIMMR)\Desktop\BHA_PhaseIII_Form_Format_Database_PhaseIII_updated%20on%2001072024\Database\BHA3_MPCA_WASH_Shelter_database_Jun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HA/01.%20Form_Format_Database/PhaseII(2023-2024)/01.%20BHA_Form_Format_Database_updated%20on%2006272023_noLogo/Database/RI_BHA_MEAL_database_updated%20on%20062720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hanMyaeLinn(RIMMR)\Desktop\NovKyethi\11.November\11.November\12132022_ACCESS_MEL_Monthly%20Report_Kyethi_Novemb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elief-my.sharepoint.com/MEL%20Officer(Handover_Folde_PSH)/03.Form&amp;Format%20and%20Database/2022/ACCESS/ACCESS_Rakhine_Database_2022_23_01252022/mmddyy_ACCESS_MEL_Myebon_Month_final_2022_2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elief-my.sharepoint.com/Users/KaungKhantWin(RIMMR)/Box/04.MEL%202023%20Form%20and%20Format/Lashio%20Form%20and%20Format/MHF/Protection/Database/MHF_Monthly_report_database%20-%202021%20(Mar-Dec).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elief-my.sharepoint.com/personal/manglam_pau_ri_org/Documents/BHA/BHA_Form&amp;Format_Draft_2024/m_d_yy_Mobile_Clinic_Database_BHA3_Jun2024%20-%20Co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inning%20Star/Shining%20Star_30_December_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AungKyawThet(RIMMR)\Downloads\mmm_dd-yy%20Mobile%20clinic%20database%20(RI%20onl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relief-my.sharepoint.com/Users/KaungKhantWin(RIMMR)/Downloads/mmddyy_UNICEF_MEL_RKE_tsp_Month_DATABASE_Final_v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elief-my.sharepoint.com/Users/KaungKhantWin(RIMMR)/Documents/RI/RI/M&amp;E/A2H%202023/New%20folder%20(2)/ACCESS_database_final_June_2023/mmddyy_ACCESS_MEL_Kyauktaw_Month_final_202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C/2018/2.%20MNCH_Programme/Nutrition/TEAM%20MCCT_MEAL%20Tools_FINAL_06032018.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elief-my.sharepoint.com/Users/Dr%20Kaung/Downloads/mmddyy_ECHO_MEL_Tsp_month_V1_202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relief-my.sharepoint.com/personal/manglam_pau_ri_org/Documents/BHA/BHA_Form&amp;Format_Draft_2024/Nutrition/Jun_16_2024_BHA_MEAL_database_Combined.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elief.sharepoint.com/BHA/01.%20Form_Format_Database/PhaseII(2023-2024)/01.%20BHA_Form_Format_Database_updated%20on%2006272023_noLogo/Database/RI_BHA_MEAL_database_updated%20on%200627202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MangLamPau(RIMMR)\OneDrive%20-%20Relief%20International\BHA\BHA_Form&amp;Format_Draft_2024\Nutrition\New%20folder\Jun_16_2024_BHA_MEAL_database_Combine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November%202025\Shining%20Star_November%20(Autosa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list"/>
      <sheetName val="Narrative"/>
      <sheetName val="Referral"/>
      <sheetName val="Ref_pt_monitor"/>
      <sheetName val="Meeting"/>
      <sheetName val="BHS_Training"/>
      <sheetName val="Non_BHS_Training"/>
      <sheetName val="CBHW_supervision"/>
      <sheetName val="CBHW_sup_summary"/>
      <sheetName val="RHCs"/>
      <sheetName val="Referencing"/>
      <sheetName val="Tsps_dtail_Requinfo"/>
      <sheetName val="CBHW_List"/>
      <sheetName val="CDSR"/>
      <sheetName val="MDSR"/>
      <sheetName val="Outreach"/>
      <sheetName val="Mobile_clinic"/>
      <sheetName val="cFRM"/>
      <sheetName val="cFRM_summary"/>
      <sheetName val="VHC"/>
      <sheetName val="mmddyy_ACCESS_MEL_Kyethi_mon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rrative"/>
      <sheetName val="Township Situation"/>
      <sheetName val="Referral Support"/>
      <sheetName val="Referral Pt Monitor"/>
      <sheetName val="Health Post Supervision"/>
      <sheetName val="SRHR-Awareness raising"/>
      <sheetName val="datavalidation"/>
      <sheetName val="Meeting-Event-FGD"/>
      <sheetName val="Training_Individual"/>
      <sheetName val="Mobile Clinic"/>
      <sheetName val="VHC-VTHC Meeting"/>
      <sheetName val="VHC-VTHC Member"/>
      <sheetName val="VHC-VTHC Status"/>
      <sheetName val="MSG members"/>
      <sheetName val="MSG Status"/>
      <sheetName val="MTM Awareness"/>
      <sheetName val="CBHW Supervision"/>
      <sheetName val="CBHW Summary"/>
      <sheetName val="CFRM"/>
      <sheetName val="Sheet2"/>
      <sheetName val="Requiredinfo-combine"/>
      <sheetName val="CBHW Query Combine"/>
      <sheetName val="AMWCHW_Org-comb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rrative"/>
      <sheetName val="MPCA_database"/>
      <sheetName val="Dropdownlist"/>
      <sheetName val="Location"/>
      <sheetName val="Distribution_database"/>
      <sheetName val="Installation_database "/>
      <sheetName val="Meeting"/>
      <sheetName val="Training"/>
      <sheetName val="Awareness_Database"/>
      <sheetName val="CFRM_Database"/>
    </sheetNames>
    <sheetDataSet>
      <sheetData sheetId="0"/>
      <sheetData sheetId="1"/>
      <sheetData sheetId="2">
        <row r="2">
          <cell r="A2" t="str">
            <v>RI</v>
          </cell>
          <cell r="C2" t="str">
            <v>Kayah</v>
          </cell>
        </row>
        <row r="3">
          <cell r="A3" t="str">
            <v>SSDF</v>
          </cell>
          <cell r="C3" t="str">
            <v>Kayin</v>
          </cell>
        </row>
        <row r="4">
          <cell r="A4" t="str">
            <v>TYO</v>
          </cell>
          <cell r="C4" t="str">
            <v>Shan (South)</v>
          </cell>
        </row>
        <row r="5">
          <cell r="A5" t="str">
            <v>SKBZ</v>
          </cell>
          <cell r="C5" t="str">
            <v>Shan (North)</v>
          </cell>
        </row>
        <row r="6">
          <cell r="A6" t="str">
            <v>KMSS</v>
          </cell>
          <cell r="C6" t="str">
            <v>Shan (South)</v>
          </cell>
        </row>
        <row r="7">
          <cell r="A7" t="str">
            <v>GLAD</v>
          </cell>
        </row>
        <row r="8">
          <cell r="A8" t="str">
            <v>A Linn Thit</v>
          </cell>
        </row>
        <row r="9">
          <cell r="A9" t="str">
            <v>KNHC</v>
          </cell>
        </row>
        <row r="12">
          <cell r="A12" t="str">
            <v>RI</v>
          </cell>
        </row>
        <row r="13">
          <cell r="A13" t="str">
            <v>KMSS</v>
          </cell>
        </row>
        <row r="14">
          <cell r="A14" t="str">
            <v>GLAD</v>
          </cell>
        </row>
        <row r="15">
          <cell r="A15" t="str">
            <v>KNHC</v>
          </cell>
        </row>
        <row r="16">
          <cell r="A16" t="str">
            <v>SKBZ</v>
          </cell>
        </row>
        <row r="17">
          <cell r="A17" t="str">
            <v>A Linn Thit</v>
          </cell>
        </row>
        <row r="18">
          <cell r="A18" t="str">
            <v>Ngingwan</v>
          </cell>
        </row>
        <row r="19">
          <cell r="A19" t="str">
            <v>Mawk Kun Kham</v>
          </cell>
        </row>
        <row r="20">
          <cell r="A20" t="str">
            <v>SSDF</v>
          </cell>
        </row>
      </sheetData>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
      <sheetName val="Narrative"/>
      <sheetName val="MPCA"/>
      <sheetName val="Distribution For All Items_new"/>
      <sheetName val="Dropdownlist"/>
      <sheetName val="Installation Tracker "/>
      <sheetName val="Safe Drinking Water"/>
      <sheetName val="Community EH Activities "/>
      <sheetName val="WASH Awareness Session"/>
      <sheetName val="Meeting"/>
      <sheetName val="Training"/>
      <sheetName val="Feedback Tracking"/>
      <sheetName val="RI_BHA_MEAL_database_updated on"/>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HC_SRHC"/>
      <sheetName val="Referencing"/>
      <sheetName val="Tsp_Req_info"/>
      <sheetName val="Dropdown"/>
      <sheetName val="PE List"/>
      <sheetName val="Township Situation"/>
      <sheetName val="Narrative"/>
      <sheetName val="Referral"/>
      <sheetName val="Ref_pt_monitor"/>
      <sheetName val="Meeting"/>
      <sheetName val="Non-BHS Training Attendance"/>
      <sheetName val="BHS Training Attendance"/>
      <sheetName val="Training Summary"/>
      <sheetName val="CBHW Supervision"/>
      <sheetName val="CBHW Supervision Summary"/>
      <sheetName val="CDSR"/>
      <sheetName val="MDSR"/>
      <sheetName val="Outreach"/>
      <sheetName val="Mobile Clinic"/>
      <sheetName val="cFRM"/>
      <sheetName val="cFRM Summary"/>
      <sheetName val="VHC Members"/>
      <sheetName val="Sheet1"/>
      <sheetName val="VHC Status"/>
      <sheetName val="MSG members"/>
      <sheetName val="MSG Status"/>
      <sheetName val="MtM Awareness"/>
      <sheetName val="SRHR Peer Awareness Sessions"/>
      <sheetName val="Peer Educators Summary"/>
      <sheetName val="Health Facility Supervision"/>
      <sheetName val="Cooking Demonstration"/>
      <sheetName val="Community Awarene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HC_SRHC"/>
      <sheetName val="Referencing"/>
      <sheetName val="Tsp_Req_info"/>
      <sheetName val="Dropdown"/>
      <sheetName val="PE List"/>
      <sheetName val="Township Situation"/>
      <sheetName val="Narrative"/>
      <sheetName val="Referral"/>
      <sheetName val="Ref_pt_monitor"/>
      <sheetName val="Meeting"/>
      <sheetName val="BHS Training Attendance"/>
      <sheetName val="Non-BHS Training Attendance"/>
      <sheetName val="Training Summary"/>
      <sheetName val="CBHW Supervision"/>
      <sheetName val="CBHW Supervision Summary"/>
      <sheetName val="CDSR"/>
      <sheetName val="MDSR"/>
      <sheetName val="Outreach"/>
      <sheetName val="Mobile Clinic"/>
      <sheetName val="cFRM"/>
      <sheetName val="cFRM Summary"/>
      <sheetName val="VHC Members"/>
      <sheetName val="VHC Status"/>
      <sheetName val="MSG members"/>
      <sheetName val="MSG Status"/>
      <sheetName val="MtM Awareness"/>
      <sheetName val="SRHR Peer Awareness Sessions"/>
      <sheetName val="Peer Educators Summary"/>
      <sheetName val="Health Facility Supervision"/>
      <sheetName val="Cooking Demonstration"/>
      <sheetName val="Community Awarenes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Info"/>
      <sheetName val="list"/>
      <sheetName val="1. MHF_Coverage area"/>
      <sheetName val="2. NFI and Cash distribution"/>
      <sheetName val="3. Distribution &amp; PDM tracker"/>
      <sheetName val=" 8. Distribution &amp; PDM Summary"/>
      <sheetName val="Cash for PWD (1.1.2)"/>
      <sheetName val="Protection Case Support (1.1.3)"/>
      <sheetName val=" Training for CSO (1.2.1)"/>
      <sheetName val="Training for CM (1.2.1)"/>
      <sheetName val="6. Training evaluation"/>
      <sheetName val="Community Awareness individual"/>
      <sheetName val="Community  Awareness (1.2.1)"/>
      <sheetName val="Covid 19 prevention (1.2.4)"/>
      <sheetName val="4. CSO monthly report trackin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Hn"/>
      <sheetName val="Cervical Cancer Screening"/>
      <sheetName val="Sheet1"/>
      <sheetName val="info"/>
      <sheetName val="Datamatrix"/>
    </sheetNames>
    <sheetDataSet>
      <sheetData sheetId="0" refreshError="1"/>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
      <sheetName val="PHC Case Summary"/>
      <sheetName val="Health Service Consultation"/>
      <sheetName val="Awareness"/>
      <sheetName val="Emergency Referral"/>
      <sheetName val="IYCF Counselling"/>
      <sheetName val="&lt;5 screening"/>
      <sheetName val="Info"/>
      <sheetName val="Installation"/>
      <sheetName val="Distribution"/>
      <sheetName val="Assistive Device Support"/>
      <sheetName val="Meeting"/>
      <sheetName val="MPCA"/>
      <sheetName val="Training"/>
      <sheetName val="CFRM"/>
      <sheetName val="Validation"/>
      <sheetName v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R2" t="str">
            <v>Disability of seeing</v>
          </cell>
          <cell r="U2" t="str">
            <v>Abscess</v>
          </cell>
          <cell r="Z2" t="str">
            <v>EmOC</v>
          </cell>
        </row>
        <row r="3">
          <cell r="R3" t="str">
            <v>Disability of hearing</v>
          </cell>
          <cell r="U3" t="str">
            <v>Acute Pharyngitis</v>
          </cell>
          <cell r="Z3" t="str">
            <v>ECC</v>
          </cell>
        </row>
        <row r="4">
          <cell r="R4" t="str">
            <v>Disability of self care</v>
          </cell>
          <cell r="U4" t="str">
            <v>Acute sinusitis</v>
          </cell>
          <cell r="Z4" t="str">
            <v>Other</v>
          </cell>
        </row>
        <row r="5">
          <cell r="R5" t="str">
            <v>Disability of walking</v>
          </cell>
          <cell r="U5" t="str">
            <v>Acute upper airway obstruction</v>
          </cell>
        </row>
        <row r="6">
          <cell r="R6" t="str">
            <v>Disability of communication</v>
          </cell>
          <cell r="U6" t="str">
            <v>ARI/RTI</v>
          </cell>
        </row>
        <row r="7">
          <cell r="R7" t="str">
            <v>Disability with remembering</v>
          </cell>
          <cell r="U7" t="str">
            <v>Bronchiolitis</v>
          </cell>
        </row>
        <row r="8">
          <cell r="U8" t="str">
            <v>Bronchitis</v>
          </cell>
        </row>
        <row r="9">
          <cell r="U9" t="str">
            <v>Chest infection</v>
          </cell>
        </row>
        <row r="10">
          <cell r="U10" t="str">
            <v>Common cold</v>
          </cell>
        </row>
        <row r="11">
          <cell r="U11" t="str">
            <v>Flu with high fever</v>
          </cell>
        </row>
        <row r="12">
          <cell r="U12" t="str">
            <v>Lower Respiratory tract infection</v>
          </cell>
        </row>
        <row r="13">
          <cell r="U13" t="str">
            <v>Otitis</v>
          </cell>
        </row>
        <row r="14">
          <cell r="U14" t="str">
            <v>Pulmonary TB-suspect</v>
          </cell>
        </row>
        <row r="15">
          <cell r="U15" t="str">
            <v>Respiratory viral infection</v>
          </cell>
        </row>
        <row r="16">
          <cell r="U16" t="str">
            <v>Tonsillar abscess</v>
          </cell>
        </row>
        <row r="17">
          <cell r="U17" t="str">
            <v>Tuberculosis</v>
          </cell>
        </row>
        <row r="18">
          <cell r="U18" t="str">
            <v>Upper Respiratory tract infection</v>
          </cell>
        </row>
        <row r="19">
          <cell r="U19" t="str">
            <v>Whooping cough (pertussis)</v>
          </cell>
        </row>
        <row r="20">
          <cell r="U20" t="str">
            <v>Bacteria disease</v>
          </cell>
        </row>
        <row r="21">
          <cell r="U21" t="str">
            <v>Dental infections</v>
          </cell>
        </row>
        <row r="22">
          <cell r="U22" t="str">
            <v>Enteric (typhoid and paratyphoid) fevers</v>
          </cell>
        </row>
        <row r="23">
          <cell r="U23" t="str">
            <v>Leptospirosis</v>
          </cell>
        </row>
        <row r="24">
          <cell r="U24" t="str">
            <v>Tetanus</v>
          </cell>
        </row>
        <row r="25">
          <cell r="U25" t="str">
            <v>HIV/AIDS</v>
          </cell>
        </row>
        <row r="26">
          <cell r="U26" t="str">
            <v>Communicable ear problem/disease</v>
          </cell>
        </row>
        <row r="27">
          <cell r="U27" t="str">
            <v>Dengue haemorrhagic fever</v>
          </cell>
        </row>
        <row r="28">
          <cell r="U28" t="str">
            <v>Dengue shock</v>
          </cell>
        </row>
        <row r="29">
          <cell r="U29" t="str">
            <v>DHF</v>
          </cell>
        </row>
        <row r="30">
          <cell r="U30" t="str">
            <v>DHF suspect</v>
          </cell>
        </row>
        <row r="31">
          <cell r="U31" t="str">
            <v>Acute diarrhoea</v>
          </cell>
        </row>
        <row r="32">
          <cell r="U32" t="str">
            <v>Dehydration with diarrhoea</v>
          </cell>
        </row>
        <row r="33">
          <cell r="U33" t="str">
            <v>Diarrhoea/ GE</v>
          </cell>
        </row>
        <row r="34">
          <cell r="U34" t="str">
            <v>Severe dehydration with diarrhoea</v>
          </cell>
        </row>
        <row r="35">
          <cell r="U35" t="str">
            <v>Dysentery</v>
          </cell>
        </row>
        <row r="36">
          <cell r="U36" t="str">
            <v>Otitis abscess</v>
          </cell>
        </row>
        <row r="37">
          <cell r="U37" t="str">
            <v>Otitis externa</v>
          </cell>
        </row>
        <row r="38">
          <cell r="U38" t="str">
            <v>Otitis media</v>
          </cell>
        </row>
        <row r="39">
          <cell r="U39" t="str">
            <v>Communicable eye problem/disease</v>
          </cell>
        </row>
        <row r="40">
          <cell r="U40" t="str">
            <v>Conjunctivitis</v>
          </cell>
        </row>
        <row r="41">
          <cell r="U41" t="str">
            <v>Trachoma</v>
          </cell>
        </row>
        <row r="42">
          <cell r="U42" t="str">
            <v>UTI</v>
          </cell>
        </row>
        <row r="43">
          <cell r="U43" t="str">
            <v>Colitis</v>
          </cell>
        </row>
        <row r="44">
          <cell r="U44" t="str">
            <v>Hepatic Problem</v>
          </cell>
        </row>
        <row r="45">
          <cell r="U45" t="str">
            <v>Hepatitis</v>
          </cell>
        </row>
        <row r="46">
          <cell r="U46" t="str">
            <v>Cerebral soft tissue infection</v>
          </cell>
        </row>
        <row r="47">
          <cell r="U47" t="str">
            <v>Encephalitis</v>
          </cell>
        </row>
        <row r="48">
          <cell r="U48" t="str">
            <v>Meningitis</v>
          </cell>
        </row>
        <row r="49">
          <cell r="U49" t="str">
            <v>Meningitis and encephalitis</v>
          </cell>
        </row>
        <row r="50">
          <cell r="U50" t="str">
            <v>Pneumococcal meningitis</v>
          </cell>
        </row>
        <row r="51">
          <cell r="U51" t="str">
            <v>Congenital infection</v>
          </cell>
        </row>
        <row r="52">
          <cell r="U52" t="str">
            <v>Late neonatal sepsis</v>
          </cell>
        </row>
        <row r="53">
          <cell r="U53" t="str">
            <v>Neonatal problem</v>
          </cell>
        </row>
        <row r="54">
          <cell r="U54" t="str">
            <v>Neonatal sepsis</v>
          </cell>
        </row>
        <row r="55">
          <cell r="U55" t="str">
            <v>Severe respiratory distress in neonates</v>
          </cell>
        </row>
        <row r="56">
          <cell r="U56" t="str">
            <v>Umbilical cord infection/sepsis</v>
          </cell>
        </row>
        <row r="57">
          <cell r="U57" t="str">
            <v>Filariasis</v>
          </cell>
        </row>
        <row r="58">
          <cell r="U58" t="str">
            <v>Malaria/ cerebral malaria</v>
          </cell>
        </row>
        <row r="59">
          <cell r="U59" t="str">
            <v>other parasitic infection</v>
          </cell>
        </row>
        <row r="60">
          <cell r="U60" t="str">
            <v>Parasitic disease</v>
          </cell>
        </row>
        <row r="61">
          <cell r="U61" t="str">
            <v>Schistosomiases</v>
          </cell>
        </row>
        <row r="62">
          <cell r="U62" t="str">
            <v>Worm infestation</v>
          </cell>
        </row>
        <row r="63">
          <cell r="U63" t="str">
            <v>Pneumonia</v>
          </cell>
        </row>
        <row r="64">
          <cell r="U64" t="str">
            <v>Severe pneumonia</v>
          </cell>
        </row>
        <row r="65">
          <cell r="U65" t="str">
            <v>Very severe pneumonia</v>
          </cell>
        </row>
        <row r="66">
          <cell r="U66" t="str">
            <v>Bacteria skin infection</v>
          </cell>
        </row>
        <row r="67">
          <cell r="U67" t="str">
            <v>Eczema</v>
          </cell>
        </row>
        <row r="68">
          <cell r="U68" t="str">
            <v>Fungal infection</v>
          </cell>
        </row>
        <row r="69">
          <cell r="U69" t="str">
            <v>Herpes simplex and herpes zoster</v>
          </cell>
        </row>
        <row r="70">
          <cell r="U70" t="str">
            <v>Pruritis</v>
          </cell>
        </row>
        <row r="71">
          <cell r="U71" t="str">
            <v>Ring worm</v>
          </cell>
        </row>
        <row r="72">
          <cell r="U72" t="str">
            <v>Scabies infection</v>
          </cell>
        </row>
        <row r="73">
          <cell r="U73" t="str">
            <v>Skin infection/disease</v>
          </cell>
        </row>
        <row r="74">
          <cell r="U74" t="str">
            <v>Bacterial vaginosis</v>
          </cell>
        </row>
        <row r="75">
          <cell r="U75" t="str">
            <v>Chlamydia</v>
          </cell>
        </row>
        <row r="76">
          <cell r="U76" t="str">
            <v>Genital herpes</v>
          </cell>
        </row>
        <row r="77">
          <cell r="U77" t="str">
            <v>Genital warts</v>
          </cell>
        </row>
        <row r="78">
          <cell r="U78" t="str">
            <v>Gonorrhea</v>
          </cell>
        </row>
        <row r="79">
          <cell r="U79" t="str">
            <v>STI</v>
          </cell>
        </row>
        <row r="80">
          <cell r="U80" t="str">
            <v>Syphilis</v>
          </cell>
        </row>
        <row r="81">
          <cell r="U81" t="str">
            <v>Trichomoniasis</v>
          </cell>
        </row>
        <row r="82">
          <cell r="U82" t="str">
            <v>Chicken Pox</v>
          </cell>
        </row>
        <row r="83">
          <cell r="U83" t="str">
            <v>Dengue</v>
          </cell>
        </row>
        <row r="84">
          <cell r="U84" t="str">
            <v>Measles</v>
          </cell>
        </row>
        <row r="85">
          <cell r="U85" t="str">
            <v>Poliomyelitis</v>
          </cell>
        </row>
        <row r="86">
          <cell r="U86" t="str">
            <v>Rabies</v>
          </cell>
        </row>
        <row r="87">
          <cell r="U87" t="str">
            <v>Viral diseases</v>
          </cell>
        </row>
        <row r="88">
          <cell r="U88" t="str">
            <v>Viral haemorrhagic fevers</v>
          </cell>
        </row>
        <row r="89">
          <cell r="U89" t="str">
            <v>Viral hepatitis</v>
          </cell>
        </row>
        <row r="90">
          <cell r="U90" t="str">
            <v>Family Planning</v>
          </cell>
        </row>
        <row r="91">
          <cell r="U91" t="str">
            <v>Accident/minor sugical and injuries</v>
          </cell>
        </row>
        <row r="92">
          <cell r="U92" t="str">
            <v>Animal/Insect bite</v>
          </cell>
        </row>
        <row r="93">
          <cell r="U93" t="str">
            <v>Burns/wounds</v>
          </cell>
        </row>
        <row r="94">
          <cell r="U94" t="str">
            <v>Fall from heigh</v>
          </cell>
        </row>
        <row r="95">
          <cell r="U95" t="str">
            <v>food poisoning</v>
          </cell>
        </row>
        <row r="96">
          <cell r="U96" t="str">
            <v>Fracture</v>
          </cell>
        </row>
        <row r="97">
          <cell r="U97" t="str">
            <v>Injuries</v>
          </cell>
        </row>
        <row r="98">
          <cell r="U98" t="str">
            <v>Periorbital and orbital cellulitis</v>
          </cell>
        </row>
        <row r="99">
          <cell r="U99" t="str">
            <v>Poisoning</v>
          </cell>
        </row>
        <row r="100">
          <cell r="U100" t="str">
            <v>Scald</v>
          </cell>
        </row>
        <row r="101">
          <cell r="U101" t="str">
            <v>Scar</v>
          </cell>
        </row>
        <row r="102">
          <cell r="U102" t="str">
            <v>Stab wound</v>
          </cell>
        </row>
        <row r="103">
          <cell r="U103" t="str">
            <v>Agitation</v>
          </cell>
        </row>
        <row r="104">
          <cell r="U104" t="str">
            <v>Anxiety</v>
          </cell>
        </row>
        <row r="105">
          <cell r="U105" t="str">
            <v>Depression</v>
          </cell>
        </row>
        <row r="106">
          <cell r="U106" t="str">
            <v>Insomnia</v>
          </cell>
        </row>
        <row r="107">
          <cell r="U107" t="str">
            <v>Mental confusion</v>
          </cell>
        </row>
        <row r="108">
          <cell r="U108" t="str">
            <v>Mental disorders</v>
          </cell>
        </row>
        <row r="109">
          <cell r="U109" t="str">
            <v>Post-traumatic stress disorder</v>
          </cell>
        </row>
        <row r="110">
          <cell r="U110" t="str">
            <v>Psychotic disorders</v>
          </cell>
        </row>
        <row r="111">
          <cell r="U111" t="str">
            <v>Acute Severe asthma</v>
          </cell>
        </row>
        <row r="112">
          <cell r="U112" t="str">
            <v>Asthma</v>
          </cell>
        </row>
        <row r="113">
          <cell r="U113" t="str">
            <v>Chronic Asthma</v>
          </cell>
        </row>
        <row r="114">
          <cell r="U114" t="str">
            <v>Beri Beri</v>
          </cell>
        </row>
        <row r="115">
          <cell r="U115" t="str">
            <v>Chronic medical disease</v>
          </cell>
        </row>
        <row r="116">
          <cell r="U116" t="str">
            <v>COPD</v>
          </cell>
        </row>
        <row r="117">
          <cell r="U117" t="str">
            <v>DM</v>
          </cell>
        </row>
        <row r="118">
          <cell r="U118" t="str">
            <v>Heart disease</v>
          </cell>
        </row>
        <row r="119">
          <cell r="U119" t="str">
            <v>Hypertension</v>
          </cell>
        </row>
        <row r="120">
          <cell r="U120" t="str">
            <v>Renal disease</v>
          </cell>
        </row>
        <row r="121">
          <cell r="U121" t="str">
            <v>Congenital abnormalities</v>
          </cell>
        </row>
        <row r="122">
          <cell r="U122" t="str">
            <v>Congenital deformaties</v>
          </cell>
        </row>
        <row r="123">
          <cell r="U123" t="str">
            <v>Congenital heart disease</v>
          </cell>
        </row>
        <row r="124">
          <cell r="U124" t="str">
            <v>Delay milestones</v>
          </cell>
        </row>
        <row r="125">
          <cell r="U125" t="str">
            <v>Ear conal blockage</v>
          </cell>
        </row>
        <row r="126">
          <cell r="U126" t="str">
            <v>Cataract</v>
          </cell>
        </row>
        <row r="127">
          <cell r="U127" t="str">
            <v>Eye problem/disease</v>
          </cell>
        </row>
        <row r="128">
          <cell r="U128" t="str">
            <v>Glaucoma</v>
          </cell>
        </row>
        <row r="129">
          <cell r="U129" t="str">
            <v>other eye problem</v>
          </cell>
        </row>
        <row r="130">
          <cell r="U130" t="str">
            <v>other vision problem</v>
          </cell>
        </row>
        <row r="131">
          <cell r="U131" t="str">
            <v>Xerophthalmia (vitamin A deficiency)</v>
          </cell>
        </row>
        <row r="132">
          <cell r="U132" t="str">
            <v>Acute cystitis</v>
          </cell>
        </row>
        <row r="133">
          <cell r="U133" t="str">
            <v>Acute prostatitis</v>
          </cell>
        </row>
        <row r="134">
          <cell r="U134" t="str">
            <v>Acute pyelonephritis</v>
          </cell>
        </row>
        <row r="135">
          <cell r="U135" t="str">
            <v>Genito-urinary diseases</v>
          </cell>
        </row>
        <row r="136">
          <cell r="U136" t="str">
            <v>Nephrotic syndrome in children</v>
          </cell>
        </row>
        <row r="137">
          <cell r="U137" t="str">
            <v>Urinary incontinence</v>
          </cell>
        </row>
        <row r="138">
          <cell r="U138" t="str">
            <v>Urolithiasis</v>
          </cell>
        </row>
        <row r="139">
          <cell r="U139" t="str">
            <v>Constipation</v>
          </cell>
        </row>
        <row r="140">
          <cell r="U140" t="str">
            <v>Dyspepsia</v>
          </cell>
        </row>
        <row r="141">
          <cell r="U141" t="str">
            <v>Gastritis</v>
          </cell>
        </row>
        <row r="142">
          <cell r="U142" t="str">
            <v>GI problem</v>
          </cell>
        </row>
        <row r="143">
          <cell r="U143" t="str">
            <v>Peptic ulcer</v>
          </cell>
        </row>
        <row r="144">
          <cell r="U144" t="str">
            <v>Anaemia</v>
          </cell>
        </row>
        <row r="145">
          <cell r="U145" t="str">
            <v>Hematological diseases</v>
          </cell>
        </row>
        <row r="146">
          <cell r="U146" t="str">
            <v>Hematological disorder</v>
          </cell>
        </row>
        <row r="147">
          <cell r="U147" t="str">
            <v>Thalassemia with severe anamia</v>
          </cell>
        </row>
        <row r="148">
          <cell r="U148" t="str">
            <v>Malnutrition</v>
          </cell>
        </row>
        <row r="149">
          <cell r="U149" t="str">
            <v>Protein energy malnutrition</v>
          </cell>
        </row>
        <row r="150">
          <cell r="U150" t="str">
            <v>Severe malnutrition</v>
          </cell>
        </row>
        <row r="151">
          <cell r="U151" t="str">
            <v>Stomatitis</v>
          </cell>
        </row>
        <row r="152">
          <cell r="U152" t="str">
            <v>Congenital abnormalities/deformities</v>
          </cell>
        </row>
        <row r="153">
          <cell r="U153" t="str">
            <v>Low birth weight</v>
          </cell>
        </row>
        <row r="154">
          <cell r="U154" t="str">
            <v>Neonatal jaundice</v>
          </cell>
        </row>
        <row r="155">
          <cell r="U155" t="str">
            <v>Fits/Epilepsy</v>
          </cell>
        </row>
        <row r="156">
          <cell r="U156" t="str">
            <v>Neurological Problem</v>
          </cell>
        </row>
        <row r="157">
          <cell r="U157" t="str">
            <v>Non-communicable ear problem/disease</v>
          </cell>
        </row>
        <row r="158">
          <cell r="U158" t="str">
            <v>Arthalgia</v>
          </cell>
        </row>
        <row r="159">
          <cell r="U159" t="str">
            <v>Dysnonea</v>
          </cell>
        </row>
        <row r="160">
          <cell r="U160" t="str">
            <v>Headache</v>
          </cell>
        </row>
        <row r="161">
          <cell r="U161" t="str">
            <v>Muscle pain</v>
          </cell>
        </row>
        <row r="162">
          <cell r="U162" t="str">
            <v>Neuralgia</v>
          </cell>
        </row>
        <row r="163">
          <cell r="U163" t="str">
            <v>Weakness</v>
          </cell>
        </row>
        <row r="164">
          <cell r="U164" t="str">
            <v>Allergic reaction</v>
          </cell>
        </row>
        <row r="165">
          <cell r="U165" t="str">
            <v>Other skin disorders</v>
          </cell>
        </row>
        <row r="166">
          <cell r="U166" t="str">
            <v>Stroke</v>
          </cell>
        </row>
        <row r="167">
          <cell r="U167" t="str">
            <v>Pile</v>
          </cell>
        </row>
        <row r="168">
          <cell r="U168" t="str">
            <v>Surgical Disease</v>
          </cell>
        </row>
        <row r="169">
          <cell r="U169" t="str">
            <v>Fever of unknown</v>
          </cell>
        </row>
        <row r="170">
          <cell r="U170" t="str">
            <v>Other</v>
          </cell>
        </row>
        <row r="171">
          <cell r="U171" t="str">
            <v>Amenorrhoea</v>
          </cell>
        </row>
        <row r="172">
          <cell r="U172" t="str">
            <v>Cervicitis</v>
          </cell>
        </row>
        <row r="173">
          <cell r="U173" t="str">
            <v>Gynecological problem</v>
          </cell>
        </row>
        <row r="174">
          <cell r="U174" t="str">
            <v>Heavy/prolong bleeding between period or during intercourse</v>
          </cell>
        </row>
        <row r="175">
          <cell r="U175" t="str">
            <v>Irregular cycle</v>
          </cell>
        </row>
        <row r="176">
          <cell r="U176" t="str">
            <v>Menstrual disorder</v>
          </cell>
        </row>
        <row r="177">
          <cell r="U177" t="str">
            <v>Painful monthly cramps</v>
          </cell>
        </row>
        <row r="178">
          <cell r="U178" t="str">
            <v>Pelvic pain</v>
          </cell>
        </row>
        <row r="179">
          <cell r="U179" t="str">
            <v>Severe abdominal pain</v>
          </cell>
        </row>
        <row r="180">
          <cell r="U180" t="str">
            <v>White discharge</v>
          </cell>
        </row>
        <row r="181">
          <cell r="U181" t="str">
            <v>Abdominal pain in pregnancy</v>
          </cell>
        </row>
        <row r="182">
          <cell r="U182" t="str">
            <v>Back pain in pregnancy</v>
          </cell>
        </row>
        <row r="183">
          <cell r="U183" t="str">
            <v>Bleeding during pregnancy</v>
          </cell>
        </row>
        <row r="184">
          <cell r="U184" t="str">
            <v>Dribbling during pregnancy</v>
          </cell>
        </row>
        <row r="185">
          <cell r="U185" t="str">
            <v>Obstetric problem</v>
          </cell>
        </row>
        <row r="186">
          <cell r="U186" t="str">
            <v>Reduce fetal movement in pregnancy</v>
          </cell>
        </row>
        <row r="187">
          <cell r="U187" t="str">
            <v>Sickness in pregnancy</v>
          </cell>
        </row>
        <row r="188">
          <cell r="U188" t="str">
            <v>Stomach cramps in pregnancy</v>
          </cell>
        </row>
        <row r="189">
          <cell r="U189" t="str">
            <v>Suspected pregnancy</v>
          </cell>
        </row>
        <row r="190">
          <cell r="U190" t="str">
            <v>Swelling of hands/face/feet</v>
          </cell>
        </row>
        <row r="191">
          <cell r="U191" t="str">
            <v>Vomitting in pregnancy</v>
          </cell>
        </row>
        <row r="192">
          <cell r="U192" t="str">
            <v>Vaginal candidiasis</v>
          </cell>
        </row>
        <row r="193">
          <cell r="U193" t="str">
            <v>Sexual violence related case</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2">
          <cell r="X2" t="str">
            <v>4 leg walking cane</v>
          </cell>
          <cell r="AA2" t="str">
            <v>Protection</v>
          </cell>
        </row>
        <row r="3">
          <cell r="X3" t="str">
            <v xml:space="preserve">Commode toilet seat </v>
          </cell>
          <cell r="AA3" t="str">
            <v>WASH</v>
          </cell>
        </row>
        <row r="4">
          <cell r="X4" t="str">
            <v xml:space="preserve">Commode Wheel Chair with a Hand Break </v>
          </cell>
          <cell r="AA4" t="str">
            <v>Shelter &amp; Settlement</v>
          </cell>
        </row>
        <row r="5">
          <cell r="X5" t="str">
            <v>Folding walking frame</v>
          </cell>
          <cell r="AA5" t="str">
            <v>Health</v>
          </cell>
        </row>
        <row r="6">
          <cell r="X6" t="str">
            <v>Hand exercise device for paralyzed</v>
          </cell>
        </row>
        <row r="7">
          <cell r="X7" t="str">
            <v xml:space="preserve">Hand washing facilities for displaced communities </v>
          </cell>
        </row>
        <row r="8">
          <cell r="X8" t="str">
            <v>Nerve Rehabilitator device for paralyzed</v>
          </cell>
        </row>
        <row r="9">
          <cell r="X9" t="str">
            <v>Under arm walking stick</v>
          </cell>
        </row>
        <row r="10">
          <cell r="X10" t="str">
            <v>Wheel chair with commode toilet</v>
          </cell>
        </row>
        <row r="11">
          <cell r="X11" t="str">
            <v>White cane walking stick for person with blind</v>
          </cell>
        </row>
        <row r="12">
          <cell r="X12" t="str">
            <v>New Born Kit</v>
          </cell>
        </row>
        <row r="13">
          <cell r="X13" t="str">
            <v xml:space="preserve">Dignity Kits </v>
          </cell>
        </row>
        <row r="14">
          <cell r="X14" t="str">
            <v xml:space="preserve">Emergency Shelter Kits </v>
          </cell>
        </row>
        <row r="15">
          <cell r="X15" t="str">
            <v xml:space="preserve">Family Kits </v>
          </cell>
        </row>
        <row r="16">
          <cell r="X16" t="str">
            <v xml:space="preserve">Shelter Repair Kits </v>
          </cell>
        </row>
        <row r="17">
          <cell r="X17" t="str">
            <v xml:space="preserve">Winter Kits </v>
          </cell>
        </row>
        <row r="18">
          <cell r="X18" t="str">
            <v>Ceramic Water Filter</v>
          </cell>
        </row>
        <row r="19">
          <cell r="X19" t="str">
            <v>Drinage Tools for Community</v>
          </cell>
        </row>
        <row r="20">
          <cell r="X20" t="str">
            <v>Drinking and domestic water supply to displacement sites (Emergency Water Supply)</v>
          </cell>
        </row>
        <row r="21">
          <cell r="X21" t="str">
            <v>Garbage Bin (HH Level)</v>
          </cell>
        </row>
        <row r="22">
          <cell r="X22" t="str">
            <v>Garbage Bin (MHM)</v>
          </cell>
        </row>
        <row r="23">
          <cell r="X23" t="str">
            <v>Garbage Bin 4 Nos (Camp Level)</v>
          </cell>
        </row>
        <row r="24">
          <cell r="X24" t="str">
            <v>Hygiene kits</v>
          </cell>
        </row>
        <row r="25">
          <cell r="X25" t="str">
            <v>IEC Vinyl</v>
          </cell>
        </row>
        <row r="26">
          <cell r="X26" t="str">
            <v>Mini Incinerator</v>
          </cell>
        </row>
        <row r="27">
          <cell r="X27" t="str">
            <v>PPE for WASH Activity</v>
          </cell>
        </row>
        <row r="28">
          <cell r="X28" t="str">
            <v>Tarpaulin for water storage</v>
          </cell>
        </row>
        <row r="29">
          <cell r="X29" t="str">
            <v>Waste Collection Point (Communal)</v>
          </cell>
        </row>
        <row r="30">
          <cell r="X30" t="str">
            <v>Water bucket (10 liter bucket with lid)</v>
          </cell>
        </row>
        <row r="31">
          <cell r="X31" t="str">
            <v>Water bucket (15 litre)</v>
          </cell>
        </row>
        <row r="32">
          <cell r="X32" t="str">
            <v>Water container (20 liter Jerry Can)</v>
          </cell>
        </row>
        <row r="33">
          <cell r="X33" t="str">
            <v>Water container (35 to 50 Litre)</v>
          </cell>
        </row>
        <row r="34">
          <cell r="X34" t="str">
            <v>Water container (HH Level) 40 gallons</v>
          </cell>
        </row>
        <row r="35">
          <cell r="X35" t="str">
            <v>Water Purification Tablet</v>
          </cell>
        </row>
        <row r="36">
          <cell r="X36" t="str">
            <v xml:space="preserve">Water tank (1,000 L) for water storage at displacement sites </v>
          </cell>
        </row>
        <row r="37">
          <cell r="X37" t="str">
            <v xml:space="preserve">Water tank (2,000 L) for water storage at displacement sites </v>
          </cell>
        </row>
        <row r="38">
          <cell r="X38" t="str">
            <v>Blanket</v>
          </cell>
        </row>
        <row r="39">
          <cell r="X39" t="str">
            <v>Hygiene kits (Additional)</v>
          </cell>
        </row>
        <row r="40">
          <cell r="X40" t="str">
            <v>Dignity Kits (Additional)</v>
          </cell>
        </row>
        <row r="41">
          <cell r="X41" t="str">
            <v>Family Kits (Additional)</v>
          </cell>
        </row>
        <row r="42">
          <cell r="X42" t="str">
            <v>Emergency Shelter Kits (Additional)</v>
          </cell>
        </row>
        <row r="43">
          <cell r="X43" t="str">
            <v>Water bucket (4GL)</v>
          </cell>
        </row>
        <row r="44">
          <cell r="X44" t="str">
            <v>Desludging</v>
          </cell>
        </row>
        <row r="45">
          <cell r="X45" t="str">
            <v>Hygiene Kit(Itemized)</v>
          </cell>
        </row>
        <row r="46">
          <cell r="X46" t="str">
            <v>Family Kit(Itemized)</v>
          </cell>
        </row>
        <row r="47">
          <cell r="X47" t="str">
            <v>Itemized Shelter Kit</v>
          </cell>
        </row>
        <row r="48">
          <cell r="X48" t="str">
            <v>Emergency Water Supply</v>
          </cell>
        </row>
        <row r="49">
          <cell r="X49" t="str">
            <v>PPE for Shelter</v>
          </cell>
        </row>
        <row r="50">
          <cell r="X50" t="str">
            <v xml:space="preserve">Delivery Kits for pregnant women </v>
          </cell>
        </row>
        <row r="51">
          <cell r="X51" t="str">
            <v>Happy Baby Kits</v>
          </cell>
        </row>
      </sheetData>
      <sheetData sheetId="16">
        <row r="4">
          <cell r="N4" t="str">
            <v>Ayeyarwady</v>
          </cell>
        </row>
        <row r="5">
          <cell r="N5" t="str">
            <v>Bago (East)</v>
          </cell>
        </row>
        <row r="6">
          <cell r="N6" t="str">
            <v>Bago (West)</v>
          </cell>
        </row>
        <row r="7">
          <cell r="N7" t="str">
            <v>Chin</v>
          </cell>
        </row>
        <row r="8">
          <cell r="N8" t="str">
            <v>Kachin</v>
          </cell>
        </row>
        <row r="9">
          <cell r="N9" t="str">
            <v>Kayah</v>
          </cell>
        </row>
        <row r="10">
          <cell r="N10" t="str">
            <v>Kayin</v>
          </cell>
        </row>
        <row r="11">
          <cell r="N11" t="str">
            <v>Magway</v>
          </cell>
        </row>
        <row r="12">
          <cell r="N12" t="str">
            <v>Mandalay</v>
          </cell>
        </row>
        <row r="13">
          <cell r="N13" t="str">
            <v>Mon</v>
          </cell>
        </row>
        <row r="14">
          <cell r="N14" t="str">
            <v>Nay Pyi Taw</v>
          </cell>
        </row>
        <row r="15">
          <cell r="N15" t="str">
            <v>Rakhine</v>
          </cell>
        </row>
        <row r="16">
          <cell r="N16" t="str">
            <v>Sagaing</v>
          </cell>
        </row>
        <row r="17">
          <cell r="N17" t="str">
            <v>Shan (East)</v>
          </cell>
        </row>
        <row r="18">
          <cell r="N18" t="str">
            <v>Shan (North)</v>
          </cell>
        </row>
        <row r="19">
          <cell r="N19" t="str">
            <v>Shan (South)</v>
          </cell>
        </row>
        <row r="20">
          <cell r="N20" t="str">
            <v>Tanintharyi</v>
          </cell>
        </row>
        <row r="21">
          <cell r="N21" t="str">
            <v>Yangon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mily_planning"/>
      <sheetName val="Def"/>
      <sheetName val="PHC"/>
      <sheetName val="MsHn"/>
      <sheetName val="Cervical Cancer Screening"/>
      <sheetName val="Patient  Monitoring"/>
      <sheetName val="Training"/>
      <sheetName val="Distribution"/>
      <sheetName val="MUAC_U5"/>
      <sheetName val="MUAC_PLW"/>
      <sheetName val="HE"/>
      <sheetName val="SRHR_Awareness raising"/>
      <sheetName val="GBV-Awareness raising"/>
      <sheetName val="CFRM"/>
      <sheetName val="datavalidation"/>
      <sheetName val="info"/>
      <sheetName val="Datamatrix"/>
      <sheetName val="mmm_dd-yy Mobile clinic datab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H2" t="str">
            <v>&lt;10 yrs</v>
          </cell>
          <cell r="K2" t="str">
            <v>Abdominal pain in pregnancy</v>
          </cell>
          <cell r="R2" t="str">
            <v>Q12023</v>
          </cell>
        </row>
        <row r="3">
          <cell r="K3" t="str">
            <v>Abscess</v>
          </cell>
          <cell r="R3" t="str">
            <v>Q22023</v>
          </cell>
        </row>
        <row r="4">
          <cell r="K4" t="str">
            <v>Acute cystitis</v>
          </cell>
          <cell r="R4" t="str">
            <v>Q32023</v>
          </cell>
        </row>
        <row r="5">
          <cell r="K5" t="str">
            <v>Acute diarrhoea</v>
          </cell>
          <cell r="R5" t="str">
            <v>Q42023</v>
          </cell>
        </row>
        <row r="6">
          <cell r="K6" t="str">
            <v>Acute Pharyngitis</v>
          </cell>
        </row>
        <row r="7">
          <cell r="K7" t="str">
            <v>Acute prostatitis</v>
          </cell>
        </row>
        <row r="8">
          <cell r="K8" t="str">
            <v>Acute pyelonephritis</v>
          </cell>
        </row>
        <row r="9">
          <cell r="K9" t="str">
            <v>Acute Severe asthma</v>
          </cell>
        </row>
        <row r="10">
          <cell r="F10" t="str">
            <v>Extremely dissatisfied</v>
          </cell>
          <cell r="H10" t="str">
            <v>Recovered</v>
          </cell>
          <cell r="K10" t="str">
            <v>Acute sinusitis</v>
          </cell>
        </row>
        <row r="11">
          <cell r="F11" t="str">
            <v>Dissatisfied</v>
          </cell>
          <cell r="H11" t="str">
            <v>Improved but not recovered</v>
          </cell>
          <cell r="K11" t="str">
            <v>Acute upper airway obstruction</v>
          </cell>
        </row>
        <row r="12">
          <cell r="F12" t="str">
            <v>Partially satisfied</v>
          </cell>
          <cell r="H12" t="str">
            <v>Same condition</v>
          </cell>
          <cell r="K12" t="str">
            <v>Agitation</v>
          </cell>
        </row>
        <row r="13">
          <cell r="F13" t="str">
            <v>Satisfied</v>
          </cell>
          <cell r="H13" t="str">
            <v>Worse</v>
          </cell>
          <cell r="K13" t="str">
            <v>Allergic reaction</v>
          </cell>
        </row>
        <row r="14">
          <cell r="F14" t="str">
            <v>Extremely Satisfied</v>
          </cell>
          <cell r="H14" t="str">
            <v>Ongoing/chronic problem</v>
          </cell>
          <cell r="K14" t="str">
            <v>Amenorrhoea</v>
          </cell>
        </row>
        <row r="15">
          <cell r="H15" t="str">
            <v>Unsure</v>
          </cell>
          <cell r="K15" t="str">
            <v>Anaemia</v>
          </cell>
        </row>
        <row r="16">
          <cell r="K16" t="str">
            <v>Animal/Insect bite</v>
          </cell>
        </row>
        <row r="17">
          <cell r="K17" t="str">
            <v>Anxiety</v>
          </cell>
        </row>
        <row r="18">
          <cell r="F18" t="str">
            <v>Very satisfied</v>
          </cell>
          <cell r="H18" t="str">
            <v>Yes, totally</v>
          </cell>
          <cell r="K18" t="str">
            <v>Arthalgia</v>
          </cell>
        </row>
        <row r="19">
          <cell r="F19" t="str">
            <v>Satisfied</v>
          </cell>
          <cell r="H19" t="str">
            <v>Yes, partially</v>
          </cell>
          <cell r="K19" t="str">
            <v>Asthma</v>
          </cell>
        </row>
        <row r="20">
          <cell r="F20" t="str">
            <v xml:space="preserve">Dissatisfied </v>
          </cell>
          <cell r="H20" t="str">
            <v>Not at all</v>
          </cell>
          <cell r="K20" t="str">
            <v>Back pain in pregnancy</v>
          </cell>
        </row>
        <row r="21">
          <cell r="F21" t="str">
            <v xml:space="preserve">Very dissatisfied </v>
          </cell>
          <cell r="H21" t="str">
            <v>Unsure</v>
          </cell>
          <cell r="K21" t="str">
            <v>Bacteria skin infection</v>
          </cell>
        </row>
        <row r="22">
          <cell r="H22" t="str">
            <v>Don’t know</v>
          </cell>
          <cell r="K22" t="str">
            <v>Bacterial vaginosis</v>
          </cell>
        </row>
        <row r="23">
          <cell r="K23" t="str">
            <v>Beri Beri</v>
          </cell>
        </row>
        <row r="24">
          <cell r="K24" t="str">
            <v>Bleeding during pregnancy</v>
          </cell>
        </row>
        <row r="25">
          <cell r="K25" t="str">
            <v>Bronchiolitis</v>
          </cell>
        </row>
        <row r="26">
          <cell r="K26" t="str">
            <v>Bronchiolitis</v>
          </cell>
        </row>
        <row r="27">
          <cell r="K27" t="str">
            <v>Bronchitis</v>
          </cell>
        </row>
        <row r="28">
          <cell r="K28" t="str">
            <v>Bronchitis</v>
          </cell>
        </row>
        <row r="29">
          <cell r="K29" t="str">
            <v>Burns/wounds</v>
          </cell>
        </row>
        <row r="30">
          <cell r="K30" t="str">
            <v>Cataract</v>
          </cell>
        </row>
        <row r="31">
          <cell r="K31" t="str">
            <v>Cerebral soft tissue infection</v>
          </cell>
        </row>
        <row r="32">
          <cell r="K32" t="str">
            <v>Cervicitis</v>
          </cell>
        </row>
        <row r="33">
          <cell r="K33" t="str">
            <v>Chest infection</v>
          </cell>
        </row>
        <row r="34">
          <cell r="K34" t="str">
            <v>Chicken Pox</v>
          </cell>
        </row>
        <row r="35">
          <cell r="K35" t="str">
            <v>Chlamydia</v>
          </cell>
        </row>
        <row r="36">
          <cell r="K36" t="str">
            <v>Chronic Asthma</v>
          </cell>
        </row>
        <row r="37">
          <cell r="K37" t="str">
            <v>Colitis</v>
          </cell>
        </row>
        <row r="38">
          <cell r="K38" t="str">
            <v>Common cold</v>
          </cell>
        </row>
        <row r="39">
          <cell r="K39" t="str">
            <v>Congenital abnormalities</v>
          </cell>
        </row>
        <row r="40">
          <cell r="K40" t="str">
            <v>Congenital abnormalities/deformities</v>
          </cell>
        </row>
        <row r="41">
          <cell r="K41" t="str">
            <v>Congenital deformaties</v>
          </cell>
        </row>
        <row r="42">
          <cell r="K42" t="str">
            <v>Congenital heart disease</v>
          </cell>
        </row>
        <row r="43">
          <cell r="K43" t="str">
            <v>Congenital infection</v>
          </cell>
        </row>
        <row r="44">
          <cell r="K44" t="str">
            <v>Conjunctivitis</v>
          </cell>
        </row>
        <row r="45">
          <cell r="K45" t="str">
            <v>Constipation</v>
          </cell>
        </row>
        <row r="46">
          <cell r="K46" t="str">
            <v>COPD</v>
          </cell>
        </row>
        <row r="47">
          <cell r="K47" t="str">
            <v>Dehydration with diarrhoea</v>
          </cell>
        </row>
        <row r="48">
          <cell r="K48" t="str">
            <v>Delay milestones</v>
          </cell>
        </row>
        <row r="49">
          <cell r="K49" t="str">
            <v>Dengue</v>
          </cell>
        </row>
        <row r="50">
          <cell r="K50" t="str">
            <v>Dengue haemorrhagic fever</v>
          </cell>
        </row>
        <row r="51">
          <cell r="K51" t="str">
            <v>Dengue shock</v>
          </cell>
        </row>
        <row r="52">
          <cell r="K52" t="str">
            <v>Dental infections</v>
          </cell>
        </row>
        <row r="53">
          <cell r="K53" t="str">
            <v>Depression</v>
          </cell>
        </row>
        <row r="54">
          <cell r="K54" t="str">
            <v>DHF suspect</v>
          </cell>
        </row>
        <row r="55">
          <cell r="K55" t="str">
            <v>DM</v>
          </cell>
        </row>
        <row r="56">
          <cell r="K56" t="str">
            <v>Dribbling during pregnancy</v>
          </cell>
        </row>
        <row r="57">
          <cell r="K57" t="str">
            <v>Dysentery</v>
          </cell>
        </row>
        <row r="58">
          <cell r="K58" t="str">
            <v>Dysnonea</v>
          </cell>
        </row>
        <row r="59">
          <cell r="K59" t="str">
            <v>Dyspepsia</v>
          </cell>
        </row>
        <row r="60">
          <cell r="K60" t="str">
            <v>Ear conal blockage</v>
          </cell>
        </row>
        <row r="61">
          <cell r="K61" t="str">
            <v>Eczema</v>
          </cell>
        </row>
        <row r="62">
          <cell r="K62" t="str">
            <v>Encephalitis</v>
          </cell>
        </row>
        <row r="63">
          <cell r="K63" t="str">
            <v>Enteric (typhoid and paratyphoid) fevers</v>
          </cell>
        </row>
        <row r="64">
          <cell r="K64" t="str">
            <v>Fall from heigh</v>
          </cell>
        </row>
        <row r="65">
          <cell r="K65" t="str">
            <v>Fever of unknown</v>
          </cell>
        </row>
        <row r="66">
          <cell r="K66" t="str">
            <v>Filariasis</v>
          </cell>
        </row>
        <row r="67">
          <cell r="K67" t="str">
            <v>Fits/Epilepsy</v>
          </cell>
        </row>
        <row r="68">
          <cell r="K68" t="str">
            <v>Flu with high fever</v>
          </cell>
        </row>
        <row r="69">
          <cell r="K69" t="str">
            <v>food poisoning</v>
          </cell>
        </row>
        <row r="70">
          <cell r="K70" t="str">
            <v>Fracture</v>
          </cell>
        </row>
        <row r="71">
          <cell r="K71" t="str">
            <v>Fungal infection</v>
          </cell>
        </row>
        <row r="72">
          <cell r="K72" t="str">
            <v>Gastritis</v>
          </cell>
        </row>
        <row r="73">
          <cell r="K73" t="str">
            <v>Genital herpes</v>
          </cell>
        </row>
        <row r="74">
          <cell r="K74" t="str">
            <v>Genital warts</v>
          </cell>
        </row>
        <row r="75">
          <cell r="K75" t="str">
            <v>Glaucoma</v>
          </cell>
        </row>
        <row r="76">
          <cell r="K76" t="str">
            <v>Gonorrhea</v>
          </cell>
        </row>
        <row r="77">
          <cell r="K77" t="str">
            <v>Headache</v>
          </cell>
        </row>
        <row r="78">
          <cell r="K78" t="str">
            <v>Heart disease</v>
          </cell>
        </row>
        <row r="79">
          <cell r="K79" t="str">
            <v>Heavy/prolong bleeding between period or during intercourse</v>
          </cell>
        </row>
        <row r="80">
          <cell r="K80" t="str">
            <v>Hematological diseases</v>
          </cell>
        </row>
        <row r="81">
          <cell r="K81" t="str">
            <v>Hepatitis</v>
          </cell>
        </row>
        <row r="82">
          <cell r="K82" t="str">
            <v>Herpes simplex and herpes zoster</v>
          </cell>
        </row>
        <row r="83">
          <cell r="K83" t="str">
            <v>HIV/AIDS</v>
          </cell>
        </row>
        <row r="84">
          <cell r="K84" t="str">
            <v>Hypertension</v>
          </cell>
        </row>
        <row r="85">
          <cell r="K85" t="str">
            <v>Injuries</v>
          </cell>
        </row>
        <row r="86">
          <cell r="K86" t="str">
            <v>Insomnia</v>
          </cell>
        </row>
        <row r="87">
          <cell r="K87" t="str">
            <v>Irregular cycle</v>
          </cell>
        </row>
        <row r="88">
          <cell r="K88" t="str">
            <v>Late neonatal sepsis</v>
          </cell>
        </row>
        <row r="89">
          <cell r="K89" t="str">
            <v>Leptospirosis</v>
          </cell>
        </row>
        <row r="90">
          <cell r="K90" t="str">
            <v>Low birth weight</v>
          </cell>
        </row>
        <row r="91">
          <cell r="K91" t="str">
            <v>Lower Respiratory tract infection</v>
          </cell>
        </row>
        <row r="92">
          <cell r="K92" t="str">
            <v>Malaria/ cerebral malaria</v>
          </cell>
        </row>
        <row r="93">
          <cell r="K93" t="str">
            <v>Malnutrition</v>
          </cell>
        </row>
        <row r="94">
          <cell r="K94" t="str">
            <v>Measles</v>
          </cell>
        </row>
        <row r="95">
          <cell r="K95" t="str">
            <v>Meningitis</v>
          </cell>
        </row>
        <row r="96">
          <cell r="K96" t="str">
            <v>Menstrual disorder</v>
          </cell>
        </row>
        <row r="97">
          <cell r="K97" t="str">
            <v>Mental confusion</v>
          </cell>
        </row>
        <row r="98">
          <cell r="K98" t="str">
            <v>Muscle pain</v>
          </cell>
        </row>
        <row r="99">
          <cell r="K99" t="str">
            <v>Neonatal jaundice</v>
          </cell>
        </row>
        <row r="100">
          <cell r="K100" t="str">
            <v>Neonatal sepsis</v>
          </cell>
        </row>
        <row r="101">
          <cell r="K101" t="str">
            <v>Nephrotic syndrome in children</v>
          </cell>
        </row>
        <row r="102">
          <cell r="K102" t="str">
            <v>Neuralgia</v>
          </cell>
        </row>
        <row r="103">
          <cell r="K103" t="str">
            <v>other eye problem</v>
          </cell>
        </row>
        <row r="104">
          <cell r="K104" t="str">
            <v>other parasitic infection</v>
          </cell>
        </row>
        <row r="105">
          <cell r="K105" t="str">
            <v>Other skin disorders</v>
          </cell>
        </row>
        <row r="106">
          <cell r="K106" t="str">
            <v>other vision problem</v>
          </cell>
        </row>
        <row r="107">
          <cell r="K107" t="str">
            <v>Otitis</v>
          </cell>
        </row>
        <row r="108">
          <cell r="K108" t="str">
            <v>Otitis abscess</v>
          </cell>
        </row>
        <row r="109">
          <cell r="K109" t="str">
            <v>Otitis externa</v>
          </cell>
        </row>
        <row r="110">
          <cell r="K110" t="str">
            <v>Otitis media</v>
          </cell>
        </row>
        <row r="111">
          <cell r="K111" t="str">
            <v>Painful monthly cramps</v>
          </cell>
        </row>
        <row r="112">
          <cell r="K112" t="str">
            <v>Pelvic pain</v>
          </cell>
        </row>
        <row r="113">
          <cell r="K113" t="str">
            <v>Peptic ulcer</v>
          </cell>
        </row>
        <row r="114">
          <cell r="K114" t="str">
            <v>Periorbital and orbital cellulitis</v>
          </cell>
        </row>
        <row r="115">
          <cell r="K115" t="str">
            <v>Pile</v>
          </cell>
        </row>
        <row r="116">
          <cell r="K116" t="str">
            <v>Pneumococcal meningitis</v>
          </cell>
        </row>
        <row r="117">
          <cell r="K117" t="str">
            <v>Pneumonia</v>
          </cell>
        </row>
        <row r="118">
          <cell r="K118" t="str">
            <v>Poisoning</v>
          </cell>
        </row>
        <row r="119">
          <cell r="K119" t="str">
            <v>Poliomyelitis</v>
          </cell>
        </row>
        <row r="120">
          <cell r="K120" t="str">
            <v>Post-traumatic stress disorder</v>
          </cell>
        </row>
        <row r="121">
          <cell r="K121" t="str">
            <v>Protein energy malnutrition</v>
          </cell>
        </row>
        <row r="122">
          <cell r="K122" t="str">
            <v>Pruritis</v>
          </cell>
        </row>
        <row r="123">
          <cell r="K123" t="str">
            <v>Psychotic disorders</v>
          </cell>
        </row>
        <row r="124">
          <cell r="K124" t="str">
            <v>Pulmonary TB-suspect</v>
          </cell>
        </row>
        <row r="125">
          <cell r="K125" t="str">
            <v>Rabies</v>
          </cell>
        </row>
        <row r="126">
          <cell r="K126" t="str">
            <v>Reduce fetal movement in pregnancy</v>
          </cell>
        </row>
        <row r="127">
          <cell r="K127" t="str">
            <v>Renal disease</v>
          </cell>
        </row>
        <row r="128">
          <cell r="K128" t="str">
            <v>Respiratory viral infection</v>
          </cell>
        </row>
        <row r="129">
          <cell r="K129" t="str">
            <v>Ring worm</v>
          </cell>
        </row>
        <row r="130">
          <cell r="K130" t="str">
            <v>Scabies infection</v>
          </cell>
        </row>
        <row r="131">
          <cell r="K131" t="str">
            <v>Scald</v>
          </cell>
        </row>
        <row r="132">
          <cell r="K132" t="str">
            <v>Scar</v>
          </cell>
        </row>
        <row r="133">
          <cell r="K133" t="str">
            <v>Schistosomiases</v>
          </cell>
        </row>
        <row r="134">
          <cell r="K134" t="str">
            <v>Severe abdominal pain</v>
          </cell>
        </row>
        <row r="135">
          <cell r="K135" t="str">
            <v>Severe dehydration with diarrhoea</v>
          </cell>
        </row>
        <row r="136">
          <cell r="K136" t="str">
            <v>Severe malnutrition</v>
          </cell>
        </row>
        <row r="137">
          <cell r="K137" t="str">
            <v>Severe pneumonia</v>
          </cell>
        </row>
        <row r="138">
          <cell r="K138" t="str">
            <v>Severe respiratory distress in neonates</v>
          </cell>
        </row>
        <row r="139">
          <cell r="K139" t="str">
            <v>Sickness in pregnancy</v>
          </cell>
        </row>
        <row r="140">
          <cell r="K140" t="str">
            <v>Stab wound</v>
          </cell>
        </row>
        <row r="141">
          <cell r="K141" t="str">
            <v>Stomach cramps in pregnancy</v>
          </cell>
        </row>
        <row r="142">
          <cell r="K142" t="str">
            <v>Stomatitis</v>
          </cell>
        </row>
        <row r="143">
          <cell r="K143" t="str">
            <v>Stroke</v>
          </cell>
        </row>
        <row r="144">
          <cell r="K144" t="str">
            <v>Suspected pregnancy</v>
          </cell>
        </row>
        <row r="145">
          <cell r="K145" t="str">
            <v>Swelling of hands/face/feet</v>
          </cell>
        </row>
        <row r="146">
          <cell r="K146" t="str">
            <v>Syphilis</v>
          </cell>
        </row>
        <row r="147">
          <cell r="K147" t="str">
            <v>Tetanus</v>
          </cell>
        </row>
        <row r="148">
          <cell r="K148" t="str">
            <v>Thalassemia with severe anamia</v>
          </cell>
        </row>
        <row r="149">
          <cell r="K149" t="str">
            <v>Tonsillar abscess</v>
          </cell>
        </row>
        <row r="150">
          <cell r="K150" t="str">
            <v>Trachoma</v>
          </cell>
        </row>
        <row r="151">
          <cell r="K151" t="str">
            <v>Trichomoniasis</v>
          </cell>
        </row>
        <row r="152">
          <cell r="K152" t="str">
            <v>Tuberculosis</v>
          </cell>
        </row>
        <row r="153">
          <cell r="K153" t="str">
            <v>Umbilical cord infection/sepsis</v>
          </cell>
        </row>
        <row r="154">
          <cell r="K154" t="str">
            <v>Upper Respiratory tract infection</v>
          </cell>
        </row>
        <row r="155">
          <cell r="K155" t="str">
            <v>Urinary incontinence</v>
          </cell>
        </row>
        <row r="156">
          <cell r="K156" t="str">
            <v>Urolithiasis</v>
          </cell>
        </row>
        <row r="157">
          <cell r="K157" t="str">
            <v>UTI</v>
          </cell>
        </row>
        <row r="158">
          <cell r="K158" t="str">
            <v>Vaginal candidiasis</v>
          </cell>
        </row>
        <row r="159">
          <cell r="K159" t="str">
            <v>Very severe pneumonia</v>
          </cell>
        </row>
        <row r="160">
          <cell r="K160" t="str">
            <v>Viral haemorrhagic fevers</v>
          </cell>
        </row>
        <row r="161">
          <cell r="K161" t="str">
            <v>Viral hepatitis</v>
          </cell>
        </row>
        <row r="162">
          <cell r="K162" t="str">
            <v>Vomitting in pregnancy</v>
          </cell>
        </row>
        <row r="163">
          <cell r="K163" t="str">
            <v>Weakness</v>
          </cell>
        </row>
        <row r="164">
          <cell r="K164" t="str">
            <v>White discharge</v>
          </cell>
        </row>
        <row r="165">
          <cell r="K165" t="str">
            <v>Whooping cough (pertussis)</v>
          </cell>
        </row>
        <row r="166">
          <cell r="K166" t="str">
            <v>Worm infestation</v>
          </cell>
        </row>
        <row r="167">
          <cell r="K167" t="str">
            <v>Xerophthalmia (vitamin A deficiency)</v>
          </cell>
        </row>
      </sheetData>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List"/>
      <sheetName val="Data Matrix"/>
      <sheetName val="Sheet1"/>
      <sheetName val="Patient Register (MAM &amp; SAM)"/>
      <sheetName val="PLW Patient Register"/>
      <sheetName val="Community Awareness Raising"/>
      <sheetName val="IYCF Register"/>
      <sheetName val="Community Awareness"/>
      <sheetName val="Male Engagement"/>
      <sheetName val="MUAC_U5"/>
      <sheetName val="MUAC_PLW"/>
      <sheetName val="Cooking Demostration"/>
      <sheetName val="Meeting_Event"/>
      <sheetName val="Training"/>
      <sheetName val="NBC Kit Distribution"/>
      <sheetName val="MNP U5 Distribution"/>
      <sheetName val="MNT PLW Distribution"/>
      <sheetName val="Vit A and Dew Distribution"/>
      <sheetName val="Kit Distribution"/>
      <sheetName val="Home visit"/>
      <sheetName val="Volunteer Profile"/>
      <sheetName val="Micronutrient Distribution"/>
      <sheetName val="Indicator_achievement"/>
      <sheetName val="Note"/>
      <sheetName val="Measles&amp;Rubel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HC_SRHC"/>
      <sheetName val="Dropdown"/>
      <sheetName val="PE List"/>
      <sheetName val="Referencing"/>
      <sheetName val="Tsp_Req_info"/>
      <sheetName val="Township Situation"/>
      <sheetName val="Narrative"/>
      <sheetName val="Referral"/>
      <sheetName val="Ref_pt_monitor"/>
      <sheetName val="Meeting"/>
      <sheetName val="BHS Training Attendance"/>
      <sheetName val="Non-BHS Training Attendance"/>
      <sheetName val="Training Summary"/>
      <sheetName val="CBHW Supervision"/>
      <sheetName val="CBHW Supervision Summary"/>
      <sheetName val="Outreach"/>
      <sheetName val="Mobile Clinic"/>
      <sheetName val="cFRM Summary"/>
      <sheetName val="VHC Members"/>
      <sheetName val="VHC Status"/>
      <sheetName val="MSG members"/>
      <sheetName val="MSG Status"/>
      <sheetName val="MtM Awareness"/>
      <sheetName val="PE Supervison"/>
      <sheetName val="SRHR Peer Awareness Sessions"/>
      <sheetName val="Peer Educators Summary"/>
      <sheetName val="Health Facility Supervision"/>
      <sheetName val="Cooking Demonstration"/>
      <sheetName val="Community Awareness"/>
      <sheetName val="CDSR"/>
      <sheetName val="MDSR"/>
      <sheetName val="mmddyy_ACCESS_MEL_Kyauktaw_Mo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MEAL Report"/>
      <sheetName val="Summary of Tools"/>
      <sheetName val="Form A"/>
      <sheetName val="Form B"/>
      <sheetName val="Form C"/>
      <sheetName val="Form D"/>
      <sheetName val="Form E (MM)"/>
      <sheetName val="Form F (MM)"/>
      <sheetName val="Form G (MM)"/>
      <sheetName val="Form H (MM)"/>
      <sheetName val="Form E(Eng)"/>
      <sheetName val="Form F (Eng)"/>
      <sheetName val="Form G (Eng)"/>
      <sheetName val="Form H (Eng)"/>
      <sheetName val="Co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Def"/>
      <sheetName val="PHC"/>
      <sheetName val="Referral"/>
      <sheetName val="Referral_pt_monitor"/>
      <sheetName val="MCH"/>
      <sheetName val="Family_planning"/>
      <sheetName val="HE"/>
      <sheetName val="Training"/>
      <sheetName val="MUAC_U5"/>
      <sheetName val="MUAC_PLW"/>
      <sheetName val="Datamatrix"/>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
      <sheetName val="Narrative"/>
      <sheetName val="Installation Tracker "/>
      <sheetName val="Safe Drinking Water"/>
      <sheetName val="Community EH Activities "/>
      <sheetName val="CFRM"/>
      <sheetName val="PHC"/>
      <sheetName val="Health_Referral"/>
      <sheetName val="Family_planning"/>
      <sheetName val="Patient_Monitoring"/>
      <sheetName val="Health_Awareness_Session"/>
      <sheetName val="Clinic_Health_Post_Supervision"/>
      <sheetName val="CFS"/>
      <sheetName val="P_Case_Management"/>
      <sheetName val="Protection_Referral"/>
      <sheetName val="WASH_Awareness_Session"/>
      <sheetName val="MPCA"/>
      <sheetName val="Def"/>
      <sheetName val="datavalidation"/>
      <sheetName val="Jun_16_2024_BHA_MEAL_database_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
      <sheetName val="Narrative"/>
      <sheetName val="MPCA"/>
      <sheetName val="Distribution For All Items_new"/>
      <sheetName val="Dropdownlist"/>
      <sheetName val="Installation Tracker "/>
      <sheetName val="Safe Drinking Water"/>
      <sheetName val="Community EH Activities "/>
      <sheetName val="WASH Awareness Session"/>
      <sheetName val="Meeting"/>
      <sheetName val="Training"/>
      <sheetName val="Feedback Tracking"/>
      <sheetName val="RI_BHA_MEAL_database_updated on"/>
      <sheetName val="Validation"/>
      <sheetName val="Location"/>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validation"/>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
      <sheetName val="PHC Case Summary"/>
      <sheetName val="Health Service Consultation"/>
      <sheetName val="Sheet5"/>
      <sheetName val="Awareness"/>
      <sheetName val="Sheet6"/>
      <sheetName val="Emergency Referral"/>
      <sheetName val="IYCF Counselling"/>
      <sheetName val="&lt;5 screening"/>
      <sheetName val="Info"/>
      <sheetName val="Installation"/>
      <sheetName val="Assistive Device Support"/>
      <sheetName val="REport"/>
      <sheetName val="Assistive Update"/>
      <sheetName val="Sheet1"/>
      <sheetName val="Sheet4"/>
      <sheetName val="Sheet3"/>
      <sheetName val="AS"/>
      <sheetName val="Sheet2"/>
      <sheetName val="Distribution"/>
      <sheetName val="Meeting"/>
      <sheetName val="MPCA"/>
      <sheetName val="Training"/>
      <sheetName val="CFRM"/>
      <sheetName val="Validation"/>
      <sheetName v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R4">
            <v>1</v>
          </cell>
          <cell r="S4">
            <v>1</v>
          </cell>
          <cell r="T4">
            <v>4</v>
          </cell>
          <cell r="U4">
            <v>1</v>
          </cell>
          <cell r="V4">
            <v>4</v>
          </cell>
          <cell r="W4">
            <v>1</v>
          </cell>
        </row>
        <row r="5">
          <cell r="R5">
            <v>1</v>
          </cell>
          <cell r="S5">
            <v>1</v>
          </cell>
          <cell r="T5">
            <v>3</v>
          </cell>
          <cell r="U5">
            <v>1</v>
          </cell>
          <cell r="V5">
            <v>4</v>
          </cell>
          <cell r="W5">
            <v>1</v>
          </cell>
        </row>
        <row r="6">
          <cell r="R6">
            <v>2</v>
          </cell>
          <cell r="S6">
            <v>3</v>
          </cell>
          <cell r="T6">
            <v>4</v>
          </cell>
          <cell r="U6">
            <v>4</v>
          </cell>
          <cell r="V6">
            <v>4</v>
          </cell>
          <cell r="W6">
            <v>4</v>
          </cell>
        </row>
        <row r="7">
          <cell r="R7">
            <v>2</v>
          </cell>
          <cell r="S7">
            <v>2</v>
          </cell>
          <cell r="T7">
            <v>4</v>
          </cell>
          <cell r="U7">
            <v>4</v>
          </cell>
          <cell r="V7">
            <v>4</v>
          </cell>
          <cell r="W7">
            <v>4</v>
          </cell>
        </row>
        <row r="8">
          <cell r="R8">
            <v>1</v>
          </cell>
          <cell r="S8">
            <v>1</v>
          </cell>
          <cell r="T8">
            <v>4</v>
          </cell>
          <cell r="U8">
            <v>1</v>
          </cell>
          <cell r="V8">
            <v>4</v>
          </cell>
          <cell r="W8">
            <v>1</v>
          </cell>
        </row>
        <row r="9">
          <cell r="R9">
            <v>1</v>
          </cell>
          <cell r="S9">
            <v>1</v>
          </cell>
          <cell r="T9">
            <v>4</v>
          </cell>
          <cell r="U9">
            <v>4</v>
          </cell>
          <cell r="V9">
            <v>4</v>
          </cell>
          <cell r="W9">
            <v>1</v>
          </cell>
        </row>
        <row r="10">
          <cell r="R10">
            <v>1</v>
          </cell>
          <cell r="S10">
            <v>1</v>
          </cell>
          <cell r="T10">
            <v>3</v>
          </cell>
          <cell r="U10">
            <v>1</v>
          </cell>
          <cell r="V10">
            <v>4</v>
          </cell>
          <cell r="W10">
            <v>1</v>
          </cell>
        </row>
        <row r="11">
          <cell r="R11">
            <v>2</v>
          </cell>
          <cell r="S11">
            <v>1</v>
          </cell>
          <cell r="T11">
            <v>3</v>
          </cell>
          <cell r="U11">
            <v>2</v>
          </cell>
          <cell r="V11">
            <v>4</v>
          </cell>
          <cell r="W11">
            <v>1</v>
          </cell>
        </row>
        <row r="12">
          <cell r="R12">
            <v>2</v>
          </cell>
          <cell r="S12">
            <v>2</v>
          </cell>
          <cell r="T12">
            <v>3</v>
          </cell>
          <cell r="U12">
            <v>2</v>
          </cell>
          <cell r="V12">
            <v>4</v>
          </cell>
          <cell r="W12">
            <v>2</v>
          </cell>
        </row>
        <row r="13">
          <cell r="R13">
            <v>2</v>
          </cell>
          <cell r="S13">
            <v>2</v>
          </cell>
          <cell r="T13">
            <v>4</v>
          </cell>
          <cell r="U13">
            <v>4</v>
          </cell>
          <cell r="V13">
            <v>4</v>
          </cell>
          <cell r="W13">
            <v>4</v>
          </cell>
        </row>
        <row r="14">
          <cell r="R14">
            <v>1</v>
          </cell>
          <cell r="S14">
            <v>1</v>
          </cell>
          <cell r="T14">
            <v>4</v>
          </cell>
          <cell r="U14">
            <v>1</v>
          </cell>
          <cell r="V14">
            <v>4</v>
          </cell>
          <cell r="W14">
            <v>1</v>
          </cell>
        </row>
        <row r="15">
          <cell r="R15">
            <v>1</v>
          </cell>
          <cell r="S15">
            <v>1</v>
          </cell>
          <cell r="T15">
            <v>4</v>
          </cell>
          <cell r="U15">
            <v>3</v>
          </cell>
          <cell r="V15">
            <v>4</v>
          </cell>
          <cell r="W15">
            <v>3</v>
          </cell>
        </row>
        <row r="16">
          <cell r="R16">
            <v>1</v>
          </cell>
          <cell r="S16">
            <v>1</v>
          </cell>
          <cell r="T16">
            <v>3</v>
          </cell>
          <cell r="U16">
            <v>1</v>
          </cell>
          <cell r="V16">
            <v>1</v>
          </cell>
          <cell r="W16">
            <v>1</v>
          </cell>
        </row>
        <row r="17">
          <cell r="R17">
            <v>1</v>
          </cell>
          <cell r="S17">
            <v>1</v>
          </cell>
          <cell r="T17">
            <v>3</v>
          </cell>
          <cell r="U17">
            <v>2</v>
          </cell>
          <cell r="V17">
            <v>4</v>
          </cell>
          <cell r="W17">
            <v>1</v>
          </cell>
        </row>
        <row r="18">
          <cell r="R18">
            <v>1</v>
          </cell>
          <cell r="S18">
            <v>1</v>
          </cell>
          <cell r="T18">
            <v>3</v>
          </cell>
          <cell r="U18">
            <v>1</v>
          </cell>
          <cell r="V18">
            <v>1</v>
          </cell>
          <cell r="W18">
            <v>1</v>
          </cell>
        </row>
        <row r="19">
          <cell r="R19">
            <v>3</v>
          </cell>
          <cell r="S19">
            <v>3</v>
          </cell>
          <cell r="T19">
            <v>4</v>
          </cell>
          <cell r="U19">
            <v>4</v>
          </cell>
          <cell r="V19">
            <v>4</v>
          </cell>
          <cell r="W19">
            <v>4</v>
          </cell>
        </row>
        <row r="20">
          <cell r="R20">
            <v>1</v>
          </cell>
          <cell r="S20">
            <v>2</v>
          </cell>
          <cell r="T20">
            <v>4</v>
          </cell>
          <cell r="U20">
            <v>3</v>
          </cell>
          <cell r="V20">
            <v>4</v>
          </cell>
          <cell r="W20">
            <v>4</v>
          </cell>
        </row>
        <row r="21">
          <cell r="R21">
            <v>2</v>
          </cell>
          <cell r="S21">
            <v>2</v>
          </cell>
          <cell r="T21">
            <v>4</v>
          </cell>
          <cell r="U21">
            <v>1</v>
          </cell>
          <cell r="V21">
            <v>3</v>
          </cell>
          <cell r="W21">
            <v>1</v>
          </cell>
        </row>
        <row r="22">
          <cell r="R22">
            <v>1</v>
          </cell>
          <cell r="S22">
            <v>1</v>
          </cell>
          <cell r="T22">
            <v>3</v>
          </cell>
          <cell r="U22">
            <v>1</v>
          </cell>
          <cell r="V22">
            <v>1</v>
          </cell>
          <cell r="W22">
            <v>1</v>
          </cell>
        </row>
        <row r="23">
          <cell r="R23">
            <v>1</v>
          </cell>
          <cell r="S23">
            <v>1</v>
          </cell>
          <cell r="T23">
            <v>4</v>
          </cell>
          <cell r="U23">
            <v>4</v>
          </cell>
          <cell r="V23">
            <v>4</v>
          </cell>
          <cell r="W23">
            <v>4</v>
          </cell>
        </row>
        <row r="24">
          <cell r="R24">
            <v>1</v>
          </cell>
          <cell r="S24">
            <v>1</v>
          </cell>
          <cell r="T24">
            <v>4</v>
          </cell>
          <cell r="U24">
            <v>1</v>
          </cell>
          <cell r="V24">
            <v>4</v>
          </cell>
          <cell r="W24">
            <v>1</v>
          </cell>
        </row>
        <row r="25">
          <cell r="R25">
            <v>1</v>
          </cell>
          <cell r="S25">
            <v>1</v>
          </cell>
          <cell r="T25">
            <v>3</v>
          </cell>
          <cell r="U25">
            <v>2</v>
          </cell>
          <cell r="V25">
            <v>4</v>
          </cell>
          <cell r="W25">
            <v>1</v>
          </cell>
        </row>
        <row r="26">
          <cell r="R26">
            <v>2</v>
          </cell>
          <cell r="S26">
            <v>1</v>
          </cell>
          <cell r="T26">
            <v>3</v>
          </cell>
          <cell r="U26">
            <v>1</v>
          </cell>
          <cell r="V26">
            <v>4</v>
          </cell>
          <cell r="W26">
            <v>1</v>
          </cell>
        </row>
        <row r="27">
          <cell r="R27">
            <v>1</v>
          </cell>
          <cell r="S27">
            <v>1</v>
          </cell>
          <cell r="T27">
            <v>3</v>
          </cell>
          <cell r="U27">
            <v>1</v>
          </cell>
          <cell r="V27">
            <v>2</v>
          </cell>
          <cell r="W27">
            <v>1</v>
          </cell>
        </row>
        <row r="28">
          <cell r="R28">
            <v>3</v>
          </cell>
          <cell r="S28">
            <v>1</v>
          </cell>
          <cell r="T28">
            <v>4</v>
          </cell>
          <cell r="U28">
            <v>2</v>
          </cell>
          <cell r="V28">
            <v>4</v>
          </cell>
          <cell r="W28">
            <v>2</v>
          </cell>
        </row>
        <row r="29">
          <cell r="R29">
            <v>1</v>
          </cell>
          <cell r="S29">
            <v>1</v>
          </cell>
          <cell r="T29">
            <v>3</v>
          </cell>
          <cell r="U29">
            <v>2</v>
          </cell>
          <cell r="V29">
            <v>2</v>
          </cell>
          <cell r="W29">
            <v>1</v>
          </cell>
        </row>
        <row r="30">
          <cell r="R30">
            <v>2</v>
          </cell>
          <cell r="S30">
            <v>2</v>
          </cell>
          <cell r="T30">
            <v>3</v>
          </cell>
          <cell r="U30">
            <v>2</v>
          </cell>
          <cell r="V30">
            <v>4</v>
          </cell>
          <cell r="W30">
            <v>2</v>
          </cell>
        </row>
        <row r="32">
          <cell r="R32">
            <v>1</v>
          </cell>
          <cell r="S32">
            <v>1</v>
          </cell>
          <cell r="T32">
            <v>3</v>
          </cell>
          <cell r="U32">
            <v>1</v>
          </cell>
          <cell r="V32">
            <v>1</v>
          </cell>
          <cell r="W32">
            <v>1</v>
          </cell>
        </row>
        <row r="33">
          <cell r="R33">
            <v>1</v>
          </cell>
          <cell r="S33">
            <v>1</v>
          </cell>
          <cell r="T33">
            <v>3</v>
          </cell>
          <cell r="U33">
            <v>1</v>
          </cell>
          <cell r="V33">
            <v>1</v>
          </cell>
          <cell r="W33">
            <v>1</v>
          </cell>
        </row>
        <row r="34">
          <cell r="R34">
            <v>1</v>
          </cell>
          <cell r="S34">
            <v>1</v>
          </cell>
          <cell r="T34">
            <v>3</v>
          </cell>
          <cell r="U34">
            <v>1</v>
          </cell>
          <cell r="V34">
            <v>3</v>
          </cell>
          <cell r="W34">
            <v>1</v>
          </cell>
        </row>
        <row r="35">
          <cell r="R35">
            <v>1</v>
          </cell>
          <cell r="S35">
            <v>1</v>
          </cell>
          <cell r="T35">
            <v>3</v>
          </cell>
          <cell r="U35">
            <v>1</v>
          </cell>
          <cell r="V35">
            <v>3</v>
          </cell>
          <cell r="W35">
            <v>1</v>
          </cell>
        </row>
        <row r="36">
          <cell r="R36">
            <v>2</v>
          </cell>
          <cell r="S36">
            <v>2</v>
          </cell>
          <cell r="T36">
            <v>4</v>
          </cell>
          <cell r="U36">
            <v>4</v>
          </cell>
          <cell r="V36">
            <v>4</v>
          </cell>
          <cell r="W36">
            <v>4</v>
          </cell>
        </row>
        <row r="38">
          <cell r="R38">
            <v>2</v>
          </cell>
          <cell r="S38">
            <v>2</v>
          </cell>
          <cell r="T38">
            <v>4</v>
          </cell>
          <cell r="U38">
            <v>4</v>
          </cell>
          <cell r="V38">
            <v>4</v>
          </cell>
          <cell r="W38">
            <v>4</v>
          </cell>
        </row>
        <row r="39">
          <cell r="R39">
            <v>1</v>
          </cell>
          <cell r="S39">
            <v>1</v>
          </cell>
          <cell r="T39">
            <v>4</v>
          </cell>
          <cell r="U39">
            <v>1</v>
          </cell>
          <cell r="V39">
            <v>1</v>
          </cell>
          <cell r="W39">
            <v>1</v>
          </cell>
        </row>
        <row r="40">
          <cell r="R40">
            <v>2</v>
          </cell>
          <cell r="S40">
            <v>2</v>
          </cell>
          <cell r="T40">
            <v>3</v>
          </cell>
          <cell r="U40">
            <v>2</v>
          </cell>
          <cell r="V40">
            <v>4</v>
          </cell>
          <cell r="W40">
            <v>2</v>
          </cell>
        </row>
        <row r="41">
          <cell r="R41">
            <v>2</v>
          </cell>
          <cell r="S41">
            <v>2</v>
          </cell>
          <cell r="T41">
            <v>3</v>
          </cell>
          <cell r="U41">
            <v>2</v>
          </cell>
          <cell r="V41">
            <v>4</v>
          </cell>
          <cell r="W41">
            <v>2</v>
          </cell>
        </row>
        <row r="42">
          <cell r="R42">
            <v>2</v>
          </cell>
          <cell r="S42">
            <v>2</v>
          </cell>
          <cell r="T42">
            <v>3</v>
          </cell>
          <cell r="U42">
            <v>2</v>
          </cell>
          <cell r="V42">
            <v>4</v>
          </cell>
          <cell r="W42">
            <v>2</v>
          </cell>
        </row>
        <row r="43">
          <cell r="R43">
            <v>2</v>
          </cell>
          <cell r="S43">
            <v>2</v>
          </cell>
          <cell r="T43">
            <v>3</v>
          </cell>
          <cell r="U43">
            <v>2</v>
          </cell>
          <cell r="V43">
            <v>3</v>
          </cell>
          <cell r="W43">
            <v>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c_8" displayName="phc_8" ref="A2:AN918" headerRowDxfId="493" dataDxfId="492">
  <autoFilter ref="A2:AN918" xr:uid="{30EEA5B8-B21E-49A9-9F3B-8508DAB1C44F}"/>
  <tableColumns count="40">
    <tableColumn id="1" xr3:uid="{00000000-0010-0000-0000-000001000000}" name="Sr.No" dataDxfId="491"/>
    <tableColumn id="8" xr3:uid="{00000000-0010-0000-0000-000008000000}" name="Fund" dataDxfId="490"/>
    <tableColumn id="6" xr3:uid="{00000000-0010-0000-0000-000006000000}" name="Implementing Organization Name" dataDxfId="489"/>
    <tableColumn id="33" xr3:uid="{00000000-0010-0000-0000-000021000000}" name="Health Post / Clinic" dataDxfId="488"/>
    <tableColumn id="36" xr3:uid="{00000000-0010-0000-0000-000024000000}" name="State" dataDxfId="487"/>
    <tableColumn id="2" xr3:uid="{00000000-0010-0000-0000-000002000000}" name="Township" dataDxfId="486"/>
    <tableColumn id="3" xr3:uid="{00000000-0010-0000-0000-000003000000}" name="Village Tract" dataDxfId="485"/>
    <tableColumn id="40" xr3:uid="{00000000-0010-0000-0000-000028000000}" name="Place" dataDxfId="484"/>
    <tableColumn id="7" xr3:uid="{00000000-0010-0000-0000-000007000000}" name="Type of place _x000a_(Camp/Village/Ward)" dataDxfId="483"/>
    <tableColumn id="4" xr3:uid="{00000000-0010-0000-0000-000004000000}" name="Name of Medical Person" dataDxfId="482"/>
    <tableColumn id="5" xr3:uid="{00000000-0010-0000-0000-000005000000}" name="Date of Consultation_x000a_(mm/dd/yy)" dataDxfId="481"/>
    <tableColumn id="9" xr3:uid="{00000000-0010-0000-0000-000009000000}" name="Register No." dataDxfId="480"/>
    <tableColumn id="10" xr3:uid="{00000000-0010-0000-0000-00000A000000}" name="Register.Code" dataDxfId="479">
      <calculatedColumnFormula>IF(phc_8[[#This Row],[Register No.]]="","",C3&amp;"-"&amp;D3&amp;"-"&amp;"BHA-PHC-"&amp;phc_8[[#This Row],[Register No.]])</calculatedColumnFormula>
    </tableColumn>
    <tableColumn id="11" xr3:uid="{00000000-0010-0000-0000-00000B000000}" name="New/_x000a_Follow up" dataDxfId="478"/>
    <tableColumn id="13" xr3:uid="{00000000-0010-0000-0000-00000D000000}" name="Name of patient " dataDxfId="477"/>
    <tableColumn id="14" xr3:uid="{00000000-0010-0000-0000-00000E000000}" name="Age_yr" dataDxfId="476"/>
    <tableColumn id="15" xr3:uid="{00000000-0010-0000-0000-00000F000000}" name="Age_mth" dataDxfId="475"/>
    <tableColumn id="35" xr3:uid="{00000000-0010-0000-0000-000023000000}" name="Age_day" dataDxfId="474"/>
    <tableColumn id="16" xr3:uid="{00000000-0010-0000-0000-000010000000}" name="Age_Group" dataDxfId="473">
      <calculatedColumnFormula>IF(AND(ISBLANK(P3),ISBLANK(Q3),ISBLANK(R3))," ",
IF(OR(P3&lt;5,AND(P3=" ",Q3&lt;&gt;" ",R3&lt;&gt;" ")),"&lt;5 yrs",
IF(AND(P3&gt;=5,P3&lt;=14),"5 - 14 yrs",
IF(AND(P3&gt;=15,P3&lt;=18),"15 - 18 yrs",
IF(AND(P3&gt;=19,P3&lt;=49),"19 - 49 yrs","50 yrs +")))))</calculatedColumnFormula>
    </tableColumn>
    <tableColumn id="17" xr3:uid="{00000000-0010-0000-0000-000011000000}" name="Sex" dataDxfId="472"/>
    <tableColumn id="19" xr3:uid="{00000000-0010-0000-0000-000013000000}" name="Address _x000a_(if not the same with_x000a_Moblile Clinic location)" dataDxfId="471"/>
    <tableColumn id="20" xr3:uid="{00000000-0010-0000-0000-000014000000}" name="Father Name" dataDxfId="470"/>
    <tableColumn id="21" xr3:uid="{00000000-0010-0000-0000-000015000000}" name="Diagnosis" dataDxfId="469"/>
    <tableColumn id="22" xr3:uid="{00000000-0010-0000-0000-000016000000}" name="Sub_Category" dataDxfId="468"/>
    <tableColumn id="23" xr3:uid="{00000000-0010-0000-0000-000017000000}" name="Category" dataDxfId="467">
      <calculatedColumnFormula>INDEX(info!$Y$2:$Y$192,MATCH(phc_8[[#This Row],[Sub_Category]],info!$X$2:$X$192,0))</calculatedColumnFormula>
    </tableColumn>
    <tableColumn id="44" xr3:uid="{00000000-0010-0000-0000-00002C000000}" name="Consultation Type" dataDxfId="466">
      <calculatedColumnFormula array="1">INDEX(info!$AA$2:$AA$192,MATCH(PHC!$X3&amp;PHC!$Y3,info!$X$2:$X$192&amp;info!$Y$2:$Y$192,0))</calculatedColumnFormula>
    </tableColumn>
    <tableColumn id="24" xr3:uid="{00000000-0010-0000-0000-000018000000}" name="Treatment" dataDxfId="465"/>
    <tableColumn id="38" xr3:uid="{00000000-0010-0000-0000-000026000000}" name="eligible to receive PEP?" dataDxfId="464"/>
    <tableColumn id="39" xr3:uid="{00000000-0010-0000-0000-000027000000}" name="Receive PEP within 72 hours" dataDxfId="463"/>
    <tableColumn id="12" xr3:uid="{00000000-0010-0000-0000-00000C000000}" name="Disability" dataDxfId="462"/>
    <tableColumn id="25" xr3:uid="{00000000-0010-0000-0000-000019000000}" name="Refered or Not" dataDxfId="461"/>
    <tableColumn id="31" xr3:uid="{00000000-0010-0000-0000-00001F000000}" name="Referral Date" dataDxfId="460"/>
    <tableColumn id="27" xr3:uid="{00000000-0010-0000-0000-00001B000000}" name="Cause of referral" dataDxfId="459"/>
    <tableColumn id="28" xr3:uid="{00000000-0010-0000-0000-00001C000000}" name="Name of Referred Place" dataDxfId="458"/>
    <tableColumn id="18" xr3:uid="{00000000-0010-0000-0000-000012000000}" name="Type of Referred Facility" dataDxfId="457"/>
    <tableColumn id="29" xr3:uid="{00000000-0010-0000-0000-00001D000000}" name="Follow-up Date" dataDxfId="456"/>
    <tableColumn id="37" xr3:uid="{00000000-0010-0000-0000-000025000000}" name="Teleconsultation" dataDxfId="455"/>
    <tableColumn id="30" xr3:uid="{00000000-0010-0000-0000-00001E000000}" name="Remarks" dataDxfId="454"/>
    <tableColumn id="32" xr3:uid="{00000000-0010-0000-0000-000020000000}" name="referral" dataDxfId="453">
      <calculatedColumnFormula>IF(AF3="","","Q"&amp;INT((MONTH(AF3)-1)/3)+1&amp;YEAR(AF3)&amp;#REF!&amp;T3)</calculatedColumnFormula>
    </tableColumn>
    <tableColumn id="34" xr3:uid="{00000000-0010-0000-0000-000022000000}" name="PEP" dataDxfId="452">
      <calculatedColumnFormula>IF(K3="","","Q"&amp;INT((MONTH(K3)-1)/3)+1&amp;YEAR(K3)&amp;#REF!)</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shn_database" displayName="mshn_database" ref="A2:FW27" totalsRowShown="0" headerRowDxfId="451" dataDxfId="450">
  <tableColumns count="179">
    <tableColumn id="1" xr3:uid="{00000000-0010-0000-0100-000001000000}" name="Sr.No" dataDxfId="449"/>
    <tableColumn id="178" xr3:uid="{00000000-0010-0000-0100-0000B2000000}" name="Fund" dataDxfId="448"/>
    <tableColumn id="177" xr3:uid="{00000000-0010-0000-0100-0000B1000000}" name="Implementing Organization Name" dataDxfId="447"/>
    <tableColumn id="179" xr3:uid="{00000000-0010-0000-0100-0000B3000000}" name="Health Post/Clinic" dataDxfId="446"/>
    <tableColumn id="91" xr3:uid="{00000000-0010-0000-0100-00005B000000}" name="State" dataDxfId="445"/>
    <tableColumn id="2" xr3:uid="{00000000-0010-0000-0100-000002000000}" name="Township" dataDxfId="444"/>
    <tableColumn id="172" xr3:uid="{00000000-0010-0000-0100-0000AC000000}" name="Village Tract" dataDxfId="443"/>
    <tableColumn id="3" xr3:uid="{00000000-0010-0000-0100-000003000000}" name="Village/Ward/Camp" dataDxfId="442"/>
    <tableColumn id="174" xr3:uid="{00000000-0010-0000-0100-0000AE000000}" name="Alternative Village/_x000a_Camp Name" dataDxfId="441"/>
    <tableColumn id="176" xr3:uid="{00000000-0010-0000-0100-0000B0000000}" name="Type of Place" dataDxfId="440"/>
    <tableColumn id="173" xr3:uid="{00000000-0010-0000-0100-0000AD000000}" name="Helper" dataDxfId="439"/>
    <tableColumn id="175" xr3:uid="{00000000-0010-0000-0100-0000AF000000}" name="Pcode" dataDxfId="438">
      <calculatedColumnFormula>IFERROR(VLOOKUP([10]!family_planning[[#This Row],[Helper]],[10]datavalidation!E:G,3,FALSE),"")</calculatedColumnFormula>
    </tableColumn>
    <tableColumn id="5" xr3:uid="{00000000-0010-0000-0100-000005000000}" name="Date of Registration [mm/dd/yy]" dataDxfId="437"/>
    <tableColumn id="6" xr3:uid="{00000000-0010-0000-0100-000006000000}" name="Month" dataDxfId="436">
      <calculatedColumnFormula>IF(mshn_database[[#This Row],[Date of Registration '[mm/dd/yy']]]="","",TEXT(mshn_database[[#This Row],[Date of Registration '[mm/dd/yy']]],"mmmm"))</calculatedColumnFormula>
    </tableColumn>
    <tableColumn id="7" xr3:uid="{00000000-0010-0000-0100-000007000000}" name="Quarter" dataDxfId="435">
      <calculatedColumnFormula>IF(mshn_database[[#This Row],[Date of Registration '[mm/dd/yy']]]="","","Q"&amp;INT((MONTH(mshn_database[[#This Row],[Date of Registration '[mm/dd/yy']]])-1)/3)+1)</calculatedColumnFormula>
    </tableColumn>
    <tableColumn id="8" xr3:uid="{00000000-0010-0000-0100-000008000000}" name="Year" dataDxfId="434">
      <calculatedColumnFormula>IF(mshn_database[[#This Row],[Date of Registration '[mm/dd/yy']]]="","",TEXT(mshn_database[[#This Row],[Date of Registration '[mm/dd/yy']]],"yyyy"))</calculatedColumnFormula>
    </tableColumn>
    <tableColumn id="9" xr3:uid="{00000000-0010-0000-0100-000009000000}" name="Reg.No" dataDxfId="433"/>
    <tableColumn id="10" xr3:uid="{00000000-0010-0000-0100-00000A000000}" name="Reg.Code" dataDxfId="432">
      <calculatedColumnFormula>IF(Q3="","",C3&amp;"-"&amp;D3&amp;"-"&amp;"BHA-MCH-"&amp;Q3)</calculatedColumnFormula>
    </tableColumn>
    <tableColumn id="11" xr3:uid="{00000000-0010-0000-0100-00000B000000}" name="Name" dataDxfId="431"/>
    <tableColumn id="12" xr3:uid="{00000000-0010-0000-0100-00000C000000}" name="Age" dataDxfId="430"/>
    <tableColumn id="13" xr3:uid="{00000000-0010-0000-0100-00000D000000}" name="Age_Category" dataDxfId="429">
      <calculatedColumnFormula>IF(ISBLANK(T3),"",
IF(T3&lt;5,"&lt;5 yrs",
IF(AND(T3&gt;=5,T3&lt;=14),"5 - 14 yrs",
IF(AND(T3&gt;=15,T3&lt;=18),"15 - 18 yrs",
IF(AND(T3&gt;=19,T3&lt;=49),"19 - 49 yrs",
IF(T3&gt;=50,"50 yrs +",""))))))</calculatedColumnFormula>
    </tableColumn>
    <tableColumn id="97" xr3:uid="{00000000-0010-0000-0100-000061000000}" name="Age_cat" dataDxfId="428">
      <calculatedColumnFormula>IF(mshn_database[[#This Row],[Age_Category]]="","",VLOOKUP(mshn_database[[#This Row],[Age_Category]],[10]info!$H$2:$I$6,2,FALSE))</calculatedColumnFormula>
    </tableColumn>
    <tableColumn id="65" xr3:uid="{00000000-0010-0000-0100-000041000000}" name="Ethnicity"/>
    <tableColumn id="62" xr3:uid="{00000000-0010-0000-0100-00003E000000}" name="Disable"/>
    <tableColumn id="14" xr3:uid="{00000000-0010-0000-0100-00000E000000}" name="Husband's name" dataDxfId="427"/>
    <tableColumn id="15" xr3:uid="{00000000-0010-0000-0100-00000F000000}" name="Address _x000a_(if not the same with_x000a_Moblile Clinic location)" dataDxfId="426"/>
    <tableColumn id="16" xr3:uid="{00000000-0010-0000-0100-000010000000}" name="LMP" dataDxfId="425"/>
    <tableColumn id="17" xr3:uid="{00000000-0010-0000-0100-000011000000}" name="EDD" dataDxfId="424"/>
    <tableColumn id="19" xr3:uid="{00000000-0010-0000-0100-000013000000}" name="LB info" dataDxfId="423">
      <calculatedColumnFormula>IF(AB3="","",IF(AND(TODAY()&gt;=AB3,BU3=""),"Need LB info","No need info yet/LB info aldy included"))</calculatedColumnFormula>
    </tableColumn>
    <tableColumn id="18" xr3:uid="{00000000-0010-0000-0100-000012000000}" name="High Risk _x000a_Pregnancy" dataDxfId="422"/>
    <tableColumn id="20" xr3:uid="{00000000-0010-0000-0100-000014000000}" name="Gravida/Parity" dataDxfId="421"/>
    <tableColumn id="21" xr3:uid="{00000000-0010-0000-0100-000015000000}" name="TT1" dataDxfId="420"/>
    <tableColumn id="22" xr3:uid="{00000000-0010-0000-0100-000016000000}" name="TT2" dataDxfId="419"/>
    <tableColumn id="23" xr3:uid="{00000000-0010-0000-0100-000017000000}" name="Syphilis Testing" dataDxfId="418"/>
    <tableColumn id="24" xr3:uid="{00000000-0010-0000-0100-000018000000}" name="HIV Testing" dataDxfId="417"/>
    <tableColumn id="25" xr3:uid="{00000000-0010-0000-0100-000019000000}" name="Hep-B Testing" dataDxfId="416"/>
    <tableColumn id="26" xr3:uid="{00000000-0010-0000-0100-00001A000000}" name="ANC1.1 [mm/dd/yy]" dataDxfId="415"/>
    <tableColumn id="27" xr3:uid="{00000000-0010-0000-0100-00001B000000}" name="ANC1.2" dataDxfId="414"/>
    <tableColumn id="28" xr3:uid="{00000000-0010-0000-0100-00001C000000}" name="ANC1.3" dataDxfId="413"/>
    <tableColumn id="70" xr3:uid="{00000000-0010-0000-0100-000046000000}" name="ANC1.4" dataDxfId="412"/>
    <tableColumn id="29" xr3:uid="{00000000-0010-0000-0100-00001D000000}" name="ANC1.5" dataDxfId="411"/>
    <tableColumn id="30" xr3:uid="{00000000-0010-0000-0100-00001E000000}" name="ANC2.1" dataDxfId="410"/>
    <tableColumn id="31" xr3:uid="{00000000-0010-0000-0100-00001F000000}" name="ANC2.2" dataDxfId="409"/>
    <tableColumn id="32" xr3:uid="{00000000-0010-0000-0100-000020000000}" name="ANC2.3" dataDxfId="408"/>
    <tableColumn id="71" xr3:uid="{00000000-0010-0000-0100-000047000000}" name="ANC2.4" dataDxfId="407"/>
    <tableColumn id="33" xr3:uid="{00000000-0010-0000-0100-000021000000}" name="ANC2.5" dataDxfId="406"/>
    <tableColumn id="34" xr3:uid="{00000000-0010-0000-0100-000022000000}" name="ANC3.1" dataDxfId="405"/>
    <tableColumn id="35" xr3:uid="{00000000-0010-0000-0100-000023000000}" name="ANC3.2" dataDxfId="404"/>
    <tableColumn id="36" xr3:uid="{00000000-0010-0000-0100-000024000000}" name="ANC3.3" dataDxfId="403"/>
    <tableColumn id="72" xr3:uid="{00000000-0010-0000-0100-000048000000}" name="ANC3.4" dataDxfId="402"/>
    <tableColumn id="37" xr3:uid="{00000000-0010-0000-0100-000025000000}" name="ANC3.5" dataDxfId="401"/>
    <tableColumn id="38" xr3:uid="{00000000-0010-0000-0100-000026000000}" name="ANC4.1" dataDxfId="400"/>
    <tableColumn id="39" xr3:uid="{00000000-0010-0000-0100-000027000000}" name="ANC4.2" dataDxfId="399"/>
    <tableColumn id="40" xr3:uid="{00000000-0010-0000-0100-000028000000}" name="ANC4.3" dataDxfId="398"/>
    <tableColumn id="41" xr3:uid="{00000000-0010-0000-0100-000029000000}" name="ANC4.4" dataDxfId="397"/>
    <tableColumn id="42" xr3:uid="{00000000-0010-0000-0100-00002A000000}" name="ANC4.5" dataDxfId="396"/>
    <tableColumn id="43" xr3:uid="{00000000-0010-0000-0100-00002B000000}" name="Total ANC" dataDxfId="395">
      <calculatedColumnFormula>COUNT(AK3:BD3)</calculatedColumnFormula>
    </tableColumn>
    <tableColumn id="44" xr3:uid="{00000000-0010-0000-0100-00002C000000}" name="Quality AN-Care(As per indicator definition, at least AN care 2 time based on total trimester)" dataDxfId="394">
      <calculatedColumnFormula>IF((OR(AND(COUNT(AK3:AO3)&gt;=1,COUNT(AP3:AT3)&gt;=1),AND(COUNT(AK3:AO3)&gt;=1,COUNT(AU3:AY3)&gt;=1),AND(COUNT(AK3:AO3)&gt;=1,COUNT(AZ3:BD3)&gt;=1),AND(COUNT(AP3:AT3)&gt;=1,COUNT(AU3:AY3)&gt;=1),AND(COUNT(AP3:AT3)&gt;=1,COUNT(AZ3:BD3)&gt;=1),AND(COUNT(AU3:AY3)&gt;=1,COUNT(AZ3:BD3)&gt;=1))), "Yes", "No")</calculatedColumnFormula>
    </tableColumn>
    <tableColumn id="45" xr3:uid="{00000000-0010-0000-0100-00002D000000}" name="NBK" dataDxfId="393"/>
    <tableColumn id="47" xr3:uid="{00000000-0010-0000-0100-00002F000000}" name="Happy Baby Kit" dataDxfId="392"/>
    <tableColumn id="48" xr3:uid="{00000000-0010-0000-0100-000030000000}" name="Diginity Kit" dataDxfId="391"/>
    <tableColumn id="90" xr3:uid="{00000000-0010-0000-0100-00005A000000}" name="CDK" dataDxfId="390"/>
    <tableColumn id="49" xr3:uid="{00000000-0010-0000-0100-000031000000}" name="Date of Delivery" dataDxfId="389"/>
    <tableColumn id="50" xr3:uid="{00000000-0010-0000-0100-000032000000}" name="Time" dataDxfId="388"/>
    <tableColumn id="51" xr3:uid="{00000000-0010-0000-0100-000033000000}" name="wt. of baby" dataDxfId="387"/>
    <tableColumn id="52" xr3:uid="{00000000-0010-0000-0100-000034000000}" name="Sex of baby" dataDxfId="386"/>
    <tableColumn id="53" xr3:uid="{00000000-0010-0000-0100-000035000000}" name="Delivered by" dataDxfId="385"/>
    <tableColumn id="54" xr3:uid="{00000000-0010-0000-0100-000036000000}" name="Name  of Delivered Person" dataDxfId="384"/>
    <tableColumn id="89" xr3:uid="{00000000-0010-0000-0100-000059000000}" name="Type of Delivered Person" dataDxfId="383"/>
    <tableColumn id="88" xr3:uid="{00000000-0010-0000-0100-000058000000}" name="SBA" dataDxfId="382"/>
    <tableColumn id="55" xr3:uid="{00000000-0010-0000-0100-000037000000}" name="Type of delivery" dataDxfId="381"/>
    <tableColumn id="56" xr3:uid="{00000000-0010-0000-0100-000038000000}" name="Place of delivery" dataDxfId="380"/>
    <tableColumn id="57" xr3:uid="{00000000-0010-0000-0100-000039000000}" name="Delivery outcome" dataDxfId="379"/>
    <tableColumn id="58" xr3:uid="{00000000-0010-0000-0100-00003A000000}" name="PNC1" dataDxfId="378"/>
    <tableColumn id="59" xr3:uid="{00000000-0010-0000-0100-00003B000000}" name="PNC2.1" dataDxfId="377"/>
    <tableColumn id="60" xr3:uid="{00000000-0010-0000-0100-00003C000000}" name="PNC2.2" dataDxfId="376"/>
    <tableColumn id="61" xr3:uid="{00000000-0010-0000-0100-00003D000000}" name="PN2.3" dataDxfId="375"/>
    <tableColumn id="63" xr3:uid="{00000000-0010-0000-0100-00003F000000}" name="PN2.4" dataDxfId="374"/>
    <tableColumn id="64" xr3:uid="{00000000-0010-0000-0100-000040000000}" name="PN2.5" dataDxfId="373"/>
    <tableColumn id="67" xr3:uid="{00000000-0010-0000-0100-000043000000}" name="Total_PNC" dataDxfId="372">
      <calculatedColumnFormula>IF(AND(BV3="",BW3="",BX3="",BY3="",BZ3="",CA3=""),"",COUNT(BV3:CA3))</calculatedColumnFormula>
    </tableColumn>
    <tableColumn id="68" xr3:uid="{00000000-0010-0000-0100-000044000000}" name="Follow Up Date" dataDxfId="371"/>
    <tableColumn id="110" xr3:uid="{00000000-0010-0000-0100-00006E000000}" name="Referral or Not" dataDxfId="370"/>
    <tableColumn id="111" xr3:uid="{00000000-0010-0000-0100-00006F000000}" name="Referral Date" dataDxfId="369"/>
    <tableColumn id="109" xr3:uid="{00000000-0010-0000-0100-00006D000000}" name="Referral ID _x000a_card number_x000a_(000/MCH/YYYY)" dataDxfId="368"/>
    <tableColumn id="108" xr3:uid="{00000000-0010-0000-0100-00006C000000}" name="Cause of referral" dataDxfId="367"/>
    <tableColumn id="66" xr3:uid="{00000000-0010-0000-0100-000042000000}" name="Teleconsultation" dataDxfId="366"/>
    <tableColumn id="69" xr3:uid="{00000000-0010-0000-0100-000045000000}" name="Remarks" dataDxfId="365"/>
    <tableColumn id="73" xr3:uid="{00000000-0010-0000-0100-000049000000}" name="1" dataDxfId="364">
      <calculatedColumnFormula>IF(AK3="","","Q"&amp;INT((MONTH(AK3)-1)/3)+1&amp;YEAR(AK3)&amp;$V3)</calculatedColumnFormula>
    </tableColumn>
    <tableColumn id="74" xr3:uid="{00000000-0010-0000-0100-00004A000000}" name="2" dataDxfId="363">
      <calculatedColumnFormula>IF(AL3="","","Q"&amp;INT((MONTH(AL3)-1)/3)+1&amp;YEAR(AL3)&amp;$V3)</calculatedColumnFormula>
    </tableColumn>
    <tableColumn id="75" xr3:uid="{00000000-0010-0000-0100-00004B000000}" name="3" dataDxfId="362">
      <calculatedColumnFormula>IF(AM3="","","Q"&amp;INT((MONTH(AM3)-1)/3)+1&amp;YEAR(AM3)&amp;$V3)</calculatedColumnFormula>
    </tableColumn>
    <tableColumn id="76" xr3:uid="{00000000-0010-0000-0100-00004C000000}" name="4" dataDxfId="361">
      <calculatedColumnFormula>IF(AN3="","","Q"&amp;INT((MONTH(AN3)-1)/3)+1&amp;YEAR(AN3)&amp;$V3)</calculatedColumnFormula>
    </tableColumn>
    <tableColumn id="77" xr3:uid="{00000000-0010-0000-0100-00004D000000}" name="5" dataDxfId="360">
      <calculatedColumnFormula>IF(AO3="","","Q"&amp;INT((MONTH(AO3)-1)/3)+1&amp;YEAR(AO3)&amp;$V3)</calculatedColumnFormula>
    </tableColumn>
    <tableColumn id="78" xr3:uid="{00000000-0010-0000-0100-00004E000000}" name="6" dataDxfId="359">
      <calculatedColumnFormula>IF(AP3="","","Q"&amp;INT((MONTH(AP3)-1)/3)+1&amp;YEAR(AP3)&amp;$V3)</calculatedColumnFormula>
    </tableColumn>
    <tableColumn id="79" xr3:uid="{00000000-0010-0000-0100-00004F000000}" name="7" dataDxfId="358">
      <calculatedColumnFormula>IF(AQ3="","","Q"&amp;INT((MONTH(AQ3)-1)/3)+1&amp;YEAR(AQ3)&amp;$V3)</calculatedColumnFormula>
    </tableColumn>
    <tableColumn id="80" xr3:uid="{00000000-0010-0000-0100-000050000000}" name="8" dataDxfId="357">
      <calculatedColumnFormula>IF(AR3="","","Q"&amp;INT((MONTH(AR3)-1)/3)+1&amp;YEAR(AR3)&amp;$V3)</calculatedColumnFormula>
    </tableColumn>
    <tableColumn id="81" xr3:uid="{00000000-0010-0000-0100-000051000000}" name="9" dataDxfId="356">
      <calculatedColumnFormula>IF(AS3="","","Q"&amp;INT((MONTH(AS3)-1)/3)+1&amp;YEAR(AS3)&amp;$V3)</calculatedColumnFormula>
    </tableColumn>
    <tableColumn id="82" xr3:uid="{00000000-0010-0000-0100-000052000000}" name="10" dataDxfId="355">
      <calculatedColumnFormula>IF(AT3="","","Q"&amp;INT((MONTH(AT3)-1)/3)+1&amp;YEAR(AT3)&amp;$V3)</calculatedColumnFormula>
    </tableColumn>
    <tableColumn id="83" xr3:uid="{00000000-0010-0000-0100-000053000000}" name="11" dataDxfId="354">
      <calculatedColumnFormula>IF(AU3="","","Q"&amp;INT((MONTH(AU3)-1)/3)+1&amp;YEAR(AU3)&amp;$V3)</calculatedColumnFormula>
    </tableColumn>
    <tableColumn id="84" xr3:uid="{00000000-0010-0000-0100-000054000000}" name="12" dataDxfId="353">
      <calculatedColumnFormula>IF(AV3="","","Q"&amp;INT((MONTH(AV3)-1)/3)+1&amp;YEAR(AV3)&amp;$V3)</calculatedColumnFormula>
    </tableColumn>
    <tableColumn id="85" xr3:uid="{00000000-0010-0000-0100-000055000000}" name="13" dataDxfId="352">
      <calculatedColumnFormula>IF(AW3="","","Q"&amp;INT((MONTH(AW3)-1)/3)+1&amp;YEAR(AW3)&amp;$V3)</calculatedColumnFormula>
    </tableColumn>
    <tableColumn id="86" xr3:uid="{00000000-0010-0000-0100-000056000000}" name="14" dataDxfId="351">
      <calculatedColumnFormula>IF(AX3="","","Q"&amp;INT((MONTH(AX3)-1)/3)+1&amp;YEAR(AX3)&amp;$V3)</calculatedColumnFormula>
    </tableColumn>
    <tableColumn id="87" xr3:uid="{00000000-0010-0000-0100-000057000000}" name="15" dataDxfId="350">
      <calculatedColumnFormula>IF(AY3="","","Q"&amp;INT((MONTH(AY3)-1)/3)+1&amp;YEAR(AY3)&amp;$V3)</calculatedColumnFormula>
    </tableColumn>
    <tableColumn id="94" xr3:uid="{00000000-0010-0000-0100-00005E000000}" name="16" dataDxfId="349">
      <calculatedColumnFormula>IF(AZ3="","","Q"&amp;INT((MONTH(AZ3)-1)/3)+1&amp;YEAR(AZ3)&amp;$V3)</calculatedColumnFormula>
    </tableColumn>
    <tableColumn id="95" xr3:uid="{00000000-0010-0000-0100-00005F000000}" name="17" dataDxfId="348">
      <calculatedColumnFormula>IF(BA3="","","Q"&amp;INT((MONTH(BA3)-1)/3)+1&amp;YEAR(BA3)&amp;$V3)</calculatedColumnFormula>
    </tableColumn>
    <tableColumn id="96" xr3:uid="{00000000-0010-0000-0100-000060000000}" name="18" dataDxfId="347">
      <calculatedColumnFormula>IF(BB3="","","Q"&amp;INT((MONTH(BB3)-1)/3)+1&amp;YEAR(BB3)&amp;$V3)</calculatedColumnFormula>
    </tableColumn>
    <tableColumn id="98" xr3:uid="{00000000-0010-0000-0100-000062000000}" name="19" dataDxfId="346">
      <calculatedColumnFormula>IF(BC3="","","Q"&amp;INT((MONTH(BC3)-1)/3)+1&amp;YEAR(BC3)&amp;$V3)</calculatedColumnFormula>
    </tableColumn>
    <tableColumn id="99" xr3:uid="{00000000-0010-0000-0100-000063000000}" name="20" dataDxfId="345">
      <calculatedColumnFormula>IF(BD3="","","Q"&amp;INT((MONTH(BD3)-1)/3)+1&amp;YEAR(BD3)&amp;$V3)</calculatedColumnFormula>
    </tableColumn>
    <tableColumn id="100" xr3:uid="{00000000-0010-0000-0100-000064000000}" name="p1" dataDxfId="344">
      <calculatedColumnFormula>IF(BV3="","","Q"&amp;INT((MONTH(BV3)-1)/3)+1&amp;YEAR(BV3)&amp;$V3)</calculatedColumnFormula>
    </tableColumn>
    <tableColumn id="101" xr3:uid="{00000000-0010-0000-0100-000065000000}" name="p2" dataDxfId="343">
      <calculatedColumnFormula>IF(BW3="","","Q"&amp;INT((MONTH(BW3)-1)/3)+1&amp;YEAR(BW3)&amp;$V3)</calculatedColumnFormula>
    </tableColumn>
    <tableColumn id="102" xr3:uid="{00000000-0010-0000-0100-000066000000}" name="p3" dataDxfId="342">
      <calculatedColumnFormula>IF(BX3="","","Q"&amp;INT((MONTH(BX3)-1)/3)+1&amp;YEAR(BX3)&amp;$V3)</calculatedColumnFormula>
    </tableColumn>
    <tableColumn id="103" xr3:uid="{00000000-0010-0000-0100-000067000000}" name="p4" dataDxfId="341">
      <calculatedColumnFormula>IF(BY3="","","Q"&amp;INT((MONTH(BY3)-1)/3)+1&amp;YEAR(BY3)&amp;$V3)</calculatedColumnFormula>
    </tableColumn>
    <tableColumn id="104" xr3:uid="{00000000-0010-0000-0100-000068000000}" name="p5" dataDxfId="340">
      <calculatedColumnFormula>IF(BZ3="","","Q"&amp;INT((MONTH(BZ3)-1)/3)+1&amp;YEAR(BZ3)&amp;$V3)</calculatedColumnFormula>
    </tableColumn>
    <tableColumn id="105" xr3:uid="{00000000-0010-0000-0100-000069000000}" name="p6" dataDxfId="339">
      <calculatedColumnFormula>IF(CA3="","","Q"&amp;INT((MONTH(CA3)-1)/3)+1&amp;YEAR(CA3)&amp;$V3)</calculatedColumnFormula>
    </tableColumn>
    <tableColumn id="106" xr3:uid="{00000000-0010-0000-0100-00006A000000}" name="Deli" dataDxfId="338">
      <calculatedColumnFormula>IF(BR3="","",IF(BR3="Yes","Q"&amp;INT((MONTH(BK3)-1)/3)+1&amp;YEAR(BK3)&amp;$V3,"na"))</calculatedColumnFormula>
    </tableColumn>
    <tableColumn id="46" xr3:uid="{00000000-0010-0000-0100-00002E000000}" name="LB" dataDxfId="337">
      <calculatedColumnFormula>IF(BU3="","",IF(BU3="Alive","Q"&amp;INT((MONTH(BK3)-1)/3)+1&amp;YEAR(BK3)&amp;$V3,"na"))</calculatedColumnFormula>
    </tableColumn>
    <tableColumn id="112" xr3:uid="{00000000-0010-0000-0100-000070000000}" name="Deli Kit" dataDxfId="336">
      <calculatedColumnFormula>IF(BJ3="","","Q"&amp;INT((MONTH(BJ3)-1)/3)+1&amp;YEAR(BJ3)&amp;$V3)</calculatedColumnFormula>
    </tableColumn>
    <tableColumn id="113" xr3:uid="{00000000-0010-0000-0100-000071000000}" name="Indi_help" dataDxfId="335">
      <calculatedColumnFormula>IF(M3="","",TEXT(M3,"mmmm")&amp;YEAR(M3))</calculatedColumnFormula>
    </tableColumn>
    <tableColumn id="114" xr3:uid="{00000000-0010-0000-0100-000072000000}" name="Indi4times" dataDxfId="334">
      <calculatedColumnFormula>IF(BE3&gt;=4,N3&amp;P3,"")</calculatedColumnFormula>
    </tableColumn>
    <tableColumn id="115" xr3:uid="{00000000-0010-0000-0100-000073000000}" name="lb_help" dataDxfId="333">
      <calculatedColumnFormula>IF(BK3="","",TEXT(BK3,"mmmm")&amp;YEAR(BK3))</calculatedColumnFormula>
    </tableColumn>
    <tableColumn id="116" xr3:uid="{00000000-0010-0000-0100-000074000000}" name="A1" dataDxfId="332">
      <calculatedColumnFormula>IF(AK3="","",1)</calculatedColumnFormula>
    </tableColumn>
    <tableColumn id="4" xr3:uid="{00000000-0010-0000-0100-000004000000}" name="A2" dataDxfId="331"/>
    <tableColumn id="92" xr3:uid="{00000000-0010-0000-0100-00005C000000}" name="A3" dataDxfId="330"/>
    <tableColumn id="93" xr3:uid="{00000000-0010-0000-0100-00005D000000}" name="A4" dataDxfId="329"/>
    <tableColumn id="107" xr3:uid="{00000000-0010-0000-0100-00006B000000}" name="A5" dataDxfId="328"/>
    <tableColumn id="117" xr3:uid="{00000000-0010-0000-0100-000075000000}" name="A6" dataDxfId="327"/>
    <tableColumn id="118" xr3:uid="{00000000-0010-0000-0100-000076000000}" name="A7" dataDxfId="326"/>
    <tableColumn id="119" xr3:uid="{00000000-0010-0000-0100-000077000000}" name="A8" dataDxfId="325"/>
    <tableColumn id="120" xr3:uid="{00000000-0010-0000-0100-000078000000}" name="A9" dataDxfId="324"/>
    <tableColumn id="121" xr3:uid="{00000000-0010-0000-0100-000079000000}" name="A10" dataDxfId="323"/>
    <tableColumn id="122" xr3:uid="{00000000-0010-0000-0100-00007A000000}" name="A11" dataDxfId="322"/>
    <tableColumn id="123" xr3:uid="{00000000-0010-0000-0100-00007B000000}" name="A12" dataDxfId="321"/>
    <tableColumn id="124" xr3:uid="{00000000-0010-0000-0100-00007C000000}" name="A13" dataDxfId="320"/>
    <tableColumn id="125" xr3:uid="{00000000-0010-0000-0100-00007D000000}" name="A14" dataDxfId="319"/>
    <tableColumn id="126" xr3:uid="{00000000-0010-0000-0100-00007E000000}" name="A15" dataDxfId="318"/>
    <tableColumn id="127" xr3:uid="{00000000-0010-0000-0100-00007F000000}" name="A16" dataDxfId="317"/>
    <tableColumn id="128" xr3:uid="{00000000-0010-0000-0100-000080000000}" name="A17" dataDxfId="316"/>
    <tableColumn id="129" xr3:uid="{00000000-0010-0000-0100-000081000000}" name="A18" dataDxfId="315"/>
    <tableColumn id="130" xr3:uid="{00000000-0010-0000-0100-000082000000}" name="A19" dataDxfId="314"/>
    <tableColumn id="131" xr3:uid="{00000000-0010-0000-0100-000083000000}" name="A20" dataDxfId="313"/>
    <tableColumn id="132" xr3:uid="{00000000-0010-0000-0100-000084000000}" name="AA1" dataDxfId="312">
      <calculatedColumnFormula>SUM($DP$3:DP3)</calculatedColumnFormula>
    </tableColumn>
    <tableColumn id="133" xr3:uid="{00000000-0010-0000-0100-000085000000}" name="AA2" dataDxfId="311">
      <calculatedColumnFormula>SUM($DP$3:DQ3)</calculatedColumnFormula>
    </tableColumn>
    <tableColumn id="134" xr3:uid="{00000000-0010-0000-0100-000086000000}" name="AA3" dataDxfId="310">
      <calculatedColumnFormula>SUM($DP$3:DR3)</calculatedColumnFormula>
    </tableColumn>
    <tableColumn id="135" xr3:uid="{00000000-0010-0000-0100-000087000000}" name="AA4" dataDxfId="309">
      <calculatedColumnFormula>SUM($DP$3:DS3)</calculatedColumnFormula>
    </tableColumn>
    <tableColumn id="136" xr3:uid="{00000000-0010-0000-0100-000088000000}" name="AA5" dataDxfId="308">
      <calculatedColumnFormula>SUM($DP$3:DT3)</calculatedColumnFormula>
    </tableColumn>
    <tableColumn id="137" xr3:uid="{00000000-0010-0000-0100-000089000000}" name="AA6" dataDxfId="307">
      <calculatedColumnFormula>SUM($DP$3:DU3)</calculatedColumnFormula>
    </tableColumn>
    <tableColumn id="138" xr3:uid="{00000000-0010-0000-0100-00008A000000}" name="AA7" dataDxfId="306">
      <calculatedColumnFormula>SUM($DP$3:DV3)</calculatedColumnFormula>
    </tableColumn>
    <tableColumn id="139" xr3:uid="{00000000-0010-0000-0100-00008B000000}" name="AA8" dataDxfId="305">
      <calculatedColumnFormula>SUM($DP$3:DW3)</calculatedColumnFormula>
    </tableColumn>
    <tableColumn id="140" xr3:uid="{00000000-0010-0000-0100-00008C000000}" name="AA9" dataDxfId="304">
      <calculatedColumnFormula>SUM($DP$3:DX3)</calculatedColumnFormula>
    </tableColumn>
    <tableColumn id="141" xr3:uid="{00000000-0010-0000-0100-00008D000000}" name="AA10" dataDxfId="303">
      <calculatedColumnFormula>SUM($DP$3:DY3)</calculatedColumnFormula>
    </tableColumn>
    <tableColumn id="142" xr3:uid="{00000000-0010-0000-0100-00008E000000}" name="AA11" dataDxfId="302">
      <calculatedColumnFormula>SUM($DP$3:DZ3)</calculatedColumnFormula>
    </tableColumn>
    <tableColumn id="143" xr3:uid="{00000000-0010-0000-0100-00008F000000}" name="AA12" dataDxfId="301">
      <calculatedColumnFormula>SUM($DP$3:EA3)</calculatedColumnFormula>
    </tableColumn>
    <tableColumn id="144" xr3:uid="{00000000-0010-0000-0100-000090000000}" name="AA13" dataDxfId="300">
      <calculatedColumnFormula>SUM($DP$3:EB3)</calculatedColumnFormula>
    </tableColumn>
    <tableColumn id="145" xr3:uid="{00000000-0010-0000-0100-000091000000}" name="AA14" dataDxfId="299">
      <calculatedColumnFormula>SUM($DP$3:EC3)</calculatedColumnFormula>
    </tableColumn>
    <tableColumn id="146" xr3:uid="{00000000-0010-0000-0100-000092000000}" name="AA15" dataDxfId="298">
      <calculatedColumnFormula>SUM($DP$3:ED3)</calculatedColumnFormula>
    </tableColumn>
    <tableColumn id="147" xr3:uid="{00000000-0010-0000-0100-000093000000}" name="AA16" dataDxfId="297">
      <calculatedColumnFormula>SUM($DP$3:EE3)</calculatedColumnFormula>
    </tableColumn>
    <tableColumn id="148" xr3:uid="{00000000-0010-0000-0100-000094000000}" name="AA17" dataDxfId="296">
      <calculatedColumnFormula>SUM($DP$3:EF3)</calculatedColumnFormula>
    </tableColumn>
    <tableColumn id="149" xr3:uid="{00000000-0010-0000-0100-000095000000}" name="AA18" dataDxfId="295">
      <calculatedColumnFormula>SUM($DP$3:EG3)</calculatedColumnFormula>
    </tableColumn>
    <tableColumn id="150" xr3:uid="{00000000-0010-0000-0100-000096000000}" name="AA19" dataDxfId="294">
      <calculatedColumnFormula>SUM($DP$3:EH3)</calculatedColumnFormula>
    </tableColumn>
    <tableColumn id="151" xr3:uid="{00000000-0010-0000-0100-000097000000}" name="AA20" dataDxfId="293">
      <calculatedColumnFormula>SUM($DP$3:EI3)</calculatedColumnFormula>
    </tableColumn>
    <tableColumn id="152" xr3:uid="{00000000-0010-0000-0100-000098000000}" name="AAA1" dataDxfId="292"/>
    <tableColumn id="153" xr3:uid="{00000000-0010-0000-0100-000099000000}" name="AAA2" dataDxfId="291"/>
    <tableColumn id="154" xr3:uid="{00000000-0010-0000-0100-00009A000000}" name="AAA3" dataDxfId="290"/>
    <tableColumn id="155" xr3:uid="{00000000-0010-0000-0100-00009B000000}" name="AAA4" dataDxfId="289"/>
    <tableColumn id="156" xr3:uid="{00000000-0010-0000-0100-00009C000000}" name="AAA5" dataDxfId="288"/>
    <tableColumn id="157" xr3:uid="{00000000-0010-0000-0100-00009D000000}" name="AAA6" dataDxfId="287"/>
    <tableColumn id="158" xr3:uid="{00000000-0010-0000-0100-00009E000000}" name="AAA7" dataDxfId="286"/>
    <tableColumn id="159" xr3:uid="{00000000-0010-0000-0100-00009F000000}" name="AAA8" dataDxfId="285"/>
    <tableColumn id="160" xr3:uid="{00000000-0010-0000-0100-0000A0000000}" name="AAA9" dataDxfId="284"/>
    <tableColumn id="161" xr3:uid="{00000000-0010-0000-0100-0000A1000000}" name="AAA10" dataDxfId="283"/>
    <tableColumn id="162" xr3:uid="{00000000-0010-0000-0100-0000A2000000}" name="AAA11" dataDxfId="282"/>
    <tableColumn id="163" xr3:uid="{00000000-0010-0000-0100-0000A3000000}" name="AAA12" dataDxfId="281"/>
    <tableColumn id="164" xr3:uid="{00000000-0010-0000-0100-0000A4000000}" name="AAA13" dataDxfId="280"/>
    <tableColumn id="165" xr3:uid="{00000000-0010-0000-0100-0000A5000000}" name="AAA14" dataDxfId="279"/>
    <tableColumn id="166" xr3:uid="{00000000-0010-0000-0100-0000A6000000}" name="AAA15" dataDxfId="278"/>
    <tableColumn id="167" xr3:uid="{00000000-0010-0000-0100-0000A7000000}" name="AAA16" dataDxfId="277"/>
    <tableColumn id="168" xr3:uid="{00000000-0010-0000-0100-0000A8000000}" name="AAA17" dataDxfId="276"/>
    <tableColumn id="169" xr3:uid="{00000000-0010-0000-0100-0000A9000000}" name="AAA18" dataDxfId="275"/>
    <tableColumn id="170" xr3:uid="{00000000-0010-0000-0100-0000AA000000}" name="AAA19" dataDxfId="274"/>
    <tableColumn id="171" xr3:uid="{00000000-0010-0000-0100-0000AB000000}" name="AAA20" dataDxfId="273"/>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_familyplanning" displayName="t_familyplanning" ref="A2:AH7" totalsRowShown="0" headerRowDxfId="272" headerRowBorderDxfId="271">
  <autoFilter ref="A2:AH7" xr:uid="{00000000-0009-0000-0100-000004000000}"/>
  <tableColumns count="34">
    <tableColumn id="1" xr3:uid="{00000000-0010-0000-0200-000001000000}" name="Sr.No"/>
    <tableColumn id="17" xr3:uid="{00000000-0010-0000-0200-000011000000}" name="Fund"/>
    <tableColumn id="33" xr3:uid="{00000000-0010-0000-0200-000021000000}" name="Implementing Organization Name"/>
    <tableColumn id="35" xr3:uid="{00000000-0010-0000-0200-000023000000}" name="Health Post/Clinic"/>
    <tableColumn id="2" xr3:uid="{00000000-0010-0000-0200-000002000000}" name="State" dataDxfId="270"/>
    <tableColumn id="3" xr3:uid="{00000000-0010-0000-0200-000003000000}" name="Township" dataDxfId="269"/>
    <tableColumn id="32" xr3:uid="{00000000-0010-0000-0200-000020000000}" name="Village Tract" dataDxfId="268"/>
    <tableColumn id="4" xr3:uid="{00000000-0010-0000-0200-000004000000}" name="Village" dataDxfId="267"/>
    <tableColumn id="5" xr3:uid="{00000000-0010-0000-0200-000005000000}" name="Alternative Village/_x000a_Camp Name"/>
    <tableColumn id="6" xr3:uid="{00000000-0010-0000-0200-000006000000}" name="Helper"/>
    <tableColumn id="7" xr3:uid="{00000000-0010-0000-0200-000007000000}" name="Pcode"/>
    <tableColumn id="8" xr3:uid="{00000000-0010-0000-0200-000008000000}" name="Date of Registration_x000a_(m/d/yy)"/>
    <tableColumn id="9" xr3:uid="{00000000-0010-0000-0200-000009000000}" name="Month" dataDxfId="266">
      <calculatedColumnFormula>IF(L3="","",TEXT(L3,"mmmm"))</calculatedColumnFormula>
    </tableColumn>
    <tableColumn id="10" xr3:uid="{00000000-0010-0000-0200-00000A000000}" name="Quarter" dataDxfId="265">
      <calculatedColumnFormula>IF(L3="","","Q"&amp;INT((MONTH(L3)-1)/3)+1)</calculatedColumnFormula>
    </tableColumn>
    <tableColumn id="11" xr3:uid="{00000000-0010-0000-0200-00000B000000}" name="Year" dataDxfId="264">
      <calculatedColumnFormula>IF(L3="","",TEXT(L3,"yyyy"))</calculatedColumnFormula>
    </tableColumn>
    <tableColumn id="12" xr3:uid="{00000000-0010-0000-0200-00000C000000}" name="Reg.No"/>
    <tableColumn id="13" xr3:uid="{00000000-0010-0000-0200-00000D000000}" name="Reg.Code" dataDxfId="263">
      <calculatedColumnFormula>IF(O3="","",C3&amp;"-"&amp;D3&amp;"-"&amp;"BHA-FP-"&amp;P3)</calculatedColumnFormula>
    </tableColumn>
    <tableColumn id="14" xr3:uid="{00000000-0010-0000-0200-00000E000000}" name="Name of Patient"/>
    <tableColumn id="15" xr3:uid="{00000000-0010-0000-0200-00000F000000}" name="Age"/>
    <tableColumn id="16" xr3:uid="{00000000-0010-0000-0200-000010000000}" name="Age Category" dataDxfId="262">
      <calculatedColumnFormula>IF(ISBLANK(S3),"",
IF(S3&lt;5,"&lt;5 yrs",
IF(AND(S3&gt;=5,S3&lt;=14),"5 - 14 yrs",
IF(AND(S3&gt;=15,S3&lt;=18),"15 - 18 yrs",
IF(AND(S3&gt;=19,S3&lt;=49),"19 - 49 yrs",
IF(S3&gt;=50,"50 yrs +",""))))))</calculatedColumnFormula>
    </tableColumn>
    <tableColumn id="18" xr3:uid="{00000000-0010-0000-0200-000012000000}" name="Sex"/>
    <tableColumn id="19" xr3:uid="{00000000-0010-0000-0200-000013000000}" name="Disability"/>
    <tableColumn id="20" xr3:uid="{00000000-0010-0000-0200-000014000000}" name="Spouse Name"/>
    <tableColumn id="21" xr3:uid="{00000000-0010-0000-0200-000015000000}" name="Address _x000a_(if not the same with_x000a_Moblile Clinic location)"/>
    <tableColumn id="22" xr3:uid="{00000000-0010-0000-0200-000016000000}" name="Type_FP"/>
    <tableColumn id="23" xr3:uid="{00000000-0010-0000-0200-000017000000}" name="Consent"/>
    <tableColumn id="24" xr3:uid="{00000000-0010-0000-0200-000018000000}" name="Counselling"/>
    <tableColumn id="25" xr3:uid="{00000000-0010-0000-0200-000019000000}" name="HCG Test"/>
    <tableColumn id="46" xr3:uid="{00000000-0010-0000-0200-00002E000000}" name="Family Planning Method"/>
    <tableColumn id="26" xr3:uid="{00000000-0010-0000-0200-00001A000000}" name="Quantity"/>
    <tableColumn id="43" xr3:uid="{00000000-0010-0000-0200-00002B000000}" name="Condom_x000a_(number)"/>
    <tableColumn id="29" xr3:uid="{00000000-0010-0000-0200-00001D000000}" name="Contraceptive Provision" dataDxfId="261">
      <calculatedColumnFormula>IF(OR(AD3&gt;0,AE3&gt;0),"Yes","No")</calculatedColumnFormula>
    </tableColumn>
    <tableColumn id="30" xr3:uid="{00000000-0010-0000-0200-00001E000000}" name="Teleconsultation"/>
    <tableColumn id="31" xr3:uid="{00000000-0010-0000-0200-00001F000000}" name="Remar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20" displayName="Table20" ref="A2:W5" totalsRowShown="0" headerRowDxfId="260" dataDxfId="259">
  <autoFilter ref="A2:W5" xr:uid="{00000000-0009-0000-0100-00000A000000}"/>
  <tableColumns count="23">
    <tableColumn id="1" xr3:uid="{00000000-0010-0000-0400-000001000000}" name="Sr" dataDxfId="258"/>
    <tableColumn id="2" xr3:uid="{00000000-0010-0000-0400-000002000000}" name="State" dataDxfId="257"/>
    <tableColumn id="3" xr3:uid="{00000000-0010-0000-0400-000003000000}" name="Township" dataDxfId="256"/>
    <tableColumn id="10" xr3:uid="{00000000-0010-0000-0400-00000A000000}" name="Village Tract" dataDxfId="255"/>
    <tableColumn id="20" xr3:uid="{00000000-0010-0000-0400-000014000000}" name="Site"/>
    <tableColumn id="26" xr3:uid="{00000000-0010-0000-0400-00001A000000}" name="Type of Site"/>
    <tableColumn id="25" xr3:uid="{00000000-0010-0000-0400-000019000000}" name="Type of Beneficiary" dataDxfId="254"/>
    <tableColumn id="8" xr3:uid="{00000000-0010-0000-0400-000008000000}" name="Activity Name" dataDxfId="253"/>
    <tableColumn id="9" xr3:uid="{00000000-0010-0000-0400-000009000000}" name="Activity Date_x000a_m/d/y" dataDxfId="252"/>
    <tableColumn id="13" xr3:uid="{00000000-0010-0000-0400-00000D000000}" name="Male" dataDxfId="251"/>
    <tableColumn id="14" xr3:uid="{00000000-0010-0000-0400-00000E000000}" name="Female" dataDxfId="250"/>
    <tableColumn id="15" xr3:uid="{00000000-0010-0000-0400-00000F000000}" name="Total" dataDxfId="249"/>
    <tableColumn id="16" xr3:uid="{00000000-0010-0000-0400-000010000000}" name="Number of _x000a_Pregnant Women" dataDxfId="248"/>
    <tableColumn id="17" xr3:uid="{00000000-0010-0000-0400-000011000000}" name="Number of _x000a_Lactating Mother" dataDxfId="247"/>
    <tableColumn id="11" xr3:uid="{393E8DC6-CEAC-48EA-95CC-0AC5B456C9AB}" name="Number of Caregiver" dataDxfId="246"/>
    <tableColumn id="4" xr3:uid="{81F789E7-A1BB-40BC-B041-71D420DF8E3A}" name="Male2" dataDxfId="245"/>
    <tableColumn id="5" xr3:uid="{7C8E0D2B-70D9-4C53-AC29-53910DFDAC9C}" name="Female2" dataDxfId="244"/>
    <tableColumn id="6" xr3:uid="{213F993A-60C6-46BA-8748-3E5359B9FFA1}" name="Under 5 years old" dataDxfId="243"/>
    <tableColumn id="7" xr3:uid="{ABD2A476-42C1-4946-8699-96EFC70B7950}" name="Over 5 years old" dataDxfId="242"/>
    <tableColumn id="19" xr3:uid="{00000000-0010-0000-0400-000013000000}" name="Claimed Date_x000a_m/d/y" dataDxfId="241"/>
    <tableColumn id="23" xr3:uid="{00000000-0010-0000-0400-000017000000}" name="Health Post" dataDxfId="240"/>
    <tableColumn id="27" xr3:uid="{00000000-0010-0000-0400-00001B000000}" name="Implementing Organization Name"/>
    <tableColumn id="21" xr3:uid="{00000000-0010-0000-0400-000015000000}" name="Remark" dataDxfId="239"/>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muac_plw25" displayName="muac_plw25" ref="A2:W41" totalsRowShown="0" headerRowDxfId="238" dataDxfId="237">
  <autoFilter ref="A2:W41" xr:uid="{00000000-0009-0000-0100-000009000000}"/>
  <tableColumns count="23">
    <tableColumn id="1" xr3:uid="{00000000-0010-0000-0500-000001000000}" name="Sr.No" dataDxfId="236"/>
    <tableColumn id="5" xr3:uid="{A8F123A2-1507-4E52-850D-5A708A3F96AB}" name="Organization" dataDxfId="235"/>
    <tableColumn id="9" xr3:uid="{00000000-0010-0000-0500-000009000000}" name="State" dataDxfId="234"/>
    <tableColumn id="2" xr3:uid="{00000000-0010-0000-0500-000002000000}" name="Township" dataDxfId="233"/>
    <tableColumn id="22" xr3:uid="{00000000-0010-0000-0500-000016000000}" name="Village Tract" dataDxfId="232"/>
    <tableColumn id="15" xr3:uid="{00000000-0010-0000-0500-00000F000000}" name="Site " dataDxfId="231"/>
    <tableColumn id="3" xr3:uid="{00000000-0010-0000-0500-000003000000}" name="Type of Site" dataDxfId="230"/>
    <tableColumn id="11" xr3:uid="{00000000-0010-0000-0500-00000B000000}" name="Type of Beneficiary" dataDxfId="229"/>
    <tableColumn id="21" xr3:uid="{00000000-0010-0000-0500-000015000000}" name="Name of Counsellor" dataDxfId="228"/>
    <tableColumn id="4" xr3:uid="{00000000-0010-0000-0500-000004000000}" name="Date of Counselling_x000a_[mm/dd/yy]" dataDxfId="227"/>
    <tableColumn id="6" xr3:uid="{00000000-0010-0000-0500-000006000000}" name="Name of Beneficiary _x000a_(Care giver or PW or LW)" dataDxfId="226"/>
    <tableColumn id="7" xr3:uid="{00000000-0010-0000-0500-000007000000}" name="Age" dataDxfId="225"/>
    <tableColumn id="18" xr3:uid="{7477C8CA-352C-443B-8DEE-28F0AA075A81}" name="Age group" dataDxfId="224"/>
    <tableColumn id="14" xr3:uid="{00000000-0010-0000-0500-00000E000000}" name="Gender" dataDxfId="223"/>
    <tableColumn id="16" xr3:uid="{00000000-0010-0000-0500-000010000000}" name="Type of Beneficiary _x000a_(PW/LW(U5)/_x000a_Caregiver)" dataDxfId="222"/>
    <tableColumn id="17" xr3:uid="{73562B30-A6FE-4011-8B2B-FBA57220498F}" name="Number of U5 Children" dataDxfId="221"/>
    <tableColumn id="20" xr3:uid="{00000000-0010-0000-0500-000014000000}" name="Child 1 age" dataDxfId="220"/>
    <tableColumn id="10" xr3:uid="{00000000-0010-0000-0500-00000A000000}" name="Child 1 gender" dataDxfId="219"/>
    <tableColumn id="8" xr3:uid="{DA6E63F8-3D36-49EC-97A3-20DB8B084608}" name="Child 2 age" dataDxfId="218"/>
    <tableColumn id="12" xr3:uid="{7E5549EC-2885-4F1B-9967-1F81577D90C8}" name="Child 2 gender" dataDxfId="217"/>
    <tableColumn id="13" xr3:uid="{6F4703A7-F7CD-4A82-A0D7-7F4F2FD2FF2D}" name="Child 3 age" dataDxfId="216"/>
    <tableColumn id="19" xr3:uid="{66A46B1C-058D-4B87-815D-1F7B26DDA7BC}" name="Child 3 gender" dataDxfId="215"/>
    <tableColumn id="25" xr3:uid="{00000000-0010-0000-0500-000019000000}" name="Remark" dataDxfId="214"/>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5" displayName="Table5" ref="A2:AA42" totalsRowShown="0" headerRowDxfId="213" dataDxfId="212">
  <autoFilter ref="A2:AA42" xr:uid="{00000000-0009-0000-0100-000005000000}"/>
  <tableColumns count="27">
    <tableColumn id="1" xr3:uid="{00000000-0010-0000-0600-000001000000}" name="No" dataDxfId="211"/>
    <tableColumn id="9" xr3:uid="{00000000-0010-0000-0600-000009000000}" name="Fund" dataDxfId="210"/>
    <tableColumn id="2" xr3:uid="{00000000-0010-0000-0600-000002000000}" name="Implementing Organization Name" dataDxfId="209"/>
    <tableColumn id="3" xr3:uid="{00000000-0010-0000-0600-000003000000}" name="Health Pos/Clinict Name" dataDxfId="208"/>
    <tableColumn id="4" xr3:uid="{00000000-0010-0000-0600-000004000000}" name="State" dataDxfId="207"/>
    <tableColumn id="24" xr3:uid="{00000000-0010-0000-0600-000018000000}" name="Township" dataDxfId="206"/>
    <tableColumn id="21" xr3:uid="{00000000-0010-0000-0600-000015000000}" name="VillageTract" dataDxfId="205"/>
    <tableColumn id="22" xr3:uid="{00000000-0010-0000-0600-000016000000}" name="Village/Ward/Camp" dataDxfId="204"/>
    <tableColumn id="5" xr3:uid="{00000000-0010-0000-0600-000005000000}" name="Alternative Village/Ward/Camp Name" dataDxfId="203"/>
    <tableColumn id="23" xr3:uid="{00000000-0010-0000-0600-000017000000}" name="Type of Place" dataDxfId="202"/>
    <tableColumn id="6" xr3:uid="{00000000-0010-0000-0600-000006000000}" name="PE/Educator Name" dataDxfId="201"/>
    <tableColumn id="7" xr3:uid="{00000000-0010-0000-0600-000007000000}" name="Position" dataDxfId="200"/>
    <tableColumn id="12" xr3:uid="{00000000-0010-0000-0600-00000C000000}" name="Activity Date_x000a_[mm/dd/yyyy]" dataDxfId="199"/>
    <tableColumn id="13" xr3:uid="{00000000-0010-0000-0600-00000D000000}" name="Awareness Topic" dataDxfId="198"/>
    <tableColumn id="15" xr3:uid="{00000000-0010-0000-0600-00000F000000}" name="PW" dataDxfId="197"/>
    <tableColumn id="16" xr3:uid="{00000000-0010-0000-0600-000010000000}" name="LW" dataDxfId="196"/>
    <tableColumn id="26" xr3:uid="{33741FD0-9046-42A7-A56F-957792EA6372}" name="Caregiver" dataDxfId="195"/>
    <tableColumn id="27" xr3:uid="{7DB0B525-8A99-48FB-BC03-B9A6F4F47299}" name="# of &lt;5yr" dataDxfId="194"/>
    <tableColumn id="28" xr3:uid="{6B95592A-D4B6-4080-8B24-6A6B16DE6BF5}" name="Total Male" dataDxfId="193"/>
    <tableColumn id="17" xr3:uid="{00000000-0010-0000-0600-000011000000}" name="Total Female" dataDxfId="192"/>
    <tableColumn id="18" xr3:uid="{00000000-0010-0000-0600-000012000000}" name="Total" dataDxfId="191">
      <calculatedColumnFormula>SUM(S3,T3)</calculatedColumnFormula>
    </tableColumn>
    <tableColumn id="8" xr3:uid="{00000000-0010-0000-0600-000008000000}" name="Disable Male" dataDxfId="190"/>
    <tableColumn id="10" xr3:uid="{6E2F3B30-2914-4E0D-98D5-592C41ED108F}" name="Disable Female" dataDxfId="189"/>
    <tableColumn id="11" xr3:uid="{C21BB0D5-D120-4819-9F4C-1148EC288FDF}" name="Total Disable" dataDxfId="188">
      <calculatedColumnFormula>SUM($V3,$W3)</calculatedColumnFormula>
    </tableColumn>
    <tableColumn id="19" xr3:uid="{E4952EB4-178C-4C40-AC6C-FAC5470D2429}" name="Remarks" dataDxfId="187"/>
    <tableColumn id="20" xr3:uid="{00000000-0010-0000-0600-000014000000}" name="Over 5 years old" dataDxfId="186"/>
    <tableColumn id="25" xr3:uid="{BEC1A983-73DD-4013-9F7F-D92D132FC230}" name="Remark" dataDxfId="18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able6" displayName="Table6" ref="A2:X93" totalsRowShown="0" headerRowDxfId="184" headerRowBorderDxfId="183">
  <autoFilter ref="A2:X93" xr:uid="{00000000-0009-0000-0100-000006000000}"/>
  <tableColumns count="24">
    <tableColumn id="1" xr3:uid="{00000000-0010-0000-0700-000001000000}" name="Sr.No"/>
    <tableColumn id="26" xr3:uid="{00000000-0010-0000-0700-00001A000000}" name="Fund"/>
    <tableColumn id="24" xr3:uid="{00000000-0010-0000-0700-000018000000}" name="Implementing Organization Name"/>
    <tableColumn id="2" xr3:uid="{00000000-0010-0000-0700-000002000000}" name="State"/>
    <tableColumn id="3" xr3:uid="{00000000-0010-0000-0700-000003000000}" name="Township"/>
    <tableColumn id="25" xr3:uid="{00000000-0010-0000-0700-000019000000}" name="VillageTract"/>
    <tableColumn id="4" xr3:uid="{00000000-0010-0000-0700-000004000000}" name="Screening Site_x000a_(Village/Ward/Camp)"/>
    <tableColumn id="5" xr3:uid="{00000000-0010-0000-0700-000005000000}" name="Type of Site"/>
    <tableColumn id="7" xr3:uid="{00000000-0010-0000-0700-000007000000}" name="Date of screening_x000a_(mm/dd/yyyy)"/>
    <tableColumn id="8" xr3:uid="{00000000-0010-0000-0700-000008000000}" name="Month" dataDxfId="182">
      <calculatedColumnFormula>IF(I3="","",TEXT(I3,"mmm"))</calculatedColumnFormula>
    </tableColumn>
    <tableColumn id="9" xr3:uid="{00000000-0010-0000-0700-000009000000}" name="Quarter" dataDxfId="181">
      <calculatedColumnFormula>IF(I3="","","Q"&amp;ROUNDUP(MONTH(I3)/3,0))</calculatedColumnFormula>
    </tableColumn>
    <tableColumn id="10" xr3:uid="{00000000-0010-0000-0700-00000A000000}" name="Year" dataDxfId="180">
      <calculatedColumnFormula>IF(I3="","",TEXT(I3,"yyyy"))</calculatedColumnFormula>
    </tableColumn>
    <tableColumn id="11" xr3:uid="{00000000-0010-0000-0700-00000B000000}" name="Name of Child"/>
    <tableColumn id="12" xr3:uid="{00000000-0010-0000-0700-00000C000000}" name="Parents' Name"/>
    <tableColumn id="13" xr3:uid="{00000000-0010-0000-0700-00000D000000}" name="Age_year"/>
    <tableColumn id="14" xr3:uid="{00000000-0010-0000-0700-00000E000000}" name="Age_mth"/>
    <tableColumn id="15" xr3:uid="{00000000-0010-0000-0700-00000F000000}" name="Sex"/>
    <tableColumn id="16" xr3:uid="{00000000-0010-0000-0700-000010000000}" name="Disability Status"/>
    <tableColumn id="17" xr3:uid="{00000000-0010-0000-0700-000011000000}" name="Oedma 0,1,2,3"/>
    <tableColumn id="18" xr3:uid="{00000000-0010-0000-0700-000012000000}" name="MUAC (mm)"/>
    <tableColumn id="19" xr3:uid="{00000000-0010-0000-0700-000013000000}" name="Weight (kg)_x000a_(optional)"/>
    <tableColumn id="20" xr3:uid="{00000000-0010-0000-0700-000014000000}" name="Type of Malnutrition" dataDxfId="179">
      <calculatedColumnFormula>IF(T3="","",IF(T3&lt;115,"SAM",IF(AND(T3&gt;=115,T3&lt;125),"MAM","Normal")))</calculatedColumnFormula>
    </tableColumn>
    <tableColumn id="21" xr3:uid="{00000000-0010-0000-0700-000015000000}" name="Referred_x000a_or not"/>
    <tableColumn id="23" xr3:uid="{00000000-0010-0000-0700-000017000000}" name="Remark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0E390B-FB3F-43BF-9EE1-DD8BBF606973}" name="Referral4" displayName="Referral4" ref="A2:BH106" totalsRowShown="0" headerRowDxfId="178" dataDxfId="177">
  <autoFilter ref="A2:BH106" xr:uid="{C60E390B-FB3F-43BF-9EE1-DD8BBF606973}"/>
  <tableColumns count="60">
    <tableColumn id="1" xr3:uid="{E44D588A-6407-4B3D-B955-33641D652DBB}" name="Sr" dataDxfId="176"/>
    <tableColumn id="13" xr3:uid="{32C232B4-740A-48D3-8442-0DC97D108AA9}" name="Organization Name" dataDxfId="175"/>
    <tableColumn id="2" xr3:uid="{794825DB-5ECB-482C-85EC-350D04F46C4D}" name="Fund_Source" dataDxfId="174"/>
    <tableColumn id="3" xr3:uid="{774B8724-5D94-4BF2-BC9D-EF0B98934DF5}" name="State" dataDxfId="173"/>
    <tableColumn id="4" xr3:uid="{FC07B7B9-4476-4B54-BCC9-DF72F1D21C23}" name="Township" dataDxfId="172"/>
    <tableColumn id="5" xr3:uid="{ECAF791C-DEE2-4A22-BB1E-987FA81ED32D}" name="VillageTract" dataDxfId="171"/>
    <tableColumn id="25" xr3:uid="{B128C0A6-8FFF-4FB6-9AB4-70F962126A6C}" name="Villlage" dataDxfId="170"/>
    <tableColumn id="6" xr3:uid="{2FEC243B-8469-4EB9-B331-99DAF36270A5}" name="Place Type" dataDxfId="169"/>
    <tableColumn id="7" xr3:uid="{0B205E6A-21DB-4B6C-A7E3-A225F03DAFDE}" name="Patient Name_x000a_(plz write Daw, Ma, U, Mg, Ko)" dataDxfId="168"/>
    <tableColumn id="8" xr3:uid="{9657D4B2-7D52-4EA1-A6D8-516E6F5F6A76}" name="Age_years" dataDxfId="167"/>
    <tableColumn id="9" xr3:uid="{D9BF9664-E2F1-445E-BD7C-274EEF14981B}" name="Age_Months" dataDxfId="166"/>
    <tableColumn id="10" xr3:uid="{4D131DE9-F0B7-4BC5-95A8-C1272AEDB510}" name="Age_days" dataDxfId="165"/>
    <tableColumn id="11" xr3:uid="{5271B0B5-CC59-4CF7-8D71-E0CE1589EC20}" name="Age_Group" dataDxfId="164">
      <calculatedColumnFormula>IF(AND(ISBLANK(J3),ISBLANK(K3),ISBLANK(L3))," ",
IF(OR(J3&lt;5,AND(J3=" ",K3&lt;&gt;" ",L3&lt;&gt;" ")),"&lt;5 yrs",
IF(AND(J3&gt;=5,J3&lt;=14),"5 - 14 yrs",
IF(AND(J3&gt;=15,J3&lt;=18),"15 - 18 yrs",
IF(AND(J3&gt;=19,J3&lt;=49),"19 - 49 yrs","50 yrs +")))))</calculatedColumnFormula>
    </tableColumn>
    <tableColumn id="12" xr3:uid="{7799040F-5266-4D2C-B230-DDF64AFBA5CA}" name="Sex" dataDxfId="163">
      <calculatedColumnFormula>IF(I3="","",IF(OR(LEFT(I3,1)="U",LEFT(I3,2)="Ko",LEFT(I3,2)="Mg"),"M",IF(OR(LEFT(I3,3)="Daw",LEFT(I3,2)="Ma"),"F")))</calculatedColumnFormula>
    </tableColumn>
    <tableColumn id="16" xr3:uid="{27F840D6-9702-4166-8A86-5FBF0F2485BE}" name="Seeing" dataDxfId="162"/>
    <tableColumn id="17" xr3:uid="{2C1F993D-9FB4-4798-879C-AE179BCAA09B}" name="Hearing" dataDxfId="161"/>
    <tableColumn id="18" xr3:uid="{3B875CCA-A7D6-49F0-8D95-ED5B16B31CF2}" name="Walking" dataDxfId="160"/>
    <tableColumn id="19" xr3:uid="{3467A955-081B-40D8-A32F-991BBBE15B75}" name="Concentration" dataDxfId="159"/>
    <tableColumn id="20" xr3:uid="{CA5D3C93-910E-4B10-BA36-0BD467489F23}" name="Self-Care" dataDxfId="158"/>
    <tableColumn id="21" xr3:uid="{46126F72-0DE2-4991-9A90-8BA160489B85}" name="Communication" dataDxfId="157"/>
    <tableColumn id="22" xr3:uid="{00C60C88-E8A3-437D-ABFE-7C7D8CF6DAF8}" name="Disability" dataDxfId="156">
      <calculatedColumnFormula>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calculatedColumnFormula>
    </tableColumn>
    <tableColumn id="34" xr3:uid="{EF169D55-D6A0-4EEF-AB58-1D6BBD816549}" name="Date of Referral_x000a_(mm-dd-yyy)" dataDxfId="155"/>
    <tableColumn id="35" xr3:uid="{E0789DE9-6D14-4040-8B7C-43CEC072564D}" name="Referred by" dataDxfId="154"/>
    <tableColumn id="36" xr3:uid="{B930046F-EF10-4264-B489-D7362FA17726}" name="Causes of Referral" dataDxfId="153"/>
    <tableColumn id="37" xr3:uid="{75159475-35C8-4E8C-AD4D-03591CAD1E30}" name="Referral Type" dataDxfId="152"/>
    <tableColumn id="39" xr3:uid="{7E878D27-F83D-40A2-9C9C-49C90A4F4D0C}" name="Gravida/Parity" dataDxfId="151"/>
    <tableColumn id="40" xr3:uid="{C15A67CD-0BC4-4D24-865B-039FFBBF82AF}" name="Referral Hospital" dataDxfId="150"/>
    <tableColumn id="41" xr3:uid="{A100E0AA-FAF3-4B5B-A122-A2623EFDF29B}" name="DOA_x000a_(mm-dd-yyy)" dataDxfId="149"/>
    <tableColumn id="42" xr3:uid="{F6F2971D-8BC3-4616-AE09-3A9381190D52}" name="DOD_x000a_(mm-dd-yyy)" dataDxfId="148"/>
    <tableColumn id="43" xr3:uid="{0B0839EA-E91D-4CE4-AC99-210E82E4A690}" name="Hospitalization_x000a_days" dataDxfId="147">
      <calculatedColumnFormula>IF(Referral4[[#This Row],[DOA
(mm-dd-yyy)]]="","",(Referral4[[#This Row],[DOD
(mm-dd-yyy)]]-Referral4[[#This Row],[DOA
(mm-dd-yyy)]])+1)</calculatedColumnFormula>
    </tableColumn>
    <tableColumn id="44" xr3:uid="{169785C9-BCB3-4B76-8F2B-6D95327E07F6}" name="Dx_PD" dataDxfId="146"/>
    <tableColumn id="45" xr3:uid="{02907ACF-19C7-4DDC-9D26-3C020B020BB5}" name="Sub-Category" dataDxfId="145"/>
    <tableColumn id="46" xr3:uid="{3C55D88B-AEF7-426E-8D5E-C04D093CC0BD}" name="Category" dataDxfId="144">
      <calculatedColumnFormula array="1">IF(AF3="","",
IF(Y3="EmOC",VLOOKUP(AF3,Data_validation!$R$1:$S$93,2,FALSE),
IF(Y3="ECC",VLOOKUP(AF3,Data_validation!$T$1:$U$151,2,FALSE),
IF(Y3="Other",VLOOKUP(AF3,Data_validation!$V$1:$W$19,2,FALSE),
VLOOKUP(AF3,Data_validation!$X$1:$Y$3,2,FALSE)))))</calculatedColumnFormula>
    </tableColumn>
    <tableColumn id="47" xr3:uid="{F77DCF1E-6A48-42B6-BD57-F185EF6F9A71}" name="Type of Delivery/Types of Case" dataDxfId="143"/>
    <tableColumn id="48" xr3:uid="{ADAC04D8-F62C-4638-BCBC-FC72D4240213}" name="Status/Output" dataDxfId="142"/>
    <tableColumn id="49" xr3:uid="{C92ACFCE-1864-4382-A832-48CF822CDC34}" name="Maternal_x000a_Death" dataDxfId="141"/>
    <tableColumn id="50" xr3:uid="{5D488620-2102-48FA-8E47-EBF884C893EF}" name="Fetal/NB_x000a_Death" dataDxfId="140"/>
    <tableColumn id="51" xr3:uid="{B180C11B-A422-4A93-B664-C71D26A269D5}" name="Child_x000a_Death" dataDxfId="139"/>
    <tableColumn id="52" xr3:uid="{D2D05320-1E5C-4484-9A9B-0F4F902A6E8D}" name="Other_x000a_Death" dataDxfId="138"/>
    <tableColumn id="53" xr3:uid="{4EE572DA-0BEF-4088-944E-CF6D15916C0F}" name="Claimed_Date_x000a_(mmm-dd-yyy)" dataDxfId="137"/>
    <tableColumn id="54" xr3:uid="{1E664EA0-6551-48C2-8BEB-88CDEFFCB61B}" name="Month" dataDxfId="136">
      <calculatedColumnFormula>IF(AN3="","",TEXT(AN3,"mmmm"))</calculatedColumnFormula>
    </tableColumn>
    <tableColumn id="55" xr3:uid="{F3BECF30-4FDF-4571-BD8A-96359DDC95B1}" name="Year" dataDxfId="135">
      <calculatedColumnFormula>IF(AN3="","",YEAR(AN3))</calculatedColumnFormula>
    </tableColumn>
    <tableColumn id="56" xr3:uid="{F6CC9BC0-C4F8-407F-8001-32BED41A1D41}" name="Semester" dataDxfId="134">
      <calculatedColumnFormula>IF(Referral4[[#This Row],[Claimed_Date
(mmm-dd-yyy)]]="","",IF(AND(MONTH(Referral4[[#This Row],[Claimed_Date
(mmm-dd-yyy)]])&gt;4,MONTH(Referral4[[#This Row],[Claimed_Date
(mmm-dd-yyy)]])&lt;11),"S1","S2"))</calculatedColumnFormula>
    </tableColumn>
    <tableColumn id="57" xr3:uid="{B8E938D4-72CD-45E9-90F1-55E1CD065929}" name="Supported_days" dataDxfId="133">
      <calculatedColumnFormula>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calculatedColumnFormula>
    </tableColumn>
    <tableColumn id="58" xr3:uid="{7EA64D07-1EC8-4DD0-ADC9-BA4E2CA56CCF}" name="Cost _x000a_(Treatment)" dataDxfId="132" dataCellStyle="Comma"/>
    <tableColumn id="59" xr3:uid="{279E36F6-F5E7-4301-A9EF-15B8F19826CD}" name="Cost _x000a_(Meal/Per Diem)" dataDxfId="131" dataCellStyle="Comma"/>
    <tableColumn id="60" xr3:uid="{5A2667EE-08D3-4D22-AB88-C2BDA24C107B}" name="Cost _x000a_(Transportaion)" dataDxfId="130" dataCellStyle="Comma"/>
    <tableColumn id="61" xr3:uid="{A00CCEC4-F7C6-49DA-9214-A7968E929168}" name="Total Cost" dataDxfId="129" dataCellStyle="Comma">
      <calculatedColumnFormula>SUM(AT3,AU3)</calculatedColumnFormula>
    </tableColumn>
    <tableColumn id="64" xr3:uid="{F352D3EA-7F0A-4D25-94BA-2646226356F6}" name="Remark" dataDxfId="128"/>
    <tableColumn id="66" xr3:uid="{02A3D234-5845-4174-9FF8-B7E3D9AE0599}" name="Physical" dataDxfId="127"/>
    <tableColumn id="67" xr3:uid="{737D245A-F3ED-48FC-9C93-D41A61D3BEF5}" name="Intellectual" dataDxfId="126"/>
    <tableColumn id="68" xr3:uid="{D531AD29-EB04-4074-B246-FDD6B3ADABCF}" name="Social" dataDxfId="125"/>
    <tableColumn id="69" xr3:uid="{09944E2A-EA6A-40AE-94C5-01AE794E49A1}" name="Hearing " dataDxfId="124"/>
    <tableColumn id="70" xr3:uid="{F853D46A-ABBC-4978-AC6C-761F18AF989C}" name="Speaking" dataDxfId="123"/>
    <tableColumn id="71" xr3:uid="{F4A1F681-4721-49DB-820A-16B20AA8460A}" name="Seeing " dataDxfId="122"/>
    <tableColumn id="72" xr3:uid="{C07A6FE5-FCA7-47D2-BA65-989EE755B8A5}" name="Other" dataDxfId="121"/>
    <tableColumn id="73" xr3:uid="{60C31F60-6D11-4782-8C1A-93C406D59513}" name="Severe" dataDxfId="120">
      <calculatedColumnFormula>IF(AND(AX3="",AY3="",AZ3="",BA3="",BB3="",BC3="",BD3=""),"",COUNTIFS(AX3:BD106,"Severe"))</calculatedColumnFormula>
    </tableColumn>
    <tableColumn id="74" xr3:uid="{5D39318F-2338-4F62-858D-4EFEF7C8C79A}" name="Very Severe" dataDxfId="119">
      <calculatedColumnFormula>IF(AND(AX3="",AY3="",AZ3="",BA3="",BB3="",BC3="",BD3=""),"",COUNTIFS(AX3:BD106,"Very Severe"))</calculatedColumnFormula>
    </tableColumn>
    <tableColumn id="75" xr3:uid="{3138A1F6-713C-43C4-A76C-072694FBCD4D}" name="Overall" dataDxfId="118">
      <calculatedColumnFormula>IF(AND(BE3="",BF3=""),"",IF(AND(BE3&gt;0,BF3&gt;0),"Very Severe",IF(BE3&gt;=2,"Very Severe",IF(BF3&gt;0,"Very Severe",IF(AND(BE3=1,BF3=0),"Severe","Normal")))))</calculatedColumnFormula>
    </tableColumn>
    <tableColumn id="14" xr3:uid="{1644B836-A1D9-4D5E-89CC-96D885CFE1E3}" name="Finanicial Claimed Date" dataDxfId="117"/>
  </tableColumns>
  <tableStyleInfo name="Table Style 2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DC7480-B3F8-4CA3-9C93-EAAA738197C5}" name="Table4" displayName="Table4" ref="R1:Y151" totalsRowShown="0">
  <autoFilter ref="R1:Y151" xr:uid="{BEDC7480-B3F8-4CA3-9C93-EAAA738197C5}"/>
  <tableColumns count="8">
    <tableColumn id="1" xr3:uid="{B75AEDD1-40D3-44D9-84A3-480EE4DFF493}" name="EmOC"/>
    <tableColumn id="2" xr3:uid="{63BF63A0-5009-4413-B1B5-3D21056E0B8C}" name="Category"/>
    <tableColumn id="3" xr3:uid="{4B323DEA-AFFB-41B7-9613-EA4C3A341995}" name="ECC"/>
    <tableColumn id="4" xr3:uid="{022EF44C-5900-42C6-9C2C-61968EBB0F11}" name="Category2"/>
    <tableColumn id="5" xr3:uid="{8BA2350C-4C70-4141-9747-0DC9ACB1B1CA}" name="Other2"/>
    <tableColumn id="6" xr3:uid="{76698A8E-3EE5-4805-9609-BEEE573C748F}" name="Category5"/>
    <tableColumn id="7" xr3:uid="{2163A996-3137-49AF-9351-36CF6022DF55}" name="Mal-nutrition"/>
    <tableColumn id="8" xr3:uid="{BF28C3BF-D429-44CA-BAC2-DD85231756E5}" name="Malnutrition_category"/>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raining77" displayName="training77" ref="A3:V22" totalsRowShown="0" headerRowDxfId="116" dataDxfId="115">
  <autoFilter ref="A3:V22" xr:uid="{00000000-0009-0000-0100-000008000000}"/>
  <tableColumns count="22">
    <tableColumn id="1" xr3:uid="{00000000-0010-0000-0300-000001000000}" name="No." dataDxfId="114"/>
    <tableColumn id="6" xr3:uid="{00000000-0010-0000-0300-000006000000}" name="Fund" dataDxfId="113"/>
    <tableColumn id="5" xr3:uid="{00000000-0010-0000-0300-000005000000}" name="Implementing Organization Name" dataDxfId="112"/>
    <tableColumn id="20" xr3:uid="{00000000-0010-0000-0300-000014000000}" name="State" dataDxfId="111"/>
    <tableColumn id="2" xr3:uid="{00000000-0010-0000-0300-000002000000}" name="Township" dataDxfId="110"/>
    <tableColumn id="27" xr3:uid="{00000000-0010-0000-0300-00001B000000}" name="Village Tract" dataDxfId="109"/>
    <tableColumn id="28" xr3:uid="{00000000-0010-0000-0300-00001C000000}" name="Meeting Place_x000a_(Village/Ward/Camp)" dataDxfId="108"/>
    <tableColumn id="40" xr3:uid="{00000000-0010-0000-0300-000028000000}" name="Type of Site" dataDxfId="107"/>
    <tableColumn id="26" xr3:uid="{00000000-0010-0000-0300-00001A000000}" name="Alternative Village/_x000a_Camp Name" dataDxfId="106"/>
    <tableColumn id="19" xr3:uid="{00000000-0010-0000-0300-000013000000}" name="Activity Start Date_x000a_(mmm/dd/yy)" dataDxfId="105"/>
    <tableColumn id="3" xr3:uid="{00000000-0010-0000-0300-000003000000}" name="Activity End Date_x000a_(mmm/dd/yy)" dataDxfId="104"/>
    <tableColumn id="39" xr3:uid="{00000000-0010-0000-0300-000027000000}" name="Name of Activity " dataDxfId="103"/>
    <tableColumn id="11" xr3:uid="{00000000-0010-0000-0300-00000B000000}" name="Male" dataDxfId="102"/>
    <tableColumn id="32" xr3:uid="{00000000-0010-0000-0300-000020000000}" name="Female" dataDxfId="101"/>
    <tableColumn id="37" xr3:uid="{00000000-0010-0000-0300-000025000000}" name="Other Gender" dataDxfId="100"/>
    <tableColumn id="4" xr3:uid="{00000000-0010-0000-0300-000004000000}" name="Total Participants" dataDxfId="99">
      <calculatedColumnFormula>SUM(training77[[#This Row],[Male]:[Other Gender]])</calculatedColumnFormula>
    </tableColumn>
    <tableColumn id="31" xr3:uid="{00000000-0010-0000-0300-00001F000000}" name="PWD Male" dataDxfId="98"/>
    <tableColumn id="14" xr3:uid="{00000000-0010-0000-0300-00000E000000}" name="PWD Female" dataDxfId="97"/>
    <tableColumn id="38" xr3:uid="{00000000-0010-0000-0300-000026000000}" name="PWD Other Gender" dataDxfId="96"/>
    <tableColumn id="35" xr3:uid="{00000000-0010-0000-0300-000023000000}" name="Type of Disability _x000a_(Optional)" dataDxfId="95"/>
    <tableColumn id="15" xr3:uid="{00000000-0010-0000-0300-00000F000000}" name="Remarks" dataDxfId="94"/>
    <tableColumn id="17" xr3:uid="{00000000-0010-0000-0300-000011000000}" name="Helper2" dataDxfId="93"/>
  </tableColumns>
  <tableStyleInfo name="TableStyleMedium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7" displayName="Table7" ref="A2:V128" totalsRowShown="0" headerRowDxfId="92" headerRowBorderDxfId="91">
  <autoFilter ref="A2:V128" xr:uid="{00000000-0009-0000-0100-000007000000}"/>
  <tableColumns count="22">
    <tableColumn id="1" xr3:uid="{00000000-0010-0000-0800-000001000000}" name="Sr.No"/>
    <tableColumn id="22" xr3:uid="{00000000-0010-0000-0800-000016000000}" name="Donor Fund"/>
    <tableColumn id="21" xr3:uid="{00000000-0010-0000-0800-000015000000}" name="Implementing Organization Name"/>
    <tableColumn id="2" xr3:uid="{00000000-0010-0000-0800-000002000000}" name="State"/>
    <tableColumn id="3" xr3:uid="{00000000-0010-0000-0800-000003000000}" name="Township"/>
    <tableColumn id="23" xr3:uid="{00000000-0010-0000-0800-000017000000}" name="VillageTract"/>
    <tableColumn id="4" xr3:uid="{00000000-0010-0000-0800-000004000000}" name="Nutrition Screened Site_x000a_(Village/Ward/Camp)"/>
    <tableColumn id="5" xr3:uid="{00000000-0010-0000-0800-000005000000}" name="Alternative Village/_x000a_Camp Name"/>
    <tableColumn id="8" xr3:uid="{00000000-0010-0000-0800-000008000000}" name="Date of screening_x000a_(mm/dd/yyyy)"/>
    <tableColumn id="9" xr3:uid="{00000000-0010-0000-0800-000009000000}" name="Month" dataDxfId="90">
      <calculatedColumnFormula>IF(I3="","",TEXT(I3,"mmmm"))</calculatedColumnFormula>
    </tableColumn>
    <tableColumn id="10" xr3:uid="{00000000-0010-0000-0800-00000A000000}" name="Quarter" dataDxfId="89">
      <calculatedColumnFormula>IF(I3="","","Q"&amp;ROUNDUP(MONTH(I3)/3,0))</calculatedColumnFormula>
    </tableColumn>
    <tableColumn id="11" xr3:uid="{00000000-0010-0000-0800-00000B000000}" name="Year" dataDxfId="88">
      <calculatedColumnFormula>IF(I3="","",TEXT(I3,"yyyy"))</calculatedColumnFormula>
    </tableColumn>
    <tableColumn id="12" xr3:uid="{00000000-0010-0000-0800-00000C000000}" name="Woman's name"/>
    <tableColumn id="13" xr3:uid="{00000000-0010-0000-0800-00000D000000}" name="Age_year"/>
    <tableColumn id="14" xr3:uid="{00000000-0010-0000-0800-00000E000000}" name="PLW type"/>
    <tableColumn id="7" xr3:uid="{00000000-0010-0000-0800-000007000000}" name="Age of Child"/>
    <tableColumn id="15" xr3:uid="{00000000-0010-0000-0800-00000F000000}" name="Disability Status"/>
    <tableColumn id="16" xr3:uid="{00000000-0010-0000-0800-000010000000}" name="Gestation Week"/>
    <tableColumn id="17" xr3:uid="{00000000-0010-0000-0800-000011000000}" name="MUAC (mm)"/>
    <tableColumn id="18" xr3:uid="{00000000-0010-0000-0800-000012000000}" name="Malnourished Status" dataDxfId="87">
      <calculatedColumnFormula>IF(S3="","",IF(S3&gt;=210,"Normal","Malnourished"))</calculatedColumnFormula>
    </tableColumn>
    <tableColumn id="19" xr3:uid="{00000000-0010-0000-0800-000013000000}" name="Referred_x000a_ or not"/>
    <tableColumn id="20" xr3:uid="{00000000-0010-0000-0800-000014000000}" name="Remark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distributionitems13" displayName="distributionitems13" ref="A2:T550" totalsRowShown="0" headerRowDxfId="86" dataDxfId="84" headerRowBorderDxfId="85" tableBorderDxfId="83" totalsRowBorderDxfId="82">
  <autoFilter ref="A2:T550" xr:uid="{00000000-0009-0000-0100-00000B000000}"/>
  <sortState ref="A64:AF407">
    <sortCondition ref="H2:H432"/>
  </sortState>
  <tableColumns count="20">
    <tableColumn id="1" xr3:uid="{00000000-0010-0000-0900-000001000000}" name="Sr" dataDxfId="81"/>
    <tableColumn id="2" xr3:uid="{00000000-0010-0000-0900-000002000000}" name="State" dataDxfId="80"/>
    <tableColumn id="4" xr3:uid="{00000000-0010-0000-0900-000004000000}" name="Township" dataDxfId="79"/>
    <tableColumn id="21" xr3:uid="{00000000-0010-0000-0900-000015000000}" name="Village Tract" dataDxfId="78"/>
    <tableColumn id="12" xr3:uid="{00000000-0010-0000-0900-00000C000000}" name="Name of Site" dataDxfId="77"/>
    <tableColumn id="10" xr3:uid="{00000000-0010-0000-0900-00000A000000}" name="Type of Site" dataDxfId="76"/>
    <tableColumn id="6" xr3:uid="{00000000-0010-0000-0900-000006000000}" name="Type of Beneficiary" dataDxfId="75"/>
    <tableColumn id="5" xr3:uid="{00000000-0010-0000-0900-000005000000}" name="Date of Distribution _x000a_(mm/dd/yy)" dataDxfId="74"/>
    <tableColumn id="9" xr3:uid="{00000000-0010-0000-0900-000009000000}" name="Distributed Item Description" dataDxfId="73"/>
    <tableColumn id="7" xr3:uid="{00000000-0010-0000-0900-000007000000}" name="Sector" dataDxfId="72"/>
    <tableColumn id="30" xr3:uid="{00000000-0010-0000-0900-00001E000000}" name="Quantity of Item" dataDxfId="71"/>
    <tableColumn id="40" xr3:uid="{00000000-0010-0000-0900-000028000000}" name="No of Household" dataDxfId="70"/>
    <tableColumn id="35" xr3:uid="{00000000-0010-0000-0900-000023000000}" name="Male" dataDxfId="69"/>
    <tableColumn id="20" xr3:uid="{00000000-0010-0000-0900-000014000000}" name="Female" dataDxfId="68"/>
    <tableColumn id="32" xr3:uid="{00000000-0010-0000-0900-000020000000}" name="Total" dataDxfId="67"/>
    <tableColumn id="22" xr3:uid="{00000000-0010-0000-0900-000016000000}" name="Total Disable Male" dataDxfId="66"/>
    <tableColumn id="23" xr3:uid="{00000000-0010-0000-0900-000017000000}" name="Total Disable Female" dataDxfId="65"/>
    <tableColumn id="18" xr3:uid="{00000000-0010-0000-0900-000012000000}" name="Total Disable" dataDxfId="64"/>
    <tableColumn id="8" xr3:uid="{00000000-0010-0000-0900-000008000000}" name="Implementing Organization Name" dataDxfId="63"/>
    <tableColumn id="31" xr3:uid="{00000000-0010-0000-0900-00001F000000}" name="Remarks " dataDxfId="62"/>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6BFC4B-0EC0-46DB-A0F1-5F8A98A33A9E}" name="Table_8" displayName="Table_8" ref="B3:AJ281" dataDxfId="61">
  <autoFilter ref="B3:AJ281" xr:uid="{00000000-0009-0000-0100-000008000000}"/>
  <tableColumns count="35">
    <tableColumn id="1" xr3:uid="{F752FFB7-B229-4455-8DAC-7BEF6510B241}" name="Fund" dataDxfId="60"/>
    <tableColumn id="2" xr3:uid="{62802CAA-1AC6-4373-9699-467554CBCF1A}" name="Implementing Organization Name" dataDxfId="59"/>
    <tableColumn id="3" xr3:uid="{28BBE10F-08D0-4D92-B495-3773739A70BC}" name="Health Post / Clinic" dataDxfId="58"/>
    <tableColumn id="4" xr3:uid="{E77FDC95-16BF-46D0-A069-7A17F0352591}" name="State" dataDxfId="57"/>
    <tableColumn id="5" xr3:uid="{ADB25D58-BAC7-4097-BD7C-53562DE02A83}" name="Township" dataDxfId="56"/>
    <tableColumn id="6" xr3:uid="{7BD5C4EB-909B-4D67-9809-ACA4BCC9B468}" name="Village Tract" dataDxfId="55"/>
    <tableColumn id="7" xr3:uid="{A6430BE6-6F08-4CE7-A431-DF94FD79C5DC}" name="Village/Camp/Ward Name" dataDxfId="54"/>
    <tableColumn id="8" xr3:uid="{60C6BDBC-8DAB-4128-B103-422D6114D64C}" name="Type of place _x000a_(Camp/Village/Ward)" dataDxfId="53"/>
    <tableColumn id="9" xr3:uid="{83FECAEE-FA3B-412C-9F80-2E6A53B8A94E}" name="Phone No" dataDxfId="52"/>
    <tableColumn id="10" xr3:uid="{7EEB05FD-6977-4B39-BFF5-8901943C4221}" name="Date of Assessment_x000a_(mmm-dd-yyy)" dataDxfId="51"/>
    <tableColumn id="11" xr3:uid="{38996412-163B-4430-B053-AED50D2C6BCA}" name="Beneficary ID" dataDxfId="50"/>
    <tableColumn id="12" xr3:uid="{2CE6D440-4515-4FA5-B88C-7FAC66268129}" name="Beneficary Name" dataDxfId="49"/>
    <tableColumn id="13" xr3:uid="{96722BB5-6938-4F7A-A4A1-DA5DB81AC12D}" name="Age" dataDxfId="48"/>
    <tableColumn id="14" xr3:uid="{BE7BCC98-A5D3-4CF0-A402-0FEDCB155E60}" name="Gender" dataDxfId="47"/>
    <tableColumn id="15" xr3:uid="{86629725-06B6-494C-8BD9-49E2CC20BFB9}" name="Care giver's name" dataDxfId="46"/>
    <tableColumn id="16" xr3:uid="{C1D05781-879D-4D70-A91C-834D4C6309CE}" name="Relationship with Care giver" dataDxfId="45"/>
    <tableColumn id="17" xr3:uid="{E9D6B9A7-4A84-430F-873B-AFC4DC7E2118}" name="Seeing" dataDxfId="44"/>
    <tableColumn id="18" xr3:uid="{CFDFB06D-BB09-4B0C-8097-4A65407B22C9}" name="Hearing" dataDxfId="43"/>
    <tableColumn id="19" xr3:uid="{0E85D0F8-AB83-40DF-B7A5-957C2DD682E7}" name="Walking" dataDxfId="42"/>
    <tableColumn id="20" xr3:uid="{BBF39F51-2F17-4902-81B6-6165EE6FD52E}" name="Concentration" dataDxfId="41"/>
    <tableColumn id="21" xr3:uid="{8D42BB30-8878-4011-A4F2-236CA80B81E7}" name="Self-Care" dataDxfId="40"/>
    <tableColumn id="22" xr3:uid="{60E88B5C-C8FB-4746-AD1B-18D43FF4DA7D}" name="Communication" dataDxfId="39"/>
    <tableColumn id="23" xr3:uid="{C0C26CB8-74E2-4022-9274-B238D14D226D}" name="Disability" dataDxfId="38"/>
    <tableColumn id="24" xr3:uid="{369D9A16-DDA0-4E28-AC7C-8CA175ED0984}" name="Physical" dataDxfId="37"/>
    <tableColumn id="25" xr3:uid="{E8833D99-F2EB-4DA9-9B8E-9813C77DBCE4}" name="Sensory" dataDxfId="36"/>
    <tableColumn id="26" xr3:uid="{9C7D0DF0-454F-4845-97DD-F2DD45736076}" name="Communication2" dataDxfId="35"/>
    <tableColumn id="27" xr3:uid="{020A4B61-F65F-42B1-9C2B-A7EEB14D1BEF}" name="Cognitive" dataDxfId="34"/>
    <tableColumn id="28" xr3:uid="{6957C373-406A-47EA-B362-6DF38EBB6B99}" name="Behavioral " dataDxfId="33"/>
    <tableColumn id="29" xr3:uid="{1DD60BFC-7851-4210-9691-B88D0B181E70}" name="Recommended Assistive Device 1" dataDxfId="32"/>
    <tableColumn id="30" xr3:uid="{98E7BA1C-782E-4946-B528-9BBAA4235E30}" name="Recommended Assistive Device 2" dataDxfId="31"/>
    <tableColumn id="31" xr3:uid="{D6FEF206-9B6C-454B-B21F-E142FD7CC04D}" name="Recommended Assistive Device 3" dataDxfId="30"/>
    <tableColumn id="32" xr3:uid="{485703ED-244A-4A07-BF66-BDE89AAAF0F0}" name="Device 1 Modification (Based on Enviroment ssessment)" dataDxfId="29"/>
    <tableColumn id="33" xr3:uid="{60175236-E337-4A9A-8C60-9B2F0081950B}" name="Device 2 Modification (Based on Enviroment ssessment)" dataDxfId="28"/>
    <tableColumn id="34" xr3:uid="{B9AE6646-042E-4C34-8EAB-14598D1F4D16}" name="Device 3 Modification (Based on Enviroment ssessment)" dataDxfId="27"/>
    <tableColumn id="35" xr3:uid="{8B5BE5D9-45C2-4333-8406-A020948E3650}" name="Remarks" dataDxfId="26"/>
  </tableColumns>
  <tableStyleInfo name="Assistive Device Support-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A000000}" name="loc" displayName="loc" ref="E1:I788" totalsRowShown="0" headerRowDxfId="25" dataDxfId="24" tableBorderDxfId="23">
  <autoFilter ref="E1:I788" xr:uid="{00000000-0009-0000-0100-000003000000}"/>
  <tableColumns count="5">
    <tableColumn id="1" xr3:uid="{00000000-0010-0000-0A00-000001000000}" name="State" dataDxfId="22"/>
    <tableColumn id="5" xr3:uid="{00000000-0010-0000-0A00-000005000000}" name="state_code" dataDxfId="21"/>
    <tableColumn id="2" xr3:uid="{00000000-0010-0000-0A00-000002000000}" name="Township" dataDxfId="20"/>
    <tableColumn id="4" xr3:uid="{00000000-0010-0000-0A00-000004000000}" name="tsp_code" dataDxfId="19"/>
    <tableColumn id="3" xr3:uid="{00000000-0010-0000-0A00-000003000000}" name="VillageTract"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A192"/>
  <sheetViews>
    <sheetView topLeftCell="S1" workbookViewId="0">
      <selection activeCell="X8" sqref="X8"/>
    </sheetView>
  </sheetViews>
  <sheetFormatPr defaultRowHeight="15" x14ac:dyDescent="0.25"/>
  <cols>
    <col min="2" max="2" width="18.42578125" bestFit="1" customWidth="1"/>
    <col min="3" max="3" width="13.42578125" bestFit="1" customWidth="1"/>
    <col min="8" max="8" width="14.5703125" bestFit="1" customWidth="1"/>
    <col min="11" max="11" width="51.85546875" bestFit="1" customWidth="1"/>
    <col min="13" max="13" width="51.85546875" bestFit="1" customWidth="1"/>
    <col min="14" max="14" width="29.5703125" bestFit="1" customWidth="1"/>
    <col min="16" max="16" width="21.5703125" bestFit="1" customWidth="1"/>
    <col min="22" max="22" width="28.5703125" customWidth="1"/>
    <col min="24" max="28" width="24.85546875" customWidth="1"/>
  </cols>
  <sheetData>
    <row r="1" spans="1:27" x14ac:dyDescent="0.25">
      <c r="A1" t="s">
        <v>0</v>
      </c>
      <c r="B1" t="s">
        <v>1</v>
      </c>
      <c r="C1" t="s">
        <v>2</v>
      </c>
      <c r="F1" t="s">
        <v>3</v>
      </c>
      <c r="H1" t="s">
        <v>4</v>
      </c>
      <c r="K1" t="s">
        <v>5</v>
      </c>
      <c r="M1" t="s">
        <v>6</v>
      </c>
      <c r="N1" t="s">
        <v>7</v>
      </c>
      <c r="P1" t="s">
        <v>8</v>
      </c>
      <c r="R1" t="s">
        <v>9</v>
      </c>
      <c r="T1" t="s">
        <v>10</v>
      </c>
      <c r="V1" s="44" t="s">
        <v>11</v>
      </c>
      <c r="X1" s="161" t="s">
        <v>6</v>
      </c>
      <c r="Y1" s="161" t="s">
        <v>7</v>
      </c>
      <c r="Z1" s="161" t="s">
        <v>384</v>
      </c>
      <c r="AA1" s="161" t="s">
        <v>1968</v>
      </c>
    </row>
    <row r="2" spans="1:27" x14ac:dyDescent="0.25">
      <c r="A2" t="s">
        <v>12</v>
      </c>
      <c r="B2" t="s">
        <v>13</v>
      </c>
      <c r="C2" t="s">
        <v>14</v>
      </c>
      <c r="F2" t="s">
        <v>12</v>
      </c>
      <c r="H2" t="s">
        <v>15</v>
      </c>
      <c r="I2" t="s">
        <v>16</v>
      </c>
      <c r="K2" t="s">
        <v>17</v>
      </c>
      <c r="M2" t="s">
        <v>18</v>
      </c>
      <c r="N2" t="s">
        <v>18</v>
      </c>
      <c r="P2" t="s">
        <v>19</v>
      </c>
      <c r="R2" t="s">
        <v>20</v>
      </c>
      <c r="T2" t="s">
        <v>21</v>
      </c>
      <c r="V2" t="s">
        <v>22</v>
      </c>
      <c r="X2" t="s">
        <v>17</v>
      </c>
      <c r="Y2" t="s">
        <v>278</v>
      </c>
      <c r="Z2" t="s">
        <v>1969</v>
      </c>
      <c r="AA2" t="s">
        <v>1969</v>
      </c>
    </row>
    <row r="3" spans="1:27" x14ac:dyDescent="0.25">
      <c r="A3" t="s">
        <v>12</v>
      </c>
      <c r="B3" t="s">
        <v>23</v>
      </c>
      <c r="C3" t="s">
        <v>14</v>
      </c>
      <c r="F3" t="s">
        <v>24</v>
      </c>
      <c r="H3" t="s">
        <v>25</v>
      </c>
      <c r="I3" t="s">
        <v>26</v>
      </c>
      <c r="K3" t="s">
        <v>27</v>
      </c>
      <c r="M3" t="s">
        <v>28</v>
      </c>
      <c r="N3" t="s">
        <v>18</v>
      </c>
      <c r="P3" t="s">
        <v>29</v>
      </c>
      <c r="R3" t="s">
        <v>30</v>
      </c>
      <c r="T3" s="45" t="s">
        <v>31</v>
      </c>
      <c r="V3" t="s">
        <v>32</v>
      </c>
      <c r="X3" t="s">
        <v>27</v>
      </c>
      <c r="Y3" t="s">
        <v>241</v>
      </c>
      <c r="Z3" t="s">
        <v>1970</v>
      </c>
      <c r="AA3" t="s">
        <v>1970</v>
      </c>
    </row>
    <row r="4" spans="1:27" x14ac:dyDescent="0.25">
      <c r="A4" t="s">
        <v>12</v>
      </c>
      <c r="B4" t="s">
        <v>33</v>
      </c>
      <c r="C4" t="s">
        <v>14</v>
      </c>
      <c r="F4" t="s">
        <v>34</v>
      </c>
      <c r="H4" t="s">
        <v>35</v>
      </c>
      <c r="I4" t="s">
        <v>36</v>
      </c>
      <c r="K4" t="s">
        <v>37</v>
      </c>
      <c r="M4" t="s">
        <v>38</v>
      </c>
      <c r="N4" t="s">
        <v>18</v>
      </c>
      <c r="P4" t="s">
        <v>39</v>
      </c>
      <c r="R4" t="s">
        <v>40</v>
      </c>
      <c r="T4" s="45" t="s">
        <v>41</v>
      </c>
      <c r="V4" t="s">
        <v>42</v>
      </c>
      <c r="X4" t="s">
        <v>241</v>
      </c>
      <c r="Y4" t="s">
        <v>241</v>
      </c>
      <c r="Z4" t="s">
        <v>1971</v>
      </c>
      <c r="AA4" t="s">
        <v>1971</v>
      </c>
    </row>
    <row r="5" spans="1:27" x14ac:dyDescent="0.25">
      <c r="A5" t="s">
        <v>12</v>
      </c>
      <c r="B5" t="s">
        <v>43</v>
      </c>
      <c r="C5" t="s">
        <v>14</v>
      </c>
      <c r="H5" t="s">
        <v>44</v>
      </c>
      <c r="I5" t="s">
        <v>45</v>
      </c>
      <c r="K5" t="s">
        <v>46</v>
      </c>
      <c r="M5" t="s">
        <v>47</v>
      </c>
      <c r="N5" t="s">
        <v>48</v>
      </c>
      <c r="P5" t="s">
        <v>49</v>
      </c>
      <c r="R5" t="s">
        <v>50</v>
      </c>
      <c r="T5" s="45" t="s">
        <v>51</v>
      </c>
      <c r="V5" t="s">
        <v>52</v>
      </c>
      <c r="X5" t="s">
        <v>37</v>
      </c>
      <c r="Y5" t="s">
        <v>219</v>
      </c>
      <c r="Z5" t="s">
        <v>1972</v>
      </c>
      <c r="AA5" t="s">
        <v>293</v>
      </c>
    </row>
    <row r="6" spans="1:27" x14ac:dyDescent="0.25">
      <c r="A6" t="s">
        <v>12</v>
      </c>
      <c r="B6" t="s">
        <v>53</v>
      </c>
      <c r="C6" t="s">
        <v>14</v>
      </c>
      <c r="H6" t="s">
        <v>54</v>
      </c>
      <c r="I6" t="s">
        <v>55</v>
      </c>
      <c r="K6" t="s">
        <v>56</v>
      </c>
      <c r="M6" t="s">
        <v>57</v>
      </c>
      <c r="N6" t="s">
        <v>48</v>
      </c>
      <c r="P6" t="s">
        <v>58</v>
      </c>
      <c r="V6" t="s">
        <v>59</v>
      </c>
      <c r="X6" t="s">
        <v>46</v>
      </c>
      <c r="Y6" t="s">
        <v>143</v>
      </c>
      <c r="Z6" t="s">
        <v>1970</v>
      </c>
      <c r="AA6" t="s">
        <v>1970</v>
      </c>
    </row>
    <row r="7" spans="1:27" x14ac:dyDescent="0.25">
      <c r="A7" t="s">
        <v>12</v>
      </c>
      <c r="B7" t="s">
        <v>60</v>
      </c>
      <c r="C7" t="s">
        <v>14</v>
      </c>
      <c r="K7" t="s">
        <v>61</v>
      </c>
      <c r="M7" t="s">
        <v>62</v>
      </c>
      <c r="N7" t="s">
        <v>48</v>
      </c>
      <c r="P7" t="s">
        <v>63</v>
      </c>
      <c r="V7" t="s">
        <v>64</v>
      </c>
      <c r="X7" t="s">
        <v>56</v>
      </c>
      <c r="Y7" t="s">
        <v>48</v>
      </c>
      <c r="Z7" t="s">
        <v>1970</v>
      </c>
      <c r="AA7" t="s">
        <v>1970</v>
      </c>
    </row>
    <row r="8" spans="1:27" x14ac:dyDescent="0.25">
      <c r="A8" t="s">
        <v>12</v>
      </c>
      <c r="B8" t="s">
        <v>65</v>
      </c>
      <c r="C8" t="s">
        <v>14</v>
      </c>
      <c r="K8" t="s">
        <v>66</v>
      </c>
      <c r="M8" t="s">
        <v>67</v>
      </c>
      <c r="N8" t="s">
        <v>48</v>
      </c>
      <c r="P8" t="s">
        <v>68</v>
      </c>
      <c r="X8" t="s">
        <v>61</v>
      </c>
      <c r="Y8" t="s">
        <v>219</v>
      </c>
      <c r="Z8" t="s">
        <v>1972</v>
      </c>
      <c r="AA8" t="s">
        <v>1972</v>
      </c>
    </row>
    <row r="9" spans="1:27" x14ac:dyDescent="0.25">
      <c r="A9" t="s">
        <v>12</v>
      </c>
      <c r="B9" t="s">
        <v>69</v>
      </c>
      <c r="C9" t="s">
        <v>14</v>
      </c>
      <c r="K9" t="s">
        <v>70</v>
      </c>
      <c r="M9" t="s">
        <v>71</v>
      </c>
      <c r="N9" t="s">
        <v>48</v>
      </c>
      <c r="P9" t="s">
        <v>72</v>
      </c>
      <c r="X9" t="s">
        <v>66</v>
      </c>
      <c r="Y9" t="s">
        <v>219</v>
      </c>
      <c r="Z9" t="s">
        <v>1972</v>
      </c>
      <c r="AA9" t="s">
        <v>1972</v>
      </c>
    </row>
    <row r="10" spans="1:27" x14ac:dyDescent="0.25">
      <c r="A10" t="s">
        <v>12</v>
      </c>
      <c r="B10" t="s">
        <v>73</v>
      </c>
      <c r="C10" t="s">
        <v>14</v>
      </c>
      <c r="F10" t="s">
        <v>74</v>
      </c>
      <c r="H10" t="s">
        <v>75</v>
      </c>
      <c r="K10" t="s">
        <v>76</v>
      </c>
      <c r="M10" t="s">
        <v>77</v>
      </c>
      <c r="N10" t="s">
        <v>48</v>
      </c>
      <c r="P10" t="s">
        <v>78</v>
      </c>
      <c r="X10" t="s">
        <v>70</v>
      </c>
      <c r="Y10" t="s">
        <v>112</v>
      </c>
      <c r="Z10" t="s">
        <v>1972</v>
      </c>
      <c r="AA10" t="s">
        <v>1972</v>
      </c>
    </row>
    <row r="11" spans="1:27" x14ac:dyDescent="0.25">
      <c r="A11" t="s">
        <v>12</v>
      </c>
      <c r="B11" t="s">
        <v>79</v>
      </c>
      <c r="C11" t="s">
        <v>14</v>
      </c>
      <c r="F11" t="s">
        <v>80</v>
      </c>
      <c r="H11" t="s">
        <v>81</v>
      </c>
      <c r="K11" t="s">
        <v>82</v>
      </c>
      <c r="M11" t="s">
        <v>76</v>
      </c>
      <c r="N11" t="s">
        <v>48</v>
      </c>
      <c r="X11" t="s">
        <v>76</v>
      </c>
      <c r="Y11" t="s">
        <v>48</v>
      </c>
      <c r="Z11" t="s">
        <v>1970</v>
      </c>
      <c r="AA11" t="s">
        <v>1970</v>
      </c>
    </row>
    <row r="12" spans="1:27" x14ac:dyDescent="0.25">
      <c r="A12" t="s">
        <v>12</v>
      </c>
      <c r="B12" t="s">
        <v>83</v>
      </c>
      <c r="C12" t="s">
        <v>14</v>
      </c>
      <c r="F12" t="s">
        <v>84</v>
      </c>
      <c r="H12" t="s">
        <v>85</v>
      </c>
      <c r="K12" t="s">
        <v>86</v>
      </c>
      <c r="M12" t="s">
        <v>56</v>
      </c>
      <c r="N12" t="s">
        <v>48</v>
      </c>
      <c r="X12" t="s">
        <v>82</v>
      </c>
      <c r="Y12" t="s">
        <v>48</v>
      </c>
      <c r="Z12" t="s">
        <v>1970</v>
      </c>
      <c r="AA12" t="s">
        <v>1970</v>
      </c>
    </row>
    <row r="13" spans="1:27" x14ac:dyDescent="0.25">
      <c r="A13" t="s">
        <v>12</v>
      </c>
      <c r="B13" t="s">
        <v>87</v>
      </c>
      <c r="C13" t="s">
        <v>14</v>
      </c>
      <c r="F13" t="s">
        <v>88</v>
      </c>
      <c r="H13" t="s">
        <v>89</v>
      </c>
      <c r="K13" t="s">
        <v>90</v>
      </c>
      <c r="M13" t="s">
        <v>82</v>
      </c>
      <c r="N13" t="s">
        <v>48</v>
      </c>
      <c r="X13" t="s">
        <v>86</v>
      </c>
      <c r="Y13" t="s">
        <v>292</v>
      </c>
      <c r="Z13" t="s">
        <v>1973</v>
      </c>
      <c r="AA13" t="s">
        <v>1973</v>
      </c>
    </row>
    <row r="14" spans="1:27" x14ac:dyDescent="0.25">
      <c r="A14" t="s">
        <v>12</v>
      </c>
      <c r="B14" t="s">
        <v>91</v>
      </c>
      <c r="C14" t="s">
        <v>14</v>
      </c>
      <c r="F14" t="s">
        <v>92</v>
      </c>
      <c r="H14" t="s">
        <v>93</v>
      </c>
      <c r="K14" t="s">
        <v>94</v>
      </c>
      <c r="M14" t="s">
        <v>71</v>
      </c>
      <c r="N14" t="s">
        <v>48</v>
      </c>
      <c r="X14" t="s">
        <v>90</v>
      </c>
      <c r="Y14" t="s">
        <v>194</v>
      </c>
      <c r="Z14" t="s">
        <v>1972</v>
      </c>
      <c r="AA14" t="s">
        <v>1972</v>
      </c>
    </row>
    <row r="15" spans="1:27" x14ac:dyDescent="0.25">
      <c r="A15" t="s">
        <v>12</v>
      </c>
      <c r="B15" t="s">
        <v>95</v>
      </c>
      <c r="C15" t="s">
        <v>14</v>
      </c>
      <c r="H15" t="s">
        <v>96</v>
      </c>
      <c r="K15" t="s">
        <v>97</v>
      </c>
      <c r="M15" t="s">
        <v>77</v>
      </c>
      <c r="N15" t="s">
        <v>48</v>
      </c>
      <c r="X15" t="s">
        <v>94</v>
      </c>
      <c r="Y15" t="s">
        <v>286</v>
      </c>
      <c r="Z15" t="s">
        <v>1969</v>
      </c>
      <c r="AA15" t="s">
        <v>1969</v>
      </c>
    </row>
    <row r="16" spans="1:27" x14ac:dyDescent="0.25">
      <c r="A16" t="s">
        <v>12</v>
      </c>
      <c r="B16" t="s">
        <v>98</v>
      </c>
      <c r="C16" t="s">
        <v>14</v>
      </c>
      <c r="K16" t="s">
        <v>99</v>
      </c>
      <c r="M16" t="s">
        <v>100</v>
      </c>
      <c r="N16" t="s">
        <v>48</v>
      </c>
      <c r="X16" t="s">
        <v>97</v>
      </c>
      <c r="Y16" t="s">
        <v>190</v>
      </c>
      <c r="Z16" t="s">
        <v>1972</v>
      </c>
      <c r="AA16" t="s">
        <v>1972</v>
      </c>
    </row>
    <row r="17" spans="1:27" x14ac:dyDescent="0.25">
      <c r="A17" t="s">
        <v>12</v>
      </c>
      <c r="B17" t="s">
        <v>101</v>
      </c>
      <c r="C17" t="s">
        <v>14</v>
      </c>
      <c r="K17" t="s">
        <v>102</v>
      </c>
      <c r="M17" t="s">
        <v>103</v>
      </c>
      <c r="N17" t="s">
        <v>48</v>
      </c>
      <c r="X17" t="s">
        <v>99</v>
      </c>
      <c r="Y17" t="s">
        <v>241</v>
      </c>
      <c r="Z17" t="s">
        <v>1971</v>
      </c>
      <c r="AA17" t="s">
        <v>1971</v>
      </c>
    </row>
    <row r="18" spans="1:27" x14ac:dyDescent="0.25">
      <c r="A18" t="s">
        <v>12</v>
      </c>
      <c r="B18" t="s">
        <v>104</v>
      </c>
      <c r="C18" t="s">
        <v>14</v>
      </c>
      <c r="F18" t="s">
        <v>105</v>
      </c>
      <c r="H18" t="s">
        <v>106</v>
      </c>
      <c r="K18" t="s">
        <v>107</v>
      </c>
      <c r="M18" t="s">
        <v>108</v>
      </c>
      <c r="N18" t="s">
        <v>48</v>
      </c>
      <c r="X18" t="s">
        <v>102</v>
      </c>
      <c r="Y18" t="s">
        <v>292</v>
      </c>
      <c r="Z18" t="s">
        <v>1973</v>
      </c>
      <c r="AA18" t="s">
        <v>1973</v>
      </c>
    </row>
    <row r="19" spans="1:27" x14ac:dyDescent="0.25">
      <c r="A19" t="s">
        <v>12</v>
      </c>
      <c r="B19" t="s">
        <v>109</v>
      </c>
      <c r="C19" t="s">
        <v>110</v>
      </c>
      <c r="F19" t="s">
        <v>88</v>
      </c>
      <c r="H19" t="s">
        <v>111</v>
      </c>
      <c r="K19" t="s">
        <v>112</v>
      </c>
      <c r="M19" t="s">
        <v>113</v>
      </c>
      <c r="N19" t="s">
        <v>48</v>
      </c>
      <c r="X19" t="s">
        <v>48</v>
      </c>
      <c r="Y19" t="s">
        <v>48</v>
      </c>
      <c r="Z19" t="s">
        <v>1970</v>
      </c>
      <c r="AA19" t="s">
        <v>1970</v>
      </c>
    </row>
    <row r="20" spans="1:27" x14ac:dyDescent="0.25">
      <c r="A20" t="s">
        <v>12</v>
      </c>
      <c r="B20" t="s">
        <v>114</v>
      </c>
      <c r="C20" t="s">
        <v>110</v>
      </c>
      <c r="F20" t="s">
        <v>115</v>
      </c>
      <c r="H20" t="s">
        <v>116</v>
      </c>
      <c r="K20" t="s">
        <v>117</v>
      </c>
      <c r="M20" t="s">
        <v>118</v>
      </c>
      <c r="N20" t="s">
        <v>48</v>
      </c>
      <c r="X20" t="s">
        <v>107</v>
      </c>
      <c r="Y20" t="s">
        <v>1974</v>
      </c>
      <c r="Z20" t="s">
        <v>1972</v>
      </c>
      <c r="AA20" s="91" t="s">
        <v>1972</v>
      </c>
    </row>
    <row r="21" spans="1:27" x14ac:dyDescent="0.25">
      <c r="A21" t="s">
        <v>24</v>
      </c>
      <c r="B21" t="s">
        <v>119</v>
      </c>
      <c r="C21" t="s">
        <v>110</v>
      </c>
      <c r="F21" t="s">
        <v>120</v>
      </c>
      <c r="H21" t="s">
        <v>96</v>
      </c>
      <c r="K21" t="s">
        <v>121</v>
      </c>
      <c r="M21" t="s">
        <v>122</v>
      </c>
      <c r="N21" t="s">
        <v>48</v>
      </c>
      <c r="X21" t="s">
        <v>112</v>
      </c>
      <c r="Y21" t="s">
        <v>112</v>
      </c>
      <c r="Z21" t="s">
        <v>1972</v>
      </c>
      <c r="AA21" t="s">
        <v>1972</v>
      </c>
    </row>
    <row r="22" spans="1:27" x14ac:dyDescent="0.25">
      <c r="A22" t="s">
        <v>24</v>
      </c>
      <c r="B22" t="s">
        <v>123</v>
      </c>
      <c r="C22" t="s">
        <v>110</v>
      </c>
      <c r="H22" t="s">
        <v>124</v>
      </c>
      <c r="K22" t="s">
        <v>125</v>
      </c>
      <c r="M22" t="s">
        <v>126</v>
      </c>
      <c r="N22" t="s">
        <v>48</v>
      </c>
      <c r="X22" t="s">
        <v>117</v>
      </c>
      <c r="Y22" t="s">
        <v>278</v>
      </c>
      <c r="Z22" t="s">
        <v>1969</v>
      </c>
      <c r="AA22" t="s">
        <v>1969</v>
      </c>
    </row>
    <row r="23" spans="1:27" x14ac:dyDescent="0.25">
      <c r="A23" t="s">
        <v>24</v>
      </c>
      <c r="B23" t="s">
        <v>127</v>
      </c>
      <c r="C23" t="s">
        <v>110</v>
      </c>
      <c r="K23" t="s">
        <v>128</v>
      </c>
      <c r="M23" t="s">
        <v>112</v>
      </c>
      <c r="N23" t="s">
        <v>112</v>
      </c>
      <c r="X23" t="s">
        <v>255</v>
      </c>
      <c r="Y23" t="s">
        <v>255</v>
      </c>
      <c r="Z23" t="s">
        <v>1970</v>
      </c>
      <c r="AA23" t="s">
        <v>1970</v>
      </c>
    </row>
    <row r="24" spans="1:27" x14ac:dyDescent="0.25">
      <c r="A24" t="s">
        <v>24</v>
      </c>
      <c r="B24" t="s">
        <v>129</v>
      </c>
      <c r="C24" t="s">
        <v>130</v>
      </c>
      <c r="K24" t="s">
        <v>131</v>
      </c>
      <c r="M24" t="s">
        <v>70</v>
      </c>
      <c r="N24" t="s">
        <v>112</v>
      </c>
      <c r="X24" t="s">
        <v>121</v>
      </c>
      <c r="Y24" t="s">
        <v>194</v>
      </c>
      <c r="Z24" t="s">
        <v>1970</v>
      </c>
      <c r="AA24" t="s">
        <v>1970</v>
      </c>
    </row>
    <row r="25" spans="1:27" x14ac:dyDescent="0.25">
      <c r="A25" t="s">
        <v>24</v>
      </c>
      <c r="B25" t="s">
        <v>132</v>
      </c>
      <c r="C25" t="s">
        <v>130</v>
      </c>
      <c r="K25" t="s">
        <v>77</v>
      </c>
      <c r="M25" t="s">
        <v>133</v>
      </c>
      <c r="N25" t="s">
        <v>112</v>
      </c>
      <c r="X25" t="s">
        <v>125</v>
      </c>
      <c r="Y25" t="s">
        <v>271</v>
      </c>
      <c r="Z25" t="s">
        <v>1970</v>
      </c>
      <c r="AA25" t="s">
        <v>1970</v>
      </c>
    </row>
    <row r="26" spans="1:27" x14ac:dyDescent="0.25">
      <c r="A26" t="s">
        <v>24</v>
      </c>
      <c r="B26" t="s">
        <v>134</v>
      </c>
      <c r="K26" t="s">
        <v>77</v>
      </c>
      <c r="M26" t="s">
        <v>135</v>
      </c>
      <c r="N26" t="s">
        <v>136</v>
      </c>
      <c r="X26" t="s">
        <v>128</v>
      </c>
      <c r="Y26" t="s">
        <v>128</v>
      </c>
      <c r="Z26" t="s">
        <v>1972</v>
      </c>
      <c r="AA26" t="s">
        <v>1972</v>
      </c>
    </row>
    <row r="27" spans="1:27" x14ac:dyDescent="0.25">
      <c r="A27" t="s">
        <v>24</v>
      </c>
      <c r="B27" t="s">
        <v>137</v>
      </c>
      <c r="K27" t="s">
        <v>71</v>
      </c>
      <c r="M27" t="s">
        <v>138</v>
      </c>
      <c r="N27" t="s">
        <v>136</v>
      </c>
      <c r="X27" t="s">
        <v>131</v>
      </c>
      <c r="Y27" t="s">
        <v>278</v>
      </c>
      <c r="Z27" t="s">
        <v>1969</v>
      </c>
      <c r="AA27" t="s">
        <v>1969</v>
      </c>
    </row>
    <row r="28" spans="1:27" x14ac:dyDescent="0.25">
      <c r="A28" t="s">
        <v>24</v>
      </c>
      <c r="B28" t="s">
        <v>139</v>
      </c>
      <c r="K28" t="s">
        <v>71</v>
      </c>
      <c r="M28" t="s">
        <v>140</v>
      </c>
      <c r="N28" t="s">
        <v>136</v>
      </c>
      <c r="X28" t="s">
        <v>77</v>
      </c>
      <c r="Y28" t="s">
        <v>48</v>
      </c>
      <c r="Z28" t="s">
        <v>1970</v>
      </c>
      <c r="AA28" t="s">
        <v>1970</v>
      </c>
    </row>
    <row r="29" spans="1:27" x14ac:dyDescent="0.25">
      <c r="A29" t="s">
        <v>24</v>
      </c>
      <c r="B29" t="s">
        <v>141</v>
      </c>
      <c r="K29" t="s">
        <v>142</v>
      </c>
      <c r="M29" t="s">
        <v>46</v>
      </c>
      <c r="N29" t="s">
        <v>143</v>
      </c>
      <c r="X29" t="s">
        <v>71</v>
      </c>
      <c r="Y29" t="s">
        <v>48</v>
      </c>
      <c r="Z29" t="s">
        <v>1970</v>
      </c>
      <c r="AA29" t="s">
        <v>1970</v>
      </c>
    </row>
    <row r="30" spans="1:27" x14ac:dyDescent="0.25">
      <c r="A30" t="s">
        <v>24</v>
      </c>
      <c r="B30" t="s">
        <v>144</v>
      </c>
      <c r="K30" t="s">
        <v>145</v>
      </c>
      <c r="M30" t="s">
        <v>146</v>
      </c>
      <c r="N30" t="s">
        <v>143</v>
      </c>
      <c r="X30" t="s">
        <v>142</v>
      </c>
      <c r="Y30" t="s">
        <v>241</v>
      </c>
      <c r="Z30" t="s">
        <v>1971</v>
      </c>
      <c r="AA30" t="s">
        <v>1971</v>
      </c>
    </row>
    <row r="31" spans="1:27" x14ac:dyDescent="0.25">
      <c r="A31" t="s">
        <v>34</v>
      </c>
      <c r="B31" t="s">
        <v>147</v>
      </c>
      <c r="K31" t="s">
        <v>148</v>
      </c>
      <c r="M31" t="s">
        <v>149</v>
      </c>
      <c r="N31" t="s">
        <v>143</v>
      </c>
      <c r="X31" t="s">
        <v>145</v>
      </c>
      <c r="Y31" t="s">
        <v>207</v>
      </c>
      <c r="Z31" t="s">
        <v>1972</v>
      </c>
      <c r="AA31" t="s">
        <v>1972</v>
      </c>
    </row>
    <row r="32" spans="1:27" x14ac:dyDescent="0.25">
      <c r="A32" t="s">
        <v>34</v>
      </c>
      <c r="B32" t="s">
        <v>150</v>
      </c>
      <c r="K32" t="s">
        <v>151</v>
      </c>
      <c r="M32" t="s">
        <v>152</v>
      </c>
      <c r="N32" t="s">
        <v>152</v>
      </c>
      <c r="X32" t="s">
        <v>148</v>
      </c>
      <c r="Y32" t="s">
        <v>167</v>
      </c>
      <c r="Z32" t="s">
        <v>1970</v>
      </c>
      <c r="AA32" t="s">
        <v>1970</v>
      </c>
    </row>
    <row r="33" spans="1:27" x14ac:dyDescent="0.25">
      <c r="A33" t="s">
        <v>34</v>
      </c>
      <c r="B33" t="s">
        <v>153</v>
      </c>
      <c r="K33" t="s">
        <v>100</v>
      </c>
      <c r="M33" t="s">
        <v>128</v>
      </c>
      <c r="N33" t="s">
        <v>128</v>
      </c>
      <c r="X33" t="s">
        <v>151</v>
      </c>
      <c r="Y33" t="s">
        <v>286</v>
      </c>
      <c r="Z33" t="s">
        <v>1969</v>
      </c>
      <c r="AA33" t="s">
        <v>1969</v>
      </c>
    </row>
    <row r="34" spans="1:27" x14ac:dyDescent="0.25">
      <c r="A34" t="s">
        <v>34</v>
      </c>
      <c r="B34" t="s">
        <v>154</v>
      </c>
      <c r="K34" t="s">
        <v>155</v>
      </c>
      <c r="M34" t="s">
        <v>156</v>
      </c>
      <c r="N34" t="s">
        <v>156</v>
      </c>
      <c r="X34" t="s">
        <v>100</v>
      </c>
      <c r="Y34" t="s">
        <v>48</v>
      </c>
      <c r="Z34" t="s">
        <v>1970</v>
      </c>
      <c r="AA34" t="s">
        <v>1970</v>
      </c>
    </row>
    <row r="35" spans="1:27" x14ac:dyDescent="0.25">
      <c r="A35" t="s">
        <v>34</v>
      </c>
      <c r="B35" t="s">
        <v>157</v>
      </c>
      <c r="K35" t="s">
        <v>158</v>
      </c>
      <c r="M35" t="s">
        <v>159</v>
      </c>
      <c r="N35" t="s">
        <v>156</v>
      </c>
      <c r="X35" t="s">
        <v>155</v>
      </c>
      <c r="Y35" t="s">
        <v>260</v>
      </c>
      <c r="Z35" t="s">
        <v>1970</v>
      </c>
      <c r="AA35" t="s">
        <v>1970</v>
      </c>
    </row>
    <row r="36" spans="1:27" x14ac:dyDescent="0.25">
      <c r="A36" t="s">
        <v>34</v>
      </c>
      <c r="B36" t="s">
        <v>160</v>
      </c>
      <c r="K36" t="s">
        <v>133</v>
      </c>
      <c r="M36" t="s">
        <v>161</v>
      </c>
      <c r="N36" t="s">
        <v>156</v>
      </c>
      <c r="X36" t="s">
        <v>158</v>
      </c>
      <c r="Y36" t="s">
        <v>271</v>
      </c>
      <c r="Z36" t="s">
        <v>1970</v>
      </c>
      <c r="AA36" t="s">
        <v>1970</v>
      </c>
    </row>
    <row r="37" spans="1:27" x14ac:dyDescent="0.25">
      <c r="A37" t="s">
        <v>34</v>
      </c>
      <c r="B37" t="s">
        <v>162</v>
      </c>
      <c r="K37" t="s">
        <v>163</v>
      </c>
      <c r="M37" t="s">
        <v>164</v>
      </c>
      <c r="N37" t="s">
        <v>156</v>
      </c>
      <c r="X37" t="s">
        <v>133</v>
      </c>
      <c r="Y37" t="s">
        <v>112</v>
      </c>
      <c r="Z37" t="s">
        <v>1972</v>
      </c>
      <c r="AA37" t="s">
        <v>1972</v>
      </c>
    </row>
    <row r="38" spans="1:27" x14ac:dyDescent="0.25">
      <c r="A38" t="s">
        <v>34</v>
      </c>
      <c r="B38" t="s">
        <v>165</v>
      </c>
      <c r="K38" t="s">
        <v>103</v>
      </c>
      <c r="M38" t="s">
        <v>166</v>
      </c>
      <c r="N38" t="s">
        <v>167</v>
      </c>
      <c r="X38" t="s">
        <v>179</v>
      </c>
      <c r="Y38" t="s">
        <v>179</v>
      </c>
      <c r="Z38" t="s">
        <v>1972</v>
      </c>
      <c r="AA38" t="s">
        <v>1972</v>
      </c>
    </row>
    <row r="39" spans="1:27" x14ac:dyDescent="0.25">
      <c r="A39" t="s">
        <v>34</v>
      </c>
      <c r="B39" t="s">
        <v>168</v>
      </c>
      <c r="K39" t="s">
        <v>169</v>
      </c>
      <c r="M39" t="s">
        <v>170</v>
      </c>
      <c r="N39" t="s">
        <v>167</v>
      </c>
      <c r="X39" t="s">
        <v>163</v>
      </c>
      <c r="Y39" t="s">
        <v>267</v>
      </c>
      <c r="Z39" t="s">
        <v>1970</v>
      </c>
      <c r="AA39" t="s">
        <v>1970</v>
      </c>
    </row>
    <row r="40" spans="1:27" x14ac:dyDescent="0.25">
      <c r="A40" t="s">
        <v>34</v>
      </c>
      <c r="B40" t="s">
        <v>171</v>
      </c>
      <c r="K40" t="s">
        <v>172</v>
      </c>
      <c r="M40" t="s">
        <v>148</v>
      </c>
      <c r="N40" t="s">
        <v>167</v>
      </c>
      <c r="X40" t="s">
        <v>103</v>
      </c>
      <c r="Y40" t="s">
        <v>48</v>
      </c>
      <c r="Z40" t="s">
        <v>1970</v>
      </c>
      <c r="AA40" t="s">
        <v>1970</v>
      </c>
    </row>
    <row r="41" spans="1:27" x14ac:dyDescent="0.25">
      <c r="A41" t="s">
        <v>34</v>
      </c>
      <c r="B41" t="s">
        <v>173</v>
      </c>
      <c r="K41" t="s">
        <v>174</v>
      </c>
      <c r="M41" t="s">
        <v>175</v>
      </c>
      <c r="N41" t="s">
        <v>167</v>
      </c>
      <c r="X41" t="s">
        <v>1975</v>
      </c>
      <c r="Y41" t="s">
        <v>1975</v>
      </c>
      <c r="Z41" t="s">
        <v>1970</v>
      </c>
      <c r="AA41" t="s">
        <v>1970</v>
      </c>
    </row>
    <row r="42" spans="1:27" x14ac:dyDescent="0.25">
      <c r="A42" t="s">
        <v>34</v>
      </c>
      <c r="B42" t="s">
        <v>176</v>
      </c>
      <c r="K42" t="s">
        <v>177</v>
      </c>
      <c r="M42" t="s">
        <v>178</v>
      </c>
      <c r="N42" t="s">
        <v>179</v>
      </c>
      <c r="X42" t="s">
        <v>169</v>
      </c>
      <c r="Y42" t="s">
        <v>169</v>
      </c>
      <c r="Z42" t="s">
        <v>1972</v>
      </c>
      <c r="AA42" t="s">
        <v>1972</v>
      </c>
    </row>
    <row r="43" spans="1:27" x14ac:dyDescent="0.25">
      <c r="K43" t="s">
        <v>180</v>
      </c>
      <c r="M43" t="s">
        <v>181</v>
      </c>
      <c r="N43" t="s">
        <v>179</v>
      </c>
      <c r="X43" t="s">
        <v>172</v>
      </c>
      <c r="Y43" t="s">
        <v>289</v>
      </c>
      <c r="Z43" t="s">
        <v>1972</v>
      </c>
      <c r="AA43" t="s">
        <v>1972</v>
      </c>
    </row>
    <row r="44" spans="1:27" x14ac:dyDescent="0.25">
      <c r="K44" t="s">
        <v>182</v>
      </c>
      <c r="M44" t="s">
        <v>183</v>
      </c>
      <c r="N44" t="s">
        <v>179</v>
      </c>
      <c r="X44" t="s">
        <v>174</v>
      </c>
      <c r="Y44" t="s">
        <v>169</v>
      </c>
      <c r="Z44" t="s">
        <v>1972</v>
      </c>
      <c r="AA44" t="s">
        <v>1972</v>
      </c>
    </row>
    <row r="45" spans="1:27" x14ac:dyDescent="0.25">
      <c r="K45" t="s">
        <v>184</v>
      </c>
      <c r="M45" t="s">
        <v>185</v>
      </c>
      <c r="N45" t="s">
        <v>179</v>
      </c>
      <c r="X45" t="s">
        <v>177</v>
      </c>
      <c r="Y45" t="s">
        <v>169</v>
      </c>
      <c r="Z45" t="s">
        <v>1972</v>
      </c>
      <c r="AA45" t="s">
        <v>1972</v>
      </c>
    </row>
    <row r="46" spans="1:27" x14ac:dyDescent="0.25">
      <c r="K46" t="s">
        <v>186</v>
      </c>
      <c r="M46" t="s">
        <v>186</v>
      </c>
      <c r="N46" t="s">
        <v>179</v>
      </c>
      <c r="X46" t="s">
        <v>180</v>
      </c>
      <c r="Y46" t="s">
        <v>289</v>
      </c>
      <c r="Z46" t="s">
        <v>1970</v>
      </c>
      <c r="AA46" t="s">
        <v>1970</v>
      </c>
    </row>
    <row r="47" spans="1:27" x14ac:dyDescent="0.25">
      <c r="K47" t="s">
        <v>149</v>
      </c>
      <c r="M47" t="s">
        <v>187</v>
      </c>
      <c r="N47" t="s">
        <v>179</v>
      </c>
      <c r="X47" t="s">
        <v>182</v>
      </c>
      <c r="Y47" t="s">
        <v>207</v>
      </c>
      <c r="Z47" t="s">
        <v>1970</v>
      </c>
      <c r="AA47" t="s">
        <v>1970</v>
      </c>
    </row>
    <row r="48" spans="1:27" x14ac:dyDescent="0.25">
      <c r="K48" t="s">
        <v>188</v>
      </c>
      <c r="M48" t="s">
        <v>189</v>
      </c>
      <c r="N48" t="s">
        <v>190</v>
      </c>
      <c r="X48" t="s">
        <v>184</v>
      </c>
      <c r="Y48" t="s">
        <v>267</v>
      </c>
      <c r="Z48" t="s">
        <v>1972</v>
      </c>
      <c r="AA48" s="91" t="s">
        <v>293</v>
      </c>
    </row>
    <row r="49" spans="11:27" x14ac:dyDescent="0.25">
      <c r="K49" t="s">
        <v>191</v>
      </c>
      <c r="M49" t="s">
        <v>192</v>
      </c>
      <c r="N49" t="s">
        <v>190</v>
      </c>
      <c r="X49" t="s">
        <v>186</v>
      </c>
      <c r="Y49" t="s">
        <v>179</v>
      </c>
      <c r="Z49" t="s">
        <v>1972</v>
      </c>
      <c r="AA49" t="s">
        <v>1972</v>
      </c>
    </row>
    <row r="50" spans="11:27" x14ac:dyDescent="0.25">
      <c r="K50" t="s">
        <v>135</v>
      </c>
      <c r="M50" t="s">
        <v>97</v>
      </c>
      <c r="N50" t="s">
        <v>190</v>
      </c>
      <c r="X50" t="s">
        <v>149</v>
      </c>
      <c r="Y50" t="s">
        <v>143</v>
      </c>
      <c r="Z50" t="s">
        <v>1970</v>
      </c>
      <c r="AA50" t="s">
        <v>1970</v>
      </c>
    </row>
    <row r="51" spans="11:27" x14ac:dyDescent="0.25">
      <c r="K51" t="s">
        <v>140</v>
      </c>
      <c r="M51" t="s">
        <v>193</v>
      </c>
      <c r="N51" t="s">
        <v>194</v>
      </c>
      <c r="X51" t="s">
        <v>188</v>
      </c>
      <c r="Y51" t="s">
        <v>169</v>
      </c>
      <c r="Z51" t="s">
        <v>1972</v>
      </c>
      <c r="AA51" t="s">
        <v>1972</v>
      </c>
    </row>
    <row r="52" spans="11:27" x14ac:dyDescent="0.25">
      <c r="K52" t="s">
        <v>195</v>
      </c>
      <c r="M52" t="s">
        <v>196</v>
      </c>
      <c r="N52" t="s">
        <v>194</v>
      </c>
      <c r="X52" t="s">
        <v>191</v>
      </c>
      <c r="Y52" t="s">
        <v>260</v>
      </c>
      <c r="Z52" t="s">
        <v>1970</v>
      </c>
      <c r="AA52" t="s">
        <v>1970</v>
      </c>
    </row>
    <row r="53" spans="11:27" x14ac:dyDescent="0.25">
      <c r="K53" t="s">
        <v>197</v>
      </c>
      <c r="M53" t="s">
        <v>90</v>
      </c>
      <c r="N53" t="s">
        <v>194</v>
      </c>
      <c r="X53" t="s">
        <v>135</v>
      </c>
      <c r="Y53" t="s">
        <v>136</v>
      </c>
      <c r="Z53" t="s">
        <v>1970</v>
      </c>
      <c r="AA53" t="s">
        <v>1970</v>
      </c>
    </row>
    <row r="54" spans="11:27" x14ac:dyDescent="0.25">
      <c r="K54" t="s">
        <v>138</v>
      </c>
      <c r="M54" t="s">
        <v>198</v>
      </c>
      <c r="N54" t="s">
        <v>194</v>
      </c>
      <c r="X54" t="s">
        <v>140</v>
      </c>
      <c r="Y54" t="s">
        <v>136</v>
      </c>
      <c r="Z54" t="s">
        <v>1970</v>
      </c>
      <c r="AA54" t="s">
        <v>1970</v>
      </c>
    </row>
    <row r="55" spans="11:27" x14ac:dyDescent="0.25">
      <c r="K55" t="s">
        <v>178</v>
      </c>
      <c r="M55" t="s">
        <v>199</v>
      </c>
      <c r="N55" t="s">
        <v>194</v>
      </c>
      <c r="X55" t="s">
        <v>195</v>
      </c>
      <c r="Y55" t="s">
        <v>255</v>
      </c>
      <c r="Z55" t="s">
        <v>1970</v>
      </c>
      <c r="AA55" t="s">
        <v>1970</v>
      </c>
    </row>
    <row r="56" spans="11:27" x14ac:dyDescent="0.25">
      <c r="K56" t="s">
        <v>200</v>
      </c>
      <c r="M56" t="s">
        <v>121</v>
      </c>
      <c r="N56" t="s">
        <v>194</v>
      </c>
      <c r="X56" t="s">
        <v>197</v>
      </c>
      <c r="Y56" t="s">
        <v>292</v>
      </c>
      <c r="Z56" t="s">
        <v>1973</v>
      </c>
      <c r="AA56" t="s">
        <v>1973</v>
      </c>
    </row>
    <row r="57" spans="11:27" x14ac:dyDescent="0.25">
      <c r="K57" t="s">
        <v>152</v>
      </c>
      <c r="M57" t="s">
        <v>201</v>
      </c>
      <c r="N57" t="s">
        <v>194</v>
      </c>
      <c r="X57" t="s">
        <v>136</v>
      </c>
      <c r="Y57" t="s">
        <v>136</v>
      </c>
      <c r="Z57" t="s">
        <v>1970</v>
      </c>
      <c r="AA57" t="s">
        <v>1970</v>
      </c>
    </row>
    <row r="58" spans="11:27" x14ac:dyDescent="0.25">
      <c r="K58" t="s">
        <v>202</v>
      </c>
      <c r="M58" t="s">
        <v>203</v>
      </c>
      <c r="N58" t="s">
        <v>194</v>
      </c>
      <c r="X58" t="s">
        <v>138</v>
      </c>
      <c r="Y58" t="s">
        <v>136</v>
      </c>
      <c r="Z58" t="s">
        <v>1970</v>
      </c>
      <c r="AA58" t="s">
        <v>1970</v>
      </c>
    </row>
    <row r="59" spans="11:27" x14ac:dyDescent="0.25">
      <c r="K59" t="s">
        <v>204</v>
      </c>
      <c r="M59" t="s">
        <v>205</v>
      </c>
      <c r="N59" t="s">
        <v>194</v>
      </c>
      <c r="X59" t="s">
        <v>143</v>
      </c>
      <c r="Y59" t="s">
        <v>143</v>
      </c>
      <c r="Z59" t="s">
        <v>1970</v>
      </c>
      <c r="AA59" t="s">
        <v>1970</v>
      </c>
    </row>
    <row r="60" spans="11:27" x14ac:dyDescent="0.25">
      <c r="K60" t="s">
        <v>206</v>
      </c>
      <c r="M60" t="s">
        <v>182</v>
      </c>
      <c r="N60" t="s">
        <v>207</v>
      </c>
      <c r="X60" t="s">
        <v>178</v>
      </c>
      <c r="Y60" t="s">
        <v>179</v>
      </c>
      <c r="Z60" t="s">
        <v>1972</v>
      </c>
      <c r="AA60" t="s">
        <v>1972</v>
      </c>
    </row>
    <row r="61" spans="11:27" x14ac:dyDescent="0.25">
      <c r="K61" t="s">
        <v>198</v>
      </c>
      <c r="M61" t="s">
        <v>145</v>
      </c>
      <c r="N61" t="s">
        <v>207</v>
      </c>
      <c r="X61" t="s">
        <v>200</v>
      </c>
      <c r="Y61" t="s">
        <v>278</v>
      </c>
      <c r="Z61" t="s">
        <v>1969</v>
      </c>
      <c r="AA61" t="s">
        <v>1969</v>
      </c>
    </row>
    <row r="62" spans="11:27" x14ac:dyDescent="0.25">
      <c r="K62" t="s">
        <v>170</v>
      </c>
      <c r="M62" t="s">
        <v>208</v>
      </c>
      <c r="N62" t="s">
        <v>207</v>
      </c>
      <c r="X62" t="s">
        <v>152</v>
      </c>
      <c r="Y62" t="s">
        <v>152</v>
      </c>
      <c r="Z62" t="s">
        <v>1970</v>
      </c>
      <c r="AA62" t="s">
        <v>1970</v>
      </c>
    </row>
    <row r="63" spans="11:27" x14ac:dyDescent="0.25">
      <c r="K63" t="s">
        <v>209</v>
      </c>
      <c r="M63" t="s">
        <v>210</v>
      </c>
      <c r="N63" t="s">
        <v>207</v>
      </c>
      <c r="X63" t="s">
        <v>202</v>
      </c>
      <c r="Y63" t="s">
        <v>1974</v>
      </c>
      <c r="Z63" t="s">
        <v>1972</v>
      </c>
      <c r="AA63" t="s">
        <v>1972</v>
      </c>
    </row>
    <row r="64" spans="11:27" x14ac:dyDescent="0.25">
      <c r="K64" t="s">
        <v>211</v>
      </c>
      <c r="M64" t="s">
        <v>212</v>
      </c>
      <c r="N64" t="s">
        <v>207</v>
      </c>
      <c r="X64" t="s">
        <v>204</v>
      </c>
      <c r="Y64" t="s">
        <v>267</v>
      </c>
      <c r="Z64" t="s">
        <v>1972</v>
      </c>
      <c r="AA64" t="s">
        <v>293</v>
      </c>
    </row>
    <row r="65" spans="11:27" x14ac:dyDescent="0.25">
      <c r="K65" t="s">
        <v>213</v>
      </c>
      <c r="M65" t="s">
        <v>214</v>
      </c>
      <c r="N65" t="s">
        <v>207</v>
      </c>
      <c r="X65" t="s">
        <v>206</v>
      </c>
      <c r="Y65" t="s">
        <v>229</v>
      </c>
      <c r="Z65" t="s">
        <v>1972</v>
      </c>
      <c r="AA65" t="s">
        <v>1972</v>
      </c>
    </row>
    <row r="66" spans="11:27" x14ac:dyDescent="0.25">
      <c r="K66" t="s">
        <v>215</v>
      </c>
      <c r="M66" t="s">
        <v>216</v>
      </c>
      <c r="N66" t="s">
        <v>207</v>
      </c>
      <c r="X66" t="s">
        <v>198</v>
      </c>
      <c r="Y66" t="s">
        <v>194</v>
      </c>
      <c r="Z66" t="s">
        <v>1970</v>
      </c>
      <c r="AA66" t="s">
        <v>1970</v>
      </c>
    </row>
    <row r="67" spans="11:27" x14ac:dyDescent="0.25">
      <c r="K67" t="s">
        <v>217</v>
      </c>
      <c r="M67" t="s">
        <v>218</v>
      </c>
      <c r="N67" t="s">
        <v>219</v>
      </c>
      <c r="X67" t="s">
        <v>170</v>
      </c>
      <c r="Y67" t="s">
        <v>167</v>
      </c>
      <c r="Z67" t="s">
        <v>1970</v>
      </c>
      <c r="AA67" t="s">
        <v>1970</v>
      </c>
    </row>
    <row r="68" spans="11:27" x14ac:dyDescent="0.25">
      <c r="K68" t="s">
        <v>108</v>
      </c>
      <c r="M68" t="s">
        <v>220</v>
      </c>
      <c r="N68" t="s">
        <v>219</v>
      </c>
      <c r="X68" t="s">
        <v>209</v>
      </c>
      <c r="Y68" t="s">
        <v>255</v>
      </c>
      <c r="Z68" t="s">
        <v>1970</v>
      </c>
      <c r="AA68" t="s">
        <v>1970</v>
      </c>
    </row>
    <row r="69" spans="11:27" x14ac:dyDescent="0.25">
      <c r="K69" t="s">
        <v>221</v>
      </c>
      <c r="M69" t="s">
        <v>222</v>
      </c>
      <c r="N69" t="s">
        <v>219</v>
      </c>
      <c r="X69" t="s">
        <v>207</v>
      </c>
      <c r="Y69" t="s">
        <v>207</v>
      </c>
      <c r="Z69" t="s">
        <v>1972</v>
      </c>
      <c r="AA69" t="s">
        <v>1972</v>
      </c>
    </row>
    <row r="70" spans="11:27" x14ac:dyDescent="0.25">
      <c r="K70" t="s">
        <v>223</v>
      </c>
      <c r="M70" t="s">
        <v>224</v>
      </c>
      <c r="N70" t="s">
        <v>219</v>
      </c>
      <c r="X70" t="s">
        <v>211</v>
      </c>
      <c r="Y70" t="s">
        <v>241</v>
      </c>
      <c r="Z70" t="s">
        <v>1971</v>
      </c>
      <c r="AA70" t="s">
        <v>1971</v>
      </c>
    </row>
    <row r="71" spans="11:27" x14ac:dyDescent="0.25">
      <c r="K71" t="s">
        <v>193</v>
      </c>
      <c r="M71" t="s">
        <v>37</v>
      </c>
      <c r="N71" t="s">
        <v>219</v>
      </c>
      <c r="X71" t="s">
        <v>213</v>
      </c>
      <c r="Y71" t="s">
        <v>293</v>
      </c>
      <c r="Z71" t="s">
        <v>293</v>
      </c>
      <c r="AA71" t="s">
        <v>293</v>
      </c>
    </row>
    <row r="72" spans="11:27" x14ac:dyDescent="0.25">
      <c r="K72" t="s">
        <v>225</v>
      </c>
      <c r="M72" t="s">
        <v>66</v>
      </c>
      <c r="N72" t="s">
        <v>219</v>
      </c>
      <c r="X72" t="s">
        <v>215</v>
      </c>
      <c r="Y72" t="s">
        <v>235</v>
      </c>
      <c r="Z72" t="s">
        <v>1970</v>
      </c>
      <c r="AA72" t="s">
        <v>1970</v>
      </c>
    </row>
    <row r="73" spans="11:27" x14ac:dyDescent="0.25">
      <c r="K73" t="s">
        <v>226</v>
      </c>
      <c r="M73" t="s">
        <v>61</v>
      </c>
      <c r="N73" t="s">
        <v>219</v>
      </c>
      <c r="X73" t="s">
        <v>217</v>
      </c>
      <c r="Y73" t="s">
        <v>296</v>
      </c>
      <c r="Z73" t="s">
        <v>1972</v>
      </c>
      <c r="AA73" t="s">
        <v>1972</v>
      </c>
    </row>
    <row r="74" spans="11:27" x14ac:dyDescent="0.25">
      <c r="K74" t="s">
        <v>227</v>
      </c>
      <c r="M74" t="s">
        <v>228</v>
      </c>
      <c r="N74" t="s">
        <v>229</v>
      </c>
      <c r="X74" t="s">
        <v>108</v>
      </c>
      <c r="Y74" t="s">
        <v>48</v>
      </c>
      <c r="Z74" t="s">
        <v>1970</v>
      </c>
      <c r="AA74" t="s">
        <v>1970</v>
      </c>
    </row>
    <row r="75" spans="11:27" x14ac:dyDescent="0.25">
      <c r="K75" t="s">
        <v>208</v>
      </c>
      <c r="M75" t="s">
        <v>230</v>
      </c>
      <c r="N75" t="s">
        <v>229</v>
      </c>
      <c r="X75" t="s">
        <v>221</v>
      </c>
      <c r="Y75" t="s">
        <v>241</v>
      </c>
      <c r="Z75" t="s">
        <v>1971</v>
      </c>
      <c r="AA75" t="s">
        <v>1971</v>
      </c>
    </row>
    <row r="76" spans="11:27" x14ac:dyDescent="0.25">
      <c r="K76" t="s">
        <v>231</v>
      </c>
      <c r="M76" t="s">
        <v>232</v>
      </c>
      <c r="N76" t="s">
        <v>229</v>
      </c>
      <c r="X76" t="s">
        <v>223</v>
      </c>
      <c r="Y76" t="s">
        <v>241</v>
      </c>
      <c r="Z76" t="s">
        <v>1971</v>
      </c>
      <c r="AA76" t="s">
        <v>1971</v>
      </c>
    </row>
    <row r="77" spans="11:27" x14ac:dyDescent="0.25">
      <c r="K77" t="s">
        <v>233</v>
      </c>
      <c r="M77" t="s">
        <v>206</v>
      </c>
      <c r="N77" t="s">
        <v>229</v>
      </c>
      <c r="X77" t="s">
        <v>193</v>
      </c>
      <c r="Y77" t="s">
        <v>194</v>
      </c>
      <c r="Z77" t="s">
        <v>1970</v>
      </c>
      <c r="AA77" t="s">
        <v>1970</v>
      </c>
    </row>
    <row r="78" spans="11:27" x14ac:dyDescent="0.25">
      <c r="K78" t="s">
        <v>183</v>
      </c>
      <c r="M78" t="s">
        <v>234</v>
      </c>
      <c r="N78" t="s">
        <v>235</v>
      </c>
      <c r="X78" t="s">
        <v>225</v>
      </c>
      <c r="Y78" t="s">
        <v>267</v>
      </c>
      <c r="Z78" t="s">
        <v>1972</v>
      </c>
      <c r="AA78" s="91" t="s">
        <v>1972</v>
      </c>
    </row>
    <row r="79" spans="11:27" x14ac:dyDescent="0.25">
      <c r="K79" t="s">
        <v>236</v>
      </c>
      <c r="M79" t="s">
        <v>237</v>
      </c>
      <c r="N79" t="s">
        <v>235</v>
      </c>
      <c r="X79" t="s">
        <v>226</v>
      </c>
      <c r="Y79" t="s">
        <v>271</v>
      </c>
      <c r="Z79" t="s">
        <v>1970</v>
      </c>
      <c r="AA79" t="s">
        <v>1970</v>
      </c>
    </row>
    <row r="80" spans="11:27" x14ac:dyDescent="0.25">
      <c r="K80" t="s">
        <v>189</v>
      </c>
      <c r="M80" t="s">
        <v>238</v>
      </c>
      <c r="N80" t="s">
        <v>235</v>
      </c>
      <c r="X80" t="s">
        <v>227</v>
      </c>
      <c r="Y80" t="s">
        <v>271</v>
      </c>
      <c r="Z80" t="s">
        <v>1970</v>
      </c>
      <c r="AA80" t="s">
        <v>1970</v>
      </c>
    </row>
    <row r="81" spans="11:27" x14ac:dyDescent="0.25">
      <c r="K81" t="s">
        <v>239</v>
      </c>
      <c r="M81" t="s">
        <v>215</v>
      </c>
      <c r="N81" t="s">
        <v>235</v>
      </c>
      <c r="X81" t="s">
        <v>219</v>
      </c>
      <c r="Y81" t="s">
        <v>219</v>
      </c>
      <c r="Z81" t="s">
        <v>1972</v>
      </c>
      <c r="AA81" t="s">
        <v>1972</v>
      </c>
    </row>
    <row r="82" spans="11:27" x14ac:dyDescent="0.25">
      <c r="K82" t="s">
        <v>205</v>
      </c>
      <c r="M82" t="s">
        <v>240</v>
      </c>
      <c r="N82" t="s">
        <v>235</v>
      </c>
      <c r="X82" t="s">
        <v>267</v>
      </c>
      <c r="Y82" t="s">
        <v>267</v>
      </c>
      <c r="Z82" t="s">
        <v>1972</v>
      </c>
      <c r="AA82" t="s">
        <v>1972</v>
      </c>
    </row>
    <row r="83" spans="11:27" x14ac:dyDescent="0.25">
      <c r="K83" t="s">
        <v>187</v>
      </c>
      <c r="M83" t="s">
        <v>142</v>
      </c>
      <c r="N83" t="s">
        <v>241</v>
      </c>
      <c r="X83" t="s">
        <v>208</v>
      </c>
      <c r="Y83" t="s">
        <v>207</v>
      </c>
      <c r="Z83" t="s">
        <v>1972</v>
      </c>
      <c r="AA83" t="s">
        <v>1972</v>
      </c>
    </row>
    <row r="84" spans="11:27" x14ac:dyDescent="0.25">
      <c r="K84" t="s">
        <v>181</v>
      </c>
      <c r="M84" t="s">
        <v>242</v>
      </c>
      <c r="N84" t="s">
        <v>241</v>
      </c>
      <c r="X84" t="s">
        <v>231</v>
      </c>
      <c r="Y84" t="s">
        <v>271</v>
      </c>
      <c r="Z84" t="s">
        <v>1970</v>
      </c>
      <c r="AA84" t="s">
        <v>1970</v>
      </c>
    </row>
    <row r="85" spans="11:27" x14ac:dyDescent="0.25">
      <c r="K85" t="s">
        <v>242</v>
      </c>
      <c r="M85" t="s">
        <v>223</v>
      </c>
      <c r="N85" t="s">
        <v>241</v>
      </c>
      <c r="X85" t="s">
        <v>286</v>
      </c>
      <c r="Y85" t="s">
        <v>286</v>
      </c>
      <c r="Z85" t="s">
        <v>1969</v>
      </c>
      <c r="AA85" t="s">
        <v>1969</v>
      </c>
    </row>
    <row r="86" spans="11:27" x14ac:dyDescent="0.25">
      <c r="K86" t="s">
        <v>243</v>
      </c>
      <c r="M86" t="s">
        <v>27</v>
      </c>
      <c r="N86" t="s">
        <v>241</v>
      </c>
      <c r="X86" t="s">
        <v>233</v>
      </c>
      <c r="Y86" t="s">
        <v>1974</v>
      </c>
      <c r="Z86" t="s">
        <v>1972</v>
      </c>
      <c r="AA86" t="s">
        <v>293</v>
      </c>
    </row>
    <row r="87" spans="11:27" x14ac:dyDescent="0.25">
      <c r="K87" t="s">
        <v>244</v>
      </c>
      <c r="M87" t="s">
        <v>245</v>
      </c>
      <c r="N87" t="s">
        <v>241</v>
      </c>
      <c r="X87" t="s">
        <v>183</v>
      </c>
      <c r="Y87" t="s">
        <v>179</v>
      </c>
      <c r="Z87" t="s">
        <v>1972</v>
      </c>
      <c r="AA87" t="s">
        <v>1972</v>
      </c>
    </row>
    <row r="88" spans="11:27" x14ac:dyDescent="0.25">
      <c r="K88" t="s">
        <v>246</v>
      </c>
      <c r="M88" t="s">
        <v>247</v>
      </c>
      <c r="N88" t="s">
        <v>241</v>
      </c>
      <c r="X88" t="s">
        <v>236</v>
      </c>
      <c r="Y88" t="s">
        <v>286</v>
      </c>
      <c r="Z88" t="s">
        <v>1969</v>
      </c>
      <c r="AA88" t="s">
        <v>1969</v>
      </c>
    </row>
    <row r="89" spans="11:27" x14ac:dyDescent="0.25">
      <c r="K89" t="s">
        <v>248</v>
      </c>
      <c r="M89" t="s">
        <v>99</v>
      </c>
      <c r="N89" t="s">
        <v>241</v>
      </c>
      <c r="X89" t="s">
        <v>189</v>
      </c>
      <c r="Y89" t="s">
        <v>190</v>
      </c>
      <c r="Z89" t="s">
        <v>1972</v>
      </c>
      <c r="AA89" t="s">
        <v>1972</v>
      </c>
    </row>
    <row r="90" spans="11:27" x14ac:dyDescent="0.25">
      <c r="K90" t="s">
        <v>249</v>
      </c>
      <c r="M90" t="s">
        <v>221</v>
      </c>
      <c r="N90" t="s">
        <v>241</v>
      </c>
      <c r="X90" t="s">
        <v>190</v>
      </c>
      <c r="Y90" t="s">
        <v>190</v>
      </c>
      <c r="Z90" t="s">
        <v>1972</v>
      </c>
      <c r="AA90" t="s">
        <v>1972</v>
      </c>
    </row>
    <row r="91" spans="11:27" x14ac:dyDescent="0.25">
      <c r="K91" t="s">
        <v>57</v>
      </c>
      <c r="M91" t="s">
        <v>211</v>
      </c>
      <c r="N91" t="s">
        <v>241</v>
      </c>
      <c r="X91" t="s">
        <v>295</v>
      </c>
      <c r="Y91" t="s">
        <v>295</v>
      </c>
      <c r="Z91" t="s">
        <v>1970</v>
      </c>
      <c r="AA91" t="s">
        <v>1970</v>
      </c>
    </row>
    <row r="92" spans="11:27" x14ac:dyDescent="0.25">
      <c r="K92" t="s">
        <v>237</v>
      </c>
      <c r="M92" t="s">
        <v>250</v>
      </c>
      <c r="N92" t="s">
        <v>241</v>
      </c>
      <c r="X92" t="s">
        <v>239</v>
      </c>
      <c r="Y92" t="s">
        <v>295</v>
      </c>
      <c r="Z92" t="s">
        <v>1970</v>
      </c>
      <c r="AA92" t="s">
        <v>1970</v>
      </c>
    </row>
    <row r="93" spans="11:27" x14ac:dyDescent="0.25">
      <c r="K93" t="s">
        <v>156</v>
      </c>
      <c r="M93" t="s">
        <v>251</v>
      </c>
      <c r="N93" t="s">
        <v>241</v>
      </c>
      <c r="X93" t="s">
        <v>205</v>
      </c>
      <c r="Y93" t="s">
        <v>194</v>
      </c>
      <c r="Z93" t="s">
        <v>1970</v>
      </c>
      <c r="AA93" t="s">
        <v>1970</v>
      </c>
    </row>
    <row r="94" spans="11:27" x14ac:dyDescent="0.25">
      <c r="K94" t="s">
        <v>252</v>
      </c>
      <c r="M94" t="s">
        <v>253</v>
      </c>
      <c r="N94" t="s">
        <v>241</v>
      </c>
      <c r="X94" t="s">
        <v>187</v>
      </c>
      <c r="Y94" t="s">
        <v>179</v>
      </c>
      <c r="Z94" t="s">
        <v>1970</v>
      </c>
      <c r="AA94" t="s">
        <v>1970</v>
      </c>
    </row>
    <row r="95" spans="11:27" x14ac:dyDescent="0.25">
      <c r="K95" t="s">
        <v>166</v>
      </c>
      <c r="M95" t="s">
        <v>254</v>
      </c>
      <c r="N95" t="s">
        <v>255</v>
      </c>
      <c r="X95" t="s">
        <v>181</v>
      </c>
      <c r="Y95" t="s">
        <v>179</v>
      </c>
      <c r="Z95" t="s">
        <v>1972</v>
      </c>
      <c r="AA95" t="s">
        <v>1972</v>
      </c>
    </row>
    <row r="96" spans="11:27" x14ac:dyDescent="0.25">
      <c r="K96" t="s">
        <v>256</v>
      </c>
      <c r="M96" t="s">
        <v>209</v>
      </c>
      <c r="N96" t="s">
        <v>255</v>
      </c>
      <c r="X96" t="s">
        <v>242</v>
      </c>
      <c r="Y96" t="s">
        <v>241</v>
      </c>
      <c r="Z96" t="s">
        <v>1971</v>
      </c>
      <c r="AA96" t="s">
        <v>1971</v>
      </c>
    </row>
    <row r="97" spans="11:27" x14ac:dyDescent="0.25">
      <c r="K97" t="s">
        <v>257</v>
      </c>
      <c r="M97" t="s">
        <v>248</v>
      </c>
      <c r="N97" t="s">
        <v>255</v>
      </c>
      <c r="X97" t="s">
        <v>243</v>
      </c>
      <c r="Y97" t="s">
        <v>292</v>
      </c>
      <c r="Z97" t="s">
        <v>1973</v>
      </c>
      <c r="AA97" t="s">
        <v>1973</v>
      </c>
    </row>
    <row r="98" spans="11:27" x14ac:dyDescent="0.25">
      <c r="K98" t="s">
        <v>258</v>
      </c>
      <c r="M98" t="s">
        <v>195</v>
      </c>
      <c r="N98" t="s">
        <v>255</v>
      </c>
      <c r="X98" t="s">
        <v>244</v>
      </c>
      <c r="Y98" t="s">
        <v>286</v>
      </c>
      <c r="Z98" t="s">
        <v>1969</v>
      </c>
      <c r="AA98" t="s">
        <v>1969</v>
      </c>
    </row>
    <row r="99" spans="11:27" x14ac:dyDescent="0.25">
      <c r="K99" t="s">
        <v>259</v>
      </c>
      <c r="M99" t="s">
        <v>252</v>
      </c>
      <c r="N99" t="s">
        <v>260</v>
      </c>
      <c r="X99" t="s">
        <v>246</v>
      </c>
      <c r="Y99" t="s">
        <v>289</v>
      </c>
      <c r="Z99" t="s">
        <v>1970</v>
      </c>
      <c r="AA99" t="s">
        <v>1970</v>
      </c>
    </row>
    <row r="100" spans="11:27" x14ac:dyDescent="0.25">
      <c r="K100" t="s">
        <v>261</v>
      </c>
      <c r="M100" t="s">
        <v>262</v>
      </c>
      <c r="N100" t="s">
        <v>260</v>
      </c>
      <c r="X100" t="s">
        <v>248</v>
      </c>
      <c r="Y100" t="s">
        <v>255</v>
      </c>
      <c r="Z100" t="s">
        <v>1970</v>
      </c>
      <c r="AA100" t="s">
        <v>1970</v>
      </c>
    </row>
    <row r="101" spans="11:27" x14ac:dyDescent="0.25">
      <c r="K101" t="s">
        <v>220</v>
      </c>
      <c r="M101" t="s">
        <v>263</v>
      </c>
      <c r="N101" t="s">
        <v>260</v>
      </c>
      <c r="X101" t="s">
        <v>249</v>
      </c>
      <c r="Y101" t="s">
        <v>289</v>
      </c>
      <c r="Z101" t="s">
        <v>1972</v>
      </c>
      <c r="AA101" t="s">
        <v>1972</v>
      </c>
    </row>
    <row r="102" spans="11:27" x14ac:dyDescent="0.25">
      <c r="K102" t="s">
        <v>264</v>
      </c>
      <c r="M102" t="s">
        <v>265</v>
      </c>
      <c r="N102" t="s">
        <v>260</v>
      </c>
      <c r="X102" t="s">
        <v>57</v>
      </c>
      <c r="Y102" t="s">
        <v>48</v>
      </c>
      <c r="Z102" t="s">
        <v>1970</v>
      </c>
      <c r="AA102" t="s">
        <v>1970</v>
      </c>
    </row>
    <row r="103" spans="11:27" x14ac:dyDescent="0.25">
      <c r="K103" t="s">
        <v>216</v>
      </c>
      <c r="M103" t="s">
        <v>191</v>
      </c>
      <c r="N103" t="s">
        <v>260</v>
      </c>
      <c r="X103" t="s">
        <v>237</v>
      </c>
      <c r="Y103" t="s">
        <v>235</v>
      </c>
      <c r="Z103" t="s">
        <v>1970</v>
      </c>
      <c r="AA103" t="s">
        <v>1970</v>
      </c>
    </row>
    <row r="104" spans="11:27" x14ac:dyDescent="0.25">
      <c r="K104" t="s">
        <v>240</v>
      </c>
      <c r="M104" t="s">
        <v>266</v>
      </c>
      <c r="N104" t="s">
        <v>260</v>
      </c>
      <c r="X104" t="s">
        <v>156</v>
      </c>
      <c r="Y104" t="s">
        <v>156</v>
      </c>
      <c r="Z104" t="s">
        <v>1972</v>
      </c>
      <c r="AA104" t="s">
        <v>1972</v>
      </c>
    </row>
    <row r="105" spans="11:27" x14ac:dyDescent="0.25">
      <c r="K105" t="s">
        <v>196</v>
      </c>
      <c r="M105" t="s">
        <v>177</v>
      </c>
      <c r="N105" t="s">
        <v>169</v>
      </c>
      <c r="X105" t="s">
        <v>252</v>
      </c>
      <c r="Y105" t="s">
        <v>260</v>
      </c>
      <c r="Z105" t="s">
        <v>1970</v>
      </c>
      <c r="AA105" t="s">
        <v>1970</v>
      </c>
    </row>
    <row r="106" spans="11:27" x14ac:dyDescent="0.25">
      <c r="K106" t="s">
        <v>210</v>
      </c>
      <c r="M106" t="s">
        <v>188</v>
      </c>
      <c r="N106" t="s">
        <v>169</v>
      </c>
      <c r="X106" t="s">
        <v>166</v>
      </c>
      <c r="Y106" t="s">
        <v>167</v>
      </c>
      <c r="Z106" t="s">
        <v>1970</v>
      </c>
      <c r="AA106" t="s">
        <v>1970</v>
      </c>
    </row>
    <row r="107" spans="11:27" x14ac:dyDescent="0.25">
      <c r="K107" t="s">
        <v>62</v>
      </c>
      <c r="M107" t="s">
        <v>169</v>
      </c>
      <c r="N107" t="s">
        <v>169</v>
      </c>
      <c r="X107" t="s">
        <v>167</v>
      </c>
      <c r="Y107" t="s">
        <v>167</v>
      </c>
      <c r="Z107" t="s">
        <v>1970</v>
      </c>
      <c r="AA107" t="s">
        <v>1970</v>
      </c>
    </row>
    <row r="108" spans="11:27" x14ac:dyDescent="0.25">
      <c r="K108" t="s">
        <v>232</v>
      </c>
      <c r="M108" t="s">
        <v>174</v>
      </c>
      <c r="N108" t="s">
        <v>169</v>
      </c>
      <c r="X108" t="s">
        <v>256</v>
      </c>
      <c r="Y108" t="s">
        <v>286</v>
      </c>
      <c r="Z108" t="s">
        <v>1969</v>
      </c>
      <c r="AA108" t="s">
        <v>1969</v>
      </c>
    </row>
    <row r="109" spans="11:27" x14ac:dyDescent="0.25">
      <c r="K109" t="s">
        <v>230</v>
      </c>
      <c r="M109" t="s">
        <v>225</v>
      </c>
      <c r="N109" t="s">
        <v>267</v>
      </c>
      <c r="X109" t="s">
        <v>257</v>
      </c>
      <c r="Y109" t="s">
        <v>292</v>
      </c>
      <c r="Z109" t="s">
        <v>1973</v>
      </c>
      <c r="AA109" t="s">
        <v>1973</v>
      </c>
    </row>
    <row r="110" spans="11:27" x14ac:dyDescent="0.25">
      <c r="K110" t="s">
        <v>228</v>
      </c>
      <c r="M110" t="s">
        <v>163</v>
      </c>
      <c r="N110" t="s">
        <v>267</v>
      </c>
      <c r="X110" t="s">
        <v>292</v>
      </c>
      <c r="Y110" t="s">
        <v>292</v>
      </c>
      <c r="Z110" t="s">
        <v>1973</v>
      </c>
      <c r="AA110" t="s">
        <v>1973</v>
      </c>
    </row>
    <row r="111" spans="11:27" x14ac:dyDescent="0.25">
      <c r="K111" t="s">
        <v>268</v>
      </c>
      <c r="M111" t="s">
        <v>269</v>
      </c>
      <c r="N111" t="s">
        <v>267</v>
      </c>
      <c r="X111" t="s">
        <v>258</v>
      </c>
      <c r="Y111" t="s">
        <v>1974</v>
      </c>
      <c r="Z111" t="s">
        <v>1972</v>
      </c>
      <c r="AA111" t="s">
        <v>293</v>
      </c>
    </row>
    <row r="112" spans="11:27" x14ac:dyDescent="0.25">
      <c r="K112" t="s">
        <v>270</v>
      </c>
      <c r="M112" t="s">
        <v>204</v>
      </c>
      <c r="N112" t="s">
        <v>267</v>
      </c>
      <c r="X112" t="s">
        <v>259</v>
      </c>
      <c r="Y112" t="s">
        <v>289</v>
      </c>
      <c r="Z112" t="s">
        <v>1972</v>
      </c>
      <c r="AA112" t="s">
        <v>1972</v>
      </c>
    </row>
    <row r="113" spans="11:27" x14ac:dyDescent="0.25">
      <c r="K113" t="s">
        <v>269</v>
      </c>
      <c r="M113" t="s">
        <v>231</v>
      </c>
      <c r="N113" t="s">
        <v>271</v>
      </c>
      <c r="X113" t="s">
        <v>289</v>
      </c>
      <c r="Y113" t="s">
        <v>289</v>
      </c>
      <c r="Z113" t="s">
        <v>1970</v>
      </c>
      <c r="AA113" t="s">
        <v>1970</v>
      </c>
    </row>
    <row r="114" spans="11:27" x14ac:dyDescent="0.25">
      <c r="K114" t="s">
        <v>247</v>
      </c>
      <c r="M114" t="s">
        <v>226</v>
      </c>
      <c r="N114" t="s">
        <v>271</v>
      </c>
      <c r="X114" t="s">
        <v>261</v>
      </c>
      <c r="Y114" t="s">
        <v>289</v>
      </c>
      <c r="Z114" t="s">
        <v>1970</v>
      </c>
      <c r="AA114" t="s">
        <v>1970</v>
      </c>
    </row>
    <row r="115" spans="11:27" x14ac:dyDescent="0.25">
      <c r="K115" t="s">
        <v>272</v>
      </c>
      <c r="M115" t="s">
        <v>227</v>
      </c>
      <c r="N115" t="s">
        <v>271</v>
      </c>
      <c r="X115" t="s">
        <v>220</v>
      </c>
      <c r="Y115" t="s">
        <v>219</v>
      </c>
      <c r="Z115" t="s">
        <v>1972</v>
      </c>
      <c r="AA115" t="s">
        <v>1972</v>
      </c>
    </row>
    <row r="116" spans="11:27" x14ac:dyDescent="0.25">
      <c r="K116" t="s">
        <v>175</v>
      </c>
      <c r="M116" t="s">
        <v>273</v>
      </c>
      <c r="N116" t="s">
        <v>271</v>
      </c>
      <c r="X116" t="s">
        <v>264</v>
      </c>
      <c r="Y116" t="s">
        <v>1974</v>
      </c>
      <c r="Z116" t="s">
        <v>1972</v>
      </c>
      <c r="AA116" t="s">
        <v>1972</v>
      </c>
    </row>
    <row r="117" spans="11:27" x14ac:dyDescent="0.25">
      <c r="K117" t="s">
        <v>18</v>
      </c>
      <c r="M117" t="s">
        <v>274</v>
      </c>
      <c r="N117" t="s">
        <v>271</v>
      </c>
      <c r="X117" t="s">
        <v>296</v>
      </c>
      <c r="Y117" t="s">
        <v>296</v>
      </c>
      <c r="Z117" t="s">
        <v>1972</v>
      </c>
      <c r="AA117" t="s">
        <v>1972</v>
      </c>
    </row>
    <row r="118" spans="11:27" x14ac:dyDescent="0.25">
      <c r="K118" t="s">
        <v>253</v>
      </c>
      <c r="M118" t="s">
        <v>125</v>
      </c>
      <c r="N118" t="s">
        <v>271</v>
      </c>
      <c r="X118" t="s">
        <v>1976</v>
      </c>
      <c r="Y118" t="s">
        <v>1976</v>
      </c>
      <c r="Z118" t="s">
        <v>1972</v>
      </c>
      <c r="AA118" t="s">
        <v>1972</v>
      </c>
    </row>
    <row r="119" spans="11:27" x14ac:dyDescent="0.25">
      <c r="K119" t="s">
        <v>262</v>
      </c>
      <c r="M119" t="s">
        <v>275</v>
      </c>
      <c r="N119" t="s">
        <v>271</v>
      </c>
      <c r="X119" t="s">
        <v>278</v>
      </c>
      <c r="Y119" t="s">
        <v>278</v>
      </c>
      <c r="Z119" t="s">
        <v>1969</v>
      </c>
      <c r="AA119" t="s">
        <v>1969</v>
      </c>
    </row>
    <row r="120" spans="11:27" x14ac:dyDescent="0.25">
      <c r="K120" t="s">
        <v>276</v>
      </c>
      <c r="M120" t="s">
        <v>158</v>
      </c>
      <c r="N120" t="s">
        <v>271</v>
      </c>
      <c r="X120" t="s">
        <v>293</v>
      </c>
      <c r="Y120" t="s">
        <v>293</v>
      </c>
      <c r="Z120" t="s">
        <v>293</v>
      </c>
      <c r="AA120" t="s">
        <v>293</v>
      </c>
    </row>
    <row r="121" spans="11:27" x14ac:dyDescent="0.25">
      <c r="K121" t="s">
        <v>161</v>
      </c>
      <c r="M121" t="s">
        <v>277</v>
      </c>
      <c r="N121" t="s">
        <v>278</v>
      </c>
      <c r="X121" t="s">
        <v>216</v>
      </c>
      <c r="Y121" t="s">
        <v>207</v>
      </c>
      <c r="Z121" t="s">
        <v>1972</v>
      </c>
      <c r="AA121" t="s">
        <v>1972</v>
      </c>
    </row>
    <row r="122" spans="11:27" x14ac:dyDescent="0.25">
      <c r="K122" t="s">
        <v>199</v>
      </c>
      <c r="M122" t="s">
        <v>131</v>
      </c>
      <c r="N122" t="s">
        <v>278</v>
      </c>
      <c r="X122" t="s">
        <v>240</v>
      </c>
      <c r="Y122" t="s">
        <v>235</v>
      </c>
      <c r="Z122" t="s">
        <v>1970</v>
      </c>
      <c r="AA122" t="s">
        <v>1970</v>
      </c>
    </row>
    <row r="123" spans="11:27" x14ac:dyDescent="0.25">
      <c r="K123" t="s">
        <v>279</v>
      </c>
      <c r="M123" t="s">
        <v>17</v>
      </c>
      <c r="N123" t="s">
        <v>278</v>
      </c>
      <c r="X123" t="s">
        <v>196</v>
      </c>
      <c r="Y123" t="s">
        <v>194</v>
      </c>
      <c r="Z123" t="s">
        <v>1972</v>
      </c>
      <c r="AA123" t="s">
        <v>1972</v>
      </c>
    </row>
    <row r="124" spans="11:27" x14ac:dyDescent="0.25">
      <c r="K124" t="s">
        <v>126</v>
      </c>
      <c r="M124" t="s">
        <v>280</v>
      </c>
      <c r="N124" t="s">
        <v>278</v>
      </c>
      <c r="X124" t="s">
        <v>210</v>
      </c>
      <c r="Y124" t="s">
        <v>207</v>
      </c>
      <c r="Z124" t="s">
        <v>1972</v>
      </c>
      <c r="AA124" t="s">
        <v>1972</v>
      </c>
    </row>
    <row r="125" spans="11:27" x14ac:dyDescent="0.25">
      <c r="K125" t="s">
        <v>263</v>
      </c>
      <c r="M125" t="s">
        <v>281</v>
      </c>
      <c r="N125" t="s">
        <v>278</v>
      </c>
      <c r="X125" t="s">
        <v>62</v>
      </c>
      <c r="Y125" t="s">
        <v>48</v>
      </c>
      <c r="Z125" t="s">
        <v>1970</v>
      </c>
      <c r="AA125" t="s">
        <v>1970</v>
      </c>
    </row>
    <row r="126" spans="11:27" x14ac:dyDescent="0.25">
      <c r="K126" t="s">
        <v>282</v>
      </c>
      <c r="M126" t="s">
        <v>200</v>
      </c>
      <c r="N126" t="s">
        <v>278</v>
      </c>
      <c r="X126" t="s">
        <v>232</v>
      </c>
      <c r="Y126" t="s">
        <v>229</v>
      </c>
      <c r="Z126" t="s">
        <v>1970</v>
      </c>
      <c r="AA126" t="s">
        <v>1970</v>
      </c>
    </row>
    <row r="127" spans="11:27" x14ac:dyDescent="0.25">
      <c r="K127" t="s">
        <v>185</v>
      </c>
      <c r="M127" t="s">
        <v>117</v>
      </c>
      <c r="N127" t="s">
        <v>278</v>
      </c>
      <c r="X127" t="s">
        <v>230</v>
      </c>
      <c r="Y127" t="s">
        <v>229</v>
      </c>
      <c r="Z127" t="s">
        <v>1970</v>
      </c>
      <c r="AA127" t="s">
        <v>1970</v>
      </c>
    </row>
    <row r="128" spans="11:27" x14ac:dyDescent="0.25">
      <c r="K128" t="s">
        <v>113</v>
      </c>
      <c r="M128" t="s">
        <v>283</v>
      </c>
      <c r="N128" t="s">
        <v>278</v>
      </c>
      <c r="X128" t="s">
        <v>228</v>
      </c>
      <c r="Y128" t="s">
        <v>229</v>
      </c>
      <c r="Z128" t="s">
        <v>1970</v>
      </c>
      <c r="AA128" t="s">
        <v>1970</v>
      </c>
    </row>
    <row r="129" spans="11:27" x14ac:dyDescent="0.25">
      <c r="K129" t="s">
        <v>203</v>
      </c>
      <c r="M129" t="s">
        <v>284</v>
      </c>
      <c r="N129" t="s">
        <v>278</v>
      </c>
      <c r="X129" t="s">
        <v>268</v>
      </c>
      <c r="Y129" t="s">
        <v>286</v>
      </c>
      <c r="Z129" t="s">
        <v>1969</v>
      </c>
      <c r="AA129" t="s">
        <v>1969</v>
      </c>
    </row>
    <row r="130" spans="11:27" x14ac:dyDescent="0.25">
      <c r="K130" t="s">
        <v>201</v>
      </c>
      <c r="M130" t="s">
        <v>282</v>
      </c>
      <c r="N130" t="s">
        <v>278</v>
      </c>
      <c r="X130" t="s">
        <v>235</v>
      </c>
      <c r="Y130" t="s">
        <v>235</v>
      </c>
      <c r="Z130" t="s">
        <v>1970</v>
      </c>
      <c r="AA130" t="s">
        <v>1970</v>
      </c>
    </row>
    <row r="131" spans="11:27" x14ac:dyDescent="0.25">
      <c r="K131" t="s">
        <v>245</v>
      </c>
      <c r="M131" t="s">
        <v>285</v>
      </c>
      <c r="N131" t="s">
        <v>286</v>
      </c>
      <c r="X131" t="s">
        <v>270</v>
      </c>
      <c r="Y131" t="s">
        <v>286</v>
      </c>
      <c r="Z131" t="s">
        <v>1969</v>
      </c>
      <c r="AA131" t="s">
        <v>1969</v>
      </c>
    </row>
    <row r="132" spans="11:27" x14ac:dyDescent="0.25">
      <c r="K132" t="s">
        <v>251</v>
      </c>
      <c r="M132" t="s">
        <v>236</v>
      </c>
      <c r="N132" t="s">
        <v>286</v>
      </c>
      <c r="X132" t="s">
        <v>269</v>
      </c>
      <c r="Y132" t="s">
        <v>267</v>
      </c>
      <c r="Z132" t="s">
        <v>1972</v>
      </c>
      <c r="AA132" t="s">
        <v>1972</v>
      </c>
    </row>
    <row r="133" spans="11:27" x14ac:dyDescent="0.25">
      <c r="K133" t="s">
        <v>238</v>
      </c>
      <c r="M133" t="s">
        <v>256</v>
      </c>
      <c r="N133" t="s">
        <v>286</v>
      </c>
      <c r="X133" t="s">
        <v>247</v>
      </c>
      <c r="Y133" t="s">
        <v>241</v>
      </c>
      <c r="Z133" t="s">
        <v>1971</v>
      </c>
      <c r="AA133" t="s">
        <v>1971</v>
      </c>
    </row>
    <row r="134" spans="11:27" x14ac:dyDescent="0.25">
      <c r="K134" t="s">
        <v>285</v>
      </c>
      <c r="M134" t="s">
        <v>270</v>
      </c>
      <c r="N134" t="s">
        <v>286</v>
      </c>
      <c r="X134" t="s">
        <v>272</v>
      </c>
      <c r="Y134" t="s">
        <v>297</v>
      </c>
      <c r="Z134" t="s">
        <v>1972</v>
      </c>
      <c r="AA134" t="s">
        <v>1972</v>
      </c>
    </row>
    <row r="135" spans="11:27" x14ac:dyDescent="0.25">
      <c r="K135" t="s">
        <v>146</v>
      </c>
      <c r="M135" t="s">
        <v>94</v>
      </c>
      <c r="N135" t="s">
        <v>286</v>
      </c>
      <c r="X135" t="s">
        <v>175</v>
      </c>
      <c r="Y135" t="s">
        <v>167</v>
      </c>
      <c r="Z135" t="s">
        <v>1970</v>
      </c>
      <c r="AA135" t="s">
        <v>1970</v>
      </c>
    </row>
    <row r="136" spans="11:27" x14ac:dyDescent="0.25">
      <c r="K136" t="s">
        <v>159</v>
      </c>
      <c r="M136" t="s">
        <v>244</v>
      </c>
      <c r="N136" t="s">
        <v>286</v>
      </c>
      <c r="X136" t="s">
        <v>18</v>
      </c>
      <c r="Y136" t="s">
        <v>18</v>
      </c>
      <c r="Z136" t="s">
        <v>1970</v>
      </c>
      <c r="AA136" t="s">
        <v>1970</v>
      </c>
    </row>
    <row r="137" spans="11:27" x14ac:dyDescent="0.25">
      <c r="K137" t="s">
        <v>28</v>
      </c>
      <c r="M137" t="s">
        <v>268</v>
      </c>
      <c r="N137" t="s">
        <v>286</v>
      </c>
      <c r="X137" t="s">
        <v>253</v>
      </c>
      <c r="Y137" t="s">
        <v>241</v>
      </c>
      <c r="Z137" t="s">
        <v>1971</v>
      </c>
      <c r="AA137" t="s">
        <v>1971</v>
      </c>
    </row>
    <row r="138" spans="11:27" x14ac:dyDescent="0.25">
      <c r="K138" t="s">
        <v>287</v>
      </c>
      <c r="M138" t="s">
        <v>288</v>
      </c>
      <c r="N138" t="s">
        <v>286</v>
      </c>
      <c r="X138" t="s">
        <v>262</v>
      </c>
      <c r="Y138" t="s">
        <v>260</v>
      </c>
      <c r="Z138" t="s">
        <v>1970</v>
      </c>
      <c r="AA138" t="s">
        <v>1970</v>
      </c>
    </row>
    <row r="139" spans="11:27" x14ac:dyDescent="0.25">
      <c r="K139" t="s">
        <v>281</v>
      </c>
      <c r="M139" t="s">
        <v>172</v>
      </c>
      <c r="N139" t="s">
        <v>289</v>
      </c>
      <c r="X139" t="s">
        <v>276</v>
      </c>
      <c r="Y139" t="s">
        <v>292</v>
      </c>
      <c r="Z139" t="s">
        <v>1973</v>
      </c>
      <c r="AA139" t="s">
        <v>1973</v>
      </c>
    </row>
    <row r="140" spans="11:27" x14ac:dyDescent="0.25">
      <c r="K140" t="s">
        <v>250</v>
      </c>
      <c r="M140" t="s">
        <v>180</v>
      </c>
      <c r="N140" t="s">
        <v>289</v>
      </c>
      <c r="X140" t="s">
        <v>161</v>
      </c>
      <c r="Y140" t="s">
        <v>156</v>
      </c>
      <c r="Z140" t="s">
        <v>1972</v>
      </c>
      <c r="AA140" t="s">
        <v>1972</v>
      </c>
    </row>
    <row r="141" spans="11:27" x14ac:dyDescent="0.25">
      <c r="K141" t="s">
        <v>283</v>
      </c>
      <c r="M141" t="s">
        <v>259</v>
      </c>
      <c r="N141" t="s">
        <v>289</v>
      </c>
      <c r="X141" t="s">
        <v>199</v>
      </c>
      <c r="Y141" t="s">
        <v>194</v>
      </c>
      <c r="Z141" t="s">
        <v>1970</v>
      </c>
      <c r="AA141" t="s">
        <v>1970</v>
      </c>
    </row>
    <row r="142" spans="11:27" x14ac:dyDescent="0.25">
      <c r="K142" t="s">
        <v>164</v>
      </c>
      <c r="M142" t="s">
        <v>261</v>
      </c>
      <c r="N142" t="s">
        <v>289</v>
      </c>
      <c r="X142" t="s">
        <v>279</v>
      </c>
      <c r="Y142" t="s">
        <v>292</v>
      </c>
      <c r="Z142" t="s">
        <v>1973</v>
      </c>
      <c r="AA142" t="s">
        <v>1973</v>
      </c>
    </row>
    <row r="143" spans="11:27" x14ac:dyDescent="0.25">
      <c r="K143" t="s">
        <v>290</v>
      </c>
      <c r="M143" t="s">
        <v>246</v>
      </c>
      <c r="N143" t="s">
        <v>289</v>
      </c>
      <c r="X143" t="s">
        <v>126</v>
      </c>
      <c r="Y143" t="s">
        <v>48</v>
      </c>
      <c r="Z143" t="s">
        <v>1970</v>
      </c>
      <c r="AA143" t="s">
        <v>1970</v>
      </c>
    </row>
    <row r="144" spans="11:27" x14ac:dyDescent="0.25">
      <c r="K144" t="s">
        <v>277</v>
      </c>
      <c r="M144" t="s">
        <v>249</v>
      </c>
      <c r="N144" t="s">
        <v>289</v>
      </c>
      <c r="X144" t="s">
        <v>263</v>
      </c>
      <c r="Y144" t="s">
        <v>260</v>
      </c>
      <c r="Z144" t="s">
        <v>1970</v>
      </c>
      <c r="AA144" t="s">
        <v>1970</v>
      </c>
    </row>
    <row r="145" spans="11:27" x14ac:dyDescent="0.25">
      <c r="K145" t="s">
        <v>284</v>
      </c>
      <c r="M145" t="s">
        <v>287</v>
      </c>
      <c r="N145" t="s">
        <v>289</v>
      </c>
      <c r="X145" t="s">
        <v>282</v>
      </c>
      <c r="Y145" t="s">
        <v>278</v>
      </c>
      <c r="Z145" t="s">
        <v>1969</v>
      </c>
      <c r="AA145" t="s">
        <v>1969</v>
      </c>
    </row>
    <row r="146" spans="11:27" x14ac:dyDescent="0.25">
      <c r="K146" t="s">
        <v>273</v>
      </c>
      <c r="M146" t="s">
        <v>291</v>
      </c>
      <c r="N146" t="s">
        <v>289</v>
      </c>
      <c r="X146" t="s">
        <v>185</v>
      </c>
      <c r="Y146" t="s">
        <v>179</v>
      </c>
      <c r="Z146" t="s">
        <v>1972</v>
      </c>
      <c r="AA146" t="s">
        <v>1972</v>
      </c>
    </row>
    <row r="147" spans="11:27" x14ac:dyDescent="0.25">
      <c r="K147" t="s">
        <v>254</v>
      </c>
      <c r="M147" t="s">
        <v>102</v>
      </c>
      <c r="N147" t="s">
        <v>292</v>
      </c>
      <c r="X147" t="s">
        <v>113</v>
      </c>
      <c r="Y147" t="s">
        <v>48</v>
      </c>
      <c r="Z147" t="s">
        <v>1970</v>
      </c>
      <c r="AA147" t="s">
        <v>1970</v>
      </c>
    </row>
    <row r="148" spans="11:27" x14ac:dyDescent="0.25">
      <c r="K148" t="s">
        <v>192</v>
      </c>
      <c r="M148" t="s">
        <v>243</v>
      </c>
      <c r="N148" t="s">
        <v>292</v>
      </c>
      <c r="X148" t="s">
        <v>203</v>
      </c>
      <c r="Y148" t="s">
        <v>194</v>
      </c>
      <c r="Z148" t="s">
        <v>1970</v>
      </c>
      <c r="AA148" t="s">
        <v>1970</v>
      </c>
    </row>
    <row r="149" spans="11:27" x14ac:dyDescent="0.25">
      <c r="K149" t="s">
        <v>118</v>
      </c>
      <c r="M149" t="s">
        <v>86</v>
      </c>
      <c r="N149" t="s">
        <v>292</v>
      </c>
      <c r="X149" t="s">
        <v>201</v>
      </c>
      <c r="Y149" t="s">
        <v>194</v>
      </c>
      <c r="Z149" t="s">
        <v>1970</v>
      </c>
      <c r="AA149" t="s">
        <v>1970</v>
      </c>
    </row>
    <row r="150" spans="11:27" x14ac:dyDescent="0.25">
      <c r="K150" t="s">
        <v>214</v>
      </c>
      <c r="M150" t="s">
        <v>257</v>
      </c>
      <c r="N150" t="s">
        <v>292</v>
      </c>
      <c r="X150" t="s">
        <v>245</v>
      </c>
      <c r="Y150" t="s">
        <v>241</v>
      </c>
      <c r="Z150" t="s">
        <v>1971</v>
      </c>
      <c r="AA150" t="s">
        <v>1971</v>
      </c>
    </row>
    <row r="151" spans="11:27" x14ac:dyDescent="0.25">
      <c r="K151" t="s">
        <v>274</v>
      </c>
      <c r="M151" t="s">
        <v>276</v>
      </c>
      <c r="N151" t="s">
        <v>292</v>
      </c>
      <c r="X151" t="s">
        <v>251</v>
      </c>
      <c r="Y151" t="s">
        <v>241</v>
      </c>
      <c r="Z151" t="s">
        <v>1971</v>
      </c>
      <c r="AA151" t="s">
        <v>1971</v>
      </c>
    </row>
    <row r="152" spans="11:27" x14ac:dyDescent="0.25">
      <c r="K152" t="s">
        <v>122</v>
      </c>
      <c r="M152" t="s">
        <v>197</v>
      </c>
      <c r="N152" t="s">
        <v>292</v>
      </c>
      <c r="X152" t="s">
        <v>238</v>
      </c>
      <c r="Y152" t="s">
        <v>235</v>
      </c>
      <c r="Z152" t="s">
        <v>1970</v>
      </c>
      <c r="AA152" t="s">
        <v>1970</v>
      </c>
    </row>
    <row r="153" spans="11:27" x14ac:dyDescent="0.25">
      <c r="K153" t="s">
        <v>291</v>
      </c>
      <c r="M153" t="s">
        <v>279</v>
      </c>
      <c r="N153" t="s">
        <v>292</v>
      </c>
      <c r="X153" t="s">
        <v>285</v>
      </c>
      <c r="Y153" t="s">
        <v>286</v>
      </c>
      <c r="Z153" t="s">
        <v>1969</v>
      </c>
      <c r="AA153" t="s">
        <v>1969</v>
      </c>
    </row>
    <row r="154" spans="11:27" x14ac:dyDescent="0.25">
      <c r="K154" t="s">
        <v>47</v>
      </c>
      <c r="M154" t="s">
        <v>258</v>
      </c>
      <c r="N154" t="s">
        <v>293</v>
      </c>
      <c r="X154" t="s">
        <v>146</v>
      </c>
      <c r="Y154" t="s">
        <v>143</v>
      </c>
      <c r="Z154" t="s">
        <v>1970</v>
      </c>
      <c r="AA154" t="s">
        <v>1970</v>
      </c>
    </row>
    <row r="155" spans="11:27" x14ac:dyDescent="0.25">
      <c r="K155" t="s">
        <v>222</v>
      </c>
      <c r="M155" t="s">
        <v>294</v>
      </c>
      <c r="N155" t="s">
        <v>293</v>
      </c>
      <c r="X155" t="s">
        <v>159</v>
      </c>
      <c r="Y155" t="s">
        <v>156</v>
      </c>
      <c r="Z155" t="s">
        <v>1972</v>
      </c>
      <c r="AA155" t="s">
        <v>1972</v>
      </c>
    </row>
    <row r="156" spans="11:27" x14ac:dyDescent="0.25">
      <c r="K156" t="s">
        <v>224</v>
      </c>
      <c r="M156" t="s">
        <v>213</v>
      </c>
      <c r="N156" t="s">
        <v>293</v>
      </c>
      <c r="X156" t="s">
        <v>28</v>
      </c>
      <c r="Y156" t="s">
        <v>18</v>
      </c>
      <c r="Z156" t="s">
        <v>1970</v>
      </c>
      <c r="AA156" t="s">
        <v>1970</v>
      </c>
    </row>
    <row r="157" spans="11:27" x14ac:dyDescent="0.25">
      <c r="K157" t="s">
        <v>218</v>
      </c>
      <c r="M157" t="s">
        <v>155</v>
      </c>
      <c r="N157" t="s">
        <v>260</v>
      </c>
      <c r="X157" t="s">
        <v>287</v>
      </c>
      <c r="Y157" t="s">
        <v>289</v>
      </c>
      <c r="Z157" t="s">
        <v>1970</v>
      </c>
      <c r="AA157" t="s">
        <v>1970</v>
      </c>
    </row>
    <row r="158" spans="11:27" x14ac:dyDescent="0.25">
      <c r="K158" t="s">
        <v>275</v>
      </c>
      <c r="M158" t="s">
        <v>290</v>
      </c>
      <c r="N158" t="s">
        <v>290</v>
      </c>
      <c r="X158" t="s">
        <v>281</v>
      </c>
      <c r="Y158" t="s">
        <v>278</v>
      </c>
      <c r="Z158" t="s">
        <v>1969</v>
      </c>
      <c r="AA158" t="s">
        <v>1969</v>
      </c>
    </row>
    <row r="159" spans="11:27" x14ac:dyDescent="0.25">
      <c r="K159" t="s">
        <v>38</v>
      </c>
      <c r="M159" t="s">
        <v>184</v>
      </c>
      <c r="N159" t="s">
        <v>267</v>
      </c>
      <c r="X159" t="s">
        <v>194</v>
      </c>
      <c r="Y159" t="s">
        <v>194</v>
      </c>
      <c r="Z159" t="s">
        <v>1970</v>
      </c>
      <c r="AA159" t="s">
        <v>1970</v>
      </c>
    </row>
    <row r="160" spans="11:27" x14ac:dyDescent="0.25">
      <c r="K160" t="s">
        <v>266</v>
      </c>
      <c r="M160" t="s">
        <v>202</v>
      </c>
      <c r="N160" t="s">
        <v>293</v>
      </c>
      <c r="X160" t="s">
        <v>250</v>
      </c>
      <c r="Z160" t="s">
        <v>1971</v>
      </c>
      <c r="AA160" t="s">
        <v>1971</v>
      </c>
    </row>
    <row r="161" spans="11:27" x14ac:dyDescent="0.25">
      <c r="K161" t="s">
        <v>265</v>
      </c>
      <c r="M161" t="s">
        <v>239</v>
      </c>
      <c r="N161" t="s">
        <v>295</v>
      </c>
      <c r="X161" t="s">
        <v>271</v>
      </c>
      <c r="Y161" t="s">
        <v>271</v>
      </c>
      <c r="Z161" t="s">
        <v>1970</v>
      </c>
      <c r="AA161" t="s">
        <v>1970</v>
      </c>
    </row>
    <row r="162" spans="11:27" x14ac:dyDescent="0.25">
      <c r="K162" t="s">
        <v>280</v>
      </c>
      <c r="M162" t="s">
        <v>107</v>
      </c>
      <c r="N162" t="s">
        <v>293</v>
      </c>
      <c r="X162" t="s">
        <v>283</v>
      </c>
      <c r="Y162" t="s">
        <v>278</v>
      </c>
      <c r="Z162" t="s">
        <v>1969</v>
      </c>
      <c r="AA162" t="s">
        <v>1969</v>
      </c>
    </row>
    <row r="163" spans="11:27" x14ac:dyDescent="0.25">
      <c r="K163" t="s">
        <v>294</v>
      </c>
      <c r="M163" t="s">
        <v>264</v>
      </c>
      <c r="N163" t="s">
        <v>293</v>
      </c>
      <c r="X163" t="s">
        <v>164</v>
      </c>
      <c r="Y163" t="s">
        <v>156</v>
      </c>
      <c r="Z163" t="s">
        <v>1972</v>
      </c>
      <c r="AA163" t="s">
        <v>1972</v>
      </c>
    </row>
    <row r="164" spans="11:27" x14ac:dyDescent="0.25">
      <c r="K164" t="s">
        <v>288</v>
      </c>
      <c r="M164" t="s">
        <v>233</v>
      </c>
      <c r="N164" t="s">
        <v>293</v>
      </c>
      <c r="X164" t="s">
        <v>290</v>
      </c>
      <c r="Y164" t="s">
        <v>290</v>
      </c>
      <c r="Z164" t="s">
        <v>1972</v>
      </c>
      <c r="AA164" t="s">
        <v>1972</v>
      </c>
    </row>
    <row r="165" spans="11:27" x14ac:dyDescent="0.25">
      <c r="K165" t="s">
        <v>67</v>
      </c>
      <c r="M165" t="s">
        <v>217</v>
      </c>
      <c r="N165" t="s">
        <v>296</v>
      </c>
      <c r="X165" t="s">
        <v>297</v>
      </c>
      <c r="Y165" t="s">
        <v>297</v>
      </c>
      <c r="Z165" t="s">
        <v>1972</v>
      </c>
      <c r="AA165" t="s">
        <v>1972</v>
      </c>
    </row>
    <row r="166" spans="11:27" x14ac:dyDescent="0.25">
      <c r="K166" t="s">
        <v>234</v>
      </c>
      <c r="M166" t="s">
        <v>272</v>
      </c>
      <c r="N166" t="s">
        <v>297</v>
      </c>
      <c r="X166" t="s">
        <v>277</v>
      </c>
      <c r="Y166" t="s">
        <v>278</v>
      </c>
      <c r="Z166" t="s">
        <v>1969</v>
      </c>
      <c r="AA166" t="s">
        <v>1969</v>
      </c>
    </row>
    <row r="167" spans="11:27" x14ac:dyDescent="0.25">
      <c r="K167" t="s">
        <v>212</v>
      </c>
      <c r="M167" t="s">
        <v>151</v>
      </c>
      <c r="N167" t="s">
        <v>286</v>
      </c>
      <c r="X167" t="s">
        <v>284</v>
      </c>
      <c r="Y167" t="s">
        <v>278</v>
      </c>
      <c r="Z167" t="s">
        <v>1969</v>
      </c>
      <c r="AA167" t="s">
        <v>1969</v>
      </c>
    </row>
    <row r="168" spans="11:27" x14ac:dyDescent="0.25">
      <c r="X168" t="s">
        <v>273</v>
      </c>
      <c r="Y168" t="s">
        <v>271</v>
      </c>
      <c r="Z168" t="s">
        <v>1970</v>
      </c>
      <c r="AA168" t="s">
        <v>1970</v>
      </c>
    </row>
    <row r="169" spans="11:27" x14ac:dyDescent="0.25">
      <c r="X169" t="s">
        <v>254</v>
      </c>
      <c r="Y169" t="s">
        <v>255</v>
      </c>
      <c r="Z169" t="s">
        <v>1970</v>
      </c>
      <c r="AA169" t="s">
        <v>1970</v>
      </c>
    </row>
    <row r="170" spans="11:27" x14ac:dyDescent="0.25">
      <c r="X170" t="s">
        <v>192</v>
      </c>
      <c r="Y170" t="s">
        <v>190</v>
      </c>
      <c r="Z170" t="s">
        <v>1972</v>
      </c>
      <c r="AA170" t="s">
        <v>1972</v>
      </c>
    </row>
    <row r="171" spans="11:27" x14ac:dyDescent="0.25">
      <c r="X171" t="s">
        <v>118</v>
      </c>
      <c r="Y171" t="s">
        <v>48</v>
      </c>
      <c r="Z171" t="s">
        <v>1970</v>
      </c>
      <c r="AA171" t="s">
        <v>1970</v>
      </c>
    </row>
    <row r="172" spans="11:27" x14ac:dyDescent="0.25">
      <c r="X172" t="s">
        <v>214</v>
      </c>
      <c r="Y172" t="s">
        <v>207</v>
      </c>
      <c r="Z172" t="s">
        <v>1970</v>
      </c>
      <c r="AA172" t="s">
        <v>1970</v>
      </c>
    </row>
    <row r="173" spans="11:27" x14ac:dyDescent="0.25">
      <c r="X173" t="s">
        <v>274</v>
      </c>
      <c r="Y173" t="s">
        <v>271</v>
      </c>
      <c r="Z173" t="s">
        <v>1970</v>
      </c>
      <c r="AA173" t="s">
        <v>1970</v>
      </c>
    </row>
    <row r="174" spans="11:27" x14ac:dyDescent="0.25">
      <c r="X174" t="s">
        <v>122</v>
      </c>
      <c r="Y174" t="s">
        <v>48</v>
      </c>
      <c r="Z174" t="s">
        <v>1970</v>
      </c>
      <c r="AA174" t="s">
        <v>1970</v>
      </c>
    </row>
    <row r="175" spans="11:27" x14ac:dyDescent="0.25">
      <c r="X175" t="s">
        <v>291</v>
      </c>
      <c r="Y175" t="s">
        <v>289</v>
      </c>
      <c r="Z175" t="s">
        <v>1970</v>
      </c>
      <c r="AA175" t="s">
        <v>1970</v>
      </c>
    </row>
    <row r="176" spans="11:27" x14ac:dyDescent="0.25">
      <c r="X176" t="s">
        <v>47</v>
      </c>
      <c r="Y176" t="s">
        <v>48</v>
      </c>
      <c r="Z176" t="s">
        <v>1970</v>
      </c>
      <c r="AA176" t="s">
        <v>1970</v>
      </c>
    </row>
    <row r="177" spans="24:27" x14ac:dyDescent="0.25">
      <c r="X177" t="s">
        <v>222</v>
      </c>
      <c r="Y177" t="s">
        <v>219</v>
      </c>
      <c r="Z177" t="s">
        <v>1972</v>
      </c>
      <c r="AA177" t="s">
        <v>1972</v>
      </c>
    </row>
    <row r="178" spans="24:27" x14ac:dyDescent="0.25">
      <c r="X178" t="s">
        <v>224</v>
      </c>
      <c r="Y178" t="s">
        <v>219</v>
      </c>
      <c r="Z178" t="s">
        <v>1972</v>
      </c>
      <c r="AA178" t="s">
        <v>1972</v>
      </c>
    </row>
    <row r="179" spans="24:27" x14ac:dyDescent="0.25">
      <c r="X179" t="s">
        <v>218</v>
      </c>
      <c r="Y179" t="s">
        <v>219</v>
      </c>
      <c r="Z179" t="s">
        <v>1970</v>
      </c>
      <c r="AA179" t="s">
        <v>1970</v>
      </c>
    </row>
    <row r="180" spans="24:27" x14ac:dyDescent="0.25">
      <c r="X180" t="s">
        <v>275</v>
      </c>
      <c r="Y180" t="s">
        <v>271</v>
      </c>
      <c r="Z180" t="s">
        <v>1969</v>
      </c>
      <c r="AA180" t="s">
        <v>1969</v>
      </c>
    </row>
    <row r="181" spans="24:27" x14ac:dyDescent="0.25">
      <c r="X181" t="s">
        <v>38</v>
      </c>
      <c r="Y181" t="s">
        <v>18</v>
      </c>
      <c r="Z181" t="s">
        <v>1970</v>
      </c>
      <c r="AA181" t="s">
        <v>1970</v>
      </c>
    </row>
    <row r="182" spans="24:27" x14ac:dyDescent="0.25">
      <c r="X182" t="s">
        <v>260</v>
      </c>
      <c r="Y182" t="s">
        <v>260</v>
      </c>
      <c r="Z182" t="s">
        <v>1970</v>
      </c>
      <c r="AA182" t="s">
        <v>1970</v>
      </c>
    </row>
    <row r="183" spans="24:27" x14ac:dyDescent="0.25">
      <c r="X183" t="s">
        <v>266</v>
      </c>
      <c r="Y183" t="s">
        <v>260</v>
      </c>
      <c r="Z183" t="s">
        <v>1970</v>
      </c>
      <c r="AA183" t="s">
        <v>1970</v>
      </c>
    </row>
    <row r="184" spans="24:27" x14ac:dyDescent="0.25">
      <c r="X184" t="s">
        <v>265</v>
      </c>
      <c r="Y184" t="s">
        <v>260</v>
      </c>
      <c r="Z184" t="s">
        <v>1970</v>
      </c>
      <c r="AA184" t="s">
        <v>1970</v>
      </c>
    </row>
    <row r="185" spans="24:27" x14ac:dyDescent="0.25">
      <c r="X185" t="s">
        <v>280</v>
      </c>
      <c r="Y185" t="s">
        <v>278</v>
      </c>
      <c r="Z185" t="s">
        <v>1969</v>
      </c>
      <c r="AA185" t="s">
        <v>1969</v>
      </c>
    </row>
    <row r="186" spans="24:27" x14ac:dyDescent="0.25">
      <c r="X186" t="s">
        <v>294</v>
      </c>
      <c r="Y186" t="s">
        <v>1974</v>
      </c>
      <c r="Z186" t="s">
        <v>1972</v>
      </c>
      <c r="AA186" t="s">
        <v>293</v>
      </c>
    </row>
    <row r="187" spans="24:27" x14ac:dyDescent="0.25">
      <c r="X187" t="s">
        <v>288</v>
      </c>
      <c r="Y187" t="s">
        <v>286</v>
      </c>
      <c r="Z187" t="s">
        <v>1969</v>
      </c>
      <c r="AA187" t="s">
        <v>1969</v>
      </c>
    </row>
    <row r="188" spans="24:27" x14ac:dyDescent="0.25">
      <c r="X188" t="s">
        <v>67</v>
      </c>
      <c r="Y188" t="s">
        <v>48</v>
      </c>
      <c r="Z188" t="s">
        <v>1970</v>
      </c>
      <c r="AA188" t="s">
        <v>1970</v>
      </c>
    </row>
    <row r="189" spans="24:27" x14ac:dyDescent="0.25">
      <c r="X189" t="s">
        <v>234</v>
      </c>
      <c r="Y189" t="s">
        <v>235</v>
      </c>
      <c r="Z189" t="s">
        <v>1970</v>
      </c>
      <c r="AA189" t="s">
        <v>1970</v>
      </c>
    </row>
    <row r="190" spans="24:27" x14ac:dyDescent="0.25">
      <c r="X190" t="s">
        <v>212</v>
      </c>
      <c r="Y190" t="s">
        <v>207</v>
      </c>
      <c r="Z190" t="s">
        <v>1972</v>
      </c>
      <c r="AA190" t="s">
        <v>1972</v>
      </c>
    </row>
    <row r="191" spans="24:27" x14ac:dyDescent="0.25">
      <c r="X191" t="s">
        <v>1977</v>
      </c>
      <c r="Y191" t="s">
        <v>207</v>
      </c>
      <c r="Z191" t="s">
        <v>1970</v>
      </c>
      <c r="AA191" t="s">
        <v>1970</v>
      </c>
    </row>
    <row r="192" spans="24:27" x14ac:dyDescent="0.25">
      <c r="X192" t="s">
        <v>1978</v>
      </c>
      <c r="Y192" t="s">
        <v>1979</v>
      </c>
      <c r="Z192" t="s">
        <v>1979</v>
      </c>
      <c r="AA192" t="s">
        <v>1979</v>
      </c>
    </row>
  </sheetData>
  <sheetProtection algorithmName="SHA-512" hashValue="rl1KksWZ8BBAzHoRxc2CrmrKZX6Gjs46ANQCEkZjwJ4ficJftiCNatpNl0BuSQizbIcsLdHnjzt1+IkUEVARmA==" saltValue="dRMB1EFOdFVrJEFlG6x2Mg==" spinCount="100000" sheet="1" objects="1" scenarios="1"/>
  <autoFilter ref="X1:AA19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83"/>
  <sheetViews>
    <sheetView topLeftCell="A118" zoomScale="115" zoomScaleNormal="115" workbookViewId="0">
      <selection activeCell="C85" sqref="C85"/>
    </sheetView>
  </sheetViews>
  <sheetFormatPr defaultRowHeight="20.100000000000001" customHeight="1" x14ac:dyDescent="0.25"/>
  <cols>
    <col min="1" max="1" width="6.140625" bestFit="1" customWidth="1"/>
    <col min="2" max="2" width="31.42578125" bestFit="1" customWidth="1"/>
    <col min="3" max="3" width="80.42578125" customWidth="1"/>
  </cols>
  <sheetData>
    <row r="1" spans="1:3" ht="20.100000000000001" customHeight="1" x14ac:dyDescent="0.25">
      <c r="A1" s="23" t="s">
        <v>298</v>
      </c>
      <c r="B1" s="24" t="s">
        <v>299</v>
      </c>
      <c r="C1" s="24" t="s">
        <v>300</v>
      </c>
    </row>
    <row r="2" spans="1:3" ht="78.75" x14ac:dyDescent="0.25">
      <c r="A2" s="25">
        <v>1</v>
      </c>
      <c r="B2" s="26" t="s">
        <v>301</v>
      </c>
      <c r="C2" s="27" t="s">
        <v>302</v>
      </c>
    </row>
    <row r="3" spans="1:3" ht="47.25" x14ac:dyDescent="0.25">
      <c r="A3" s="25">
        <v>2</v>
      </c>
      <c r="B3" s="28" t="s">
        <v>303</v>
      </c>
      <c r="C3" s="28" t="s">
        <v>304</v>
      </c>
    </row>
    <row r="4" spans="1:3" ht="47.25" x14ac:dyDescent="0.25">
      <c r="A4" s="25">
        <v>3</v>
      </c>
      <c r="B4" s="28" t="s">
        <v>305</v>
      </c>
      <c r="C4" s="28" t="s">
        <v>306</v>
      </c>
    </row>
    <row r="5" spans="1:3" ht="30" x14ac:dyDescent="0.25">
      <c r="A5" s="25">
        <v>4</v>
      </c>
      <c r="B5" s="29" t="s">
        <v>307</v>
      </c>
      <c r="C5" s="30" t="s">
        <v>308</v>
      </c>
    </row>
    <row r="6" spans="1:3" ht="36.75" customHeight="1" x14ac:dyDescent="0.25">
      <c r="A6" s="25">
        <v>5</v>
      </c>
      <c r="B6" s="29" t="s">
        <v>309</v>
      </c>
      <c r="C6" s="30" t="s">
        <v>310</v>
      </c>
    </row>
    <row r="7" spans="1:3" ht="36" customHeight="1" x14ac:dyDescent="0.25">
      <c r="A7" s="25">
        <v>6</v>
      </c>
      <c r="B7" s="29" t="s">
        <v>311</v>
      </c>
      <c r="C7" s="30" t="s">
        <v>312</v>
      </c>
    </row>
    <row r="8" spans="1:3" ht="20.100000000000001" customHeight="1" x14ac:dyDescent="0.25">
      <c r="A8" s="25">
        <v>7</v>
      </c>
      <c r="B8" s="28" t="s">
        <v>313</v>
      </c>
      <c r="C8" s="30" t="s">
        <v>314</v>
      </c>
    </row>
    <row r="9" spans="1:3" ht="20.100000000000001" customHeight="1" x14ac:dyDescent="0.25">
      <c r="A9" s="25">
        <v>8</v>
      </c>
      <c r="B9" s="29" t="s">
        <v>315</v>
      </c>
      <c r="C9" s="29" t="s">
        <v>316</v>
      </c>
    </row>
    <row r="10" spans="1:3" ht="31.5" x14ac:dyDescent="0.25">
      <c r="A10" s="25">
        <v>9</v>
      </c>
      <c r="B10" s="28" t="s">
        <v>317</v>
      </c>
      <c r="C10" s="28" t="s">
        <v>318</v>
      </c>
    </row>
    <row r="11" spans="1:3" ht="20.100000000000001" customHeight="1" x14ac:dyDescent="0.25">
      <c r="A11" s="25">
        <v>10</v>
      </c>
      <c r="B11" s="29" t="s">
        <v>319</v>
      </c>
      <c r="C11" s="30" t="s">
        <v>320</v>
      </c>
    </row>
    <row r="12" spans="1:3" ht="20.100000000000001" customHeight="1" x14ac:dyDescent="0.25">
      <c r="A12" s="25">
        <v>11</v>
      </c>
      <c r="B12" s="29" t="s">
        <v>321</v>
      </c>
      <c r="C12" s="30" t="s">
        <v>322</v>
      </c>
    </row>
    <row r="13" spans="1:3" ht="78.75" x14ac:dyDescent="0.25">
      <c r="A13" s="25">
        <v>14</v>
      </c>
      <c r="B13" s="28" t="s">
        <v>323</v>
      </c>
      <c r="C13" s="31" t="s">
        <v>324</v>
      </c>
    </row>
    <row r="14" spans="1:3" ht="63" x14ac:dyDescent="0.25">
      <c r="A14" s="25">
        <v>15</v>
      </c>
      <c r="B14" s="28" t="s">
        <v>325</v>
      </c>
      <c r="C14" s="28" t="s">
        <v>326</v>
      </c>
    </row>
    <row r="15" spans="1:3" ht="15.75" x14ac:dyDescent="0.25">
      <c r="A15" s="25">
        <v>16</v>
      </c>
      <c r="B15" s="32" t="s">
        <v>327</v>
      </c>
      <c r="C15" s="32" t="s">
        <v>328</v>
      </c>
    </row>
    <row r="16" spans="1:3" ht="15.75" x14ac:dyDescent="0.25">
      <c r="A16" s="25">
        <v>17</v>
      </c>
      <c r="B16" s="32" t="s">
        <v>329</v>
      </c>
      <c r="C16" s="32" t="s">
        <v>330</v>
      </c>
    </row>
    <row r="17" spans="1:3" ht="20.100000000000001" customHeight="1" x14ac:dyDescent="0.25">
      <c r="A17" s="33"/>
      <c r="B17" s="285" t="s">
        <v>331</v>
      </c>
      <c r="C17" s="286"/>
    </row>
    <row r="18" spans="1:3" ht="20.100000000000001" customHeight="1" x14ac:dyDescent="0.25">
      <c r="A18" s="282"/>
      <c r="B18" s="282" t="s">
        <v>18</v>
      </c>
      <c r="C18" s="34" t="s">
        <v>18</v>
      </c>
    </row>
    <row r="19" spans="1:3" ht="20.100000000000001" customHeight="1" x14ac:dyDescent="0.25">
      <c r="A19" s="283"/>
      <c r="B19" s="283"/>
      <c r="C19" s="34" t="s">
        <v>28</v>
      </c>
    </row>
    <row r="20" spans="1:3" ht="20.100000000000001" customHeight="1" x14ac:dyDescent="0.25">
      <c r="A20" s="284"/>
      <c r="B20" s="284"/>
      <c r="C20" s="34" t="s">
        <v>28</v>
      </c>
    </row>
    <row r="21" spans="1:3" ht="20.100000000000001" customHeight="1" x14ac:dyDescent="0.25">
      <c r="A21" s="287"/>
      <c r="B21" s="287" t="s">
        <v>48</v>
      </c>
      <c r="C21" s="35" t="s">
        <v>47</v>
      </c>
    </row>
    <row r="22" spans="1:3" ht="20.100000000000001" customHeight="1" x14ac:dyDescent="0.25">
      <c r="A22" s="288"/>
      <c r="B22" s="288"/>
      <c r="C22" s="35" t="s">
        <v>57</v>
      </c>
    </row>
    <row r="23" spans="1:3" ht="20.100000000000001" customHeight="1" x14ac:dyDescent="0.25">
      <c r="A23" s="288"/>
      <c r="B23" s="288"/>
      <c r="C23" s="36" t="s">
        <v>62</v>
      </c>
    </row>
    <row r="24" spans="1:3" ht="20.100000000000001" customHeight="1" x14ac:dyDescent="0.25">
      <c r="A24" s="288"/>
      <c r="B24" s="288"/>
      <c r="C24" s="36" t="s">
        <v>67</v>
      </c>
    </row>
    <row r="25" spans="1:3" ht="20.100000000000001" customHeight="1" x14ac:dyDescent="0.25">
      <c r="A25" s="288"/>
      <c r="B25" s="288"/>
      <c r="C25" s="36" t="s">
        <v>332</v>
      </c>
    </row>
    <row r="26" spans="1:3" ht="20.100000000000001" customHeight="1" x14ac:dyDescent="0.25">
      <c r="A26" s="288"/>
      <c r="B26" s="288"/>
      <c r="C26" s="36" t="s">
        <v>77</v>
      </c>
    </row>
    <row r="27" spans="1:3" ht="20.100000000000001" customHeight="1" x14ac:dyDescent="0.25">
      <c r="A27" s="288"/>
      <c r="B27" s="288"/>
      <c r="C27" s="36" t="s">
        <v>333</v>
      </c>
    </row>
    <row r="28" spans="1:3" ht="20.100000000000001" customHeight="1" x14ac:dyDescent="0.25">
      <c r="A28" s="288"/>
      <c r="B28" s="288"/>
      <c r="C28" s="36" t="s">
        <v>334</v>
      </c>
    </row>
    <row r="29" spans="1:3" ht="20.100000000000001" customHeight="1" x14ac:dyDescent="0.25">
      <c r="A29" s="288"/>
      <c r="B29" s="288"/>
      <c r="C29" s="36" t="s">
        <v>82</v>
      </c>
    </row>
    <row r="30" spans="1:3" ht="20.100000000000001" customHeight="1" x14ac:dyDescent="0.25">
      <c r="A30" s="288"/>
      <c r="B30" s="288"/>
      <c r="C30" s="35" t="s">
        <v>71</v>
      </c>
    </row>
    <row r="31" spans="1:3" ht="20.100000000000001" customHeight="1" x14ac:dyDescent="0.25">
      <c r="A31" s="288"/>
      <c r="B31" s="288"/>
      <c r="C31" s="35" t="s">
        <v>77</v>
      </c>
    </row>
    <row r="32" spans="1:3" ht="20.100000000000001" customHeight="1" x14ac:dyDescent="0.25">
      <c r="A32" s="288"/>
      <c r="B32" s="288"/>
      <c r="C32" s="35" t="s">
        <v>100</v>
      </c>
    </row>
    <row r="33" spans="1:3" ht="20.100000000000001" customHeight="1" x14ac:dyDescent="0.25">
      <c r="A33" s="288"/>
      <c r="B33" s="288"/>
      <c r="C33" s="35" t="s">
        <v>103</v>
      </c>
    </row>
    <row r="34" spans="1:3" ht="20.100000000000001" customHeight="1" x14ac:dyDescent="0.25">
      <c r="A34" s="288"/>
      <c r="B34" s="288"/>
      <c r="C34" s="35" t="s">
        <v>108</v>
      </c>
    </row>
    <row r="35" spans="1:3" ht="20.100000000000001" customHeight="1" x14ac:dyDescent="0.25">
      <c r="A35" s="288"/>
      <c r="B35" s="288"/>
      <c r="C35" s="35" t="s">
        <v>113</v>
      </c>
    </row>
    <row r="36" spans="1:3" ht="20.100000000000001" customHeight="1" x14ac:dyDescent="0.25">
      <c r="A36" s="288"/>
      <c r="B36" s="288"/>
      <c r="C36" s="35" t="s">
        <v>118</v>
      </c>
    </row>
    <row r="37" spans="1:3" ht="20.100000000000001" customHeight="1" x14ac:dyDescent="0.25">
      <c r="A37" s="288"/>
      <c r="B37" s="288"/>
      <c r="C37" s="35" t="s">
        <v>122</v>
      </c>
    </row>
    <row r="38" spans="1:3" ht="20.100000000000001" customHeight="1" x14ac:dyDescent="0.25">
      <c r="A38" s="289"/>
      <c r="B38" s="289"/>
      <c r="C38" s="35" t="s">
        <v>126</v>
      </c>
    </row>
    <row r="39" spans="1:3" ht="20.100000000000001" customHeight="1" x14ac:dyDescent="0.25">
      <c r="A39" s="282"/>
      <c r="B39" s="282" t="s">
        <v>112</v>
      </c>
      <c r="C39" s="34" t="s">
        <v>112</v>
      </c>
    </row>
    <row r="40" spans="1:3" ht="20.100000000000001" customHeight="1" x14ac:dyDescent="0.25">
      <c r="A40" s="283"/>
      <c r="B40" s="283"/>
      <c r="C40" s="34" t="s">
        <v>70</v>
      </c>
    </row>
    <row r="41" spans="1:3" ht="20.100000000000001" customHeight="1" x14ac:dyDescent="0.25">
      <c r="A41" s="284"/>
      <c r="B41" s="284"/>
      <c r="C41" s="34" t="s">
        <v>133</v>
      </c>
    </row>
    <row r="42" spans="1:3" ht="20.100000000000001" customHeight="1" x14ac:dyDescent="0.25">
      <c r="A42" s="287"/>
      <c r="B42" s="287" t="s">
        <v>136</v>
      </c>
      <c r="C42" s="35" t="s">
        <v>135</v>
      </c>
    </row>
    <row r="43" spans="1:3" ht="20.100000000000001" customHeight="1" x14ac:dyDescent="0.25">
      <c r="A43" s="288"/>
      <c r="B43" s="288"/>
      <c r="C43" s="35" t="s">
        <v>335</v>
      </c>
    </row>
    <row r="44" spans="1:3" ht="20.100000000000001" customHeight="1" x14ac:dyDescent="0.25">
      <c r="A44" s="289"/>
      <c r="B44" s="289"/>
      <c r="C44" s="35" t="s">
        <v>140</v>
      </c>
    </row>
    <row r="45" spans="1:3" ht="20.100000000000001" customHeight="1" x14ac:dyDescent="0.25">
      <c r="A45" s="282"/>
      <c r="B45" s="282" t="s">
        <v>143</v>
      </c>
      <c r="C45" s="34" t="s">
        <v>336</v>
      </c>
    </row>
    <row r="46" spans="1:3" ht="20.100000000000001" customHeight="1" x14ac:dyDescent="0.25">
      <c r="A46" s="283"/>
      <c r="B46" s="283"/>
      <c r="C46" s="34" t="s">
        <v>146</v>
      </c>
    </row>
    <row r="47" spans="1:3" ht="20.100000000000001" customHeight="1" x14ac:dyDescent="0.25">
      <c r="A47" s="284"/>
      <c r="B47" s="284"/>
      <c r="C47" s="34" t="s">
        <v>149</v>
      </c>
    </row>
    <row r="48" spans="1:3" ht="20.100000000000001" customHeight="1" x14ac:dyDescent="0.25">
      <c r="A48" s="37"/>
      <c r="B48" s="37" t="s">
        <v>152</v>
      </c>
      <c r="C48" s="35" t="s">
        <v>152</v>
      </c>
    </row>
    <row r="49" spans="1:3" ht="20.100000000000001" customHeight="1" x14ac:dyDescent="0.25">
      <c r="A49" s="38"/>
      <c r="B49" s="38" t="s">
        <v>128</v>
      </c>
      <c r="C49" s="34" t="s">
        <v>128</v>
      </c>
    </row>
    <row r="50" spans="1:3" ht="20.100000000000001" customHeight="1" x14ac:dyDescent="0.25">
      <c r="A50" s="287"/>
      <c r="B50" s="287" t="s">
        <v>156</v>
      </c>
      <c r="C50" s="35" t="s">
        <v>156</v>
      </c>
    </row>
    <row r="51" spans="1:3" ht="20.100000000000001" customHeight="1" x14ac:dyDescent="0.25">
      <c r="A51" s="288"/>
      <c r="B51" s="288"/>
      <c r="C51" s="35" t="s">
        <v>159</v>
      </c>
    </row>
    <row r="52" spans="1:3" ht="20.100000000000001" customHeight="1" x14ac:dyDescent="0.25">
      <c r="A52" s="288"/>
      <c r="B52" s="288"/>
      <c r="C52" s="35" t="s">
        <v>161</v>
      </c>
    </row>
    <row r="53" spans="1:3" ht="20.100000000000001" customHeight="1" x14ac:dyDescent="0.25">
      <c r="A53" s="289"/>
      <c r="B53" s="289"/>
      <c r="C53" s="36" t="s">
        <v>164</v>
      </c>
    </row>
    <row r="54" spans="1:3" ht="20.100000000000001" customHeight="1" x14ac:dyDescent="0.25">
      <c r="A54" s="282"/>
      <c r="B54" s="282" t="s">
        <v>167</v>
      </c>
      <c r="C54" s="34" t="s">
        <v>166</v>
      </c>
    </row>
    <row r="55" spans="1:3" ht="20.100000000000001" customHeight="1" x14ac:dyDescent="0.25">
      <c r="A55" s="283"/>
      <c r="B55" s="283"/>
      <c r="C55" s="34" t="s">
        <v>170</v>
      </c>
    </row>
    <row r="56" spans="1:3" ht="20.100000000000001" customHeight="1" x14ac:dyDescent="0.25">
      <c r="A56" s="283"/>
      <c r="B56" s="283"/>
      <c r="C56" s="34" t="s">
        <v>148</v>
      </c>
    </row>
    <row r="57" spans="1:3" ht="20.100000000000001" customHeight="1" x14ac:dyDescent="0.25">
      <c r="A57" s="284"/>
      <c r="B57" s="284"/>
      <c r="C57" s="34" t="s">
        <v>175</v>
      </c>
    </row>
    <row r="58" spans="1:3" ht="20.100000000000001" customHeight="1" x14ac:dyDescent="0.25">
      <c r="A58" s="287"/>
      <c r="B58" s="287" t="s">
        <v>179</v>
      </c>
      <c r="C58" s="35" t="s">
        <v>178</v>
      </c>
    </row>
    <row r="59" spans="1:3" ht="20.100000000000001" customHeight="1" x14ac:dyDescent="0.25">
      <c r="A59" s="288"/>
      <c r="B59" s="288"/>
      <c r="C59" s="35" t="s">
        <v>181</v>
      </c>
    </row>
    <row r="60" spans="1:3" ht="20.100000000000001" customHeight="1" x14ac:dyDescent="0.25">
      <c r="A60" s="288"/>
      <c r="B60" s="288"/>
      <c r="C60" s="35" t="s">
        <v>183</v>
      </c>
    </row>
    <row r="61" spans="1:3" ht="20.100000000000001" customHeight="1" x14ac:dyDescent="0.25">
      <c r="A61" s="288"/>
      <c r="B61" s="288"/>
      <c r="C61" s="35" t="s">
        <v>185</v>
      </c>
    </row>
    <row r="62" spans="1:3" ht="20.100000000000001" customHeight="1" x14ac:dyDescent="0.25">
      <c r="A62" s="288"/>
      <c r="B62" s="288"/>
      <c r="C62" s="35" t="s">
        <v>186</v>
      </c>
    </row>
    <row r="63" spans="1:3" ht="20.100000000000001" customHeight="1" x14ac:dyDescent="0.25">
      <c r="A63" s="289"/>
      <c r="B63" s="289"/>
      <c r="C63" s="35" t="s">
        <v>187</v>
      </c>
    </row>
    <row r="64" spans="1:3" ht="20.100000000000001" customHeight="1" x14ac:dyDescent="0.25">
      <c r="A64" s="282"/>
      <c r="B64" s="282" t="s">
        <v>190</v>
      </c>
      <c r="C64" s="34" t="s">
        <v>189</v>
      </c>
    </row>
    <row r="65" spans="1:3" ht="20.100000000000001" customHeight="1" x14ac:dyDescent="0.25">
      <c r="A65" s="283"/>
      <c r="B65" s="283"/>
      <c r="C65" s="34" t="s">
        <v>192</v>
      </c>
    </row>
    <row r="66" spans="1:3" ht="20.100000000000001" customHeight="1" x14ac:dyDescent="0.25">
      <c r="A66" s="284"/>
      <c r="B66" s="284"/>
      <c r="C66" s="34" t="s">
        <v>97</v>
      </c>
    </row>
    <row r="67" spans="1:3" ht="20.100000000000001" customHeight="1" x14ac:dyDescent="0.25">
      <c r="A67" s="287"/>
      <c r="B67" s="287" t="s">
        <v>194</v>
      </c>
      <c r="C67" s="35" t="s">
        <v>193</v>
      </c>
    </row>
    <row r="68" spans="1:3" ht="20.100000000000001" customHeight="1" x14ac:dyDescent="0.25">
      <c r="A68" s="288"/>
      <c r="B68" s="288"/>
      <c r="C68" s="36" t="s">
        <v>196</v>
      </c>
    </row>
    <row r="69" spans="1:3" ht="20.100000000000001" customHeight="1" x14ac:dyDescent="0.25">
      <c r="A69" s="288"/>
      <c r="B69" s="288"/>
      <c r="C69" s="35" t="s">
        <v>90</v>
      </c>
    </row>
    <row r="70" spans="1:3" ht="20.100000000000001" customHeight="1" x14ac:dyDescent="0.25">
      <c r="A70" s="288"/>
      <c r="B70" s="288"/>
      <c r="C70" s="35" t="s">
        <v>198</v>
      </c>
    </row>
    <row r="71" spans="1:3" ht="20.100000000000001" customHeight="1" x14ac:dyDescent="0.25">
      <c r="A71" s="288"/>
      <c r="B71" s="288"/>
      <c r="C71" s="35" t="s">
        <v>199</v>
      </c>
    </row>
    <row r="72" spans="1:3" ht="20.100000000000001" customHeight="1" x14ac:dyDescent="0.25">
      <c r="A72" s="288"/>
      <c r="B72" s="288"/>
      <c r="C72" s="35" t="s">
        <v>121</v>
      </c>
    </row>
    <row r="73" spans="1:3" ht="20.100000000000001" customHeight="1" x14ac:dyDescent="0.25">
      <c r="A73" s="288"/>
      <c r="B73" s="288"/>
      <c r="C73" s="35" t="s">
        <v>201</v>
      </c>
    </row>
    <row r="74" spans="1:3" ht="20.100000000000001" customHeight="1" x14ac:dyDescent="0.25">
      <c r="A74" s="288"/>
      <c r="B74" s="288"/>
      <c r="C74" s="35" t="s">
        <v>203</v>
      </c>
    </row>
    <row r="75" spans="1:3" ht="20.100000000000001" customHeight="1" x14ac:dyDescent="0.25">
      <c r="A75" s="289"/>
      <c r="B75" s="289"/>
      <c r="C75" s="36" t="s">
        <v>205</v>
      </c>
    </row>
    <row r="76" spans="1:3" ht="20.100000000000001" customHeight="1" x14ac:dyDescent="0.25">
      <c r="A76" s="282"/>
      <c r="B76" s="282" t="s">
        <v>207</v>
      </c>
      <c r="C76" s="34" t="s">
        <v>182</v>
      </c>
    </row>
    <row r="77" spans="1:3" ht="20.100000000000001" customHeight="1" x14ac:dyDescent="0.25">
      <c r="A77" s="283"/>
      <c r="B77" s="283"/>
      <c r="C77" s="34" t="s">
        <v>145</v>
      </c>
    </row>
    <row r="78" spans="1:3" ht="20.100000000000001" customHeight="1" x14ac:dyDescent="0.25">
      <c r="A78" s="283"/>
      <c r="B78" s="283"/>
      <c r="C78" s="34" t="s">
        <v>208</v>
      </c>
    </row>
    <row r="79" spans="1:3" ht="20.100000000000001" customHeight="1" x14ac:dyDescent="0.25">
      <c r="A79" s="283"/>
      <c r="B79" s="283"/>
      <c r="C79" s="34" t="s">
        <v>210</v>
      </c>
    </row>
    <row r="80" spans="1:3" ht="20.100000000000001" customHeight="1" x14ac:dyDescent="0.25">
      <c r="A80" s="283"/>
      <c r="B80" s="283"/>
      <c r="C80" s="39" t="s">
        <v>212</v>
      </c>
    </row>
    <row r="81" spans="1:3" ht="20.100000000000001" customHeight="1" x14ac:dyDescent="0.25">
      <c r="A81" s="283"/>
      <c r="B81" s="283"/>
      <c r="C81" s="39" t="s">
        <v>214</v>
      </c>
    </row>
    <row r="82" spans="1:3" ht="20.100000000000001" customHeight="1" x14ac:dyDescent="0.25">
      <c r="A82" s="283"/>
      <c r="B82" s="283"/>
      <c r="C82" s="34" t="s">
        <v>216</v>
      </c>
    </row>
    <row r="83" spans="1:3" ht="20.100000000000001" customHeight="1" x14ac:dyDescent="0.25">
      <c r="A83" s="287"/>
      <c r="B83" s="287" t="s">
        <v>219</v>
      </c>
      <c r="C83" s="35" t="s">
        <v>218</v>
      </c>
    </row>
    <row r="84" spans="1:3" ht="20.100000000000001" customHeight="1" x14ac:dyDescent="0.25">
      <c r="A84" s="288"/>
      <c r="B84" s="288"/>
      <c r="C84" s="36" t="s">
        <v>220</v>
      </c>
    </row>
    <row r="85" spans="1:3" ht="20.100000000000001" customHeight="1" x14ac:dyDescent="0.25">
      <c r="A85" s="288"/>
      <c r="B85" s="288"/>
      <c r="C85" s="35" t="s">
        <v>222</v>
      </c>
    </row>
    <row r="86" spans="1:3" ht="20.100000000000001" customHeight="1" x14ac:dyDescent="0.25">
      <c r="A86" s="288"/>
      <c r="B86" s="288"/>
      <c r="C86" s="36" t="s">
        <v>224</v>
      </c>
    </row>
    <row r="87" spans="1:3" ht="20.100000000000001" customHeight="1" x14ac:dyDescent="0.25">
      <c r="A87" s="288"/>
      <c r="B87" s="288"/>
      <c r="C87" s="36" t="s">
        <v>37</v>
      </c>
    </row>
    <row r="88" spans="1:3" ht="20.100000000000001" customHeight="1" x14ac:dyDescent="0.25">
      <c r="A88" s="288"/>
      <c r="B88" s="288"/>
      <c r="C88" s="36" t="s">
        <v>66</v>
      </c>
    </row>
    <row r="89" spans="1:3" ht="20.100000000000001" customHeight="1" x14ac:dyDescent="0.25">
      <c r="A89" s="289"/>
      <c r="B89" s="289"/>
      <c r="C89" s="36" t="s">
        <v>61</v>
      </c>
    </row>
    <row r="90" spans="1:3" ht="20.100000000000001" customHeight="1" x14ac:dyDescent="0.25">
      <c r="A90" s="282"/>
      <c r="B90" s="282" t="s">
        <v>229</v>
      </c>
      <c r="C90" s="34" t="s">
        <v>228</v>
      </c>
    </row>
    <row r="91" spans="1:3" ht="20.100000000000001" customHeight="1" x14ac:dyDescent="0.25">
      <c r="A91" s="283"/>
      <c r="B91" s="283"/>
      <c r="C91" s="34" t="s">
        <v>230</v>
      </c>
    </row>
    <row r="92" spans="1:3" ht="20.100000000000001" customHeight="1" x14ac:dyDescent="0.25">
      <c r="A92" s="283"/>
      <c r="B92" s="283"/>
      <c r="C92" s="34" t="s">
        <v>232</v>
      </c>
    </row>
    <row r="93" spans="1:3" ht="20.100000000000001" customHeight="1" x14ac:dyDescent="0.25">
      <c r="A93" s="284"/>
      <c r="B93" s="284"/>
      <c r="C93" s="34" t="s">
        <v>206</v>
      </c>
    </row>
    <row r="94" spans="1:3" ht="20.100000000000001" customHeight="1" x14ac:dyDescent="0.25">
      <c r="A94" s="287"/>
      <c r="B94" s="287" t="s">
        <v>235</v>
      </c>
      <c r="C94" s="35" t="s">
        <v>234</v>
      </c>
    </row>
    <row r="95" spans="1:3" ht="20.100000000000001" customHeight="1" x14ac:dyDescent="0.25">
      <c r="A95" s="288"/>
      <c r="B95" s="288"/>
      <c r="C95" s="36" t="s">
        <v>237</v>
      </c>
    </row>
    <row r="96" spans="1:3" ht="20.100000000000001" customHeight="1" x14ac:dyDescent="0.25">
      <c r="A96" s="288"/>
      <c r="B96" s="288"/>
      <c r="C96" s="36" t="s">
        <v>238</v>
      </c>
    </row>
    <row r="97" spans="1:3" ht="20.100000000000001" customHeight="1" x14ac:dyDescent="0.25">
      <c r="A97" s="288"/>
      <c r="B97" s="288"/>
      <c r="C97" s="36" t="s">
        <v>215</v>
      </c>
    </row>
    <row r="98" spans="1:3" ht="20.100000000000001" customHeight="1" x14ac:dyDescent="0.25">
      <c r="A98" s="289"/>
      <c r="B98" s="289"/>
      <c r="C98" s="36" t="s">
        <v>240</v>
      </c>
    </row>
    <row r="99" spans="1:3" ht="20.100000000000001" customHeight="1" x14ac:dyDescent="0.25">
      <c r="A99" s="282"/>
      <c r="B99" s="282" t="s">
        <v>241</v>
      </c>
      <c r="C99" s="34" t="s">
        <v>142</v>
      </c>
    </row>
    <row r="100" spans="1:3" ht="20.100000000000001" customHeight="1" x14ac:dyDescent="0.25">
      <c r="A100" s="283"/>
      <c r="B100" s="283"/>
      <c r="C100" s="34" t="s">
        <v>337</v>
      </c>
    </row>
    <row r="101" spans="1:3" ht="20.100000000000001" customHeight="1" x14ac:dyDescent="0.25">
      <c r="A101" s="283"/>
      <c r="B101" s="283"/>
      <c r="C101" s="34" t="s">
        <v>223</v>
      </c>
    </row>
    <row r="102" spans="1:3" ht="20.100000000000001" customHeight="1" x14ac:dyDescent="0.25">
      <c r="A102" s="283"/>
      <c r="B102" s="283"/>
      <c r="C102" s="34" t="s">
        <v>27</v>
      </c>
    </row>
    <row r="103" spans="1:3" ht="20.100000000000001" customHeight="1" x14ac:dyDescent="0.25">
      <c r="A103" s="283"/>
      <c r="B103" s="283"/>
      <c r="C103" s="34" t="s">
        <v>245</v>
      </c>
    </row>
    <row r="104" spans="1:3" ht="20.100000000000001" customHeight="1" x14ac:dyDescent="0.25">
      <c r="A104" s="283"/>
      <c r="B104" s="283"/>
      <c r="C104" s="39" t="s">
        <v>247</v>
      </c>
    </row>
    <row r="105" spans="1:3" ht="20.100000000000001" customHeight="1" x14ac:dyDescent="0.25">
      <c r="A105" s="283"/>
      <c r="B105" s="283"/>
      <c r="C105" s="34" t="s">
        <v>99</v>
      </c>
    </row>
    <row r="106" spans="1:3" ht="20.100000000000001" customHeight="1" x14ac:dyDescent="0.25">
      <c r="A106" s="283"/>
      <c r="B106" s="283"/>
      <c r="C106" s="34" t="s">
        <v>221</v>
      </c>
    </row>
    <row r="107" spans="1:3" ht="20.100000000000001" customHeight="1" x14ac:dyDescent="0.25">
      <c r="A107" s="283"/>
      <c r="B107" s="283"/>
      <c r="C107" s="34" t="s">
        <v>211</v>
      </c>
    </row>
    <row r="108" spans="1:3" ht="20.100000000000001" customHeight="1" x14ac:dyDescent="0.25">
      <c r="A108" s="283"/>
      <c r="B108" s="283"/>
      <c r="C108" s="34" t="s">
        <v>250</v>
      </c>
    </row>
    <row r="109" spans="1:3" ht="20.100000000000001" customHeight="1" x14ac:dyDescent="0.25">
      <c r="A109" s="283"/>
      <c r="B109" s="283"/>
      <c r="C109" s="34" t="s">
        <v>251</v>
      </c>
    </row>
    <row r="110" spans="1:3" ht="20.100000000000001" customHeight="1" x14ac:dyDescent="0.25">
      <c r="A110" s="284"/>
      <c r="B110" s="284"/>
      <c r="C110" s="34" t="s">
        <v>253</v>
      </c>
    </row>
    <row r="111" spans="1:3" ht="20.100000000000001" customHeight="1" x14ac:dyDescent="0.25">
      <c r="A111" s="287"/>
      <c r="B111" s="287" t="s">
        <v>255</v>
      </c>
      <c r="C111" s="35" t="s">
        <v>254</v>
      </c>
    </row>
    <row r="112" spans="1:3" ht="20.100000000000001" customHeight="1" x14ac:dyDescent="0.25">
      <c r="A112" s="288"/>
      <c r="B112" s="288"/>
      <c r="C112" s="36" t="s">
        <v>209</v>
      </c>
    </row>
    <row r="113" spans="1:3" ht="20.100000000000001" customHeight="1" x14ac:dyDescent="0.25">
      <c r="A113" s="288"/>
      <c r="B113" s="288"/>
      <c r="C113" s="36" t="s">
        <v>248</v>
      </c>
    </row>
    <row r="114" spans="1:3" ht="20.100000000000001" customHeight="1" x14ac:dyDescent="0.25">
      <c r="A114" s="289"/>
      <c r="B114" s="289"/>
      <c r="C114" s="36" t="s">
        <v>195</v>
      </c>
    </row>
    <row r="115" spans="1:3" ht="20.100000000000001" customHeight="1" x14ac:dyDescent="0.25">
      <c r="A115" s="282"/>
      <c r="B115" s="282" t="s">
        <v>260</v>
      </c>
      <c r="C115" s="39" t="s">
        <v>252</v>
      </c>
    </row>
    <row r="116" spans="1:3" ht="20.100000000000001" customHeight="1" x14ac:dyDescent="0.25">
      <c r="A116" s="283"/>
      <c r="B116" s="283"/>
      <c r="C116" s="39" t="s">
        <v>262</v>
      </c>
    </row>
    <row r="117" spans="1:3" ht="20.100000000000001" customHeight="1" x14ac:dyDescent="0.25">
      <c r="A117" s="283"/>
      <c r="B117" s="283"/>
      <c r="C117" s="39" t="s">
        <v>263</v>
      </c>
    </row>
    <row r="118" spans="1:3" ht="20.100000000000001" customHeight="1" x14ac:dyDescent="0.25">
      <c r="A118" s="283"/>
      <c r="B118" s="283"/>
      <c r="C118" s="39" t="s">
        <v>265</v>
      </c>
    </row>
    <row r="119" spans="1:3" ht="20.100000000000001" customHeight="1" x14ac:dyDescent="0.25">
      <c r="A119" s="283"/>
      <c r="B119" s="283"/>
      <c r="C119" s="39" t="s">
        <v>191</v>
      </c>
    </row>
    <row r="120" spans="1:3" ht="20.100000000000001" customHeight="1" x14ac:dyDescent="0.25">
      <c r="A120" s="284"/>
      <c r="B120" s="284"/>
      <c r="C120" s="39" t="s">
        <v>266</v>
      </c>
    </row>
    <row r="121" spans="1:3" ht="20.100000000000001" customHeight="1" x14ac:dyDescent="0.25">
      <c r="A121" s="287"/>
      <c r="B121" s="287" t="s">
        <v>169</v>
      </c>
      <c r="C121" s="35" t="s">
        <v>177</v>
      </c>
    </row>
    <row r="122" spans="1:3" ht="20.100000000000001" customHeight="1" x14ac:dyDescent="0.25">
      <c r="A122" s="288"/>
      <c r="B122" s="288"/>
      <c r="C122" s="35" t="s">
        <v>188</v>
      </c>
    </row>
    <row r="123" spans="1:3" ht="20.100000000000001" customHeight="1" x14ac:dyDescent="0.25">
      <c r="A123" s="288"/>
      <c r="B123" s="288"/>
      <c r="C123" s="35" t="s">
        <v>169</v>
      </c>
    </row>
    <row r="124" spans="1:3" ht="20.100000000000001" customHeight="1" x14ac:dyDescent="0.25">
      <c r="A124" s="289"/>
      <c r="B124" s="289"/>
      <c r="C124" s="35" t="s">
        <v>174</v>
      </c>
    </row>
    <row r="125" spans="1:3" ht="20.100000000000001" customHeight="1" x14ac:dyDescent="0.25">
      <c r="A125" s="282"/>
      <c r="B125" s="282" t="s">
        <v>267</v>
      </c>
      <c r="C125" s="34" t="s">
        <v>225</v>
      </c>
    </row>
    <row r="126" spans="1:3" ht="20.100000000000001" customHeight="1" x14ac:dyDescent="0.25">
      <c r="A126" s="283"/>
      <c r="B126" s="283"/>
      <c r="C126" s="34" t="s">
        <v>338</v>
      </c>
    </row>
    <row r="127" spans="1:3" ht="20.100000000000001" customHeight="1" x14ac:dyDescent="0.25">
      <c r="A127" s="283"/>
      <c r="B127" s="283"/>
      <c r="C127" s="34" t="s">
        <v>269</v>
      </c>
    </row>
    <row r="128" spans="1:3" ht="20.100000000000001" customHeight="1" x14ac:dyDescent="0.25">
      <c r="A128" s="284"/>
      <c r="B128" s="284"/>
      <c r="C128" s="34" t="s">
        <v>204</v>
      </c>
    </row>
    <row r="129" spans="1:3" ht="20.100000000000001" customHeight="1" x14ac:dyDescent="0.25">
      <c r="A129" s="287"/>
      <c r="B129" s="287" t="s">
        <v>271</v>
      </c>
      <c r="C129" s="35" t="s">
        <v>231</v>
      </c>
    </row>
    <row r="130" spans="1:3" ht="20.100000000000001" customHeight="1" x14ac:dyDescent="0.25">
      <c r="A130" s="288"/>
      <c r="B130" s="288"/>
      <c r="C130" s="35" t="s">
        <v>226</v>
      </c>
    </row>
    <row r="131" spans="1:3" ht="20.100000000000001" customHeight="1" x14ac:dyDescent="0.25">
      <c r="A131" s="288"/>
      <c r="B131" s="288"/>
      <c r="C131" s="35" t="s">
        <v>227</v>
      </c>
    </row>
    <row r="132" spans="1:3" ht="20.100000000000001" customHeight="1" x14ac:dyDescent="0.25">
      <c r="A132" s="288"/>
      <c r="B132" s="288"/>
      <c r="C132" s="35" t="s">
        <v>273</v>
      </c>
    </row>
    <row r="133" spans="1:3" ht="20.100000000000001" customHeight="1" x14ac:dyDescent="0.25">
      <c r="A133" s="288"/>
      <c r="B133" s="288"/>
      <c r="C133" s="35" t="s">
        <v>274</v>
      </c>
    </row>
    <row r="134" spans="1:3" ht="20.100000000000001" customHeight="1" x14ac:dyDescent="0.25">
      <c r="A134" s="288"/>
      <c r="B134" s="288"/>
      <c r="C134" s="35" t="s">
        <v>125</v>
      </c>
    </row>
    <row r="135" spans="1:3" ht="20.100000000000001" customHeight="1" x14ac:dyDescent="0.25">
      <c r="A135" s="288"/>
      <c r="B135" s="288"/>
      <c r="C135" s="35" t="s">
        <v>275</v>
      </c>
    </row>
    <row r="136" spans="1:3" ht="20.100000000000001" customHeight="1" x14ac:dyDescent="0.25">
      <c r="A136" s="289"/>
      <c r="B136" s="289"/>
      <c r="C136" s="35" t="s">
        <v>158</v>
      </c>
    </row>
    <row r="137" spans="1:3" ht="20.100000000000001" customHeight="1" x14ac:dyDescent="0.25">
      <c r="A137" s="282"/>
      <c r="B137" s="282" t="s">
        <v>278</v>
      </c>
      <c r="C137" s="34" t="s">
        <v>277</v>
      </c>
    </row>
    <row r="138" spans="1:3" ht="20.100000000000001" customHeight="1" x14ac:dyDescent="0.25">
      <c r="A138" s="283"/>
      <c r="B138" s="283"/>
      <c r="C138" s="34" t="s">
        <v>131</v>
      </c>
    </row>
    <row r="139" spans="1:3" ht="20.100000000000001" customHeight="1" x14ac:dyDescent="0.25">
      <c r="A139" s="283"/>
      <c r="B139" s="283"/>
      <c r="C139" s="34" t="s">
        <v>17</v>
      </c>
    </row>
    <row r="140" spans="1:3" ht="20.100000000000001" customHeight="1" x14ac:dyDescent="0.25">
      <c r="A140" s="283"/>
      <c r="B140" s="283"/>
      <c r="C140" s="34" t="s">
        <v>280</v>
      </c>
    </row>
    <row r="141" spans="1:3" ht="20.100000000000001" customHeight="1" x14ac:dyDescent="0.25">
      <c r="A141" s="283"/>
      <c r="B141" s="283"/>
      <c r="C141" s="34" t="s">
        <v>281</v>
      </c>
    </row>
    <row r="142" spans="1:3" ht="20.100000000000001" customHeight="1" x14ac:dyDescent="0.25">
      <c r="A142" s="283"/>
      <c r="B142" s="283"/>
      <c r="C142" s="34" t="s">
        <v>200</v>
      </c>
    </row>
    <row r="143" spans="1:3" ht="20.100000000000001" customHeight="1" x14ac:dyDescent="0.25">
      <c r="A143" s="283"/>
      <c r="B143" s="283"/>
      <c r="C143" s="34" t="s">
        <v>117</v>
      </c>
    </row>
    <row r="144" spans="1:3" ht="20.100000000000001" customHeight="1" x14ac:dyDescent="0.25">
      <c r="A144" s="283"/>
      <c r="B144" s="283"/>
      <c r="C144" s="34" t="s">
        <v>283</v>
      </c>
    </row>
    <row r="145" spans="1:3" ht="20.100000000000001" customHeight="1" x14ac:dyDescent="0.25">
      <c r="A145" s="283"/>
      <c r="B145" s="283"/>
      <c r="C145" s="34" t="s">
        <v>284</v>
      </c>
    </row>
    <row r="146" spans="1:3" ht="20.100000000000001" customHeight="1" x14ac:dyDescent="0.25">
      <c r="A146" s="284"/>
      <c r="B146" s="284"/>
      <c r="C146" s="34" t="s">
        <v>282</v>
      </c>
    </row>
    <row r="147" spans="1:3" ht="20.100000000000001" customHeight="1" x14ac:dyDescent="0.25">
      <c r="A147" s="287"/>
      <c r="B147" s="287" t="s">
        <v>286</v>
      </c>
      <c r="C147" s="35" t="s">
        <v>285</v>
      </c>
    </row>
    <row r="148" spans="1:3" ht="20.100000000000001" customHeight="1" x14ac:dyDescent="0.25">
      <c r="A148" s="288"/>
      <c r="B148" s="288"/>
      <c r="C148" s="35" t="s">
        <v>339</v>
      </c>
    </row>
    <row r="149" spans="1:3" ht="20.100000000000001" customHeight="1" x14ac:dyDescent="0.25">
      <c r="A149" s="288"/>
      <c r="B149" s="288"/>
      <c r="C149" s="35" t="s">
        <v>340</v>
      </c>
    </row>
    <row r="150" spans="1:3" ht="20.100000000000001" customHeight="1" x14ac:dyDescent="0.25">
      <c r="A150" s="288"/>
      <c r="B150" s="288"/>
      <c r="C150" s="35" t="s">
        <v>270</v>
      </c>
    </row>
    <row r="151" spans="1:3" ht="20.100000000000001" customHeight="1" x14ac:dyDescent="0.25">
      <c r="A151" s="288"/>
      <c r="B151" s="288"/>
      <c r="C151" s="35" t="s">
        <v>94</v>
      </c>
    </row>
    <row r="152" spans="1:3" ht="20.100000000000001" customHeight="1" x14ac:dyDescent="0.25">
      <c r="A152" s="288"/>
      <c r="B152" s="288"/>
      <c r="C152" s="35" t="s">
        <v>244</v>
      </c>
    </row>
    <row r="153" spans="1:3" ht="20.100000000000001" customHeight="1" x14ac:dyDescent="0.25">
      <c r="A153" s="288"/>
      <c r="B153" s="288"/>
      <c r="C153" s="35" t="s">
        <v>268</v>
      </c>
    </row>
    <row r="154" spans="1:3" ht="20.100000000000001" customHeight="1" x14ac:dyDescent="0.25">
      <c r="A154" s="289"/>
      <c r="B154" s="289"/>
      <c r="C154" s="35" t="s">
        <v>288</v>
      </c>
    </row>
    <row r="155" spans="1:3" ht="20.100000000000001" customHeight="1" x14ac:dyDescent="0.25">
      <c r="A155" s="282"/>
      <c r="B155" s="282" t="s">
        <v>289</v>
      </c>
      <c r="C155" s="34" t="s">
        <v>172</v>
      </c>
    </row>
    <row r="156" spans="1:3" ht="20.100000000000001" customHeight="1" x14ac:dyDescent="0.25">
      <c r="A156" s="283"/>
      <c r="B156" s="283"/>
      <c r="C156" s="34" t="s">
        <v>180</v>
      </c>
    </row>
    <row r="157" spans="1:3" ht="20.100000000000001" customHeight="1" x14ac:dyDescent="0.25">
      <c r="A157" s="283"/>
      <c r="B157" s="283"/>
      <c r="C157" s="34" t="s">
        <v>259</v>
      </c>
    </row>
    <row r="158" spans="1:3" ht="20.100000000000001" customHeight="1" x14ac:dyDescent="0.25">
      <c r="A158" s="283"/>
      <c r="B158" s="283"/>
      <c r="C158" s="34" t="s">
        <v>261</v>
      </c>
    </row>
    <row r="159" spans="1:3" ht="20.100000000000001" customHeight="1" x14ac:dyDescent="0.25">
      <c r="A159" s="283"/>
      <c r="B159" s="283"/>
      <c r="C159" s="34" t="s">
        <v>246</v>
      </c>
    </row>
    <row r="160" spans="1:3" ht="20.100000000000001" customHeight="1" x14ac:dyDescent="0.25">
      <c r="A160" s="283"/>
      <c r="B160" s="283"/>
      <c r="C160" s="34" t="s">
        <v>249</v>
      </c>
    </row>
    <row r="161" spans="1:3" ht="20.100000000000001" customHeight="1" x14ac:dyDescent="0.25">
      <c r="A161" s="283"/>
      <c r="B161" s="283"/>
      <c r="C161" s="34" t="s">
        <v>287</v>
      </c>
    </row>
    <row r="162" spans="1:3" ht="20.100000000000001" customHeight="1" x14ac:dyDescent="0.25">
      <c r="A162" s="284"/>
      <c r="B162" s="284"/>
      <c r="C162" s="34" t="s">
        <v>341</v>
      </c>
    </row>
    <row r="163" spans="1:3" ht="20.100000000000001" customHeight="1" x14ac:dyDescent="0.25">
      <c r="A163" s="287"/>
      <c r="B163" s="287" t="s">
        <v>292</v>
      </c>
      <c r="C163" s="36" t="s">
        <v>102</v>
      </c>
    </row>
    <row r="164" spans="1:3" ht="20.100000000000001" customHeight="1" x14ac:dyDescent="0.25">
      <c r="A164" s="288"/>
      <c r="B164" s="288"/>
      <c r="C164" s="36" t="s">
        <v>243</v>
      </c>
    </row>
    <row r="165" spans="1:3" ht="20.100000000000001" customHeight="1" x14ac:dyDescent="0.25">
      <c r="A165" s="288"/>
      <c r="B165" s="288"/>
      <c r="C165" s="36" t="s">
        <v>86</v>
      </c>
    </row>
    <row r="166" spans="1:3" ht="20.100000000000001" customHeight="1" x14ac:dyDescent="0.25">
      <c r="A166" s="288"/>
      <c r="B166" s="288"/>
      <c r="C166" s="36" t="s">
        <v>257</v>
      </c>
    </row>
    <row r="167" spans="1:3" ht="20.100000000000001" customHeight="1" x14ac:dyDescent="0.25">
      <c r="A167" s="288"/>
      <c r="B167" s="288"/>
      <c r="C167" s="36" t="s">
        <v>276</v>
      </c>
    </row>
    <row r="168" spans="1:3" ht="20.100000000000001" customHeight="1" x14ac:dyDescent="0.25">
      <c r="A168" s="288"/>
      <c r="B168" s="288"/>
      <c r="C168" s="36" t="s">
        <v>197</v>
      </c>
    </row>
    <row r="169" spans="1:3" ht="20.100000000000001" customHeight="1" x14ac:dyDescent="0.25">
      <c r="A169" s="289"/>
      <c r="B169" s="289"/>
      <c r="C169" s="36" t="s">
        <v>279</v>
      </c>
    </row>
    <row r="170" spans="1:3" ht="20.100000000000001" customHeight="1" x14ac:dyDescent="0.25">
      <c r="A170" s="282"/>
      <c r="B170" s="282" t="s">
        <v>293</v>
      </c>
      <c r="C170" s="34" t="s">
        <v>258</v>
      </c>
    </row>
    <row r="171" spans="1:3" ht="20.100000000000001" customHeight="1" x14ac:dyDescent="0.25">
      <c r="A171" s="283"/>
      <c r="B171" s="283"/>
      <c r="C171" s="34" t="s">
        <v>294</v>
      </c>
    </row>
    <row r="172" spans="1:3" ht="20.100000000000001" customHeight="1" x14ac:dyDescent="0.25">
      <c r="A172" s="284"/>
      <c r="B172" s="284"/>
      <c r="C172" s="34" t="s">
        <v>213</v>
      </c>
    </row>
    <row r="173" spans="1:3" ht="20.100000000000001" customHeight="1" x14ac:dyDescent="0.25">
      <c r="A173" s="40"/>
      <c r="B173" s="40"/>
      <c r="C173" s="40"/>
    </row>
    <row r="174" spans="1:3" ht="20.100000000000001" customHeight="1" x14ac:dyDescent="0.3">
      <c r="A174" s="40"/>
      <c r="B174" s="290" t="s">
        <v>342</v>
      </c>
      <c r="C174" s="290"/>
    </row>
    <row r="175" spans="1:3" ht="20.100000000000001" customHeight="1" x14ac:dyDescent="0.25">
      <c r="A175" s="40"/>
      <c r="B175" s="41" t="s">
        <v>343</v>
      </c>
      <c r="C175" s="41" t="s">
        <v>344</v>
      </c>
    </row>
    <row r="176" spans="1:3" ht="20.100000000000001" customHeight="1" x14ac:dyDescent="0.25">
      <c r="A176" s="40"/>
      <c r="B176" s="42" t="s">
        <v>345</v>
      </c>
      <c r="C176" s="42" t="s">
        <v>346</v>
      </c>
    </row>
    <row r="177" spans="1:3" ht="20.100000000000001" customHeight="1" x14ac:dyDescent="0.25">
      <c r="A177" s="40"/>
      <c r="B177" s="42" t="s">
        <v>347</v>
      </c>
      <c r="C177" s="42" t="s">
        <v>348</v>
      </c>
    </row>
    <row r="178" spans="1:3" ht="20.100000000000001" customHeight="1" x14ac:dyDescent="0.25">
      <c r="A178" s="40"/>
      <c r="B178" s="42" t="s">
        <v>349</v>
      </c>
      <c r="C178" s="42" t="s">
        <v>350</v>
      </c>
    </row>
    <row r="179" spans="1:3" ht="20.100000000000001" customHeight="1" x14ac:dyDescent="0.25">
      <c r="A179" s="40"/>
      <c r="B179" s="42" t="s">
        <v>351</v>
      </c>
      <c r="C179" s="42" t="s">
        <v>352</v>
      </c>
    </row>
    <row r="180" spans="1:3" ht="47.25" x14ac:dyDescent="0.25">
      <c r="A180" s="40"/>
      <c r="B180" s="42" t="s">
        <v>353</v>
      </c>
      <c r="C180" s="43" t="s">
        <v>354</v>
      </c>
    </row>
    <row r="181" spans="1:3" ht="20.100000000000001" customHeight="1" x14ac:dyDescent="0.25">
      <c r="A181" s="40"/>
      <c r="B181" s="42" t="s">
        <v>355</v>
      </c>
      <c r="C181" s="42" t="s">
        <v>356</v>
      </c>
    </row>
    <row r="182" spans="1:3" ht="20.100000000000001" customHeight="1" x14ac:dyDescent="0.25">
      <c r="A182" s="40"/>
      <c r="B182" s="42" t="s">
        <v>357</v>
      </c>
      <c r="C182" s="42" t="s">
        <v>358</v>
      </c>
    </row>
    <row r="183" spans="1:3" ht="20.100000000000001" customHeight="1" x14ac:dyDescent="0.25">
      <c r="A183" s="40"/>
      <c r="B183" s="42" t="s">
        <v>359</v>
      </c>
      <c r="C183" s="43" t="s">
        <v>360</v>
      </c>
    </row>
  </sheetData>
  <mergeCells count="52">
    <mergeCell ref="A170:A172"/>
    <mergeCell ref="B170:B172"/>
    <mergeCell ref="B174:C174"/>
    <mergeCell ref="A147:A154"/>
    <mergeCell ref="B147:B154"/>
    <mergeCell ref="A155:A162"/>
    <mergeCell ref="B155:B162"/>
    <mergeCell ref="A163:A169"/>
    <mergeCell ref="B163:B169"/>
    <mergeCell ref="A125:A128"/>
    <mergeCell ref="B125:B128"/>
    <mergeCell ref="A129:A136"/>
    <mergeCell ref="B129:B136"/>
    <mergeCell ref="A137:A146"/>
    <mergeCell ref="B137:B146"/>
    <mergeCell ref="A111:A114"/>
    <mergeCell ref="B111:B114"/>
    <mergeCell ref="A115:A120"/>
    <mergeCell ref="B115:B120"/>
    <mergeCell ref="A121:A124"/>
    <mergeCell ref="B121:B124"/>
    <mergeCell ref="A90:A93"/>
    <mergeCell ref="B90:B93"/>
    <mergeCell ref="A94:A98"/>
    <mergeCell ref="B94:B98"/>
    <mergeCell ref="A99:A110"/>
    <mergeCell ref="B99:B110"/>
    <mergeCell ref="A67:A75"/>
    <mergeCell ref="B67:B75"/>
    <mergeCell ref="A76:A82"/>
    <mergeCell ref="B76:B82"/>
    <mergeCell ref="A83:A89"/>
    <mergeCell ref="B83:B89"/>
    <mergeCell ref="A54:A57"/>
    <mergeCell ref="B54:B57"/>
    <mergeCell ref="A58:A63"/>
    <mergeCell ref="B58:B63"/>
    <mergeCell ref="A64:A66"/>
    <mergeCell ref="B64:B66"/>
    <mergeCell ref="A42:A44"/>
    <mergeCell ref="B42:B44"/>
    <mergeCell ref="A45:A47"/>
    <mergeCell ref="B45:B47"/>
    <mergeCell ref="A50:A53"/>
    <mergeCell ref="B50:B53"/>
    <mergeCell ref="A39:A41"/>
    <mergeCell ref="B39:B41"/>
    <mergeCell ref="B17:C17"/>
    <mergeCell ref="A18:A20"/>
    <mergeCell ref="B18:B20"/>
    <mergeCell ref="A21:A38"/>
    <mergeCell ref="B21:B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918"/>
  <sheetViews>
    <sheetView tabSelected="1" topLeftCell="AI813" zoomScaleNormal="100" workbookViewId="0">
      <selection activeCell="F823" sqref="F823:F918"/>
    </sheetView>
  </sheetViews>
  <sheetFormatPr defaultRowHeight="20.100000000000001" customHeight="1" x14ac:dyDescent="0.25"/>
  <cols>
    <col min="2" max="2" width="16.140625" customWidth="1"/>
    <col min="3" max="4" width="17.5703125" customWidth="1"/>
    <col min="5" max="5" width="15.85546875" customWidth="1"/>
    <col min="6" max="6" width="21.85546875" customWidth="1"/>
    <col min="7" max="7" width="23.5703125" customWidth="1"/>
    <col min="8" max="8" width="25.5703125" customWidth="1"/>
    <col min="9" max="9" width="19.85546875" customWidth="1"/>
    <col min="10" max="10" width="24" customWidth="1"/>
    <col min="11" max="11" width="20.140625" customWidth="1"/>
    <col min="12" max="12" width="13.42578125" bestFit="1" customWidth="1"/>
    <col min="13" max="13" width="25" bestFit="1" customWidth="1"/>
    <col min="14" max="14" width="16.5703125" bestFit="1" customWidth="1"/>
    <col min="15" max="15" width="28.85546875" bestFit="1" customWidth="1"/>
    <col min="16" max="17" width="8" style="11" bestFit="1" customWidth="1"/>
    <col min="18" max="18" width="8" style="11" customWidth="1"/>
    <col min="19" max="19" width="12.140625" hidden="1" customWidth="1"/>
    <col min="20" max="20" width="11.42578125" customWidth="1"/>
    <col min="21" max="21" width="24.5703125" bestFit="1" customWidth="1"/>
    <col min="22" max="22" width="16.42578125" bestFit="1" customWidth="1"/>
    <col min="23" max="23" width="31.85546875" customWidth="1"/>
    <col min="24" max="24" width="27.5703125" customWidth="1"/>
    <col min="25" max="25" width="33.140625" customWidth="1"/>
    <col min="26" max="26" width="36" customWidth="1"/>
    <col min="27" max="27" width="38.42578125" customWidth="1"/>
    <col min="28" max="28" width="13.5703125" customWidth="1"/>
    <col min="29" max="29" width="12.140625" customWidth="1"/>
    <col min="30" max="30" width="16.42578125" customWidth="1"/>
    <col min="31" max="31" width="23.42578125" customWidth="1"/>
    <col min="32" max="32" width="15.42578125" customWidth="1"/>
    <col min="33" max="33" width="18.42578125" customWidth="1"/>
    <col min="34" max="35" width="23.140625" customWidth="1"/>
    <col min="36" max="36" width="17.5703125" bestFit="1" customWidth="1"/>
    <col min="37" max="37" width="15.140625" customWidth="1"/>
    <col min="38" max="38" width="16.85546875" customWidth="1"/>
    <col min="39" max="39" width="9.85546875" customWidth="1"/>
    <col min="40" max="40" width="11.42578125" customWidth="1"/>
    <col min="41" max="41" width="5.5703125" customWidth="1"/>
  </cols>
  <sheetData>
    <row r="1" spans="1:40" ht="27" customHeight="1" x14ac:dyDescent="0.25">
      <c r="A1" s="2" t="s">
        <v>361</v>
      </c>
      <c r="B1" s="3"/>
      <c r="C1" s="1"/>
      <c r="D1" s="1"/>
      <c r="E1" s="2"/>
      <c r="F1" s="3"/>
      <c r="G1" s="3"/>
      <c r="H1" s="4"/>
      <c r="I1" s="4"/>
      <c r="J1" s="5"/>
      <c r="K1" s="5"/>
      <c r="L1" s="5"/>
      <c r="M1" s="5"/>
      <c r="N1" s="5"/>
      <c r="O1" s="5"/>
      <c r="P1" s="6"/>
      <c r="Q1" s="6"/>
      <c r="R1" s="6"/>
      <c r="S1" s="5"/>
      <c r="T1" s="5"/>
      <c r="U1" s="5"/>
      <c r="V1" s="5"/>
      <c r="W1" s="5"/>
      <c r="X1" s="5"/>
      <c r="Y1" s="5"/>
      <c r="Z1" s="5"/>
      <c r="AA1" s="5"/>
      <c r="AB1" s="5"/>
      <c r="AC1" s="5"/>
      <c r="AD1" s="5"/>
      <c r="AE1" s="5"/>
      <c r="AF1" s="5"/>
      <c r="AG1" s="5"/>
      <c r="AH1" s="5"/>
      <c r="AI1" s="5"/>
      <c r="AJ1" s="5"/>
      <c r="AK1" s="5"/>
      <c r="AL1" s="5"/>
    </row>
    <row r="2" spans="1:40" ht="46.7" customHeight="1" x14ac:dyDescent="0.25">
      <c r="A2" s="55" t="s">
        <v>362</v>
      </c>
      <c r="B2" s="55" t="s">
        <v>363</v>
      </c>
      <c r="C2" s="56" t="s">
        <v>364</v>
      </c>
      <c r="D2" s="56" t="s">
        <v>365</v>
      </c>
      <c r="E2" s="55" t="s">
        <v>366</v>
      </c>
      <c r="F2" s="55" t="s">
        <v>0</v>
      </c>
      <c r="G2" s="56" t="s">
        <v>367</v>
      </c>
      <c r="H2" s="56" t="s">
        <v>368</v>
      </c>
      <c r="I2" s="56" t="s">
        <v>369</v>
      </c>
      <c r="J2" s="55" t="s">
        <v>370</v>
      </c>
      <c r="K2" s="56" t="s">
        <v>1987</v>
      </c>
      <c r="L2" s="55" t="s">
        <v>371</v>
      </c>
      <c r="M2" s="55" t="s">
        <v>372</v>
      </c>
      <c r="N2" s="56" t="s">
        <v>373</v>
      </c>
      <c r="O2" s="56" t="s">
        <v>374</v>
      </c>
      <c r="P2" s="73" t="s">
        <v>375</v>
      </c>
      <c r="Q2" s="73" t="s">
        <v>376</v>
      </c>
      <c r="R2" s="73" t="s">
        <v>377</v>
      </c>
      <c r="S2" s="55" t="s">
        <v>378</v>
      </c>
      <c r="T2" s="55" t="s">
        <v>379</v>
      </c>
      <c r="U2" s="56" t="s">
        <v>380</v>
      </c>
      <c r="V2" s="55" t="s">
        <v>381</v>
      </c>
      <c r="W2" s="55" t="s">
        <v>382</v>
      </c>
      <c r="X2" s="55" t="s">
        <v>383</v>
      </c>
      <c r="Y2" s="55" t="s">
        <v>343</v>
      </c>
      <c r="Z2" s="55" t="s">
        <v>384</v>
      </c>
      <c r="AA2" s="55" t="s">
        <v>385</v>
      </c>
      <c r="AB2" s="56" t="s">
        <v>386</v>
      </c>
      <c r="AC2" s="56" t="s">
        <v>387</v>
      </c>
      <c r="AD2" s="55" t="s">
        <v>388</v>
      </c>
      <c r="AE2" s="55" t="s">
        <v>389</v>
      </c>
      <c r="AF2" s="55" t="s">
        <v>390</v>
      </c>
      <c r="AG2" s="55" t="s">
        <v>391</v>
      </c>
      <c r="AH2" s="56" t="s">
        <v>392</v>
      </c>
      <c r="AI2" s="56" t="s">
        <v>393</v>
      </c>
      <c r="AJ2" s="55" t="s">
        <v>394</v>
      </c>
      <c r="AK2" s="55" t="s">
        <v>395</v>
      </c>
      <c r="AL2" s="55" t="s">
        <v>396</v>
      </c>
      <c r="AM2" s="7" t="s">
        <v>397</v>
      </c>
      <c r="AN2" s="7" t="s">
        <v>398</v>
      </c>
    </row>
    <row r="3" spans="1:40" ht="24.95" customHeight="1" x14ac:dyDescent="0.25">
      <c r="A3" s="8">
        <v>1</v>
      </c>
      <c r="B3" s="8" t="s">
        <v>399</v>
      </c>
      <c r="C3" s="8" t="s">
        <v>1997</v>
      </c>
      <c r="D3" s="8" t="s">
        <v>2416</v>
      </c>
      <c r="E3" s="8" t="s">
        <v>1998</v>
      </c>
      <c r="F3" s="9" t="s">
        <v>1999</v>
      </c>
      <c r="G3" s="9"/>
      <c r="H3" s="9" t="s">
        <v>2001</v>
      </c>
      <c r="I3" s="9" t="s">
        <v>579</v>
      </c>
      <c r="J3" s="9"/>
      <c r="K3" s="10">
        <v>46037</v>
      </c>
      <c r="L3" s="9">
        <v>1</v>
      </c>
      <c r="M3" s="162" t="str">
        <f>IF(phc_8[[#This Row],[Register No.]]="","",C3&amp;"-"&amp;D3&amp;"-"&amp;"BHA-PHC-"&amp;phc_8[[#This Row],[Register No.]])</f>
        <v>Shining Star-Mobile Clinic-BHA-PHC-1</v>
      </c>
      <c r="N3" s="9" t="s">
        <v>401</v>
      </c>
      <c r="O3" s="9" t="s">
        <v>2000</v>
      </c>
      <c r="P3" s="9">
        <v>80</v>
      </c>
      <c r="Q3" s="9"/>
      <c r="R3" s="9"/>
      <c r="S3" s="9" t="str">
        <f t="shared" ref="S3:S6" si="0">IF(AND(ISBLANK(P3),ISBLANK(Q3),ISBLANK(R3))," ",
IF(OR(P3&lt;5,AND(P3=" ",Q3&lt;&gt;" ",R3&lt;&gt;" ")),"&lt;5 yrs",
IF(AND(P3&gt;=5,P3&lt;=14),"5 - 14 yrs",
IF(AND(P3&gt;=15,P3&lt;=18),"15 - 18 yrs",
IF(AND(P3&gt;=19,P3&lt;=49),"19 - 49 yrs","50 yrs +")))))</f>
        <v>50 yrs +</v>
      </c>
      <c r="T3" s="9" t="s">
        <v>603</v>
      </c>
      <c r="U3" s="9" t="s">
        <v>2001</v>
      </c>
      <c r="V3" s="9" t="s">
        <v>2002</v>
      </c>
      <c r="W3" s="9" t="s">
        <v>2003</v>
      </c>
      <c r="X3" s="9" t="s">
        <v>181</v>
      </c>
      <c r="Y3" s="162" t="str">
        <f>INDEX(info!$Y$2:$Y$192,MATCH(phc_8[[#This Row],[Sub_Category]],info!$X$2:$X$192,0))</f>
        <v>Chronic medical disease</v>
      </c>
      <c r="Z3" s="162" t="str" cm="1">
        <f t="array" ref="Z3">INDEX(info!$AA$2:$AA$192,MATCH(PHC!$X3&amp;PHC!$Y3,info!$X$2:$X$192&amp;info!$Y$2:$Y$192,0))</f>
        <v>Non-communicable disease</v>
      </c>
      <c r="AA3" s="9" t="s">
        <v>2004</v>
      </c>
      <c r="AB3" s="9" t="s">
        <v>654</v>
      </c>
      <c r="AC3" s="9" t="s">
        <v>654</v>
      </c>
      <c r="AD3" s="9" t="s">
        <v>654</v>
      </c>
      <c r="AE3" s="9" t="s">
        <v>654</v>
      </c>
      <c r="AF3" s="10"/>
      <c r="AG3" s="9"/>
      <c r="AH3" s="9"/>
      <c r="AI3" s="9"/>
      <c r="AJ3" s="9"/>
      <c r="AK3" s="9" t="s">
        <v>654</v>
      </c>
      <c r="AL3" s="9"/>
      <c r="AM3" s="9" t="str">
        <f>IF(AF3="","","Q"&amp;INT((MONTH(AF3)-1)/3)+1&amp;YEAR(AF3)&amp;#REF!&amp;T3)</f>
        <v/>
      </c>
      <c r="AN3" s="9" t="e">
        <f>IF(K3="","","Q"&amp;INT((MONTH(K3)-1)/3)+1&amp;YEAR(K3)&amp;#REF!)</f>
        <v>#REF!</v>
      </c>
    </row>
    <row r="4" spans="1:40" ht="24.95" customHeight="1" x14ac:dyDescent="0.25">
      <c r="A4" s="8">
        <v>2</v>
      </c>
      <c r="B4" s="8" t="s">
        <v>399</v>
      </c>
      <c r="C4" s="8" t="s">
        <v>1997</v>
      </c>
      <c r="D4" s="8" t="s">
        <v>2416</v>
      </c>
      <c r="E4" s="8" t="s">
        <v>1998</v>
      </c>
      <c r="F4" s="9" t="s">
        <v>1999</v>
      </c>
      <c r="G4" s="9"/>
      <c r="H4" s="9" t="s">
        <v>2001</v>
      </c>
      <c r="I4" s="9" t="s">
        <v>579</v>
      </c>
      <c r="J4" s="9"/>
      <c r="K4" s="10">
        <v>46037</v>
      </c>
      <c r="L4" s="9">
        <v>2</v>
      </c>
      <c r="M4" s="162" t="str">
        <f>IF(phc_8[[#This Row],[Register No.]]="","",C4&amp;"-"&amp;D4&amp;"-"&amp;"BHA-PHC-"&amp;phc_8[[#This Row],[Register No.]])</f>
        <v>Shining Star-Mobile Clinic-BHA-PHC-2</v>
      </c>
      <c r="N4" s="9" t="s">
        <v>401</v>
      </c>
      <c r="O4" s="9" t="s">
        <v>2005</v>
      </c>
      <c r="P4" s="9">
        <v>89</v>
      </c>
      <c r="Q4" s="9"/>
      <c r="R4" s="9"/>
      <c r="S4" s="9" t="str">
        <f t="shared" si="0"/>
        <v>50 yrs +</v>
      </c>
      <c r="T4" s="9" t="s">
        <v>603</v>
      </c>
      <c r="U4" s="9" t="s">
        <v>2001</v>
      </c>
      <c r="V4" s="9" t="s">
        <v>2009</v>
      </c>
      <c r="W4" s="9" t="s">
        <v>2003</v>
      </c>
      <c r="X4" s="9" t="s">
        <v>181</v>
      </c>
      <c r="Y4" s="162" t="str">
        <f>INDEX(info!$Y$2:$Y$192,MATCH(phc_8[[#This Row],[Sub_Category]],info!$X$2:$X$192,0))</f>
        <v>Chronic medical disease</v>
      </c>
      <c r="Z4" s="162" t="str" cm="1">
        <f t="array" ref="Z4">INDEX(info!$AA$2:$AA$192,MATCH(PHC!$X4&amp;PHC!$Y4,info!$X$2:$X$192&amp;info!$Y$2:$Y$192,0))</f>
        <v>Non-communicable disease</v>
      </c>
      <c r="AA4" s="9" t="s">
        <v>2015</v>
      </c>
      <c r="AB4" s="9" t="s">
        <v>654</v>
      </c>
      <c r="AC4" s="9" t="s">
        <v>654</v>
      </c>
      <c r="AD4" s="9" t="s">
        <v>654</v>
      </c>
      <c r="AE4" s="9" t="s">
        <v>654</v>
      </c>
      <c r="AF4" s="10"/>
      <c r="AG4" s="9"/>
      <c r="AH4" s="9"/>
      <c r="AI4" s="9"/>
      <c r="AJ4" s="9"/>
      <c r="AK4" s="9" t="s">
        <v>654</v>
      </c>
      <c r="AL4" s="9"/>
      <c r="AM4" s="9" t="str">
        <f>IF(AF4="","","Q"&amp;INT((MONTH(AF4)-1)/3)+1&amp;YEAR(AF4)&amp;#REF!&amp;T4)</f>
        <v/>
      </c>
      <c r="AN4" s="9" t="e">
        <f>IF(K4="","","Q"&amp;INT((MONTH(K4)-1)/3)+1&amp;YEAR(K4)&amp;#REF!)</f>
        <v>#REF!</v>
      </c>
    </row>
    <row r="5" spans="1:40" ht="24.95" customHeight="1" x14ac:dyDescent="0.25">
      <c r="A5" s="8">
        <v>3</v>
      </c>
      <c r="B5" s="8" t="s">
        <v>399</v>
      </c>
      <c r="C5" s="8" t="s">
        <v>1997</v>
      </c>
      <c r="D5" s="8" t="s">
        <v>2416</v>
      </c>
      <c r="E5" s="8" t="s">
        <v>1998</v>
      </c>
      <c r="F5" s="9" t="s">
        <v>1999</v>
      </c>
      <c r="G5" s="9"/>
      <c r="H5" s="9" t="s">
        <v>2001</v>
      </c>
      <c r="I5" s="9" t="s">
        <v>579</v>
      </c>
      <c r="J5" s="9"/>
      <c r="K5" s="10">
        <v>46037</v>
      </c>
      <c r="L5" s="9">
        <v>3</v>
      </c>
      <c r="M5" s="162" t="str">
        <f>IF(phc_8[[#This Row],[Register No.]]="","",C5&amp;"-"&amp;D5&amp;"-"&amp;"BHA-PHC-"&amp;phc_8[[#This Row],[Register No.]])</f>
        <v>Shining Star-Mobile Clinic-BHA-PHC-3</v>
      </c>
      <c r="N5" s="9" t="s">
        <v>401</v>
      </c>
      <c r="O5" s="9" t="s">
        <v>2006</v>
      </c>
      <c r="P5" s="9">
        <v>63</v>
      </c>
      <c r="Q5" s="9"/>
      <c r="R5" s="9"/>
      <c r="S5" s="9" t="str">
        <f t="shared" si="0"/>
        <v>50 yrs +</v>
      </c>
      <c r="T5" s="9" t="s">
        <v>603</v>
      </c>
      <c r="U5" s="9" t="s">
        <v>2001</v>
      </c>
      <c r="V5" s="9" t="s">
        <v>2010</v>
      </c>
      <c r="W5" s="9" t="s">
        <v>2013</v>
      </c>
      <c r="X5" s="9" t="s">
        <v>294</v>
      </c>
      <c r="Y5" s="162" t="str">
        <f>INDEX(info!$Y$2:$Y$192,MATCH(phc_8[[#This Row],[Sub_Category]],info!$X$2:$X$192,0))</f>
        <v>Other (non-communicable)</v>
      </c>
      <c r="Z5" s="162" t="str" cm="1">
        <f t="array" ref="Z5">INDEX(info!$AA$2:$AA$192,MATCH(PHC!$X5&amp;PHC!$Y5,info!$X$2:$X$192&amp;info!$Y$2:$Y$192,0))</f>
        <v>Other</v>
      </c>
      <c r="AA5" s="9" t="s">
        <v>2016</v>
      </c>
      <c r="AB5" s="9" t="s">
        <v>654</v>
      </c>
      <c r="AC5" s="9" t="s">
        <v>654</v>
      </c>
      <c r="AD5" s="9" t="s">
        <v>654</v>
      </c>
      <c r="AE5" s="9" t="s">
        <v>654</v>
      </c>
      <c r="AF5" s="10"/>
      <c r="AG5" s="9"/>
      <c r="AH5" s="9"/>
      <c r="AI5" s="9"/>
      <c r="AJ5" s="9"/>
      <c r="AK5" s="9" t="s">
        <v>654</v>
      </c>
      <c r="AL5" s="9"/>
      <c r="AM5" s="9" t="str">
        <f>IF(AF5="","","Q"&amp;INT((MONTH(AF5)-1)/3)+1&amp;YEAR(AF5)&amp;#REF!&amp;T5)</f>
        <v/>
      </c>
      <c r="AN5" s="9" t="e">
        <f>IF(K5="","","Q"&amp;INT((MONTH(K5)-1)/3)+1&amp;YEAR(K5)&amp;#REF!)</f>
        <v>#REF!</v>
      </c>
    </row>
    <row r="6" spans="1:40" ht="24.95" customHeight="1" x14ac:dyDescent="0.25">
      <c r="A6" s="8">
        <v>4</v>
      </c>
      <c r="B6" s="8" t="s">
        <v>399</v>
      </c>
      <c r="C6" s="8" t="s">
        <v>1997</v>
      </c>
      <c r="D6" s="8" t="s">
        <v>2416</v>
      </c>
      <c r="E6" s="8" t="s">
        <v>1998</v>
      </c>
      <c r="F6" s="9" t="s">
        <v>1999</v>
      </c>
      <c r="G6" s="9"/>
      <c r="H6" s="9" t="s">
        <v>2001</v>
      </c>
      <c r="I6" s="9" t="s">
        <v>579</v>
      </c>
      <c r="J6" s="9"/>
      <c r="K6" s="10">
        <v>46037</v>
      </c>
      <c r="L6" s="9">
        <v>4</v>
      </c>
      <c r="M6" s="162" t="str">
        <f>IF(phc_8[[#This Row],[Register No.]]="","",C6&amp;"-"&amp;D6&amp;"-"&amp;"BHA-PHC-"&amp;phc_8[[#This Row],[Register No.]])</f>
        <v>Shining Star-Mobile Clinic-BHA-PHC-4</v>
      </c>
      <c r="N6" s="9" t="s">
        <v>401</v>
      </c>
      <c r="O6" s="9" t="s">
        <v>2007</v>
      </c>
      <c r="P6" s="9">
        <v>73</v>
      </c>
      <c r="Q6" s="9"/>
      <c r="R6" s="9"/>
      <c r="S6" s="9" t="str">
        <f t="shared" si="0"/>
        <v>50 yrs +</v>
      </c>
      <c r="T6" s="9" t="s">
        <v>603</v>
      </c>
      <c r="U6" s="9" t="s">
        <v>2001</v>
      </c>
      <c r="V6" s="9" t="s">
        <v>2011</v>
      </c>
      <c r="W6" s="9" t="s">
        <v>2014</v>
      </c>
      <c r="X6" s="9" t="s">
        <v>2014</v>
      </c>
      <c r="Y6" s="162" t="str">
        <f>INDEX(info!$Y$2:$Y$192,MATCH(phc_8[[#This Row],[Sub_Category]],info!$X$2:$X$192,0))</f>
        <v>Other (non-communicable)</v>
      </c>
      <c r="Z6" s="162" t="str" cm="1">
        <f t="array" ref="Z6">INDEX(info!$AA$2:$AA$192,MATCH(PHC!$X6&amp;PHC!$Y6,info!$X$2:$X$192&amp;info!$Y$2:$Y$192,0))</f>
        <v>Other</v>
      </c>
      <c r="AA6" s="9" t="s">
        <v>2017</v>
      </c>
      <c r="AB6" s="9" t="s">
        <v>654</v>
      </c>
      <c r="AC6" s="9" t="s">
        <v>654</v>
      </c>
      <c r="AD6" s="9" t="s">
        <v>654</v>
      </c>
      <c r="AE6" s="9" t="s">
        <v>654</v>
      </c>
      <c r="AF6" s="10"/>
      <c r="AG6" s="9"/>
      <c r="AH6" s="9"/>
      <c r="AI6" s="9"/>
      <c r="AJ6" s="9"/>
      <c r="AK6" s="9" t="s">
        <v>654</v>
      </c>
      <c r="AL6" s="9"/>
      <c r="AM6" s="9" t="str">
        <f>IF(AF6="","","Q"&amp;INT((MONTH(AF6)-1)/3)+1&amp;YEAR(AF6)&amp;#REF!&amp;T6)</f>
        <v/>
      </c>
      <c r="AN6" s="9" t="e">
        <f>IF(K6="","","Q"&amp;INT((MONTH(K6)-1)/3)+1&amp;YEAR(K6)&amp;#REF!)</f>
        <v>#REF!</v>
      </c>
    </row>
    <row r="7" spans="1:40" ht="20.100000000000001" customHeight="1" x14ac:dyDescent="0.25">
      <c r="A7" s="8">
        <v>5</v>
      </c>
      <c r="B7" s="8" t="s">
        <v>399</v>
      </c>
      <c r="C7" s="8" t="s">
        <v>1997</v>
      </c>
      <c r="D7" s="8" t="s">
        <v>2416</v>
      </c>
      <c r="E7" s="8" t="s">
        <v>1998</v>
      </c>
      <c r="F7" s="9" t="s">
        <v>1999</v>
      </c>
      <c r="G7" s="9"/>
      <c r="H7" s="9" t="s">
        <v>2001</v>
      </c>
      <c r="I7" s="9" t="s">
        <v>579</v>
      </c>
      <c r="J7" s="9"/>
      <c r="K7" s="10">
        <v>46037</v>
      </c>
      <c r="L7" s="9">
        <v>5</v>
      </c>
      <c r="M7" s="162" t="str">
        <f>IF(phc_8[[#This Row],[Register No.]]="","",C7&amp;"-"&amp;D7&amp;"-"&amp;"BHA-PHC-"&amp;phc_8[[#This Row],[Register No.]])</f>
        <v>Shining Star-Mobile Clinic-BHA-PHC-5</v>
      </c>
      <c r="N7" s="9" t="s">
        <v>401</v>
      </c>
      <c r="O7" s="9" t="s">
        <v>2008</v>
      </c>
      <c r="P7" s="9">
        <v>50</v>
      </c>
      <c r="Q7" s="9"/>
      <c r="R7" s="9"/>
      <c r="S7" s="9" t="str">
        <f>IF(AND(ISBLANK(P7),ISBLANK(Q7),ISBLANK(R7))," ",
IF(OR(P7&lt;5,AND(P7=" ",Q7&lt;&gt;" ",R7&lt;&gt;" ")),"&lt;5 yrs",
IF(AND(P7&gt;=5,P7&lt;=14),"5 - 14 yrs",
IF(AND(P7&gt;=15,P7&lt;=18),"15 - 18 yrs",
IF(AND(P7&gt;=19,P7&lt;=49),"19 - 49 yrs","50 yrs +")))))</f>
        <v>50 yrs +</v>
      </c>
      <c r="T7" s="9" t="s">
        <v>603</v>
      </c>
      <c r="U7" s="9" t="s">
        <v>2001</v>
      </c>
      <c r="V7" s="9" t="s">
        <v>2012</v>
      </c>
      <c r="W7" s="9" t="s">
        <v>2003</v>
      </c>
      <c r="X7" s="9" t="s">
        <v>181</v>
      </c>
      <c r="Y7" s="162" t="str">
        <f>INDEX(info!$Y$2:$Y$192,MATCH(phc_8[[#This Row],[Sub_Category]],info!$X$2:$X$192,0))</f>
        <v>Chronic medical disease</v>
      </c>
      <c r="Z7" s="162" t="str" cm="1">
        <f t="array" ref="Z7">INDEX(info!$AA$2:$AA$192,MATCH(PHC!$X7&amp;PHC!$Y7,info!$X$2:$X$192&amp;info!$Y$2:$Y$192,0))</f>
        <v>Non-communicable disease</v>
      </c>
      <c r="AA7" s="9" t="s">
        <v>2018</v>
      </c>
      <c r="AB7" s="9" t="s">
        <v>654</v>
      </c>
      <c r="AC7" s="9" t="s">
        <v>654</v>
      </c>
      <c r="AD7" s="9" t="s">
        <v>654</v>
      </c>
      <c r="AE7" s="9" t="s">
        <v>654</v>
      </c>
      <c r="AF7" s="10"/>
      <c r="AG7" s="9"/>
      <c r="AH7" s="9"/>
      <c r="AI7" s="9"/>
      <c r="AJ7" s="9"/>
      <c r="AK7" s="9" t="s">
        <v>654</v>
      </c>
      <c r="AL7" s="9"/>
      <c r="AM7" s="9" t="str">
        <f>IF(AF7="","","Q"&amp;INT((MONTH(AF7)-1)/3)+1&amp;YEAR(AF7)&amp;#REF!&amp;T7)</f>
        <v/>
      </c>
      <c r="AN7" s="9" t="e">
        <f>IF(K7="","","Q"&amp;INT((MONTH(K7)-1)/3)+1&amp;YEAR(K7)&amp;#REF!)</f>
        <v>#REF!</v>
      </c>
    </row>
    <row r="8" spans="1:40" ht="20.100000000000001" customHeight="1" x14ac:dyDescent="0.25">
      <c r="A8" s="8">
        <v>6</v>
      </c>
      <c r="B8" s="8" t="s">
        <v>399</v>
      </c>
      <c r="C8" s="8" t="s">
        <v>1997</v>
      </c>
      <c r="D8" s="8" t="s">
        <v>2416</v>
      </c>
      <c r="E8" s="8" t="s">
        <v>1998</v>
      </c>
      <c r="F8" s="9" t="s">
        <v>1999</v>
      </c>
      <c r="G8" s="9"/>
      <c r="H8" s="9" t="s">
        <v>2001</v>
      </c>
      <c r="I8" s="9" t="s">
        <v>579</v>
      </c>
      <c r="J8" s="9"/>
      <c r="K8" s="10">
        <v>46037</v>
      </c>
      <c r="L8" s="9">
        <v>6</v>
      </c>
      <c r="M8" s="162" t="str">
        <f>IF(phc_8[[#This Row],[Register No.]]="","",C8&amp;"-"&amp;D8&amp;"-"&amp;"BHA-PHC-"&amp;phc_8[[#This Row],[Register No.]])</f>
        <v>Shining Star-Mobile Clinic-BHA-PHC-6</v>
      </c>
      <c r="N8" s="9" t="s">
        <v>401</v>
      </c>
      <c r="O8" s="9" t="s">
        <v>2019</v>
      </c>
      <c r="P8" s="9">
        <v>78</v>
      </c>
      <c r="Q8" s="9"/>
      <c r="R8" s="9"/>
      <c r="S8" s="9" t="str">
        <f>IF(AND(ISBLANK(P8),ISBLANK(Q8),ISBLANK(R8))," ",
IF(OR(P8&lt;5,AND(P8=" ",Q8&lt;&gt;" ",R8&lt;&gt;" ")),"&lt;5 yrs",
IF(AND(P8&gt;=5,P8&lt;=14),"5 - 14 yrs",
IF(AND(P8&gt;=15,P8&lt;=18),"15 - 18 yrs",
IF(AND(P8&gt;=19,P8&lt;=49),"19 - 49 yrs","50 yrs +")))))</f>
        <v>50 yrs +</v>
      </c>
      <c r="T8" s="9" t="s">
        <v>603</v>
      </c>
      <c r="U8" s="9" t="s">
        <v>2001</v>
      </c>
      <c r="V8" s="9" t="s">
        <v>2011</v>
      </c>
      <c r="W8" s="9" t="s">
        <v>2014</v>
      </c>
      <c r="X8" s="9" t="s">
        <v>2014</v>
      </c>
      <c r="Y8" s="162" t="str">
        <f>INDEX(info!$Y$2:$Y$192,MATCH(phc_8[[#This Row],[Sub_Category]],info!$X$2:$X$192,0))</f>
        <v>Other (non-communicable)</v>
      </c>
      <c r="Z8" s="162" t="str" cm="1">
        <f t="array" ref="Z8">INDEX(info!$AA$2:$AA$192,MATCH(PHC!$X8&amp;PHC!$Y8,info!$X$2:$X$192&amp;info!$Y$2:$Y$192,0))</f>
        <v>Other</v>
      </c>
      <c r="AA8" s="9" t="s">
        <v>2031</v>
      </c>
      <c r="AB8" s="9" t="s">
        <v>654</v>
      </c>
      <c r="AC8" s="9" t="s">
        <v>654</v>
      </c>
      <c r="AD8" s="9" t="s">
        <v>654</v>
      </c>
      <c r="AE8" s="9" t="s">
        <v>654</v>
      </c>
      <c r="AF8" s="10"/>
      <c r="AG8" s="9"/>
      <c r="AH8" s="9"/>
      <c r="AI8" s="9"/>
      <c r="AJ8" s="9"/>
      <c r="AK8" s="9" t="s">
        <v>654</v>
      </c>
      <c r="AL8" s="9"/>
      <c r="AM8" s="9" t="str">
        <f>IF(AF8="","","Q"&amp;INT((MONTH(AF8)-1)/3)+1&amp;YEAR(AF8)&amp;#REF!&amp;T8)</f>
        <v/>
      </c>
      <c r="AN8" s="9" t="e">
        <f>IF(K8="","","Q"&amp;INT((MONTH(K8)-1)/3)+1&amp;YEAR(K8)&amp;#REF!)</f>
        <v>#REF!</v>
      </c>
    </row>
    <row r="9" spans="1:40" ht="20.100000000000001" customHeight="1" x14ac:dyDescent="0.25">
      <c r="A9" s="8">
        <v>7</v>
      </c>
      <c r="B9" s="8" t="s">
        <v>399</v>
      </c>
      <c r="C9" s="8" t="s">
        <v>1997</v>
      </c>
      <c r="D9" s="8" t="s">
        <v>2416</v>
      </c>
      <c r="E9" s="8" t="s">
        <v>1998</v>
      </c>
      <c r="F9" s="9" t="s">
        <v>1999</v>
      </c>
      <c r="G9" s="183"/>
      <c r="H9" s="9" t="s">
        <v>2001</v>
      </c>
      <c r="I9" s="9" t="s">
        <v>579</v>
      </c>
      <c r="J9" s="183"/>
      <c r="K9" s="10">
        <v>46037</v>
      </c>
      <c r="L9" s="9">
        <v>7</v>
      </c>
      <c r="M9" s="185" t="str">
        <f>IF(phc_8[[#This Row],[Register No.]]="","",C9&amp;"-"&amp;D9&amp;"-"&amp;"BHA-PHC-"&amp;phc_8[[#This Row],[Register No.]])</f>
        <v>Shining Star-Mobile Clinic-BHA-PHC-7</v>
      </c>
      <c r="N9" s="9" t="s">
        <v>401</v>
      </c>
      <c r="O9" s="183" t="s">
        <v>2020</v>
      </c>
      <c r="P9" s="183">
        <v>49</v>
      </c>
      <c r="Q9" s="183"/>
      <c r="R9" s="183"/>
      <c r="S9" s="186" t="str">
        <f t="shared" ref="S9:S13" si="1">IF(AND(ISBLANK(P9),ISBLANK(Q9),ISBLANK(R9))," ",
IF(OR(P9&lt;5,AND(P9=" ",Q9&lt;&gt;" ",R9&lt;&gt;" ")),"&lt;5 yrs",
IF(AND(P9&gt;=5,P9&lt;=14),"5 - 14 yrs",
IF(AND(P9&gt;=15,P9&lt;=18),"15 - 18 yrs",
IF(AND(P9&gt;=19,P9&lt;=49),"19 - 49 yrs","50 yrs +")))))</f>
        <v>19 - 49 yrs</v>
      </c>
      <c r="T9" s="183" t="s">
        <v>603</v>
      </c>
      <c r="U9" s="9" t="s">
        <v>2001</v>
      </c>
      <c r="V9" s="183" t="s">
        <v>2024</v>
      </c>
      <c r="W9" s="183" t="s">
        <v>2028</v>
      </c>
      <c r="X9" s="183" t="s">
        <v>108</v>
      </c>
      <c r="Y9" s="186" t="str">
        <f>INDEX(info!$Y$2:$Y$192,MATCH(phc_8[[#This Row],[Sub_Category]],info!$X$2:$X$192,0))</f>
        <v>ARI/RTI</v>
      </c>
      <c r="Z9" s="186" t="str">
        <f t="array" ref="Z9">INDEX(info!$AA$2:$AA$192,MATCH(PHC!$X9&amp;PHC!$Y9,info!$X$2:$X$192&amp;info!$Y$2:$Y$192,0))</f>
        <v>Communicable disease</v>
      </c>
      <c r="AA9" s="183" t="s">
        <v>2032</v>
      </c>
      <c r="AB9" s="9" t="s">
        <v>654</v>
      </c>
      <c r="AC9" s="9" t="s">
        <v>654</v>
      </c>
      <c r="AD9" s="9" t="s">
        <v>654</v>
      </c>
      <c r="AE9" s="9" t="s">
        <v>654</v>
      </c>
      <c r="AF9" s="184"/>
      <c r="AG9" s="183"/>
      <c r="AH9" s="183"/>
      <c r="AI9" s="183"/>
      <c r="AJ9" s="183"/>
      <c r="AK9" s="9" t="s">
        <v>654</v>
      </c>
      <c r="AL9" s="183"/>
      <c r="AM9" s="183" t="str">
        <f>IF(AF9="","","Q"&amp;INT((MONTH(AF9)-1)/3)+1&amp;YEAR(AF9)&amp;#REF!&amp;T9)</f>
        <v/>
      </c>
      <c r="AN9" s="186" t="e">
        <f>IF(K9="","","Q"&amp;INT((MONTH(K9)-1)/3)+1&amp;YEAR(K9)&amp;#REF!)</f>
        <v>#REF!</v>
      </c>
    </row>
    <row r="10" spans="1:40" s="216" customFormat="1" ht="20.100000000000001" customHeight="1" x14ac:dyDescent="0.25">
      <c r="A10" s="182">
        <v>8</v>
      </c>
      <c r="B10" s="182" t="s">
        <v>399</v>
      </c>
      <c r="C10" s="182" t="s">
        <v>1997</v>
      </c>
      <c r="D10" s="8" t="s">
        <v>2416</v>
      </c>
      <c r="E10" s="182" t="s">
        <v>1998</v>
      </c>
      <c r="F10" s="9" t="s">
        <v>1999</v>
      </c>
      <c r="G10" s="183"/>
      <c r="H10" s="9" t="s">
        <v>2001</v>
      </c>
      <c r="I10" s="9" t="s">
        <v>579</v>
      </c>
      <c r="J10" s="183"/>
      <c r="K10" s="10">
        <v>46037</v>
      </c>
      <c r="L10" s="183">
        <v>8</v>
      </c>
      <c r="M10" s="186" t="str">
        <f>IF(phc_8[[#This Row],[Register No.]]="","",C10&amp;"-"&amp;D10&amp;"-"&amp;"BHA-PHC-"&amp;phc_8[[#This Row],[Register No.]])</f>
        <v>Shining Star-Mobile Clinic-BHA-PHC-8</v>
      </c>
      <c r="N10" s="183" t="s">
        <v>401</v>
      </c>
      <c r="O10" s="183" t="s">
        <v>2021</v>
      </c>
      <c r="P10" s="183"/>
      <c r="Q10" s="183"/>
      <c r="R10" s="183"/>
      <c r="S10" s="186" t="str">
        <f t="shared" si="1"/>
        <v xml:space="preserve"> </v>
      </c>
      <c r="T10" s="183" t="s">
        <v>402</v>
      </c>
      <c r="U10" s="183" t="s">
        <v>2001</v>
      </c>
      <c r="V10" s="183" t="s">
        <v>2025</v>
      </c>
      <c r="W10" s="183" t="s">
        <v>2029</v>
      </c>
      <c r="X10" s="183" t="s">
        <v>169</v>
      </c>
      <c r="Y10" s="186" t="str">
        <f>INDEX(info!$Y$2:$Y$192,MATCH(phc_8[[#This Row],[Sub_Category]],info!$X$2:$X$192,0))</f>
        <v>Congenital abnormalities</v>
      </c>
      <c r="Z10" s="186" t="str">
        <f t="array" ref="Z10">INDEX(info!$AA$2:$AA$192,MATCH(PHC!$X10&amp;PHC!$Y10,info!$X$2:$X$192&amp;info!$Y$2:$Y$192,0))</f>
        <v>Non-communicable disease</v>
      </c>
      <c r="AA10" s="183" t="s">
        <v>2033</v>
      </c>
      <c r="AB10" s="9" t="s">
        <v>654</v>
      </c>
      <c r="AC10" s="9" t="s">
        <v>654</v>
      </c>
      <c r="AD10" s="9" t="s">
        <v>654</v>
      </c>
      <c r="AE10" s="9" t="s">
        <v>654</v>
      </c>
      <c r="AF10" s="184"/>
      <c r="AG10" s="183"/>
      <c r="AH10" s="183"/>
      <c r="AI10" s="183"/>
      <c r="AJ10" s="183"/>
      <c r="AK10" s="9" t="s">
        <v>654</v>
      </c>
      <c r="AL10" s="183"/>
      <c r="AM10" s="183" t="str">
        <f>IF(AF10="","","Q"&amp;INT((MONTH(AF10)-1)/3)+1&amp;YEAR(AF10)&amp;#REF!&amp;T10)</f>
        <v/>
      </c>
      <c r="AN10" s="186" t="e">
        <f>IF(K10="","","Q"&amp;INT((MONTH(K10)-1)/3)+1&amp;YEAR(K10)&amp;#REF!)</f>
        <v>#REF!</v>
      </c>
    </row>
    <row r="11" spans="1:40" ht="20.100000000000001" customHeight="1" x14ac:dyDescent="0.25">
      <c r="A11" s="8">
        <v>9</v>
      </c>
      <c r="B11" s="8" t="s">
        <v>399</v>
      </c>
      <c r="C11" s="8" t="s">
        <v>1997</v>
      </c>
      <c r="D11" s="8" t="s">
        <v>2416</v>
      </c>
      <c r="E11" s="8" t="s">
        <v>1998</v>
      </c>
      <c r="F11" s="9" t="s">
        <v>1999</v>
      </c>
      <c r="G11" s="183"/>
      <c r="H11" s="9" t="s">
        <v>2001</v>
      </c>
      <c r="I11" s="9" t="s">
        <v>579</v>
      </c>
      <c r="J11" s="183"/>
      <c r="K11" s="10">
        <v>46037</v>
      </c>
      <c r="L11" s="9">
        <v>9</v>
      </c>
      <c r="M11" s="185" t="str">
        <f>IF(phc_8[[#This Row],[Register No.]]="","",C11&amp;"-"&amp;D11&amp;"-"&amp;"BHA-PHC-"&amp;phc_8[[#This Row],[Register No.]])</f>
        <v>Shining Star-Mobile Clinic-BHA-PHC-9</v>
      </c>
      <c r="N11" s="9" t="s">
        <v>401</v>
      </c>
      <c r="O11" s="183" t="s">
        <v>2022</v>
      </c>
      <c r="P11" s="183">
        <v>51</v>
      </c>
      <c r="Q11" s="183"/>
      <c r="R11" s="183"/>
      <c r="S11" s="186" t="str">
        <f t="shared" si="1"/>
        <v>50 yrs +</v>
      </c>
      <c r="T11" s="183" t="s">
        <v>402</v>
      </c>
      <c r="U11" s="9" t="s">
        <v>2001</v>
      </c>
      <c r="V11" s="183" t="s">
        <v>2026</v>
      </c>
      <c r="W11" s="183" t="s">
        <v>2030</v>
      </c>
      <c r="X11" s="183" t="s">
        <v>181</v>
      </c>
      <c r="Y11" s="186" t="str">
        <f>INDEX(info!$Y$2:$Y$192,MATCH(phc_8[[#This Row],[Sub_Category]],info!$X$2:$X$192,0))</f>
        <v>Chronic medical disease</v>
      </c>
      <c r="Z11" s="186" t="str">
        <f t="array" ref="Z11">INDEX(info!$AA$2:$AA$192,MATCH(PHC!$X11&amp;PHC!$Y11,info!$X$2:$X$192&amp;info!$Y$2:$Y$192,0))</f>
        <v>Non-communicable disease</v>
      </c>
      <c r="AA11" s="183" t="s">
        <v>2034</v>
      </c>
      <c r="AB11" s="9" t="s">
        <v>654</v>
      </c>
      <c r="AC11" s="9" t="s">
        <v>654</v>
      </c>
      <c r="AD11" s="9" t="s">
        <v>654</v>
      </c>
      <c r="AE11" s="9" t="s">
        <v>654</v>
      </c>
      <c r="AF11" s="184"/>
      <c r="AG11" s="183"/>
      <c r="AH11" s="183"/>
      <c r="AI11" s="183"/>
      <c r="AJ11" s="183"/>
      <c r="AK11" s="9" t="s">
        <v>654</v>
      </c>
      <c r="AL11" s="183"/>
      <c r="AM11" s="183" t="str">
        <f>IF(AF11="","","Q"&amp;INT((MONTH(AF11)-1)/3)+1&amp;YEAR(AF11)&amp;#REF!&amp;T11)</f>
        <v/>
      </c>
      <c r="AN11" s="186" t="e">
        <f>IF(K11="","","Q"&amp;INT((MONTH(K11)-1)/3)+1&amp;YEAR(K11)&amp;#REF!)</f>
        <v>#REF!</v>
      </c>
    </row>
    <row r="12" spans="1:40" ht="20.100000000000001" customHeight="1" x14ac:dyDescent="0.25">
      <c r="A12" s="8">
        <v>10</v>
      </c>
      <c r="B12" s="8" t="s">
        <v>399</v>
      </c>
      <c r="C12" s="8" t="s">
        <v>1997</v>
      </c>
      <c r="D12" s="8" t="s">
        <v>2416</v>
      </c>
      <c r="E12" s="8" t="s">
        <v>1998</v>
      </c>
      <c r="F12" s="9" t="s">
        <v>1999</v>
      </c>
      <c r="G12" s="183"/>
      <c r="H12" s="9" t="s">
        <v>2001</v>
      </c>
      <c r="I12" s="9" t="s">
        <v>579</v>
      </c>
      <c r="J12" s="183"/>
      <c r="K12" s="10">
        <v>46037</v>
      </c>
      <c r="L12" s="9">
        <v>10</v>
      </c>
      <c r="M12" s="185" t="str">
        <f>IF(phc_8[[#This Row],[Register No.]]="","",C12&amp;"-"&amp;D12&amp;"-"&amp;"BHA-PHC-"&amp;phc_8[[#This Row],[Register No.]])</f>
        <v>Shining Star-Mobile Clinic-BHA-PHC-10</v>
      </c>
      <c r="N12" s="9" t="s">
        <v>401</v>
      </c>
      <c r="O12" s="183" t="s">
        <v>2023</v>
      </c>
      <c r="P12" s="183">
        <v>65</v>
      </c>
      <c r="Q12" s="183"/>
      <c r="R12" s="183"/>
      <c r="S12" s="186" t="str">
        <f t="shared" si="1"/>
        <v>50 yrs +</v>
      </c>
      <c r="T12" s="183" t="s">
        <v>603</v>
      </c>
      <c r="U12" s="9" t="s">
        <v>2001</v>
      </c>
      <c r="V12" s="183" t="s">
        <v>2027</v>
      </c>
      <c r="W12" s="183" t="s">
        <v>2003</v>
      </c>
      <c r="X12" s="183" t="s">
        <v>181</v>
      </c>
      <c r="Y12" s="186" t="str">
        <f>INDEX(info!$Y$2:$Y$192,MATCH(phc_8[[#This Row],[Sub_Category]],info!$X$2:$X$192,0))</f>
        <v>Chronic medical disease</v>
      </c>
      <c r="Z12" s="186" t="str">
        <f t="array" ref="Z12">INDEX(info!$AA$2:$AA$192,MATCH(PHC!$X12&amp;PHC!$Y12,info!$X$2:$X$192&amp;info!$Y$2:$Y$192,0))</f>
        <v>Non-communicable disease</v>
      </c>
      <c r="AA12" s="183" t="s">
        <v>2035</v>
      </c>
      <c r="AB12" s="9" t="s">
        <v>654</v>
      </c>
      <c r="AC12" s="9" t="s">
        <v>654</v>
      </c>
      <c r="AD12" s="9" t="s">
        <v>654</v>
      </c>
      <c r="AE12" s="9" t="s">
        <v>654</v>
      </c>
      <c r="AF12" s="184"/>
      <c r="AG12" s="183"/>
      <c r="AH12" s="183"/>
      <c r="AI12" s="183"/>
      <c r="AJ12" s="183"/>
      <c r="AK12" s="9" t="s">
        <v>654</v>
      </c>
      <c r="AL12" s="183"/>
      <c r="AM12" s="183" t="str">
        <f>IF(AF12="","","Q"&amp;INT((MONTH(AF12)-1)/3)+1&amp;YEAR(AF12)&amp;#REF!&amp;T12)</f>
        <v/>
      </c>
      <c r="AN12" s="186" t="e">
        <f>IF(K12="","","Q"&amp;INT((MONTH(K12)-1)/3)+1&amp;YEAR(K12)&amp;#REF!)</f>
        <v>#REF!</v>
      </c>
    </row>
    <row r="13" spans="1:40" ht="20.100000000000001" customHeight="1" x14ac:dyDescent="0.25">
      <c r="A13" s="8">
        <v>11</v>
      </c>
      <c r="B13" s="8" t="s">
        <v>399</v>
      </c>
      <c r="C13" s="8" t="s">
        <v>1997</v>
      </c>
      <c r="D13" s="8" t="s">
        <v>2416</v>
      </c>
      <c r="E13" s="8" t="s">
        <v>1998</v>
      </c>
      <c r="F13" s="9" t="s">
        <v>1999</v>
      </c>
      <c r="G13" s="183"/>
      <c r="H13" s="9" t="s">
        <v>2001</v>
      </c>
      <c r="I13" s="9" t="s">
        <v>579</v>
      </c>
      <c r="J13" s="183"/>
      <c r="K13" s="10">
        <v>46037</v>
      </c>
      <c r="L13" s="9">
        <v>11</v>
      </c>
      <c r="M13" s="185" t="str">
        <f>IF(phc_8[[#This Row],[Register No.]]="","",C13&amp;"-"&amp;D13&amp;"-"&amp;"BHA-PHC-"&amp;phc_8[[#This Row],[Register No.]])</f>
        <v>Shining Star-Mobile Clinic-BHA-PHC-11</v>
      </c>
      <c r="N13" s="9" t="s">
        <v>401</v>
      </c>
      <c r="O13" s="183" t="s">
        <v>2036</v>
      </c>
      <c r="P13" s="183">
        <v>78</v>
      </c>
      <c r="Q13" s="183"/>
      <c r="R13" s="183"/>
      <c r="S13" s="186" t="str">
        <f t="shared" si="1"/>
        <v>50 yrs +</v>
      </c>
      <c r="T13" s="183" t="s">
        <v>603</v>
      </c>
      <c r="U13" s="9" t="s">
        <v>2001</v>
      </c>
      <c r="V13" s="183" t="s">
        <v>2041</v>
      </c>
      <c r="W13" s="183" t="s">
        <v>2003</v>
      </c>
      <c r="X13" s="183" t="s">
        <v>181</v>
      </c>
      <c r="Y13" s="186" t="str">
        <f>INDEX(info!$Y$2:$Y$192,MATCH(phc_8[[#This Row],[Sub_Category]],info!$X$2:$X$192,0))</f>
        <v>Chronic medical disease</v>
      </c>
      <c r="Z13" s="186" t="str">
        <f t="array" ref="Z13">INDEX(info!$AA$2:$AA$192,MATCH(PHC!$X13&amp;PHC!$Y13,info!$X$2:$X$192&amp;info!$Y$2:$Y$192,0))</f>
        <v>Non-communicable disease</v>
      </c>
      <c r="AA13" s="183" t="s">
        <v>2045</v>
      </c>
      <c r="AB13" s="9" t="s">
        <v>654</v>
      </c>
      <c r="AC13" s="9" t="s">
        <v>654</v>
      </c>
      <c r="AD13" s="9" t="s">
        <v>654</v>
      </c>
      <c r="AE13" s="9" t="s">
        <v>654</v>
      </c>
      <c r="AF13" s="184"/>
      <c r="AG13" s="183"/>
      <c r="AH13" s="183"/>
      <c r="AI13" s="183"/>
      <c r="AJ13" s="183"/>
      <c r="AK13" s="9" t="s">
        <v>654</v>
      </c>
      <c r="AL13" s="183"/>
      <c r="AM13" s="183" t="str">
        <f>IF(AF13="","","Q"&amp;INT((MONTH(AF13)-1)/3)+1&amp;YEAR(AF13)&amp;#REF!&amp;T13)</f>
        <v/>
      </c>
      <c r="AN13" s="186" t="e">
        <f>IF(K13="","","Q"&amp;INT((MONTH(K13)-1)/3)+1&amp;YEAR(K13)&amp;#REF!)</f>
        <v>#REF!</v>
      </c>
    </row>
    <row r="14" spans="1:40" ht="20.100000000000001" customHeight="1" x14ac:dyDescent="0.25">
      <c r="A14" s="8">
        <v>12</v>
      </c>
      <c r="B14" s="8" t="s">
        <v>399</v>
      </c>
      <c r="C14" s="8" t="s">
        <v>1997</v>
      </c>
      <c r="D14" s="8" t="s">
        <v>2416</v>
      </c>
      <c r="E14" s="8" t="s">
        <v>1998</v>
      </c>
      <c r="F14" s="9" t="s">
        <v>1999</v>
      </c>
      <c r="G14" s="183"/>
      <c r="H14" s="9" t="s">
        <v>2001</v>
      </c>
      <c r="I14" s="9" t="s">
        <v>579</v>
      </c>
      <c r="J14" s="183"/>
      <c r="K14" s="10">
        <v>46037</v>
      </c>
      <c r="L14" s="9">
        <v>12</v>
      </c>
      <c r="M14" s="185" t="str">
        <f>IF(phc_8[[#This Row],[Register No.]]="","",C14&amp;"-"&amp;D14&amp;"-"&amp;"BHA-PHC-"&amp;phc_8[[#This Row],[Register No.]])</f>
        <v>Shining Star-Mobile Clinic-BHA-PHC-12</v>
      </c>
      <c r="N14" s="9" t="s">
        <v>401</v>
      </c>
      <c r="O14" s="183" t="s">
        <v>2037</v>
      </c>
      <c r="P14" s="183">
        <v>73</v>
      </c>
      <c r="Q14" s="183"/>
      <c r="R14" s="183"/>
      <c r="S14" s="186" t="str">
        <f t="shared" ref="S14:S45" si="2">IF(AND(ISBLANK(P14),ISBLANK(Q14),ISBLANK(R14))," ",
IF(OR(P14&lt;5,AND(P14=" ",Q14&lt;&gt;" ",R14&lt;&gt;" ")),"&lt;5 yrs",
IF(AND(P14&gt;=5,P14&lt;=14),"5 - 14 yrs",
IF(AND(P14&gt;=15,P14&lt;=18),"15 - 18 yrs",
IF(AND(P14&gt;=19,P14&lt;=49),"19 - 49 yrs","50 yrs +")))))</f>
        <v>50 yrs +</v>
      </c>
      <c r="T14" s="183" t="s">
        <v>603</v>
      </c>
      <c r="U14" s="9" t="s">
        <v>2001</v>
      </c>
      <c r="V14" s="183" t="s">
        <v>2041</v>
      </c>
      <c r="W14" s="183" t="s">
        <v>112</v>
      </c>
      <c r="X14" s="183" t="s">
        <v>112</v>
      </c>
      <c r="Y14" s="186" t="str">
        <f>INDEX(info!$Y$2:$Y$192,MATCH(phc_8[[#This Row],[Sub_Category]],info!$X$2:$X$192,0))</f>
        <v>Asthma</v>
      </c>
      <c r="Z14" s="186" t="str">
        <f t="array" ref="Z14">INDEX(info!$AA$2:$AA$192,MATCH(PHC!$X14&amp;PHC!$Y14,info!$X$2:$X$192&amp;info!$Y$2:$Y$192,0))</f>
        <v>Non-communicable disease</v>
      </c>
      <c r="AA14" s="183" t="s">
        <v>2046</v>
      </c>
      <c r="AB14" s="9" t="s">
        <v>654</v>
      </c>
      <c r="AC14" s="9" t="s">
        <v>654</v>
      </c>
      <c r="AD14" s="9" t="s">
        <v>654</v>
      </c>
      <c r="AE14" s="9" t="s">
        <v>654</v>
      </c>
      <c r="AF14" s="184"/>
      <c r="AG14" s="183"/>
      <c r="AH14" s="183"/>
      <c r="AI14" s="183"/>
      <c r="AJ14" s="183"/>
      <c r="AK14" s="9" t="s">
        <v>654</v>
      </c>
      <c r="AL14" s="183"/>
      <c r="AM14" s="186" t="str">
        <f>IF(AF14="","","Q"&amp;INT((MONTH(AF14)-1)/3)+1&amp;YEAR(AF14)&amp;#REF!&amp;T14)</f>
        <v/>
      </c>
      <c r="AN14" s="186" t="e">
        <f>IF(K14="","","Q"&amp;INT((MONTH(K14)-1)/3)+1&amp;YEAR(K14)&amp;#REF!)</f>
        <v>#REF!</v>
      </c>
    </row>
    <row r="15" spans="1:40" ht="20.100000000000001" customHeight="1" x14ac:dyDescent="0.25">
      <c r="A15" s="8">
        <v>13</v>
      </c>
      <c r="B15" s="8" t="s">
        <v>399</v>
      </c>
      <c r="C15" s="8" t="s">
        <v>1997</v>
      </c>
      <c r="D15" s="8" t="s">
        <v>2416</v>
      </c>
      <c r="E15" s="8" t="s">
        <v>1998</v>
      </c>
      <c r="F15" s="9" t="s">
        <v>1999</v>
      </c>
      <c r="G15" s="183"/>
      <c r="H15" s="9" t="s">
        <v>2001</v>
      </c>
      <c r="I15" s="9" t="s">
        <v>579</v>
      </c>
      <c r="J15" s="183"/>
      <c r="K15" s="10">
        <v>46037</v>
      </c>
      <c r="L15" s="9">
        <v>13</v>
      </c>
      <c r="M15" s="185" t="str">
        <f>IF(phc_8[[#This Row],[Register No.]]="","",C15&amp;"-"&amp;D15&amp;"-"&amp;"BHA-PHC-"&amp;phc_8[[#This Row],[Register No.]])</f>
        <v>Shining Star-Mobile Clinic-BHA-PHC-13</v>
      </c>
      <c r="N15" s="9" t="s">
        <v>401</v>
      </c>
      <c r="O15" s="183" t="s">
        <v>2038</v>
      </c>
      <c r="P15" s="183">
        <v>68</v>
      </c>
      <c r="Q15" s="183"/>
      <c r="R15" s="183"/>
      <c r="S15" s="186" t="str">
        <f t="shared" si="2"/>
        <v>50 yrs +</v>
      </c>
      <c r="T15" s="183" t="s">
        <v>603</v>
      </c>
      <c r="U15" s="9" t="s">
        <v>2001</v>
      </c>
      <c r="V15" s="183" t="s">
        <v>2042</v>
      </c>
      <c r="W15" s="183" t="s">
        <v>178</v>
      </c>
      <c r="X15" s="183" t="s">
        <v>178</v>
      </c>
      <c r="Y15" s="186" t="str">
        <f>INDEX(info!$Y$2:$Y$192,MATCH(phc_8[[#This Row],[Sub_Category]],info!$X$2:$X$192,0))</f>
        <v>Chronic medical disease</v>
      </c>
      <c r="Z15" s="186" t="str">
        <f t="array" ref="Z15">INDEX(info!$AA$2:$AA$192,MATCH(PHC!$X15&amp;PHC!$Y15,info!$X$2:$X$192&amp;info!$Y$2:$Y$192,0))</f>
        <v>Non-communicable disease</v>
      </c>
      <c r="AA15" s="183" t="s">
        <v>2047</v>
      </c>
      <c r="AB15" s="9" t="s">
        <v>654</v>
      </c>
      <c r="AC15" s="9" t="s">
        <v>654</v>
      </c>
      <c r="AD15" s="9" t="s">
        <v>654</v>
      </c>
      <c r="AE15" s="9" t="s">
        <v>654</v>
      </c>
      <c r="AF15" s="184"/>
      <c r="AG15" s="183"/>
      <c r="AH15" s="183"/>
      <c r="AI15" s="183"/>
      <c r="AJ15" s="183"/>
      <c r="AK15" s="9" t="s">
        <v>654</v>
      </c>
      <c r="AL15" s="183"/>
      <c r="AM15" s="186" t="str">
        <f>IF(AF15="","","Q"&amp;INT((MONTH(AF15)-1)/3)+1&amp;YEAR(AF15)&amp;#REF!&amp;T15)</f>
        <v/>
      </c>
      <c r="AN15" s="186" t="e">
        <f>IF(K15="","","Q"&amp;INT((MONTH(K15)-1)/3)+1&amp;YEAR(K15)&amp;#REF!)</f>
        <v>#REF!</v>
      </c>
    </row>
    <row r="16" spans="1:40" ht="20.100000000000001" customHeight="1" x14ac:dyDescent="0.25">
      <c r="A16" s="8">
        <v>14</v>
      </c>
      <c r="B16" s="8" t="s">
        <v>399</v>
      </c>
      <c r="C16" s="8" t="s">
        <v>1997</v>
      </c>
      <c r="D16" s="8" t="s">
        <v>2416</v>
      </c>
      <c r="E16" s="8" t="s">
        <v>1998</v>
      </c>
      <c r="F16" s="9" t="s">
        <v>1999</v>
      </c>
      <c r="G16" s="183"/>
      <c r="H16" s="9" t="s">
        <v>2001</v>
      </c>
      <c r="I16" s="9" t="s">
        <v>579</v>
      </c>
      <c r="J16" s="183"/>
      <c r="K16" s="10">
        <v>46037</v>
      </c>
      <c r="L16" s="9">
        <v>14</v>
      </c>
      <c r="M16" s="185" t="str">
        <f>IF(phc_8[[#This Row],[Register No.]]="","",C16&amp;"-"&amp;D16&amp;"-"&amp;"BHA-PHC-"&amp;phc_8[[#This Row],[Register No.]])</f>
        <v>Shining Star-Mobile Clinic-BHA-PHC-14</v>
      </c>
      <c r="N16" s="9" t="s">
        <v>401</v>
      </c>
      <c r="O16" s="183" t="s">
        <v>2039</v>
      </c>
      <c r="P16" s="183">
        <v>80</v>
      </c>
      <c r="Q16" s="183"/>
      <c r="R16" s="183"/>
      <c r="S16" s="186" t="str">
        <f t="shared" si="2"/>
        <v>50 yrs +</v>
      </c>
      <c r="T16" s="183" t="s">
        <v>603</v>
      </c>
      <c r="U16" s="9" t="s">
        <v>2001</v>
      </c>
      <c r="V16" s="183" t="s">
        <v>2043</v>
      </c>
      <c r="W16" s="183" t="s">
        <v>2003</v>
      </c>
      <c r="X16" s="183" t="s">
        <v>181</v>
      </c>
      <c r="Y16" s="186" t="str">
        <f>INDEX(info!$Y$2:$Y$192,MATCH(phc_8[[#This Row],[Sub_Category]],info!$X$2:$X$192,0))</f>
        <v>Chronic medical disease</v>
      </c>
      <c r="Z16" s="186" t="str">
        <f t="array" ref="Z16">INDEX(info!$AA$2:$AA$192,MATCH(PHC!$X16&amp;PHC!$Y16,info!$X$2:$X$192&amp;info!$Y$2:$Y$192,0))</f>
        <v>Non-communicable disease</v>
      </c>
      <c r="AA16" s="183" t="s">
        <v>2048</v>
      </c>
      <c r="AB16" s="9" t="s">
        <v>654</v>
      </c>
      <c r="AC16" s="9" t="s">
        <v>654</v>
      </c>
      <c r="AD16" s="9" t="s">
        <v>654</v>
      </c>
      <c r="AE16" s="9" t="s">
        <v>654</v>
      </c>
      <c r="AF16" s="184"/>
      <c r="AG16" s="183"/>
      <c r="AH16" s="183"/>
      <c r="AI16" s="183"/>
      <c r="AJ16" s="183"/>
      <c r="AK16" s="9" t="s">
        <v>654</v>
      </c>
      <c r="AL16" s="183"/>
      <c r="AM16" s="186" t="str">
        <f>IF(AF16="","","Q"&amp;INT((MONTH(AF16)-1)/3)+1&amp;YEAR(AF16)&amp;#REF!&amp;T16)</f>
        <v/>
      </c>
      <c r="AN16" s="186" t="e">
        <f>IF(K16="","","Q"&amp;INT((MONTH(K16)-1)/3)+1&amp;YEAR(K16)&amp;#REF!)</f>
        <v>#REF!</v>
      </c>
    </row>
    <row r="17" spans="1:40" ht="20.100000000000001" customHeight="1" x14ac:dyDescent="0.25">
      <c r="A17" s="8">
        <v>15</v>
      </c>
      <c r="B17" s="8" t="s">
        <v>399</v>
      </c>
      <c r="C17" s="8" t="s">
        <v>1997</v>
      </c>
      <c r="D17" s="8" t="s">
        <v>2416</v>
      </c>
      <c r="E17" s="8" t="s">
        <v>1998</v>
      </c>
      <c r="F17" s="9" t="s">
        <v>1999</v>
      </c>
      <c r="G17" s="183"/>
      <c r="H17" s="9" t="s">
        <v>2001</v>
      </c>
      <c r="I17" s="9" t="s">
        <v>579</v>
      </c>
      <c r="J17" s="183"/>
      <c r="K17" s="10">
        <v>46037</v>
      </c>
      <c r="L17" s="9">
        <v>15</v>
      </c>
      <c r="M17" s="185" t="str">
        <f>IF(phc_8[[#This Row],[Register No.]]="","",C17&amp;"-"&amp;D17&amp;"-"&amp;"BHA-PHC-"&amp;phc_8[[#This Row],[Register No.]])</f>
        <v>Shining Star-Mobile Clinic-BHA-PHC-15</v>
      </c>
      <c r="N17" s="9" t="s">
        <v>401</v>
      </c>
      <c r="O17" s="183" t="s">
        <v>2040</v>
      </c>
      <c r="P17" s="183">
        <v>45</v>
      </c>
      <c r="Q17" s="183"/>
      <c r="R17" s="183"/>
      <c r="S17" s="186" t="str">
        <f t="shared" si="2"/>
        <v>19 - 49 yrs</v>
      </c>
      <c r="T17" s="183" t="s">
        <v>402</v>
      </c>
      <c r="U17" s="9" t="s">
        <v>2001</v>
      </c>
      <c r="V17" s="183" t="s">
        <v>2044</v>
      </c>
      <c r="W17" s="183" t="s">
        <v>242</v>
      </c>
      <c r="X17" s="183" t="s">
        <v>242</v>
      </c>
      <c r="Y17" s="186" t="str">
        <f>INDEX(info!$Y$2:$Y$192,MATCH(phc_8[[#This Row],[Sub_Category]],info!$X$2:$X$192,0))</f>
        <v>Accident/minor sugical and injuries</v>
      </c>
      <c r="Z17" s="186" t="str">
        <f t="array" ref="Z17">INDEX(info!$AA$2:$AA$192,MATCH(PHC!$X17&amp;PHC!$Y17,info!$X$2:$X$192&amp;info!$Y$2:$Y$192,0))</f>
        <v>Injury related</v>
      </c>
      <c r="AA17" s="183" t="s">
        <v>2049</v>
      </c>
      <c r="AB17" s="9" t="s">
        <v>654</v>
      </c>
      <c r="AC17" s="9" t="s">
        <v>654</v>
      </c>
      <c r="AD17" s="9" t="s">
        <v>654</v>
      </c>
      <c r="AE17" s="9" t="s">
        <v>654</v>
      </c>
      <c r="AF17" s="184"/>
      <c r="AG17" s="183"/>
      <c r="AH17" s="183"/>
      <c r="AI17" s="183"/>
      <c r="AJ17" s="183"/>
      <c r="AK17" s="9" t="s">
        <v>654</v>
      </c>
      <c r="AL17" s="183"/>
      <c r="AM17" s="186" t="str">
        <f>IF(AF17="","","Q"&amp;INT((MONTH(AF17)-1)/3)+1&amp;YEAR(AF17)&amp;#REF!&amp;T17)</f>
        <v/>
      </c>
      <c r="AN17" s="186" t="e">
        <f>IF(K17="","","Q"&amp;INT((MONTH(K17)-1)/3)+1&amp;YEAR(K17)&amp;#REF!)</f>
        <v>#REF!</v>
      </c>
    </row>
    <row r="18" spans="1:40" ht="20.100000000000001" customHeight="1" x14ac:dyDescent="0.25">
      <c r="A18" s="8">
        <v>16</v>
      </c>
      <c r="B18" s="8" t="s">
        <v>399</v>
      </c>
      <c r="C18" s="8" t="s">
        <v>1997</v>
      </c>
      <c r="D18" s="8" t="s">
        <v>2416</v>
      </c>
      <c r="E18" s="8" t="s">
        <v>1998</v>
      </c>
      <c r="F18" s="9" t="s">
        <v>1999</v>
      </c>
      <c r="G18" s="183"/>
      <c r="H18" s="9" t="s">
        <v>2001</v>
      </c>
      <c r="I18" s="9" t="s">
        <v>579</v>
      </c>
      <c r="J18" s="183"/>
      <c r="K18" s="10">
        <v>46037</v>
      </c>
      <c r="L18" s="9">
        <v>16</v>
      </c>
      <c r="M18" s="185" t="str">
        <f>IF(phc_8[[#This Row],[Register No.]]="","",C18&amp;"-"&amp;D18&amp;"-"&amp;"BHA-PHC-"&amp;phc_8[[#This Row],[Register No.]])</f>
        <v>Shining Star-Mobile Clinic-BHA-PHC-16</v>
      </c>
      <c r="N18" s="9" t="s">
        <v>401</v>
      </c>
      <c r="O18" s="183" t="s">
        <v>2050</v>
      </c>
      <c r="P18" s="183">
        <v>65</v>
      </c>
      <c r="Q18" s="183"/>
      <c r="R18" s="183"/>
      <c r="S18" s="186" t="str">
        <f t="shared" si="2"/>
        <v>50 yrs +</v>
      </c>
      <c r="T18" s="183" t="s">
        <v>603</v>
      </c>
      <c r="U18" s="9" t="s">
        <v>2001</v>
      </c>
      <c r="V18" s="183" t="s">
        <v>2044</v>
      </c>
      <c r="W18" s="183" t="s">
        <v>2003</v>
      </c>
      <c r="X18" s="183" t="s">
        <v>181</v>
      </c>
      <c r="Y18" s="186" t="str">
        <f>INDEX(info!$Y$2:$Y$192,MATCH(phc_8[[#This Row],[Sub_Category]],info!$X$2:$X$192,0))</f>
        <v>Chronic medical disease</v>
      </c>
      <c r="Z18" s="186" t="str">
        <f t="array" ref="Z18">INDEX(info!$AA$2:$AA$192,MATCH(PHC!$X18&amp;PHC!$Y18,info!$X$2:$X$192&amp;info!$Y$2:$Y$192,0))</f>
        <v>Non-communicable disease</v>
      </c>
      <c r="AA18" s="183" t="s">
        <v>2060</v>
      </c>
      <c r="AB18" s="9" t="s">
        <v>654</v>
      </c>
      <c r="AC18" s="9" t="s">
        <v>654</v>
      </c>
      <c r="AD18" s="9" t="s">
        <v>654</v>
      </c>
      <c r="AE18" s="9" t="s">
        <v>654</v>
      </c>
      <c r="AF18" s="184"/>
      <c r="AG18" s="183"/>
      <c r="AH18" s="183"/>
      <c r="AI18" s="183"/>
      <c r="AJ18" s="183"/>
      <c r="AK18" s="9" t="s">
        <v>654</v>
      </c>
      <c r="AL18" s="183"/>
      <c r="AM18" s="186" t="str">
        <f>IF(AF18="","","Q"&amp;INT((MONTH(AF18)-1)/3)+1&amp;YEAR(AF18)&amp;#REF!&amp;T18)</f>
        <v/>
      </c>
      <c r="AN18" s="186" t="e">
        <f>IF(K18="","","Q"&amp;INT((MONTH(K18)-1)/3)+1&amp;YEAR(K18)&amp;#REF!)</f>
        <v>#REF!</v>
      </c>
    </row>
    <row r="19" spans="1:40" ht="20.100000000000001" customHeight="1" x14ac:dyDescent="0.25">
      <c r="A19" s="8">
        <v>17</v>
      </c>
      <c r="B19" s="8" t="s">
        <v>399</v>
      </c>
      <c r="C19" s="8" t="s">
        <v>1997</v>
      </c>
      <c r="D19" s="8" t="s">
        <v>2416</v>
      </c>
      <c r="E19" s="8" t="s">
        <v>1998</v>
      </c>
      <c r="F19" s="9" t="s">
        <v>1999</v>
      </c>
      <c r="G19" s="183"/>
      <c r="H19" s="9" t="s">
        <v>2001</v>
      </c>
      <c r="I19" s="9" t="s">
        <v>579</v>
      </c>
      <c r="J19" s="183"/>
      <c r="K19" s="10">
        <v>46037</v>
      </c>
      <c r="L19" s="9">
        <v>17</v>
      </c>
      <c r="M19" s="185" t="str">
        <f>IF(phc_8[[#This Row],[Register No.]]="","",C19&amp;"-"&amp;D19&amp;"-"&amp;"BHA-PHC-"&amp;phc_8[[#This Row],[Register No.]])</f>
        <v>Shining Star-Mobile Clinic-BHA-PHC-17</v>
      </c>
      <c r="N19" s="9" t="s">
        <v>401</v>
      </c>
      <c r="O19" s="183" t="s">
        <v>2051</v>
      </c>
      <c r="P19" s="183">
        <v>65</v>
      </c>
      <c r="Q19" s="183"/>
      <c r="R19" s="183"/>
      <c r="S19" s="186" t="str">
        <f t="shared" si="2"/>
        <v>50 yrs +</v>
      </c>
      <c r="T19" s="183" t="s">
        <v>402</v>
      </c>
      <c r="U19" s="9" t="s">
        <v>2001</v>
      </c>
      <c r="V19" s="183" t="s">
        <v>2055</v>
      </c>
      <c r="W19" s="183" t="s">
        <v>2059</v>
      </c>
      <c r="X19" s="183" t="s">
        <v>2014</v>
      </c>
      <c r="Y19" s="186" t="str">
        <f>INDEX(info!$Y$2:$Y$192,MATCH(phc_8[[#This Row],[Sub_Category]],info!$X$2:$X$192,0))</f>
        <v>Other (non-communicable)</v>
      </c>
      <c r="Z19" s="186" t="str">
        <f t="array" ref="Z19">INDEX(info!$AA$2:$AA$192,MATCH(PHC!$X19&amp;PHC!$Y19,info!$X$2:$X$192&amp;info!$Y$2:$Y$192,0))</f>
        <v>Other</v>
      </c>
      <c r="AA19" s="183" t="s">
        <v>2061</v>
      </c>
      <c r="AB19" s="9" t="s">
        <v>654</v>
      </c>
      <c r="AC19" s="9" t="s">
        <v>654</v>
      </c>
      <c r="AD19" s="9" t="s">
        <v>654</v>
      </c>
      <c r="AE19" s="9" t="s">
        <v>654</v>
      </c>
      <c r="AF19" s="184"/>
      <c r="AG19" s="183"/>
      <c r="AH19" s="183"/>
      <c r="AI19" s="183"/>
      <c r="AJ19" s="183"/>
      <c r="AK19" s="9" t="s">
        <v>654</v>
      </c>
      <c r="AL19" s="183"/>
      <c r="AM19" s="186" t="str">
        <f>IF(AF19="","","Q"&amp;INT((MONTH(AF19)-1)/3)+1&amp;YEAR(AF19)&amp;#REF!&amp;T19)</f>
        <v/>
      </c>
      <c r="AN19" s="186" t="e">
        <f>IF(K19="","","Q"&amp;INT((MONTH(K19)-1)/3)+1&amp;YEAR(K19)&amp;#REF!)</f>
        <v>#REF!</v>
      </c>
    </row>
    <row r="20" spans="1:40" ht="20.100000000000001" customHeight="1" x14ac:dyDescent="0.25">
      <c r="A20" s="8">
        <v>18</v>
      </c>
      <c r="B20" s="8" t="s">
        <v>399</v>
      </c>
      <c r="C20" s="8" t="s">
        <v>1997</v>
      </c>
      <c r="D20" s="8" t="s">
        <v>2416</v>
      </c>
      <c r="E20" s="8" t="s">
        <v>1998</v>
      </c>
      <c r="F20" s="9" t="s">
        <v>1999</v>
      </c>
      <c r="G20" s="183"/>
      <c r="H20" s="9" t="s">
        <v>2001</v>
      </c>
      <c r="I20" s="9" t="s">
        <v>579</v>
      </c>
      <c r="J20" s="183"/>
      <c r="K20" s="10">
        <v>46037</v>
      </c>
      <c r="L20" s="9">
        <v>18</v>
      </c>
      <c r="M20" s="185" t="str">
        <f>IF(phc_8[[#This Row],[Register No.]]="","",C20&amp;"-"&amp;D20&amp;"-"&amp;"BHA-PHC-"&amp;phc_8[[#This Row],[Register No.]])</f>
        <v>Shining Star-Mobile Clinic-BHA-PHC-18</v>
      </c>
      <c r="N20" s="9" t="s">
        <v>401</v>
      </c>
      <c r="O20" s="183" t="s">
        <v>2052</v>
      </c>
      <c r="P20" s="183">
        <v>62</v>
      </c>
      <c r="Q20" s="183"/>
      <c r="R20" s="183"/>
      <c r="S20" s="186" t="str">
        <f t="shared" si="2"/>
        <v>50 yrs +</v>
      </c>
      <c r="T20" s="183" t="s">
        <v>603</v>
      </c>
      <c r="U20" s="9" t="s">
        <v>2001</v>
      </c>
      <c r="V20" s="183" t="s">
        <v>2056</v>
      </c>
      <c r="W20" s="183" t="s">
        <v>2030</v>
      </c>
      <c r="X20" s="183" t="s">
        <v>178</v>
      </c>
      <c r="Y20" s="186" t="str">
        <f>INDEX(info!$Y$2:$Y$192,MATCH(phc_8[[#This Row],[Sub_Category]],info!$X$2:$X$192,0))</f>
        <v>Chronic medical disease</v>
      </c>
      <c r="Z20" s="186" t="str">
        <f t="array" ref="Z20">INDEX(info!$AA$2:$AA$192,MATCH(PHC!$X20&amp;PHC!$Y20,info!$X$2:$X$192&amp;info!$Y$2:$Y$192,0))</f>
        <v>Non-communicable disease</v>
      </c>
      <c r="AA20" s="183" t="s">
        <v>2062</v>
      </c>
      <c r="AB20" s="9" t="s">
        <v>654</v>
      </c>
      <c r="AC20" s="9" t="s">
        <v>654</v>
      </c>
      <c r="AD20" s="9" t="s">
        <v>654</v>
      </c>
      <c r="AE20" s="9" t="s">
        <v>654</v>
      </c>
      <c r="AF20" s="184"/>
      <c r="AG20" s="183"/>
      <c r="AH20" s="183"/>
      <c r="AI20" s="183"/>
      <c r="AJ20" s="183"/>
      <c r="AK20" s="9" t="s">
        <v>654</v>
      </c>
      <c r="AL20" s="183"/>
      <c r="AM20" s="186" t="str">
        <f>IF(AF20="","","Q"&amp;INT((MONTH(AF20)-1)/3)+1&amp;YEAR(AF20)&amp;#REF!&amp;T20)</f>
        <v/>
      </c>
      <c r="AN20" s="186" t="e">
        <f>IF(K20="","","Q"&amp;INT((MONTH(K20)-1)/3)+1&amp;YEAR(K20)&amp;#REF!)</f>
        <v>#REF!</v>
      </c>
    </row>
    <row r="21" spans="1:40" ht="20.100000000000001" customHeight="1" x14ac:dyDescent="0.25">
      <c r="A21" s="8">
        <v>19</v>
      </c>
      <c r="B21" s="8" t="s">
        <v>399</v>
      </c>
      <c r="C21" s="8" t="s">
        <v>1997</v>
      </c>
      <c r="D21" s="8" t="s">
        <v>2416</v>
      </c>
      <c r="E21" s="8" t="s">
        <v>1998</v>
      </c>
      <c r="F21" s="9" t="s">
        <v>1999</v>
      </c>
      <c r="G21" s="183"/>
      <c r="H21" s="9" t="s">
        <v>2001</v>
      </c>
      <c r="I21" s="9" t="s">
        <v>579</v>
      </c>
      <c r="J21" s="183"/>
      <c r="K21" s="10">
        <v>46037</v>
      </c>
      <c r="L21" s="9">
        <v>19</v>
      </c>
      <c r="M21" s="185" t="str">
        <f>IF(phc_8[[#This Row],[Register No.]]="","",C21&amp;"-"&amp;D21&amp;"-"&amp;"BHA-PHC-"&amp;phc_8[[#This Row],[Register No.]])</f>
        <v>Shining Star-Mobile Clinic-BHA-PHC-19</v>
      </c>
      <c r="N21" s="9" t="s">
        <v>401</v>
      </c>
      <c r="O21" s="183" t="s">
        <v>2053</v>
      </c>
      <c r="P21" s="183">
        <v>51</v>
      </c>
      <c r="Q21" s="183"/>
      <c r="R21" s="183"/>
      <c r="S21" s="186" t="str">
        <f t="shared" si="2"/>
        <v>50 yrs +</v>
      </c>
      <c r="T21" s="183" t="s">
        <v>603</v>
      </c>
      <c r="U21" s="9" t="s">
        <v>2001</v>
      </c>
      <c r="V21" s="183" t="s">
        <v>2058</v>
      </c>
      <c r="W21" s="183" t="s">
        <v>2014</v>
      </c>
      <c r="X21" s="183" t="s">
        <v>2014</v>
      </c>
      <c r="Y21" s="186" t="str">
        <f>INDEX(info!$Y$2:$Y$192,MATCH(phc_8[[#This Row],[Sub_Category]],info!$X$2:$X$192,0))</f>
        <v>Other (non-communicable)</v>
      </c>
      <c r="Z21" s="186" t="str">
        <f t="array" ref="Z21">INDEX(info!$AA$2:$AA$192,MATCH(PHC!$X21&amp;PHC!$Y21,info!$X$2:$X$192&amp;info!$Y$2:$Y$192,0))</f>
        <v>Other</v>
      </c>
      <c r="AA21" s="183" t="s">
        <v>2063</v>
      </c>
      <c r="AB21" s="9" t="s">
        <v>654</v>
      </c>
      <c r="AC21" s="9" t="s">
        <v>654</v>
      </c>
      <c r="AD21" s="9" t="s">
        <v>654</v>
      </c>
      <c r="AE21" s="9" t="s">
        <v>654</v>
      </c>
      <c r="AF21" s="184"/>
      <c r="AG21" s="183"/>
      <c r="AH21" s="183"/>
      <c r="AI21" s="183"/>
      <c r="AJ21" s="183"/>
      <c r="AK21" s="9" t="s">
        <v>654</v>
      </c>
      <c r="AL21" s="183"/>
      <c r="AM21" s="186" t="str">
        <f>IF(AF21="","","Q"&amp;INT((MONTH(AF21)-1)/3)+1&amp;YEAR(AF21)&amp;#REF!&amp;T21)</f>
        <v/>
      </c>
      <c r="AN21" s="186" t="e">
        <f>IF(K21="","","Q"&amp;INT((MONTH(K21)-1)/3)+1&amp;YEAR(K21)&amp;#REF!)</f>
        <v>#REF!</v>
      </c>
    </row>
    <row r="22" spans="1:40" ht="20.100000000000001" customHeight="1" x14ac:dyDescent="0.25">
      <c r="A22" s="8">
        <v>20</v>
      </c>
      <c r="B22" s="8" t="s">
        <v>399</v>
      </c>
      <c r="C22" s="8" t="s">
        <v>1997</v>
      </c>
      <c r="D22" s="8" t="s">
        <v>2416</v>
      </c>
      <c r="E22" s="8" t="s">
        <v>1998</v>
      </c>
      <c r="F22" s="9" t="s">
        <v>1999</v>
      </c>
      <c r="G22" s="183"/>
      <c r="H22" s="9" t="s">
        <v>2001</v>
      </c>
      <c r="I22" s="9" t="s">
        <v>579</v>
      </c>
      <c r="J22" s="183"/>
      <c r="K22" s="10">
        <v>46037</v>
      </c>
      <c r="L22" s="9">
        <v>20</v>
      </c>
      <c r="M22" s="185" t="str">
        <f>IF(phc_8[[#This Row],[Register No.]]="","",C22&amp;"-"&amp;D22&amp;"-"&amp;"BHA-PHC-"&amp;phc_8[[#This Row],[Register No.]])</f>
        <v>Shining Star-Mobile Clinic-BHA-PHC-20</v>
      </c>
      <c r="N22" s="9" t="s">
        <v>401</v>
      </c>
      <c r="O22" s="183" t="s">
        <v>2054</v>
      </c>
      <c r="P22" s="183">
        <v>61</v>
      </c>
      <c r="Q22" s="183"/>
      <c r="R22" s="183"/>
      <c r="S22" s="186" t="str">
        <f t="shared" si="2"/>
        <v>50 yrs +</v>
      </c>
      <c r="T22" s="183" t="s">
        <v>603</v>
      </c>
      <c r="U22" s="9" t="s">
        <v>2001</v>
      </c>
      <c r="V22" s="183" t="s">
        <v>2057</v>
      </c>
      <c r="W22" s="183" t="s">
        <v>178</v>
      </c>
      <c r="X22" s="183" t="s">
        <v>178</v>
      </c>
      <c r="Y22" s="186" t="str">
        <f>INDEX(info!$Y$2:$Y$192,MATCH(phc_8[[#This Row],[Sub_Category]],info!$X$2:$X$192,0))</f>
        <v>Chronic medical disease</v>
      </c>
      <c r="Z22" s="186" t="str">
        <f t="array" ref="Z22">INDEX(info!$AA$2:$AA$192,MATCH(PHC!$X22&amp;PHC!$Y22,info!$X$2:$X$192&amp;info!$Y$2:$Y$192,0))</f>
        <v>Non-communicable disease</v>
      </c>
      <c r="AA22" s="183" t="s">
        <v>2064</v>
      </c>
      <c r="AB22" s="9" t="s">
        <v>654</v>
      </c>
      <c r="AC22" s="9" t="s">
        <v>654</v>
      </c>
      <c r="AD22" s="9" t="s">
        <v>654</v>
      </c>
      <c r="AE22" s="9" t="s">
        <v>654</v>
      </c>
      <c r="AF22" s="184"/>
      <c r="AG22" s="183"/>
      <c r="AH22" s="183"/>
      <c r="AI22" s="183"/>
      <c r="AJ22" s="183"/>
      <c r="AK22" s="9" t="s">
        <v>654</v>
      </c>
      <c r="AL22" s="183"/>
      <c r="AM22" s="186" t="str">
        <f>IF(AF22="","","Q"&amp;INT((MONTH(AF22)-1)/3)+1&amp;YEAR(AF22)&amp;#REF!&amp;T22)</f>
        <v/>
      </c>
      <c r="AN22" s="186" t="e">
        <f>IF(K22="","","Q"&amp;INT((MONTH(K22)-1)/3)+1&amp;YEAR(K22)&amp;#REF!)</f>
        <v>#REF!</v>
      </c>
    </row>
    <row r="23" spans="1:40" ht="20.100000000000001" customHeight="1" x14ac:dyDescent="0.25">
      <c r="A23" s="8">
        <v>21</v>
      </c>
      <c r="B23" s="8" t="s">
        <v>399</v>
      </c>
      <c r="C23" s="8" t="s">
        <v>1997</v>
      </c>
      <c r="D23" s="8" t="s">
        <v>2416</v>
      </c>
      <c r="E23" s="8" t="s">
        <v>1998</v>
      </c>
      <c r="F23" s="9" t="s">
        <v>1999</v>
      </c>
      <c r="G23" s="183"/>
      <c r="H23" s="9" t="s">
        <v>2001</v>
      </c>
      <c r="I23" s="9" t="s">
        <v>579</v>
      </c>
      <c r="J23" s="183"/>
      <c r="K23" s="10">
        <v>46037</v>
      </c>
      <c r="L23" s="9">
        <v>21</v>
      </c>
      <c r="M23" s="185" t="str">
        <f>IF(phc_8[[#This Row],[Register No.]]="","",C23&amp;"-"&amp;D23&amp;"-"&amp;"BHA-PHC-"&amp;phc_8[[#This Row],[Register No.]])</f>
        <v>Shining Star-Mobile Clinic-BHA-PHC-21</v>
      </c>
      <c r="N23" s="9" t="s">
        <v>401</v>
      </c>
      <c r="O23" s="183" t="s">
        <v>2065</v>
      </c>
      <c r="P23" s="183">
        <v>29</v>
      </c>
      <c r="Q23" s="183"/>
      <c r="R23" s="183"/>
      <c r="S23" s="186" t="str">
        <f t="shared" si="2"/>
        <v>19 - 49 yrs</v>
      </c>
      <c r="T23" s="183" t="s">
        <v>603</v>
      </c>
      <c r="U23" s="9" t="s">
        <v>2001</v>
      </c>
      <c r="V23" s="183" t="s">
        <v>2070</v>
      </c>
      <c r="W23" s="183" t="s">
        <v>2028</v>
      </c>
      <c r="X23" s="183" t="s">
        <v>108</v>
      </c>
      <c r="Y23" s="186" t="str">
        <f>INDEX(info!$Y$2:$Y$192,MATCH(phc_8[[#This Row],[Sub_Category]],info!$X$2:$X$192,0))</f>
        <v>ARI/RTI</v>
      </c>
      <c r="Z23" s="186" t="str">
        <f t="array" ref="Z23">INDEX(info!$AA$2:$AA$192,MATCH(PHC!$X23&amp;PHC!$Y23,info!$X$2:$X$192&amp;info!$Y$2:$Y$192,0))</f>
        <v>Communicable disease</v>
      </c>
      <c r="AA23" s="183" t="s">
        <v>2075</v>
      </c>
      <c r="AB23" s="9" t="s">
        <v>654</v>
      </c>
      <c r="AC23" s="9" t="s">
        <v>654</v>
      </c>
      <c r="AD23" s="9" t="s">
        <v>654</v>
      </c>
      <c r="AE23" s="9" t="s">
        <v>654</v>
      </c>
      <c r="AF23" s="184"/>
      <c r="AG23" s="183"/>
      <c r="AH23" s="183"/>
      <c r="AI23" s="183"/>
      <c r="AJ23" s="183"/>
      <c r="AK23" s="9" t="s">
        <v>654</v>
      </c>
      <c r="AL23" s="183"/>
      <c r="AM23" s="186" t="str">
        <f>IF(AF23="","","Q"&amp;INT((MONTH(AF23)-1)/3)+1&amp;YEAR(AF23)&amp;#REF!&amp;T23)</f>
        <v/>
      </c>
      <c r="AN23" s="186" t="e">
        <f>IF(K23="","","Q"&amp;INT((MONTH(K23)-1)/3)+1&amp;YEAR(K23)&amp;#REF!)</f>
        <v>#REF!</v>
      </c>
    </row>
    <row r="24" spans="1:40" ht="20.100000000000001" customHeight="1" x14ac:dyDescent="0.25">
      <c r="A24" s="8">
        <v>22</v>
      </c>
      <c r="B24" s="8" t="s">
        <v>399</v>
      </c>
      <c r="C24" s="8" t="s">
        <v>1997</v>
      </c>
      <c r="D24" s="8" t="s">
        <v>2416</v>
      </c>
      <c r="E24" s="8" t="s">
        <v>1998</v>
      </c>
      <c r="F24" s="9" t="s">
        <v>1999</v>
      </c>
      <c r="G24" s="183"/>
      <c r="H24" s="9" t="s">
        <v>2001</v>
      </c>
      <c r="I24" s="9" t="s">
        <v>579</v>
      </c>
      <c r="J24" s="183"/>
      <c r="K24" s="10">
        <v>46037</v>
      </c>
      <c r="L24" s="9">
        <v>22</v>
      </c>
      <c r="M24" s="185" t="str">
        <f>IF(phc_8[[#This Row],[Register No.]]="","",C24&amp;"-"&amp;D24&amp;"-"&amp;"BHA-PHC-"&amp;phc_8[[#This Row],[Register No.]])</f>
        <v>Shining Star-Mobile Clinic-BHA-PHC-22</v>
      </c>
      <c r="N24" s="9" t="s">
        <v>401</v>
      </c>
      <c r="O24" s="183" t="s">
        <v>2066</v>
      </c>
      <c r="P24" s="183">
        <v>71</v>
      </c>
      <c r="Q24" s="183"/>
      <c r="R24" s="183"/>
      <c r="S24" s="186" t="str">
        <f t="shared" si="2"/>
        <v>50 yrs +</v>
      </c>
      <c r="T24" s="183" t="s">
        <v>603</v>
      </c>
      <c r="U24" s="9" t="s">
        <v>2001</v>
      </c>
      <c r="V24" s="183" t="s">
        <v>2071</v>
      </c>
      <c r="W24" s="183" t="s">
        <v>2003</v>
      </c>
      <c r="X24" s="183" t="s">
        <v>181</v>
      </c>
      <c r="Y24" s="186" t="str">
        <f>INDEX(info!$Y$2:$Y$192,MATCH(phc_8[[#This Row],[Sub_Category]],info!$X$2:$X$192,0))</f>
        <v>Chronic medical disease</v>
      </c>
      <c r="Z24" s="186" t="str">
        <f t="array" ref="Z24">INDEX(info!$AA$2:$AA$192,MATCH(PHC!$X24&amp;PHC!$Y24,info!$X$2:$X$192&amp;info!$Y$2:$Y$192,0))</f>
        <v>Non-communicable disease</v>
      </c>
      <c r="AA24" s="183" t="s">
        <v>2076</v>
      </c>
      <c r="AB24" s="9" t="s">
        <v>654</v>
      </c>
      <c r="AC24" s="9" t="s">
        <v>654</v>
      </c>
      <c r="AD24" s="9" t="s">
        <v>654</v>
      </c>
      <c r="AE24" s="9" t="s">
        <v>654</v>
      </c>
      <c r="AF24" s="184"/>
      <c r="AG24" s="183"/>
      <c r="AH24" s="183"/>
      <c r="AI24" s="183"/>
      <c r="AJ24" s="183"/>
      <c r="AK24" s="9" t="s">
        <v>654</v>
      </c>
      <c r="AL24" s="183"/>
      <c r="AM24" s="186" t="str">
        <f>IF(AF24="","","Q"&amp;INT((MONTH(AF24)-1)/3)+1&amp;YEAR(AF24)&amp;#REF!&amp;T24)</f>
        <v/>
      </c>
      <c r="AN24" s="186" t="e">
        <f>IF(K24="","","Q"&amp;INT((MONTH(K24)-1)/3)+1&amp;YEAR(K24)&amp;#REF!)</f>
        <v>#REF!</v>
      </c>
    </row>
    <row r="25" spans="1:40" ht="20.100000000000001" customHeight="1" x14ac:dyDescent="0.25">
      <c r="A25" s="8">
        <v>23</v>
      </c>
      <c r="B25" s="8" t="s">
        <v>399</v>
      </c>
      <c r="C25" s="8" t="s">
        <v>1997</v>
      </c>
      <c r="D25" s="8" t="s">
        <v>2416</v>
      </c>
      <c r="E25" s="8" t="s">
        <v>1998</v>
      </c>
      <c r="F25" s="9" t="s">
        <v>1999</v>
      </c>
      <c r="G25" s="183"/>
      <c r="H25" s="9" t="s">
        <v>2001</v>
      </c>
      <c r="I25" s="9" t="s">
        <v>579</v>
      </c>
      <c r="J25" s="183"/>
      <c r="K25" s="10">
        <v>46037</v>
      </c>
      <c r="L25" s="9">
        <v>23</v>
      </c>
      <c r="M25" s="185" t="str">
        <f>IF(phc_8[[#This Row],[Register No.]]="","",C25&amp;"-"&amp;D25&amp;"-"&amp;"BHA-PHC-"&amp;phc_8[[#This Row],[Register No.]])</f>
        <v>Shining Star-Mobile Clinic-BHA-PHC-23</v>
      </c>
      <c r="N25" s="9" t="s">
        <v>401</v>
      </c>
      <c r="O25" s="183" t="s">
        <v>2067</v>
      </c>
      <c r="P25" s="183">
        <v>79</v>
      </c>
      <c r="Q25" s="183"/>
      <c r="R25" s="183"/>
      <c r="S25" s="186" t="str">
        <f t="shared" si="2"/>
        <v>50 yrs +</v>
      </c>
      <c r="T25" s="183" t="s">
        <v>603</v>
      </c>
      <c r="U25" s="9" t="s">
        <v>2001</v>
      </c>
      <c r="V25" s="183" t="s">
        <v>2072</v>
      </c>
      <c r="W25" s="183" t="s">
        <v>2003</v>
      </c>
      <c r="X25" s="183" t="s">
        <v>181</v>
      </c>
      <c r="Y25" s="186" t="str">
        <f>INDEX(info!$Y$2:$Y$192,MATCH(phc_8[[#This Row],[Sub_Category]],info!$X$2:$X$192,0))</f>
        <v>Chronic medical disease</v>
      </c>
      <c r="Z25" s="186" t="str">
        <f t="array" ref="Z25">INDEX(info!$AA$2:$AA$192,MATCH(PHC!$X25&amp;PHC!$Y25,info!$X$2:$X$192&amp;info!$Y$2:$Y$192,0))</f>
        <v>Non-communicable disease</v>
      </c>
      <c r="AA25" s="183" t="s">
        <v>2077</v>
      </c>
      <c r="AB25" s="9" t="s">
        <v>654</v>
      </c>
      <c r="AC25" s="9" t="s">
        <v>654</v>
      </c>
      <c r="AD25" s="9" t="s">
        <v>654</v>
      </c>
      <c r="AE25" s="9" t="s">
        <v>654</v>
      </c>
      <c r="AF25" s="184"/>
      <c r="AG25" s="183"/>
      <c r="AH25" s="183"/>
      <c r="AI25" s="183"/>
      <c r="AJ25" s="183"/>
      <c r="AK25" s="9" t="s">
        <v>654</v>
      </c>
      <c r="AL25" s="183"/>
      <c r="AM25" s="186" t="str">
        <f>IF(AF25="","","Q"&amp;INT((MONTH(AF25)-1)/3)+1&amp;YEAR(AF25)&amp;#REF!&amp;T25)</f>
        <v/>
      </c>
      <c r="AN25" s="186" t="e">
        <f>IF(K25="","","Q"&amp;INT((MONTH(K25)-1)/3)+1&amp;YEAR(K25)&amp;#REF!)</f>
        <v>#REF!</v>
      </c>
    </row>
    <row r="26" spans="1:40" ht="20.100000000000001" customHeight="1" x14ac:dyDescent="0.25">
      <c r="A26" s="8">
        <v>24</v>
      </c>
      <c r="B26" s="8" t="s">
        <v>399</v>
      </c>
      <c r="C26" s="8" t="s">
        <v>1997</v>
      </c>
      <c r="D26" s="8" t="s">
        <v>2416</v>
      </c>
      <c r="E26" s="8" t="s">
        <v>1998</v>
      </c>
      <c r="F26" s="9" t="s">
        <v>1999</v>
      </c>
      <c r="G26" s="183"/>
      <c r="H26" s="9" t="s">
        <v>2001</v>
      </c>
      <c r="I26" s="9" t="s">
        <v>579</v>
      </c>
      <c r="J26" s="183"/>
      <c r="K26" s="10">
        <v>46037</v>
      </c>
      <c r="L26" s="9">
        <v>24</v>
      </c>
      <c r="M26" s="185" t="str">
        <f>IF(phc_8[[#This Row],[Register No.]]="","",C26&amp;"-"&amp;D26&amp;"-"&amp;"BHA-PHC-"&amp;phc_8[[#This Row],[Register No.]])</f>
        <v>Shining Star-Mobile Clinic-BHA-PHC-24</v>
      </c>
      <c r="N26" s="9" t="s">
        <v>401</v>
      </c>
      <c r="O26" s="183" t="s">
        <v>2068</v>
      </c>
      <c r="P26" s="183">
        <v>66</v>
      </c>
      <c r="Q26" s="183"/>
      <c r="R26" s="183"/>
      <c r="S26" s="186" t="str">
        <f t="shared" si="2"/>
        <v>50 yrs +</v>
      </c>
      <c r="T26" s="183" t="s">
        <v>603</v>
      </c>
      <c r="U26" s="9" t="s">
        <v>2001</v>
      </c>
      <c r="V26" s="183" t="s">
        <v>2073</v>
      </c>
      <c r="W26" s="183" t="s">
        <v>2028</v>
      </c>
      <c r="X26" s="183" t="s">
        <v>108</v>
      </c>
      <c r="Y26" s="186" t="str">
        <f>INDEX(info!$Y$2:$Y$192,MATCH(phc_8[[#This Row],[Sub_Category]],info!$X$2:$X$192,0))</f>
        <v>ARI/RTI</v>
      </c>
      <c r="Z26" s="186" t="str">
        <f t="array" ref="Z26">INDEX(info!$AA$2:$AA$192,MATCH(PHC!$X26&amp;PHC!$Y26,info!$X$2:$X$192&amp;info!$Y$2:$Y$192,0))</f>
        <v>Communicable disease</v>
      </c>
      <c r="AA26" s="183" t="s">
        <v>2078</v>
      </c>
      <c r="AB26" s="9" t="s">
        <v>654</v>
      </c>
      <c r="AC26" s="9" t="s">
        <v>654</v>
      </c>
      <c r="AD26" s="9" t="s">
        <v>654</v>
      </c>
      <c r="AE26" s="9" t="s">
        <v>654</v>
      </c>
      <c r="AF26" s="184"/>
      <c r="AG26" s="183"/>
      <c r="AH26" s="183"/>
      <c r="AI26" s="183"/>
      <c r="AJ26" s="183"/>
      <c r="AK26" s="9" t="s">
        <v>654</v>
      </c>
      <c r="AL26" s="183"/>
      <c r="AM26" s="186" t="str">
        <f>IF(AF26="","","Q"&amp;INT((MONTH(AF26)-1)/3)+1&amp;YEAR(AF26)&amp;#REF!&amp;T26)</f>
        <v/>
      </c>
      <c r="AN26" s="186" t="e">
        <f>IF(K26="","","Q"&amp;INT((MONTH(K26)-1)/3)+1&amp;YEAR(K26)&amp;#REF!)</f>
        <v>#REF!</v>
      </c>
    </row>
    <row r="27" spans="1:40" ht="20.100000000000001" customHeight="1" x14ac:dyDescent="0.25">
      <c r="A27" s="8">
        <v>25</v>
      </c>
      <c r="B27" s="8" t="s">
        <v>399</v>
      </c>
      <c r="C27" s="8" t="s">
        <v>1997</v>
      </c>
      <c r="D27" s="8" t="s">
        <v>2416</v>
      </c>
      <c r="E27" s="8" t="s">
        <v>1998</v>
      </c>
      <c r="F27" s="9" t="s">
        <v>1999</v>
      </c>
      <c r="G27" s="183"/>
      <c r="H27" s="9" t="s">
        <v>2001</v>
      </c>
      <c r="I27" s="9" t="s">
        <v>579</v>
      </c>
      <c r="J27" s="183"/>
      <c r="K27" s="10">
        <v>46037</v>
      </c>
      <c r="L27" s="9">
        <v>25</v>
      </c>
      <c r="M27" s="185" t="str">
        <f>IF(phc_8[[#This Row],[Register No.]]="","",C27&amp;"-"&amp;D27&amp;"-"&amp;"BHA-PHC-"&amp;phc_8[[#This Row],[Register No.]])</f>
        <v>Shining Star-Mobile Clinic-BHA-PHC-25</v>
      </c>
      <c r="N27" s="9" t="s">
        <v>401</v>
      </c>
      <c r="O27" s="183" t="s">
        <v>2069</v>
      </c>
      <c r="P27" s="183">
        <v>44</v>
      </c>
      <c r="Q27" s="183"/>
      <c r="R27" s="183"/>
      <c r="S27" s="186" t="str">
        <f t="shared" si="2"/>
        <v>19 - 49 yrs</v>
      </c>
      <c r="T27" s="183" t="s">
        <v>402</v>
      </c>
      <c r="U27" s="9" t="s">
        <v>2001</v>
      </c>
      <c r="V27" s="183" t="s">
        <v>2074</v>
      </c>
      <c r="W27" s="183" t="s">
        <v>2013</v>
      </c>
      <c r="X27" s="183" t="s">
        <v>90</v>
      </c>
      <c r="Y27" s="186" t="str">
        <f>INDEX(info!$Y$2:$Y$192,MATCH(phc_8[[#This Row],[Sub_Category]],info!$X$2:$X$192,0))</f>
        <v>Skin infection/disease</v>
      </c>
      <c r="Z27" s="186" t="str">
        <f t="array" ref="Z27">INDEX(info!$AA$2:$AA$192,MATCH(PHC!$X27&amp;PHC!$Y27,info!$X$2:$X$192&amp;info!$Y$2:$Y$192,0))</f>
        <v>Non-communicable disease</v>
      </c>
      <c r="AA27" s="183" t="s">
        <v>2079</v>
      </c>
      <c r="AB27" s="9" t="s">
        <v>654</v>
      </c>
      <c r="AC27" s="9" t="s">
        <v>654</v>
      </c>
      <c r="AD27" s="9" t="s">
        <v>654</v>
      </c>
      <c r="AE27" s="9" t="s">
        <v>654</v>
      </c>
      <c r="AF27" s="184"/>
      <c r="AG27" s="183"/>
      <c r="AH27" s="183"/>
      <c r="AI27" s="183"/>
      <c r="AJ27" s="183"/>
      <c r="AK27" s="9" t="s">
        <v>654</v>
      </c>
      <c r="AL27" s="183"/>
      <c r="AM27" s="186" t="str">
        <f>IF(AF27="","","Q"&amp;INT((MONTH(AF27)-1)/3)+1&amp;YEAR(AF27)&amp;#REF!&amp;T27)</f>
        <v/>
      </c>
      <c r="AN27" s="186" t="e">
        <f>IF(K27="","","Q"&amp;INT((MONTH(K27)-1)/3)+1&amp;YEAR(K27)&amp;#REF!)</f>
        <v>#REF!</v>
      </c>
    </row>
    <row r="28" spans="1:40" ht="20.100000000000001" customHeight="1" x14ac:dyDescent="0.25">
      <c r="A28" s="8">
        <v>26</v>
      </c>
      <c r="B28" s="8" t="s">
        <v>399</v>
      </c>
      <c r="C28" s="8" t="s">
        <v>1997</v>
      </c>
      <c r="D28" s="8" t="s">
        <v>2416</v>
      </c>
      <c r="E28" s="8" t="s">
        <v>1998</v>
      </c>
      <c r="F28" s="9" t="s">
        <v>1999</v>
      </c>
      <c r="G28" s="183"/>
      <c r="H28" s="9" t="s">
        <v>2001</v>
      </c>
      <c r="I28" s="9" t="s">
        <v>579</v>
      </c>
      <c r="J28" s="183"/>
      <c r="K28" s="10">
        <v>46037</v>
      </c>
      <c r="L28" s="9">
        <v>26</v>
      </c>
      <c r="M28" s="185" t="str">
        <f>IF(phc_8[[#This Row],[Register No.]]="","",C28&amp;"-"&amp;D28&amp;"-"&amp;"BHA-PHC-"&amp;phc_8[[#This Row],[Register No.]])</f>
        <v>Shining Star-Mobile Clinic-BHA-PHC-26</v>
      </c>
      <c r="N28" s="9" t="s">
        <v>401</v>
      </c>
      <c r="O28" s="183" t="s">
        <v>2080</v>
      </c>
      <c r="P28" s="183">
        <v>49</v>
      </c>
      <c r="Q28" s="183"/>
      <c r="R28" s="183"/>
      <c r="S28" s="186" t="str">
        <f t="shared" si="2"/>
        <v>19 - 49 yrs</v>
      </c>
      <c r="T28" s="183" t="s">
        <v>603</v>
      </c>
      <c r="U28" s="9" t="s">
        <v>2001</v>
      </c>
      <c r="V28" s="183" t="s">
        <v>2085</v>
      </c>
      <c r="W28" s="183" t="s">
        <v>2014</v>
      </c>
      <c r="X28" s="183" t="s">
        <v>2014</v>
      </c>
      <c r="Y28" s="186" t="str">
        <f>INDEX(info!$Y$2:$Y$192,MATCH(phc_8[[#This Row],[Sub_Category]],info!$X$2:$X$192,0))</f>
        <v>Other (non-communicable)</v>
      </c>
      <c r="Z28" s="186" t="str">
        <f t="array" ref="Z28">INDEX(info!$AA$2:$AA$192,MATCH(PHC!$X28&amp;PHC!$Y28,info!$X$2:$X$192&amp;info!$Y$2:$Y$192,0))</f>
        <v>Other</v>
      </c>
      <c r="AA28" s="183" t="s">
        <v>2090</v>
      </c>
      <c r="AB28" s="9" t="s">
        <v>654</v>
      </c>
      <c r="AC28" s="9" t="s">
        <v>654</v>
      </c>
      <c r="AD28" s="9" t="s">
        <v>654</v>
      </c>
      <c r="AE28" s="9" t="s">
        <v>654</v>
      </c>
      <c r="AF28" s="184"/>
      <c r="AG28" s="183"/>
      <c r="AH28" s="183"/>
      <c r="AI28" s="183"/>
      <c r="AJ28" s="183"/>
      <c r="AK28" s="9" t="s">
        <v>654</v>
      </c>
      <c r="AL28" s="183"/>
      <c r="AM28" s="186" t="str">
        <f>IF(AF28="","","Q"&amp;INT((MONTH(AF28)-1)/3)+1&amp;YEAR(AF28)&amp;#REF!&amp;T28)</f>
        <v/>
      </c>
      <c r="AN28" s="186" t="e">
        <f>IF(K28="","","Q"&amp;INT((MONTH(K28)-1)/3)+1&amp;YEAR(K28)&amp;#REF!)</f>
        <v>#REF!</v>
      </c>
    </row>
    <row r="29" spans="1:40" ht="20.100000000000001" customHeight="1" x14ac:dyDescent="0.25">
      <c r="A29" s="8">
        <v>27</v>
      </c>
      <c r="B29" s="8" t="s">
        <v>399</v>
      </c>
      <c r="C29" s="8" t="s">
        <v>1997</v>
      </c>
      <c r="D29" s="8" t="s">
        <v>2416</v>
      </c>
      <c r="E29" s="8" t="s">
        <v>1998</v>
      </c>
      <c r="F29" s="9" t="s">
        <v>1999</v>
      </c>
      <c r="G29" s="183"/>
      <c r="H29" s="9" t="s">
        <v>2001</v>
      </c>
      <c r="I29" s="9" t="s">
        <v>579</v>
      </c>
      <c r="J29" s="183"/>
      <c r="K29" s="10">
        <v>46037</v>
      </c>
      <c r="L29" s="9">
        <v>27</v>
      </c>
      <c r="M29" s="185" t="str">
        <f>IF(phc_8[[#This Row],[Register No.]]="","",C29&amp;"-"&amp;D29&amp;"-"&amp;"BHA-PHC-"&amp;phc_8[[#This Row],[Register No.]])</f>
        <v>Shining Star-Mobile Clinic-BHA-PHC-27</v>
      </c>
      <c r="N29" s="9" t="s">
        <v>401</v>
      </c>
      <c r="O29" s="183" t="s">
        <v>2081</v>
      </c>
      <c r="P29" s="183">
        <v>60</v>
      </c>
      <c r="Q29" s="183"/>
      <c r="R29" s="183"/>
      <c r="S29" s="186" t="str">
        <f t="shared" si="2"/>
        <v>50 yrs +</v>
      </c>
      <c r="T29" s="183" t="s">
        <v>603</v>
      </c>
      <c r="U29" s="9" t="s">
        <v>2001</v>
      </c>
      <c r="V29" s="183" t="s">
        <v>2086</v>
      </c>
      <c r="W29" s="183" t="s">
        <v>2028</v>
      </c>
      <c r="X29" s="183" t="s">
        <v>108</v>
      </c>
      <c r="Y29" s="186" t="str">
        <f>INDEX(info!$Y$2:$Y$192,MATCH(phc_8[[#This Row],[Sub_Category]],info!$X$2:$X$192,0))</f>
        <v>ARI/RTI</v>
      </c>
      <c r="Z29" s="186" t="str">
        <f t="array" ref="Z29">INDEX(info!$AA$2:$AA$192,MATCH(PHC!$X29&amp;PHC!$Y29,info!$X$2:$X$192&amp;info!$Y$2:$Y$192,0))</f>
        <v>Communicable disease</v>
      </c>
      <c r="AA29" s="183" t="s">
        <v>2091</v>
      </c>
      <c r="AB29" s="9" t="s">
        <v>654</v>
      </c>
      <c r="AC29" s="9" t="s">
        <v>654</v>
      </c>
      <c r="AD29" s="9" t="s">
        <v>654</v>
      </c>
      <c r="AE29" s="9" t="s">
        <v>654</v>
      </c>
      <c r="AF29" s="184"/>
      <c r="AG29" s="183"/>
      <c r="AH29" s="183"/>
      <c r="AI29" s="183"/>
      <c r="AJ29" s="183"/>
      <c r="AK29" s="9" t="s">
        <v>654</v>
      </c>
      <c r="AL29" s="183"/>
      <c r="AM29" s="186" t="str">
        <f>IF(AF29="","","Q"&amp;INT((MONTH(AF29)-1)/3)+1&amp;YEAR(AF29)&amp;#REF!&amp;T29)</f>
        <v/>
      </c>
      <c r="AN29" s="186" t="e">
        <f>IF(K29="","","Q"&amp;INT((MONTH(K29)-1)/3)+1&amp;YEAR(K29)&amp;#REF!)</f>
        <v>#REF!</v>
      </c>
    </row>
    <row r="30" spans="1:40" ht="20.100000000000001" customHeight="1" x14ac:dyDescent="0.25">
      <c r="A30" s="8">
        <v>28</v>
      </c>
      <c r="B30" s="8" t="s">
        <v>399</v>
      </c>
      <c r="C30" s="8" t="s">
        <v>1997</v>
      </c>
      <c r="D30" s="8" t="s">
        <v>2416</v>
      </c>
      <c r="E30" s="8" t="s">
        <v>1998</v>
      </c>
      <c r="F30" s="9" t="s">
        <v>1999</v>
      </c>
      <c r="G30" s="183"/>
      <c r="H30" s="9" t="s">
        <v>2001</v>
      </c>
      <c r="I30" s="9" t="s">
        <v>579</v>
      </c>
      <c r="J30" s="183"/>
      <c r="K30" s="10">
        <v>46037</v>
      </c>
      <c r="L30" s="9">
        <v>28</v>
      </c>
      <c r="M30" s="185" t="str">
        <f>IF(phc_8[[#This Row],[Register No.]]="","",C30&amp;"-"&amp;D30&amp;"-"&amp;"BHA-PHC-"&amp;phc_8[[#This Row],[Register No.]])</f>
        <v>Shining Star-Mobile Clinic-BHA-PHC-28</v>
      </c>
      <c r="N30" s="9" t="s">
        <v>401</v>
      </c>
      <c r="O30" s="183" t="s">
        <v>2082</v>
      </c>
      <c r="P30" s="183">
        <v>57</v>
      </c>
      <c r="Q30" s="183"/>
      <c r="R30" s="183"/>
      <c r="S30" s="186" t="str">
        <f t="shared" si="2"/>
        <v>50 yrs +</v>
      </c>
      <c r="T30" s="183" t="s">
        <v>603</v>
      </c>
      <c r="U30" s="9" t="s">
        <v>2001</v>
      </c>
      <c r="V30" s="183" t="s">
        <v>2087</v>
      </c>
      <c r="W30" s="183" t="s">
        <v>2028</v>
      </c>
      <c r="X30" s="183" t="s">
        <v>108</v>
      </c>
      <c r="Y30" s="186" t="str">
        <f>INDEX(info!$Y$2:$Y$192,MATCH(phc_8[[#This Row],[Sub_Category]],info!$X$2:$X$192,0))</f>
        <v>ARI/RTI</v>
      </c>
      <c r="Z30" s="186" t="str">
        <f t="array" ref="Z30">INDEX(info!$AA$2:$AA$192,MATCH(PHC!$X30&amp;PHC!$Y30,info!$X$2:$X$192&amp;info!$Y$2:$Y$192,0))</f>
        <v>Communicable disease</v>
      </c>
      <c r="AA30" s="183" t="s">
        <v>2092</v>
      </c>
      <c r="AB30" s="9" t="s">
        <v>654</v>
      </c>
      <c r="AC30" s="9" t="s">
        <v>654</v>
      </c>
      <c r="AD30" s="9" t="s">
        <v>654</v>
      </c>
      <c r="AE30" s="9" t="s">
        <v>654</v>
      </c>
      <c r="AF30" s="184"/>
      <c r="AG30" s="183"/>
      <c r="AH30" s="183"/>
      <c r="AI30" s="183"/>
      <c r="AJ30" s="183"/>
      <c r="AK30" s="9" t="s">
        <v>654</v>
      </c>
      <c r="AL30" s="183"/>
      <c r="AM30" s="186" t="str">
        <f>IF(AF30="","","Q"&amp;INT((MONTH(AF30)-1)/3)+1&amp;YEAR(AF30)&amp;#REF!&amp;T30)</f>
        <v/>
      </c>
      <c r="AN30" s="186" t="e">
        <f>IF(K30="","","Q"&amp;INT((MONTH(K30)-1)/3)+1&amp;YEAR(K30)&amp;#REF!)</f>
        <v>#REF!</v>
      </c>
    </row>
    <row r="31" spans="1:40" ht="20.100000000000001" customHeight="1" x14ac:dyDescent="0.25">
      <c r="A31" s="8">
        <v>29</v>
      </c>
      <c r="B31" s="8" t="s">
        <v>399</v>
      </c>
      <c r="C31" s="8" t="s">
        <v>1997</v>
      </c>
      <c r="D31" s="8" t="s">
        <v>2416</v>
      </c>
      <c r="E31" s="8" t="s">
        <v>1998</v>
      </c>
      <c r="F31" s="9" t="s">
        <v>1999</v>
      </c>
      <c r="G31" s="183"/>
      <c r="H31" s="9" t="s">
        <v>2001</v>
      </c>
      <c r="I31" s="9" t="s">
        <v>579</v>
      </c>
      <c r="J31" s="183"/>
      <c r="K31" s="10">
        <v>46037</v>
      </c>
      <c r="L31" s="9">
        <v>29</v>
      </c>
      <c r="M31" s="185" t="str">
        <f>IF(phc_8[[#This Row],[Register No.]]="","",C31&amp;"-"&amp;D31&amp;"-"&amp;"BHA-PHC-"&amp;phc_8[[#This Row],[Register No.]])</f>
        <v>Shining Star-Mobile Clinic-BHA-PHC-29</v>
      </c>
      <c r="N31" s="9" t="s">
        <v>401</v>
      </c>
      <c r="O31" s="183" t="s">
        <v>2083</v>
      </c>
      <c r="P31" s="183">
        <v>66</v>
      </c>
      <c r="Q31" s="183"/>
      <c r="R31" s="183"/>
      <c r="S31" s="186" t="str">
        <f t="shared" si="2"/>
        <v>50 yrs +</v>
      </c>
      <c r="T31" s="183" t="s">
        <v>603</v>
      </c>
      <c r="U31" s="9" t="s">
        <v>2001</v>
      </c>
      <c r="V31" s="183" t="s">
        <v>2088</v>
      </c>
      <c r="W31" s="183" t="s">
        <v>2059</v>
      </c>
      <c r="X31" s="183" t="s">
        <v>2014</v>
      </c>
      <c r="Y31" s="186" t="str">
        <f>INDEX(info!$Y$2:$Y$192,MATCH(phc_8[[#This Row],[Sub_Category]],info!$X$2:$X$192,0))</f>
        <v>Other (non-communicable)</v>
      </c>
      <c r="Z31" s="186" t="str">
        <f t="array" ref="Z31">INDEX(info!$AA$2:$AA$192,MATCH(PHC!$X31&amp;PHC!$Y31,info!$X$2:$X$192&amp;info!$Y$2:$Y$192,0))</f>
        <v>Other</v>
      </c>
      <c r="AA31" s="183" t="s">
        <v>2093</v>
      </c>
      <c r="AB31" s="9" t="s">
        <v>654</v>
      </c>
      <c r="AC31" s="9" t="s">
        <v>654</v>
      </c>
      <c r="AD31" s="9" t="s">
        <v>654</v>
      </c>
      <c r="AE31" s="9" t="s">
        <v>654</v>
      </c>
      <c r="AF31" s="184"/>
      <c r="AG31" s="183"/>
      <c r="AH31" s="183"/>
      <c r="AI31" s="183"/>
      <c r="AJ31" s="183"/>
      <c r="AK31" s="9" t="s">
        <v>654</v>
      </c>
      <c r="AL31" s="183"/>
      <c r="AM31" s="186" t="str">
        <f>IF(AF31="","","Q"&amp;INT((MONTH(AF31)-1)/3)+1&amp;YEAR(AF31)&amp;#REF!&amp;T31)</f>
        <v/>
      </c>
      <c r="AN31" s="186" t="e">
        <f>IF(K31="","","Q"&amp;INT((MONTH(K31)-1)/3)+1&amp;YEAR(K31)&amp;#REF!)</f>
        <v>#REF!</v>
      </c>
    </row>
    <row r="32" spans="1:40" ht="20.100000000000001" customHeight="1" x14ac:dyDescent="0.25">
      <c r="A32" s="8">
        <v>30</v>
      </c>
      <c r="B32" s="8" t="s">
        <v>399</v>
      </c>
      <c r="C32" s="8" t="s">
        <v>1997</v>
      </c>
      <c r="D32" s="8" t="s">
        <v>2416</v>
      </c>
      <c r="E32" s="8" t="s">
        <v>1998</v>
      </c>
      <c r="F32" s="9" t="s">
        <v>1999</v>
      </c>
      <c r="G32" s="183"/>
      <c r="H32" s="9" t="s">
        <v>2001</v>
      </c>
      <c r="I32" s="9" t="s">
        <v>579</v>
      </c>
      <c r="J32" s="183"/>
      <c r="K32" s="10">
        <v>46037</v>
      </c>
      <c r="L32" s="9">
        <v>30</v>
      </c>
      <c r="M32" s="185" t="str">
        <f>IF(phc_8[[#This Row],[Register No.]]="","",C32&amp;"-"&amp;D32&amp;"-"&amp;"BHA-PHC-"&amp;phc_8[[#This Row],[Register No.]])</f>
        <v>Shining Star-Mobile Clinic-BHA-PHC-30</v>
      </c>
      <c r="N32" s="9" t="s">
        <v>401</v>
      </c>
      <c r="O32" s="183" t="s">
        <v>2084</v>
      </c>
      <c r="P32" s="183">
        <v>63</v>
      </c>
      <c r="Q32" s="183"/>
      <c r="R32" s="183"/>
      <c r="S32" s="186" t="str">
        <f t="shared" si="2"/>
        <v>50 yrs +</v>
      </c>
      <c r="T32" s="183" t="s">
        <v>603</v>
      </c>
      <c r="U32" s="9" t="s">
        <v>2001</v>
      </c>
      <c r="V32" s="183" t="s">
        <v>2089</v>
      </c>
      <c r="W32" s="183" t="s">
        <v>2028</v>
      </c>
      <c r="X32" s="183" t="s">
        <v>108</v>
      </c>
      <c r="Y32" s="186" t="str">
        <f>INDEX(info!$Y$2:$Y$192,MATCH(phc_8[[#This Row],[Sub_Category]],info!$X$2:$X$192,0))</f>
        <v>ARI/RTI</v>
      </c>
      <c r="Z32" s="186" t="str">
        <f t="array" ref="Z32">INDEX(info!$AA$2:$AA$192,MATCH(PHC!$X32&amp;PHC!$Y32,info!$X$2:$X$192&amp;info!$Y$2:$Y$192,0))</f>
        <v>Communicable disease</v>
      </c>
      <c r="AA32" s="183" t="s">
        <v>2094</v>
      </c>
      <c r="AB32" s="9" t="s">
        <v>654</v>
      </c>
      <c r="AC32" s="9" t="s">
        <v>654</v>
      </c>
      <c r="AD32" s="9" t="s">
        <v>654</v>
      </c>
      <c r="AE32" s="9" t="s">
        <v>654</v>
      </c>
      <c r="AF32" s="184"/>
      <c r="AG32" s="183"/>
      <c r="AH32" s="183"/>
      <c r="AI32" s="183"/>
      <c r="AJ32" s="183"/>
      <c r="AK32" s="9" t="s">
        <v>654</v>
      </c>
      <c r="AL32" s="183"/>
      <c r="AM32" s="186" t="str">
        <f>IF(AF32="","","Q"&amp;INT((MONTH(AF32)-1)/3)+1&amp;YEAR(AF32)&amp;#REF!&amp;T32)</f>
        <v/>
      </c>
      <c r="AN32" s="186" t="e">
        <f>IF(K32="","","Q"&amp;INT((MONTH(K32)-1)/3)+1&amp;YEAR(K32)&amp;#REF!)</f>
        <v>#REF!</v>
      </c>
    </row>
    <row r="33" spans="1:40" s="216" customFormat="1" ht="20.100000000000001" customHeight="1" x14ac:dyDescent="0.25">
      <c r="A33" s="182">
        <v>31</v>
      </c>
      <c r="B33" s="182" t="s">
        <v>399</v>
      </c>
      <c r="C33" s="182" t="s">
        <v>1997</v>
      </c>
      <c r="D33" s="8" t="s">
        <v>2416</v>
      </c>
      <c r="E33" s="182" t="s">
        <v>1998</v>
      </c>
      <c r="F33" s="9" t="s">
        <v>1999</v>
      </c>
      <c r="G33" s="183"/>
      <c r="H33" s="9" t="s">
        <v>2001</v>
      </c>
      <c r="I33" s="9" t="s">
        <v>579</v>
      </c>
      <c r="J33" s="183"/>
      <c r="K33" s="10">
        <v>46037</v>
      </c>
      <c r="L33" s="183">
        <v>31</v>
      </c>
      <c r="M33" s="186" t="str">
        <f>IF(phc_8[[#This Row],[Register No.]]="","",C33&amp;"-"&amp;D33&amp;"-"&amp;"BHA-PHC-"&amp;phc_8[[#This Row],[Register No.]])</f>
        <v>Shining Star-Mobile Clinic-BHA-PHC-31</v>
      </c>
      <c r="N33" s="183" t="s">
        <v>401</v>
      </c>
      <c r="O33" s="183" t="s">
        <v>2095</v>
      </c>
      <c r="P33" s="183">
        <v>9</v>
      </c>
      <c r="Q33" s="183"/>
      <c r="R33" s="183"/>
      <c r="S33" s="190" t="str">
        <f t="shared" si="2"/>
        <v>5 - 14 yrs</v>
      </c>
      <c r="T33" s="183" t="s">
        <v>603</v>
      </c>
      <c r="U33" s="183" t="s">
        <v>2001</v>
      </c>
      <c r="V33" s="183" t="s">
        <v>2100</v>
      </c>
      <c r="W33" s="183" t="s">
        <v>3071</v>
      </c>
      <c r="X33" s="183" t="s">
        <v>113</v>
      </c>
      <c r="Y33" s="186" t="str">
        <f>INDEX(info!$Y$2:$Y$192,MATCH(phc_8[[#This Row],[Sub_Category]],info!$X$2:$X$192,0))</f>
        <v>ARI/RTI</v>
      </c>
      <c r="Z33" s="186" t="str">
        <f t="array" ref="Z33">INDEX(info!$AA$2:$AA$192,MATCH(PHC!$X33&amp;PHC!$Y33,info!$X$2:$X$192&amp;info!$Y$2:$Y$192,0))</f>
        <v>Communicable disease</v>
      </c>
      <c r="AA33" s="183" t="s">
        <v>2106</v>
      </c>
      <c r="AB33" s="9" t="s">
        <v>654</v>
      </c>
      <c r="AC33" s="9" t="s">
        <v>654</v>
      </c>
      <c r="AD33" s="9" t="s">
        <v>654</v>
      </c>
      <c r="AE33" s="9" t="s">
        <v>654</v>
      </c>
      <c r="AF33" s="184"/>
      <c r="AG33" s="183"/>
      <c r="AH33" s="183"/>
      <c r="AI33" s="183"/>
      <c r="AJ33" s="183"/>
      <c r="AK33" s="9" t="s">
        <v>654</v>
      </c>
      <c r="AL33" s="183"/>
      <c r="AM33" s="186" t="str">
        <f>IF(AF33="","","Q"&amp;INT((MONTH(AF33)-1)/3)+1&amp;YEAR(AF33)&amp;#REF!&amp;T33)</f>
        <v/>
      </c>
      <c r="AN33" s="186" t="e">
        <f>IF(K33="","","Q"&amp;INT((MONTH(K33)-1)/3)+1&amp;YEAR(K33)&amp;#REF!)</f>
        <v>#REF!</v>
      </c>
    </row>
    <row r="34" spans="1:40" ht="20.100000000000001" customHeight="1" x14ac:dyDescent="0.25">
      <c r="A34" s="8">
        <v>32</v>
      </c>
      <c r="B34" s="8" t="s">
        <v>399</v>
      </c>
      <c r="C34" s="8" t="s">
        <v>1997</v>
      </c>
      <c r="D34" s="8" t="s">
        <v>2416</v>
      </c>
      <c r="E34" s="8" t="s">
        <v>1998</v>
      </c>
      <c r="F34" s="9" t="s">
        <v>1999</v>
      </c>
      <c r="G34" s="183"/>
      <c r="H34" s="9" t="s">
        <v>2001</v>
      </c>
      <c r="I34" s="9" t="s">
        <v>579</v>
      </c>
      <c r="J34" s="183"/>
      <c r="K34" s="10">
        <v>46037</v>
      </c>
      <c r="L34" s="9">
        <v>32</v>
      </c>
      <c r="M34" s="185" t="str">
        <f>IF(phc_8[[#This Row],[Register No.]]="","",C34&amp;"-"&amp;D34&amp;"-"&amp;"BHA-PHC-"&amp;phc_8[[#This Row],[Register No.]])</f>
        <v>Shining Star-Mobile Clinic-BHA-PHC-32</v>
      </c>
      <c r="N34" s="9" t="s">
        <v>401</v>
      </c>
      <c r="O34" s="183" t="s">
        <v>2096</v>
      </c>
      <c r="P34" s="183">
        <v>78</v>
      </c>
      <c r="Q34" s="183"/>
      <c r="R34" s="183"/>
      <c r="S34" s="186" t="str">
        <f t="shared" si="2"/>
        <v>50 yrs +</v>
      </c>
      <c r="T34" s="183" t="s">
        <v>402</v>
      </c>
      <c r="U34" s="9" t="s">
        <v>2001</v>
      </c>
      <c r="V34" s="183" t="s">
        <v>2101</v>
      </c>
      <c r="W34" s="183" t="s">
        <v>186</v>
      </c>
      <c r="X34" s="183" t="s">
        <v>186</v>
      </c>
      <c r="Y34" s="186" t="str">
        <f>INDEX(info!$Y$2:$Y$192,MATCH(phc_8[[#This Row],[Sub_Category]],info!$X$2:$X$192,0))</f>
        <v>Chronic medical disease</v>
      </c>
      <c r="Z34" s="186" t="str">
        <f t="array" ref="Z34">INDEX(info!$AA$2:$AA$192,MATCH(PHC!$X34&amp;PHC!$Y34,info!$X$2:$X$192&amp;info!$Y$2:$Y$192,0))</f>
        <v>Non-communicable disease</v>
      </c>
      <c r="AA34" s="183" t="s">
        <v>2107</v>
      </c>
      <c r="AB34" s="9" t="s">
        <v>654</v>
      </c>
      <c r="AC34" s="9" t="s">
        <v>654</v>
      </c>
      <c r="AD34" s="9" t="s">
        <v>654</v>
      </c>
      <c r="AE34" s="9" t="s">
        <v>654</v>
      </c>
      <c r="AF34" s="184"/>
      <c r="AG34" s="183"/>
      <c r="AH34" s="183"/>
      <c r="AI34" s="183"/>
      <c r="AJ34" s="183"/>
      <c r="AK34" s="9" t="s">
        <v>654</v>
      </c>
      <c r="AL34" s="183"/>
      <c r="AM34" s="186" t="str">
        <f>IF(AF34="","","Q"&amp;INT((MONTH(AF34)-1)/3)+1&amp;YEAR(AF34)&amp;#REF!&amp;T34)</f>
        <v/>
      </c>
      <c r="AN34" s="186" t="e">
        <f>IF(K34="","","Q"&amp;INT((MONTH(K34)-1)/3)+1&amp;YEAR(K34)&amp;#REF!)</f>
        <v>#REF!</v>
      </c>
    </row>
    <row r="35" spans="1:40" ht="20.100000000000001" customHeight="1" x14ac:dyDescent="0.25">
      <c r="A35" s="8">
        <v>33</v>
      </c>
      <c r="B35" s="8" t="s">
        <v>399</v>
      </c>
      <c r="C35" s="8" t="s">
        <v>1997</v>
      </c>
      <c r="D35" s="8" t="s">
        <v>2416</v>
      </c>
      <c r="E35" s="8" t="s">
        <v>1998</v>
      </c>
      <c r="F35" s="9" t="s">
        <v>1999</v>
      </c>
      <c r="G35" s="183"/>
      <c r="H35" s="9" t="s">
        <v>2001</v>
      </c>
      <c r="I35" s="9" t="s">
        <v>579</v>
      </c>
      <c r="J35" s="183"/>
      <c r="K35" s="10">
        <v>46037</v>
      </c>
      <c r="L35" s="9">
        <v>33</v>
      </c>
      <c r="M35" s="185" t="str">
        <f>IF(phc_8[[#This Row],[Register No.]]="","",C35&amp;"-"&amp;D35&amp;"-"&amp;"BHA-PHC-"&amp;phc_8[[#This Row],[Register No.]])</f>
        <v>Shining Star-Mobile Clinic-BHA-PHC-33</v>
      </c>
      <c r="N35" s="9" t="s">
        <v>401</v>
      </c>
      <c r="O35" s="183" t="s">
        <v>2097</v>
      </c>
      <c r="P35" s="183">
        <v>76</v>
      </c>
      <c r="Q35" s="183"/>
      <c r="R35" s="183"/>
      <c r="S35" s="186" t="str">
        <f t="shared" si="2"/>
        <v>50 yrs +</v>
      </c>
      <c r="T35" s="183" t="s">
        <v>603</v>
      </c>
      <c r="U35" s="9" t="s">
        <v>2001</v>
      </c>
      <c r="V35" s="183" t="s">
        <v>2102</v>
      </c>
      <c r="W35" s="183" t="s">
        <v>2105</v>
      </c>
      <c r="X35" s="183" t="s">
        <v>107</v>
      </c>
      <c r="Y35" s="186" t="str">
        <f>INDEX(info!$Y$2:$Y$192,MATCH(phc_8[[#This Row],[Sub_Category]],info!$X$2:$X$192,0))</f>
        <v>Other (non-communicable)</v>
      </c>
      <c r="Z35" s="186" t="str">
        <f t="array" ref="Z35">INDEX(info!$AA$2:$AA$192,MATCH(PHC!$X35&amp;PHC!$Y35,info!$X$2:$X$192&amp;info!$Y$2:$Y$192,0))</f>
        <v>Non-communicable disease</v>
      </c>
      <c r="AA35" s="183" t="s">
        <v>2108</v>
      </c>
      <c r="AB35" s="9" t="s">
        <v>654</v>
      </c>
      <c r="AC35" s="9" t="s">
        <v>654</v>
      </c>
      <c r="AD35" s="9" t="s">
        <v>654</v>
      </c>
      <c r="AE35" s="9" t="s">
        <v>654</v>
      </c>
      <c r="AF35" s="184"/>
      <c r="AG35" s="183"/>
      <c r="AH35" s="183"/>
      <c r="AI35" s="183"/>
      <c r="AJ35" s="183"/>
      <c r="AK35" s="9" t="s">
        <v>654</v>
      </c>
      <c r="AL35" s="183"/>
      <c r="AM35" s="186" t="str">
        <f>IF(AF35="","","Q"&amp;INT((MONTH(AF35)-1)/3)+1&amp;YEAR(AF35)&amp;#REF!&amp;T35)</f>
        <v/>
      </c>
      <c r="AN35" s="186" t="e">
        <f>IF(K35="","","Q"&amp;INT((MONTH(K35)-1)/3)+1&amp;YEAR(K35)&amp;#REF!)</f>
        <v>#REF!</v>
      </c>
    </row>
    <row r="36" spans="1:40" ht="20.100000000000001" customHeight="1" x14ac:dyDescent="0.25">
      <c r="A36" s="8">
        <v>34</v>
      </c>
      <c r="B36" s="8" t="s">
        <v>399</v>
      </c>
      <c r="C36" s="8" t="s">
        <v>1997</v>
      </c>
      <c r="D36" s="8" t="s">
        <v>2416</v>
      </c>
      <c r="E36" s="8" t="s">
        <v>1998</v>
      </c>
      <c r="F36" s="9" t="s">
        <v>1999</v>
      </c>
      <c r="G36" s="183"/>
      <c r="H36" s="9" t="s">
        <v>2001</v>
      </c>
      <c r="I36" s="9" t="s">
        <v>579</v>
      </c>
      <c r="J36" s="183"/>
      <c r="K36" s="10">
        <v>46037</v>
      </c>
      <c r="L36" s="9">
        <v>34</v>
      </c>
      <c r="M36" s="185" t="str">
        <f>IF(phc_8[[#This Row],[Register No.]]="","",C36&amp;"-"&amp;D36&amp;"-"&amp;"BHA-PHC-"&amp;phc_8[[#This Row],[Register No.]])</f>
        <v>Shining Star-Mobile Clinic-BHA-PHC-34</v>
      </c>
      <c r="N36" s="9" t="s">
        <v>401</v>
      </c>
      <c r="O36" s="183" t="s">
        <v>2098</v>
      </c>
      <c r="P36" s="183">
        <v>63</v>
      </c>
      <c r="Q36" s="183"/>
      <c r="R36" s="183"/>
      <c r="S36" s="186" t="str">
        <f t="shared" si="2"/>
        <v>50 yrs +</v>
      </c>
      <c r="T36" s="183" t="s">
        <v>402</v>
      </c>
      <c r="U36" s="9" t="s">
        <v>2001</v>
      </c>
      <c r="V36" s="183" t="s">
        <v>2103</v>
      </c>
      <c r="W36" s="183" t="s">
        <v>2028</v>
      </c>
      <c r="X36" s="183" t="s">
        <v>108</v>
      </c>
      <c r="Y36" s="186" t="str">
        <f>INDEX(info!$Y$2:$Y$192,MATCH(phc_8[[#This Row],[Sub_Category]],info!$X$2:$X$192,0))</f>
        <v>ARI/RTI</v>
      </c>
      <c r="Z36" s="186" t="str">
        <f t="array" ref="Z36">INDEX(info!$AA$2:$AA$192,MATCH(PHC!$X36&amp;PHC!$Y36,info!$X$2:$X$192&amp;info!$Y$2:$Y$192,0))</f>
        <v>Communicable disease</v>
      </c>
      <c r="AA36" s="183" t="s">
        <v>2109</v>
      </c>
      <c r="AB36" s="9" t="s">
        <v>654</v>
      </c>
      <c r="AC36" s="9" t="s">
        <v>654</v>
      </c>
      <c r="AD36" s="9" t="s">
        <v>654</v>
      </c>
      <c r="AE36" s="9" t="s">
        <v>654</v>
      </c>
      <c r="AF36" s="184"/>
      <c r="AG36" s="183"/>
      <c r="AH36" s="183"/>
      <c r="AI36" s="183"/>
      <c r="AJ36" s="183"/>
      <c r="AK36" s="9" t="s">
        <v>654</v>
      </c>
      <c r="AL36" s="183"/>
      <c r="AM36" s="186" t="str">
        <f>IF(AF36="","","Q"&amp;INT((MONTH(AF36)-1)/3)+1&amp;YEAR(AF36)&amp;#REF!&amp;T36)</f>
        <v/>
      </c>
      <c r="AN36" s="186" t="e">
        <f>IF(K36="","","Q"&amp;INT((MONTH(K36)-1)/3)+1&amp;YEAR(K36)&amp;#REF!)</f>
        <v>#REF!</v>
      </c>
    </row>
    <row r="37" spans="1:40" ht="20.100000000000001" customHeight="1" x14ac:dyDescent="0.25">
      <c r="A37" s="8">
        <v>35</v>
      </c>
      <c r="B37" s="8" t="s">
        <v>399</v>
      </c>
      <c r="C37" s="8" t="s">
        <v>1997</v>
      </c>
      <c r="D37" s="8" t="s">
        <v>2416</v>
      </c>
      <c r="E37" s="8" t="s">
        <v>1998</v>
      </c>
      <c r="F37" s="9" t="s">
        <v>1999</v>
      </c>
      <c r="G37" s="183"/>
      <c r="H37" s="9" t="s">
        <v>2001</v>
      </c>
      <c r="I37" s="9" t="s">
        <v>579</v>
      </c>
      <c r="J37" s="183"/>
      <c r="K37" s="10">
        <v>46037</v>
      </c>
      <c r="L37" s="9">
        <v>35</v>
      </c>
      <c r="M37" s="185" t="str">
        <f>IF(phc_8[[#This Row],[Register No.]]="","",C37&amp;"-"&amp;D37&amp;"-"&amp;"BHA-PHC-"&amp;phc_8[[#This Row],[Register No.]])</f>
        <v>Shining Star-Mobile Clinic-BHA-PHC-35</v>
      </c>
      <c r="N37" s="9" t="s">
        <v>401</v>
      </c>
      <c r="O37" s="183" t="s">
        <v>2099</v>
      </c>
      <c r="P37" s="183">
        <v>81</v>
      </c>
      <c r="Q37" s="183"/>
      <c r="R37" s="183"/>
      <c r="S37" s="186" t="str">
        <f t="shared" si="2"/>
        <v>50 yrs +</v>
      </c>
      <c r="T37" s="183" t="s">
        <v>402</v>
      </c>
      <c r="U37" s="9" t="s">
        <v>2001</v>
      </c>
      <c r="V37" s="183" t="s">
        <v>2104</v>
      </c>
      <c r="W37" s="183" t="s">
        <v>2003</v>
      </c>
      <c r="X37" s="183" t="s">
        <v>181</v>
      </c>
      <c r="Y37" s="186" t="str">
        <f>INDEX(info!$Y$2:$Y$192,MATCH(phc_8[[#This Row],[Sub_Category]],info!$X$2:$X$192,0))</f>
        <v>Chronic medical disease</v>
      </c>
      <c r="Z37" s="186" t="str">
        <f t="array" ref="Z37">INDEX(info!$AA$2:$AA$192,MATCH(PHC!$X37&amp;PHC!$Y37,info!$X$2:$X$192&amp;info!$Y$2:$Y$192,0))</f>
        <v>Non-communicable disease</v>
      </c>
      <c r="AA37" s="183" t="s">
        <v>2110</v>
      </c>
      <c r="AB37" s="9" t="s">
        <v>654</v>
      </c>
      <c r="AC37" s="9" t="s">
        <v>654</v>
      </c>
      <c r="AD37" s="9" t="s">
        <v>654</v>
      </c>
      <c r="AE37" s="9" t="s">
        <v>654</v>
      </c>
      <c r="AF37" s="184"/>
      <c r="AG37" s="183"/>
      <c r="AH37" s="183"/>
      <c r="AI37" s="183"/>
      <c r="AJ37" s="183"/>
      <c r="AK37" s="9" t="s">
        <v>654</v>
      </c>
      <c r="AL37" s="183"/>
      <c r="AM37" s="186" t="str">
        <f>IF(AF37="","","Q"&amp;INT((MONTH(AF37)-1)/3)+1&amp;YEAR(AF37)&amp;#REF!&amp;T37)</f>
        <v/>
      </c>
      <c r="AN37" s="186" t="e">
        <f>IF(K37="","","Q"&amp;INT((MONTH(K37)-1)/3)+1&amp;YEAR(K37)&amp;#REF!)</f>
        <v>#REF!</v>
      </c>
    </row>
    <row r="38" spans="1:40" ht="20.100000000000001" customHeight="1" x14ac:dyDescent="0.25">
      <c r="A38" s="8">
        <v>36</v>
      </c>
      <c r="B38" s="8" t="s">
        <v>399</v>
      </c>
      <c r="C38" s="8" t="s">
        <v>1997</v>
      </c>
      <c r="D38" s="8" t="s">
        <v>2416</v>
      </c>
      <c r="E38" s="8" t="s">
        <v>1998</v>
      </c>
      <c r="F38" s="9" t="s">
        <v>1999</v>
      </c>
      <c r="G38" s="183"/>
      <c r="H38" s="9" t="s">
        <v>2001</v>
      </c>
      <c r="I38" s="9" t="s">
        <v>579</v>
      </c>
      <c r="J38" s="183"/>
      <c r="K38" s="10">
        <v>46037</v>
      </c>
      <c r="L38" s="9">
        <v>36</v>
      </c>
      <c r="M38" s="185" t="str">
        <f>IF(phc_8[[#This Row],[Register No.]]="","",C38&amp;"-"&amp;D38&amp;"-"&amp;"BHA-PHC-"&amp;phc_8[[#This Row],[Register No.]])</f>
        <v>Shining Star-Mobile Clinic-BHA-PHC-36</v>
      </c>
      <c r="N38" s="9" t="s">
        <v>401</v>
      </c>
      <c r="O38" s="183" t="s">
        <v>2111</v>
      </c>
      <c r="P38" s="183">
        <v>78</v>
      </c>
      <c r="Q38" s="183"/>
      <c r="R38" s="183"/>
      <c r="S38" s="186" t="str">
        <f t="shared" si="2"/>
        <v>50 yrs +</v>
      </c>
      <c r="T38" s="183" t="s">
        <v>603</v>
      </c>
      <c r="U38" s="9" t="s">
        <v>2001</v>
      </c>
      <c r="V38" s="183" t="s">
        <v>2116</v>
      </c>
      <c r="W38" s="183" t="s">
        <v>2003</v>
      </c>
      <c r="X38" s="183" t="s">
        <v>181</v>
      </c>
      <c r="Y38" s="186" t="str">
        <f>INDEX(info!$Y$2:$Y$192,MATCH(phc_8[[#This Row],[Sub_Category]],info!$X$2:$X$192,0))</f>
        <v>Chronic medical disease</v>
      </c>
      <c r="Z38" s="186" t="str">
        <f t="array" ref="Z38">INDEX(info!$AA$2:$AA$192,MATCH(PHC!$X38&amp;PHC!$Y38,info!$X$2:$X$192&amp;info!$Y$2:$Y$192,0))</f>
        <v>Non-communicable disease</v>
      </c>
      <c r="AA38" s="183" t="s">
        <v>2120</v>
      </c>
      <c r="AB38" s="9" t="s">
        <v>654</v>
      </c>
      <c r="AC38" s="9" t="s">
        <v>654</v>
      </c>
      <c r="AD38" s="9" t="s">
        <v>654</v>
      </c>
      <c r="AE38" s="9" t="s">
        <v>654</v>
      </c>
      <c r="AF38" s="184"/>
      <c r="AG38" s="183"/>
      <c r="AH38" s="183"/>
      <c r="AI38" s="183"/>
      <c r="AJ38" s="183"/>
      <c r="AK38" s="9" t="s">
        <v>654</v>
      </c>
      <c r="AL38" s="183"/>
      <c r="AM38" s="186" t="str">
        <f>IF(AF38="","","Q"&amp;INT((MONTH(AF38)-1)/3)+1&amp;YEAR(AF38)&amp;#REF!&amp;T38)</f>
        <v/>
      </c>
      <c r="AN38" s="186" t="e">
        <f>IF(K38="","","Q"&amp;INT((MONTH(K38)-1)/3)+1&amp;YEAR(K38)&amp;#REF!)</f>
        <v>#REF!</v>
      </c>
    </row>
    <row r="39" spans="1:40" ht="20.100000000000001" customHeight="1" x14ac:dyDescent="0.25">
      <c r="A39" s="8">
        <v>37</v>
      </c>
      <c r="B39" s="8" t="s">
        <v>399</v>
      </c>
      <c r="C39" s="8" t="s">
        <v>1997</v>
      </c>
      <c r="D39" s="8" t="s">
        <v>2416</v>
      </c>
      <c r="E39" s="8" t="s">
        <v>1998</v>
      </c>
      <c r="F39" s="9" t="s">
        <v>1999</v>
      </c>
      <c r="G39" s="183"/>
      <c r="H39" s="9" t="s">
        <v>2001</v>
      </c>
      <c r="I39" s="9" t="s">
        <v>579</v>
      </c>
      <c r="J39" s="183"/>
      <c r="K39" s="10">
        <v>46037</v>
      </c>
      <c r="L39" s="9">
        <v>37</v>
      </c>
      <c r="M39" s="185" t="str">
        <f>IF(phc_8[[#This Row],[Register No.]]="","",C39&amp;"-"&amp;D39&amp;"-"&amp;"BHA-PHC-"&amp;phc_8[[#This Row],[Register No.]])</f>
        <v>Shining Star-Mobile Clinic-BHA-PHC-37</v>
      </c>
      <c r="N39" s="9" t="s">
        <v>401</v>
      </c>
      <c r="O39" s="183" t="s">
        <v>2112</v>
      </c>
      <c r="P39" s="183">
        <v>74</v>
      </c>
      <c r="Q39" s="183"/>
      <c r="R39" s="183"/>
      <c r="S39" s="186" t="str">
        <f t="shared" si="2"/>
        <v>50 yrs +</v>
      </c>
      <c r="T39" s="183" t="s">
        <v>603</v>
      </c>
      <c r="U39" s="9" t="s">
        <v>2001</v>
      </c>
      <c r="V39" s="183" t="s">
        <v>2089</v>
      </c>
      <c r="W39" s="183" t="s">
        <v>186</v>
      </c>
      <c r="X39" s="183" t="s">
        <v>186</v>
      </c>
      <c r="Y39" s="186" t="str">
        <f>INDEX(info!$Y$2:$Y$192,MATCH(phc_8[[#This Row],[Sub_Category]],info!$X$2:$X$192,0))</f>
        <v>Chronic medical disease</v>
      </c>
      <c r="Z39" s="186" t="str">
        <f t="array" ref="Z39">INDEX(info!$AA$2:$AA$192,MATCH(PHC!$X39&amp;PHC!$Y39,info!$X$2:$X$192&amp;info!$Y$2:$Y$192,0))</f>
        <v>Non-communicable disease</v>
      </c>
      <c r="AA39" s="183" t="s">
        <v>2121</v>
      </c>
      <c r="AB39" s="9" t="s">
        <v>654</v>
      </c>
      <c r="AC39" s="9" t="s">
        <v>654</v>
      </c>
      <c r="AD39" s="9" t="s">
        <v>654</v>
      </c>
      <c r="AE39" s="9" t="s">
        <v>654</v>
      </c>
      <c r="AF39" s="184"/>
      <c r="AG39" s="183"/>
      <c r="AH39" s="183"/>
      <c r="AI39" s="183"/>
      <c r="AJ39" s="183"/>
      <c r="AK39" s="9" t="s">
        <v>654</v>
      </c>
      <c r="AL39" s="183"/>
      <c r="AM39" s="186" t="str">
        <f>IF(AF39="","","Q"&amp;INT((MONTH(AF39)-1)/3)+1&amp;YEAR(AF39)&amp;#REF!&amp;T39)</f>
        <v/>
      </c>
      <c r="AN39" s="186" t="e">
        <f>IF(K39="","","Q"&amp;INT((MONTH(K39)-1)/3)+1&amp;YEAR(K39)&amp;#REF!)</f>
        <v>#REF!</v>
      </c>
    </row>
    <row r="40" spans="1:40" s="216" customFormat="1" ht="20.100000000000001" customHeight="1" x14ac:dyDescent="0.25">
      <c r="A40" s="182">
        <v>38</v>
      </c>
      <c r="B40" s="182" t="s">
        <v>399</v>
      </c>
      <c r="C40" s="182" t="s">
        <v>1997</v>
      </c>
      <c r="D40" s="182" t="s">
        <v>2416</v>
      </c>
      <c r="E40" s="182" t="s">
        <v>1998</v>
      </c>
      <c r="F40" s="183" t="s">
        <v>1999</v>
      </c>
      <c r="G40" s="183"/>
      <c r="H40" s="183" t="s">
        <v>2001</v>
      </c>
      <c r="I40" s="183" t="s">
        <v>579</v>
      </c>
      <c r="J40" s="183"/>
      <c r="K40" s="184">
        <v>46037</v>
      </c>
      <c r="L40" s="183">
        <v>38</v>
      </c>
      <c r="M40" s="186" t="str">
        <f>IF(phc_8[[#This Row],[Register No.]]="","",C40&amp;"-"&amp;D40&amp;"-"&amp;"BHA-PHC-"&amp;phc_8[[#This Row],[Register No.]])</f>
        <v>Shining Star-Mobile Clinic-BHA-PHC-38</v>
      </c>
      <c r="N40" s="183" t="s">
        <v>401</v>
      </c>
      <c r="O40" s="183" t="s">
        <v>2113</v>
      </c>
      <c r="P40" s="183">
        <v>26</v>
      </c>
      <c r="Q40" s="183"/>
      <c r="R40" s="183"/>
      <c r="S40" s="186" t="str">
        <f t="shared" si="2"/>
        <v>19 - 49 yrs</v>
      </c>
      <c r="T40" s="183" t="s">
        <v>603</v>
      </c>
      <c r="U40" s="183" t="s">
        <v>2001</v>
      </c>
      <c r="V40" s="183" t="s">
        <v>2117</v>
      </c>
      <c r="W40" s="183" t="s">
        <v>294</v>
      </c>
      <c r="X40" s="183" t="s">
        <v>294</v>
      </c>
      <c r="Y40" s="186" t="str">
        <f>INDEX(info!$Y$2:$Y$192,MATCH(phc_8[[#This Row],[Sub_Category]],info!$X$2:$X$192,0))</f>
        <v>Other (non-communicable)</v>
      </c>
      <c r="Z40" s="186" t="str">
        <f t="array" ref="Z40">INDEX(info!$AA$2:$AA$192,MATCH(PHC!$X40&amp;PHC!$Y40,info!$X$2:$X$192&amp;info!$Y$2:$Y$192,0))</f>
        <v>Other</v>
      </c>
      <c r="AA40" s="183" t="s">
        <v>2119</v>
      </c>
      <c r="AB40" s="9" t="s">
        <v>654</v>
      </c>
      <c r="AC40" s="9" t="s">
        <v>654</v>
      </c>
      <c r="AD40" s="9" t="s">
        <v>654</v>
      </c>
      <c r="AE40" s="9" t="s">
        <v>654</v>
      </c>
      <c r="AF40" s="184"/>
      <c r="AG40" s="183"/>
      <c r="AH40" s="183"/>
      <c r="AI40" s="183"/>
      <c r="AJ40" s="183"/>
      <c r="AK40" s="9" t="s">
        <v>654</v>
      </c>
      <c r="AL40" s="183"/>
      <c r="AM40" s="186" t="str">
        <f>IF(AF40="","","Q"&amp;INT((MONTH(AF40)-1)/3)+1&amp;YEAR(AF40)&amp;#REF!&amp;T40)</f>
        <v/>
      </c>
      <c r="AN40" s="186" t="e">
        <f>IF(K40="","","Q"&amp;INT((MONTH(K40)-1)/3)+1&amp;YEAR(K40)&amp;#REF!)</f>
        <v>#REF!</v>
      </c>
    </row>
    <row r="41" spans="1:40" ht="20.100000000000001" customHeight="1" x14ac:dyDescent="0.25">
      <c r="A41" s="8">
        <v>39</v>
      </c>
      <c r="B41" s="8" t="s">
        <v>399</v>
      </c>
      <c r="C41" s="8" t="s">
        <v>1997</v>
      </c>
      <c r="D41" s="8" t="s">
        <v>2416</v>
      </c>
      <c r="E41" s="8" t="s">
        <v>1998</v>
      </c>
      <c r="F41" s="9" t="s">
        <v>1999</v>
      </c>
      <c r="G41" s="183"/>
      <c r="H41" s="9" t="s">
        <v>2001</v>
      </c>
      <c r="I41" s="9" t="s">
        <v>579</v>
      </c>
      <c r="J41" s="183"/>
      <c r="K41" s="10">
        <v>46037</v>
      </c>
      <c r="L41" s="9">
        <v>39</v>
      </c>
      <c r="M41" s="185" t="str">
        <f>IF(phc_8[[#This Row],[Register No.]]="","",C41&amp;"-"&amp;D41&amp;"-"&amp;"BHA-PHC-"&amp;phc_8[[#This Row],[Register No.]])</f>
        <v>Shining Star-Mobile Clinic-BHA-PHC-39</v>
      </c>
      <c r="N41" s="9" t="s">
        <v>401</v>
      </c>
      <c r="O41" s="183" t="s">
        <v>2114</v>
      </c>
      <c r="P41" s="183">
        <v>67</v>
      </c>
      <c r="Q41" s="183"/>
      <c r="R41" s="183"/>
      <c r="S41" s="186" t="str">
        <f t="shared" si="2"/>
        <v>50 yrs +</v>
      </c>
      <c r="T41" s="183" t="s">
        <v>603</v>
      </c>
      <c r="U41" s="9" t="s">
        <v>2001</v>
      </c>
      <c r="V41" s="183" t="s">
        <v>2041</v>
      </c>
      <c r="W41" s="183" t="s">
        <v>2059</v>
      </c>
      <c r="X41" s="183" t="s">
        <v>2014</v>
      </c>
      <c r="Y41" s="186" t="str">
        <f>INDEX(info!$Y$2:$Y$192,MATCH(phc_8[[#This Row],[Sub_Category]],info!$X$2:$X$192,0))</f>
        <v>Other (non-communicable)</v>
      </c>
      <c r="Z41" s="186" t="str">
        <f t="array" ref="Z41">INDEX(info!$AA$2:$AA$192,MATCH(PHC!$X41&amp;PHC!$Y41,info!$X$2:$X$192&amp;info!$Y$2:$Y$192,0))</f>
        <v>Other</v>
      </c>
      <c r="AA41" s="183" t="s">
        <v>2122</v>
      </c>
      <c r="AB41" s="9" t="s">
        <v>654</v>
      </c>
      <c r="AC41" s="9" t="s">
        <v>654</v>
      </c>
      <c r="AD41" s="9" t="s">
        <v>654</v>
      </c>
      <c r="AE41" s="9" t="s">
        <v>654</v>
      </c>
      <c r="AF41" s="184"/>
      <c r="AG41" s="183"/>
      <c r="AH41" s="183"/>
      <c r="AI41" s="183"/>
      <c r="AJ41" s="183"/>
      <c r="AK41" s="9" t="s">
        <v>654</v>
      </c>
      <c r="AL41" s="183"/>
      <c r="AM41" s="186" t="str">
        <f>IF(AF41="","","Q"&amp;INT((MONTH(AF41)-1)/3)+1&amp;YEAR(AF41)&amp;#REF!&amp;T41)</f>
        <v/>
      </c>
      <c r="AN41" s="186" t="e">
        <f>IF(K41="","","Q"&amp;INT((MONTH(K41)-1)/3)+1&amp;YEAR(K41)&amp;#REF!)</f>
        <v>#REF!</v>
      </c>
    </row>
    <row r="42" spans="1:40" ht="20.100000000000001" customHeight="1" x14ac:dyDescent="0.25">
      <c r="A42" s="8">
        <v>40</v>
      </c>
      <c r="B42" s="8" t="s">
        <v>399</v>
      </c>
      <c r="C42" s="8" t="s">
        <v>1997</v>
      </c>
      <c r="D42" s="8" t="s">
        <v>2416</v>
      </c>
      <c r="E42" s="8" t="s">
        <v>1998</v>
      </c>
      <c r="F42" s="9" t="s">
        <v>1999</v>
      </c>
      <c r="G42" s="183"/>
      <c r="H42" s="9" t="s">
        <v>2001</v>
      </c>
      <c r="I42" s="9" t="s">
        <v>579</v>
      </c>
      <c r="J42" s="183"/>
      <c r="K42" s="10">
        <v>46037</v>
      </c>
      <c r="L42" s="9">
        <v>40</v>
      </c>
      <c r="M42" s="185" t="str">
        <f>IF(phc_8[[#This Row],[Register No.]]="","",C42&amp;"-"&amp;D42&amp;"-"&amp;"BHA-PHC-"&amp;phc_8[[#This Row],[Register No.]])</f>
        <v>Shining Star-Mobile Clinic-BHA-PHC-40</v>
      </c>
      <c r="N42" s="9" t="s">
        <v>401</v>
      </c>
      <c r="O42" s="183" t="s">
        <v>2115</v>
      </c>
      <c r="P42" s="183">
        <v>55</v>
      </c>
      <c r="Q42" s="183"/>
      <c r="R42" s="183"/>
      <c r="S42" s="186" t="str">
        <f t="shared" si="2"/>
        <v>50 yrs +</v>
      </c>
      <c r="T42" s="183" t="s">
        <v>603</v>
      </c>
      <c r="U42" s="9" t="s">
        <v>2001</v>
      </c>
      <c r="V42" s="183" t="s">
        <v>2118</v>
      </c>
      <c r="W42" s="183" t="s">
        <v>2014</v>
      </c>
      <c r="X42" s="183" t="s">
        <v>2014</v>
      </c>
      <c r="Y42" s="186" t="str">
        <f>INDEX(info!$Y$2:$Y$192,MATCH(phc_8[[#This Row],[Sub_Category]],info!$X$2:$X$192,0))</f>
        <v>Other (non-communicable)</v>
      </c>
      <c r="Z42" s="186" t="str">
        <f t="array" ref="Z42">INDEX(info!$AA$2:$AA$192,MATCH(PHC!$X42&amp;PHC!$Y42,info!$X$2:$X$192&amp;info!$Y$2:$Y$192,0))</f>
        <v>Other</v>
      </c>
      <c r="AA42" s="183" t="s">
        <v>2123</v>
      </c>
      <c r="AB42" s="9" t="s">
        <v>654</v>
      </c>
      <c r="AC42" s="9" t="s">
        <v>654</v>
      </c>
      <c r="AD42" s="9" t="s">
        <v>654</v>
      </c>
      <c r="AE42" s="9" t="s">
        <v>654</v>
      </c>
      <c r="AF42" s="184"/>
      <c r="AG42" s="183"/>
      <c r="AH42" s="183"/>
      <c r="AI42" s="183"/>
      <c r="AJ42" s="183"/>
      <c r="AK42" s="9" t="s">
        <v>654</v>
      </c>
      <c r="AL42" s="183"/>
      <c r="AM42" s="186" t="str">
        <f>IF(AF42="","","Q"&amp;INT((MONTH(AF42)-1)/3)+1&amp;YEAR(AF42)&amp;#REF!&amp;T42)</f>
        <v/>
      </c>
      <c r="AN42" s="186" t="e">
        <f>IF(K42="","","Q"&amp;INT((MONTH(K42)-1)/3)+1&amp;YEAR(K42)&amp;#REF!)</f>
        <v>#REF!</v>
      </c>
    </row>
    <row r="43" spans="1:40" s="216" customFormat="1" ht="20.100000000000001" customHeight="1" x14ac:dyDescent="0.25">
      <c r="A43" s="182">
        <v>41</v>
      </c>
      <c r="B43" s="182" t="s">
        <v>399</v>
      </c>
      <c r="C43" s="182" t="s">
        <v>1997</v>
      </c>
      <c r="D43" s="182" t="s">
        <v>2416</v>
      </c>
      <c r="E43" s="182" t="s">
        <v>1998</v>
      </c>
      <c r="F43" s="183" t="s">
        <v>1999</v>
      </c>
      <c r="G43" s="183"/>
      <c r="H43" s="183" t="s">
        <v>2001</v>
      </c>
      <c r="I43" s="183" t="s">
        <v>579</v>
      </c>
      <c r="J43" s="183"/>
      <c r="K43" s="184">
        <v>46037</v>
      </c>
      <c r="L43" s="183">
        <v>41</v>
      </c>
      <c r="M43" s="186" t="str">
        <f>IF(phc_8[[#This Row],[Register No.]]="","",C43&amp;"-"&amp;D43&amp;"-"&amp;"BHA-PHC-"&amp;phc_8[[#This Row],[Register No.]])</f>
        <v>Shining Star-Mobile Clinic-BHA-PHC-41</v>
      </c>
      <c r="N43" s="183" t="s">
        <v>401</v>
      </c>
      <c r="O43" s="183" t="s">
        <v>2124</v>
      </c>
      <c r="P43" s="183">
        <v>27</v>
      </c>
      <c r="Q43" s="183"/>
      <c r="R43" s="183"/>
      <c r="S43" s="186" t="str">
        <f t="shared" si="2"/>
        <v>19 - 49 yrs</v>
      </c>
      <c r="T43" s="183" t="s">
        <v>603</v>
      </c>
      <c r="U43" s="183" t="s">
        <v>2001</v>
      </c>
      <c r="V43" s="183" t="s">
        <v>2129</v>
      </c>
      <c r="W43" s="183" t="s">
        <v>294</v>
      </c>
      <c r="X43" s="183" t="s">
        <v>294</v>
      </c>
      <c r="Y43" s="186" t="str">
        <f>INDEX(info!$Y$2:$Y$192,MATCH(phc_8[[#This Row],[Sub_Category]],info!$X$2:$X$192,0))</f>
        <v>Other (non-communicable)</v>
      </c>
      <c r="Z43" s="186" t="str">
        <f t="array" ref="Z43">INDEX(info!$AA$2:$AA$192,MATCH(PHC!$X43&amp;PHC!$Y43,info!$X$2:$X$192&amp;info!$Y$2:$Y$192,0))</f>
        <v>Other</v>
      </c>
      <c r="AA43" s="183" t="s">
        <v>2134</v>
      </c>
      <c r="AB43" s="9" t="s">
        <v>654</v>
      </c>
      <c r="AC43" s="9" t="s">
        <v>654</v>
      </c>
      <c r="AD43" s="9" t="s">
        <v>654</v>
      </c>
      <c r="AE43" s="9" t="s">
        <v>654</v>
      </c>
      <c r="AF43" s="184"/>
      <c r="AG43" s="183"/>
      <c r="AH43" s="183"/>
      <c r="AI43" s="183"/>
      <c r="AJ43" s="183"/>
      <c r="AK43" s="9" t="s">
        <v>654</v>
      </c>
      <c r="AL43" s="183"/>
      <c r="AM43" s="186" t="str">
        <f>IF(AF43="","","Q"&amp;INT((MONTH(AF43)-1)/3)+1&amp;YEAR(AF43)&amp;#REF!&amp;T43)</f>
        <v/>
      </c>
      <c r="AN43" s="186" t="e">
        <f>IF(K43="","","Q"&amp;INT((MONTH(K43)-1)/3)+1&amp;YEAR(K43)&amp;#REF!)</f>
        <v>#REF!</v>
      </c>
    </row>
    <row r="44" spans="1:40" ht="20.100000000000001" customHeight="1" x14ac:dyDescent="0.25">
      <c r="A44" s="8">
        <v>42</v>
      </c>
      <c r="B44" s="8" t="s">
        <v>399</v>
      </c>
      <c r="C44" s="8" t="s">
        <v>1997</v>
      </c>
      <c r="D44" s="8" t="s">
        <v>2416</v>
      </c>
      <c r="E44" s="8" t="s">
        <v>1998</v>
      </c>
      <c r="F44" s="9" t="s">
        <v>1999</v>
      </c>
      <c r="G44" s="183"/>
      <c r="H44" s="9" t="s">
        <v>2001</v>
      </c>
      <c r="I44" s="9" t="s">
        <v>579</v>
      </c>
      <c r="J44" s="183"/>
      <c r="K44" s="10">
        <v>46037</v>
      </c>
      <c r="L44" s="9">
        <v>42</v>
      </c>
      <c r="M44" s="185" t="str">
        <f>IF(phc_8[[#This Row],[Register No.]]="","",C44&amp;"-"&amp;D44&amp;"-"&amp;"BHA-PHC-"&amp;phc_8[[#This Row],[Register No.]])</f>
        <v>Shining Star-Mobile Clinic-BHA-PHC-42</v>
      </c>
      <c r="N44" s="9" t="s">
        <v>401</v>
      </c>
      <c r="O44" s="183" t="s">
        <v>2125</v>
      </c>
      <c r="P44" s="183">
        <v>41</v>
      </c>
      <c r="Q44" s="183"/>
      <c r="R44" s="183"/>
      <c r="S44" s="186" t="str">
        <f t="shared" si="2"/>
        <v>19 - 49 yrs</v>
      </c>
      <c r="T44" s="183" t="s">
        <v>603</v>
      </c>
      <c r="U44" s="9" t="s">
        <v>2001</v>
      </c>
      <c r="V44" s="183" t="s">
        <v>2130</v>
      </c>
      <c r="W44" s="183" t="s">
        <v>218</v>
      </c>
      <c r="X44" s="183" t="s">
        <v>218</v>
      </c>
      <c r="Y44" s="186" t="str">
        <f>INDEX(info!$Y$2:$Y$192,MATCH(phc_8[[#This Row],[Sub_Category]],info!$X$2:$X$192,0))</f>
        <v>Genito-urinary diseases</v>
      </c>
      <c r="Z44" s="186" t="str">
        <f t="array" ref="Z44">INDEX(info!$AA$2:$AA$192,MATCH(PHC!$X44&amp;PHC!$Y44,info!$X$2:$X$192&amp;info!$Y$2:$Y$192,0))</f>
        <v>Communicable disease</v>
      </c>
      <c r="AA44" s="183" t="s">
        <v>2135</v>
      </c>
      <c r="AB44" s="9" t="s">
        <v>654</v>
      </c>
      <c r="AC44" s="9" t="s">
        <v>654</v>
      </c>
      <c r="AD44" s="9" t="s">
        <v>654</v>
      </c>
      <c r="AE44" s="9" t="s">
        <v>654</v>
      </c>
      <c r="AF44" s="184"/>
      <c r="AG44" s="183"/>
      <c r="AH44" s="183"/>
      <c r="AI44" s="183"/>
      <c r="AJ44" s="183"/>
      <c r="AK44" s="9" t="s">
        <v>654</v>
      </c>
      <c r="AL44" s="183"/>
      <c r="AM44" s="186" t="str">
        <f>IF(AF44="","","Q"&amp;INT((MONTH(AF44)-1)/3)+1&amp;YEAR(AF44)&amp;#REF!&amp;T44)</f>
        <v/>
      </c>
      <c r="AN44" s="186" t="e">
        <f>IF(K44="","","Q"&amp;INT((MONTH(K44)-1)/3)+1&amp;YEAR(K44)&amp;#REF!)</f>
        <v>#REF!</v>
      </c>
    </row>
    <row r="45" spans="1:40" ht="20.100000000000001" customHeight="1" x14ac:dyDescent="0.25">
      <c r="A45" s="8">
        <v>43</v>
      </c>
      <c r="B45" s="8" t="s">
        <v>399</v>
      </c>
      <c r="C45" s="8" t="s">
        <v>1997</v>
      </c>
      <c r="D45" s="8" t="s">
        <v>2416</v>
      </c>
      <c r="E45" s="8" t="s">
        <v>1998</v>
      </c>
      <c r="F45" s="9" t="s">
        <v>1999</v>
      </c>
      <c r="G45" s="183"/>
      <c r="H45" s="9" t="s">
        <v>2001</v>
      </c>
      <c r="I45" s="9" t="s">
        <v>579</v>
      </c>
      <c r="J45" s="183"/>
      <c r="K45" s="10">
        <v>46037</v>
      </c>
      <c r="L45" s="9">
        <v>43</v>
      </c>
      <c r="M45" s="185" t="str">
        <f>IF(phc_8[[#This Row],[Register No.]]="","",C45&amp;"-"&amp;D45&amp;"-"&amp;"BHA-PHC-"&amp;phc_8[[#This Row],[Register No.]])</f>
        <v>Shining Star-Mobile Clinic-BHA-PHC-43</v>
      </c>
      <c r="N45" s="9" t="s">
        <v>401</v>
      </c>
      <c r="O45" s="183" t="s">
        <v>2126</v>
      </c>
      <c r="P45" s="183">
        <v>63</v>
      </c>
      <c r="Q45" s="183"/>
      <c r="R45" s="183"/>
      <c r="S45" s="186" t="str">
        <f t="shared" si="2"/>
        <v>50 yrs +</v>
      </c>
      <c r="T45" s="183" t="s">
        <v>603</v>
      </c>
      <c r="U45" s="9" t="s">
        <v>2001</v>
      </c>
      <c r="V45" s="183" t="s">
        <v>2129</v>
      </c>
      <c r="W45" s="183" t="s">
        <v>2059</v>
      </c>
      <c r="X45" s="183" t="s">
        <v>2014</v>
      </c>
      <c r="Y45" s="186" t="str">
        <f>INDEX(info!$Y$2:$Y$192,MATCH(phc_8[[#This Row],[Sub_Category]],info!$X$2:$X$192,0))</f>
        <v>Other (non-communicable)</v>
      </c>
      <c r="Z45" s="186" t="str">
        <f t="array" ref="Z45">INDEX(info!$AA$2:$AA$192,MATCH(PHC!$X45&amp;PHC!$Y45,info!$X$2:$X$192&amp;info!$Y$2:$Y$192,0))</f>
        <v>Other</v>
      </c>
      <c r="AA45" s="183" t="s">
        <v>2017</v>
      </c>
      <c r="AB45" s="9" t="s">
        <v>654</v>
      </c>
      <c r="AC45" s="9" t="s">
        <v>654</v>
      </c>
      <c r="AD45" s="9" t="s">
        <v>654</v>
      </c>
      <c r="AE45" s="9" t="s">
        <v>654</v>
      </c>
      <c r="AF45" s="184"/>
      <c r="AG45" s="183"/>
      <c r="AH45" s="183"/>
      <c r="AI45" s="183"/>
      <c r="AJ45" s="183"/>
      <c r="AK45" s="9" t="s">
        <v>654</v>
      </c>
      <c r="AL45" s="183"/>
      <c r="AM45" s="186" t="str">
        <f>IF(AF45="","","Q"&amp;INT((MONTH(AF45)-1)/3)+1&amp;YEAR(AF45)&amp;#REF!&amp;T45)</f>
        <v/>
      </c>
      <c r="AN45" s="186" t="e">
        <f>IF(K45="","","Q"&amp;INT((MONTH(K45)-1)/3)+1&amp;YEAR(K45)&amp;#REF!)</f>
        <v>#REF!</v>
      </c>
    </row>
    <row r="46" spans="1:40" ht="20.100000000000001" customHeight="1" x14ac:dyDescent="0.25">
      <c r="A46" s="8">
        <v>44</v>
      </c>
      <c r="B46" s="8" t="s">
        <v>399</v>
      </c>
      <c r="C46" s="8" t="s">
        <v>1997</v>
      </c>
      <c r="D46" s="8" t="s">
        <v>2416</v>
      </c>
      <c r="E46" s="8" t="s">
        <v>1998</v>
      </c>
      <c r="F46" s="9" t="s">
        <v>1999</v>
      </c>
      <c r="G46" s="183"/>
      <c r="H46" s="9" t="s">
        <v>2001</v>
      </c>
      <c r="I46" s="9" t="s">
        <v>579</v>
      </c>
      <c r="J46" s="183"/>
      <c r="K46" s="10">
        <v>46037</v>
      </c>
      <c r="L46" s="9">
        <v>44</v>
      </c>
      <c r="M46" s="185" t="str">
        <f>IF(phc_8[[#This Row],[Register No.]]="","",C46&amp;"-"&amp;D46&amp;"-"&amp;"BHA-PHC-"&amp;phc_8[[#This Row],[Register No.]])</f>
        <v>Shining Star-Mobile Clinic-BHA-PHC-44</v>
      </c>
      <c r="N46" s="9" t="s">
        <v>401</v>
      </c>
      <c r="O46" s="183" t="s">
        <v>2127</v>
      </c>
      <c r="P46" s="183">
        <v>50</v>
      </c>
      <c r="Q46" s="183"/>
      <c r="R46" s="183"/>
      <c r="S46" s="186" t="str">
        <f t="shared" ref="S46:S77" si="3">IF(AND(ISBLANK(P46),ISBLANK(Q46),ISBLANK(R46))," ",
IF(OR(P46&lt;5,AND(P46=" ",Q46&lt;&gt;" ",R46&lt;&gt;" ")),"&lt;5 yrs",
IF(AND(P46&gt;=5,P46&lt;=14),"5 - 14 yrs",
IF(AND(P46&gt;=15,P46&lt;=18),"15 - 18 yrs",
IF(AND(P46&gt;=19,P46&lt;=49),"19 - 49 yrs","50 yrs +")))))</f>
        <v>50 yrs +</v>
      </c>
      <c r="T46" s="183" t="s">
        <v>603</v>
      </c>
      <c r="U46" s="9" t="s">
        <v>2001</v>
      </c>
      <c r="V46" s="183" t="s">
        <v>2131</v>
      </c>
      <c r="W46" s="183" t="s">
        <v>2059</v>
      </c>
      <c r="X46" s="183" t="s">
        <v>2014</v>
      </c>
      <c r="Y46" s="186" t="str">
        <f>INDEX(info!$Y$2:$Y$192,MATCH(phc_8[[#This Row],[Sub_Category]],info!$X$2:$X$192,0))</f>
        <v>Other (non-communicable)</v>
      </c>
      <c r="Z46" s="186" t="str">
        <f t="array" ref="Z46">INDEX(info!$AA$2:$AA$192,MATCH(PHC!$X46&amp;PHC!$Y46,info!$X$2:$X$192&amp;info!$Y$2:$Y$192,0))</f>
        <v>Other</v>
      </c>
      <c r="AA46" s="183" t="s">
        <v>2136</v>
      </c>
      <c r="AB46" s="9" t="s">
        <v>654</v>
      </c>
      <c r="AC46" s="9" t="s">
        <v>654</v>
      </c>
      <c r="AD46" s="9" t="s">
        <v>654</v>
      </c>
      <c r="AE46" s="9" t="s">
        <v>654</v>
      </c>
      <c r="AF46" s="184"/>
      <c r="AG46" s="183"/>
      <c r="AH46" s="183"/>
      <c r="AI46" s="183"/>
      <c r="AJ46" s="183"/>
      <c r="AK46" s="9" t="s">
        <v>654</v>
      </c>
      <c r="AL46" s="183"/>
      <c r="AM46" s="186" t="str">
        <f>IF(AF46="","","Q"&amp;INT((MONTH(AF46)-1)/3)+1&amp;YEAR(AF46)&amp;#REF!&amp;T46)</f>
        <v/>
      </c>
      <c r="AN46" s="186" t="e">
        <f>IF(K46="","","Q"&amp;INT((MONTH(K46)-1)/3)+1&amp;YEAR(K46)&amp;#REF!)</f>
        <v>#REF!</v>
      </c>
    </row>
    <row r="47" spans="1:40" ht="20.100000000000001" customHeight="1" x14ac:dyDescent="0.25">
      <c r="A47" s="8">
        <v>45</v>
      </c>
      <c r="B47" s="8" t="s">
        <v>399</v>
      </c>
      <c r="C47" s="8" t="s">
        <v>1997</v>
      </c>
      <c r="D47" s="8" t="s">
        <v>2416</v>
      </c>
      <c r="E47" s="8" t="s">
        <v>1998</v>
      </c>
      <c r="F47" s="9" t="s">
        <v>1999</v>
      </c>
      <c r="G47" s="183"/>
      <c r="H47" s="9" t="s">
        <v>2001</v>
      </c>
      <c r="I47" s="9" t="s">
        <v>579</v>
      </c>
      <c r="J47" s="183"/>
      <c r="K47" s="10">
        <v>46037</v>
      </c>
      <c r="L47" s="9">
        <v>45</v>
      </c>
      <c r="M47" s="185" t="str">
        <f>IF(phc_8[[#This Row],[Register No.]]="","",C47&amp;"-"&amp;D47&amp;"-"&amp;"BHA-PHC-"&amp;phc_8[[#This Row],[Register No.]])</f>
        <v>Shining Star-Mobile Clinic-BHA-PHC-45</v>
      </c>
      <c r="N47" s="9" t="s">
        <v>401</v>
      </c>
      <c r="O47" s="183" t="s">
        <v>2128</v>
      </c>
      <c r="P47" s="183">
        <v>55</v>
      </c>
      <c r="Q47" s="183"/>
      <c r="R47" s="183"/>
      <c r="S47" s="186" t="str">
        <f t="shared" si="3"/>
        <v>50 yrs +</v>
      </c>
      <c r="T47" s="183" t="s">
        <v>603</v>
      </c>
      <c r="U47" s="9" t="s">
        <v>2001</v>
      </c>
      <c r="V47" s="183" t="s">
        <v>2132</v>
      </c>
      <c r="W47" s="183" t="s">
        <v>2133</v>
      </c>
      <c r="X47" s="183" t="s">
        <v>108</v>
      </c>
      <c r="Y47" s="186" t="str">
        <f>INDEX(info!$Y$2:$Y$192,MATCH(phc_8[[#This Row],[Sub_Category]],info!$X$2:$X$192,0))</f>
        <v>ARI/RTI</v>
      </c>
      <c r="Z47" s="186" t="str">
        <f t="array" ref="Z47">INDEX(info!$AA$2:$AA$192,MATCH(PHC!$X47&amp;PHC!$Y47,info!$X$2:$X$192&amp;info!$Y$2:$Y$192,0))</f>
        <v>Communicable disease</v>
      </c>
      <c r="AA47" s="183" t="s">
        <v>2137</v>
      </c>
      <c r="AB47" s="9" t="s">
        <v>654</v>
      </c>
      <c r="AC47" s="9" t="s">
        <v>654</v>
      </c>
      <c r="AD47" s="9" t="s">
        <v>654</v>
      </c>
      <c r="AE47" s="9" t="s">
        <v>654</v>
      </c>
      <c r="AF47" s="184"/>
      <c r="AG47" s="183"/>
      <c r="AH47" s="183"/>
      <c r="AI47" s="183"/>
      <c r="AJ47" s="183"/>
      <c r="AK47" s="9" t="s">
        <v>654</v>
      </c>
      <c r="AL47" s="183"/>
      <c r="AM47" s="186" t="str">
        <f>IF(AF47="","","Q"&amp;INT((MONTH(AF47)-1)/3)+1&amp;YEAR(AF47)&amp;#REF!&amp;T47)</f>
        <v/>
      </c>
      <c r="AN47" s="186" t="e">
        <f>IF(K47="","","Q"&amp;INT((MONTH(K47)-1)/3)+1&amp;YEAR(K47)&amp;#REF!)</f>
        <v>#REF!</v>
      </c>
    </row>
    <row r="48" spans="1:40" ht="20.100000000000001" customHeight="1" x14ac:dyDescent="0.25">
      <c r="A48" s="8">
        <v>46</v>
      </c>
      <c r="B48" s="8" t="s">
        <v>399</v>
      </c>
      <c r="C48" s="8" t="s">
        <v>1997</v>
      </c>
      <c r="D48" s="8" t="s">
        <v>2416</v>
      </c>
      <c r="E48" s="8" t="s">
        <v>1998</v>
      </c>
      <c r="F48" s="9" t="s">
        <v>1999</v>
      </c>
      <c r="G48" s="183"/>
      <c r="H48" s="9" t="s">
        <v>2001</v>
      </c>
      <c r="I48" s="9" t="s">
        <v>579</v>
      </c>
      <c r="J48" s="183"/>
      <c r="K48" s="10">
        <v>46037</v>
      </c>
      <c r="L48" s="9">
        <v>46</v>
      </c>
      <c r="M48" s="185" t="str">
        <f>IF(phc_8[[#This Row],[Register No.]]="","",C48&amp;"-"&amp;D48&amp;"-"&amp;"BHA-PHC-"&amp;phc_8[[#This Row],[Register No.]])</f>
        <v>Shining Star-Mobile Clinic-BHA-PHC-46</v>
      </c>
      <c r="N48" s="9" t="s">
        <v>401</v>
      </c>
      <c r="O48" s="183" t="s">
        <v>2138</v>
      </c>
      <c r="P48" s="183">
        <v>59</v>
      </c>
      <c r="Q48" s="183"/>
      <c r="R48" s="183"/>
      <c r="S48" s="186" t="str">
        <f t="shared" si="3"/>
        <v>50 yrs +</v>
      </c>
      <c r="T48" s="183" t="s">
        <v>402</v>
      </c>
      <c r="U48" s="9" t="s">
        <v>2001</v>
      </c>
      <c r="V48" s="183" t="s">
        <v>2143</v>
      </c>
      <c r="W48" s="183" t="s">
        <v>2059</v>
      </c>
      <c r="X48" s="183" t="s">
        <v>2014</v>
      </c>
      <c r="Y48" s="186" t="str">
        <f>INDEX(info!$Y$2:$Y$192,MATCH(phc_8[[#This Row],[Sub_Category]],info!$X$2:$X$192,0))</f>
        <v>Other (non-communicable)</v>
      </c>
      <c r="Z48" s="186" t="str">
        <f t="array" ref="Z48">INDEX(info!$AA$2:$AA$192,MATCH(PHC!$X48&amp;PHC!$Y48,info!$X$2:$X$192&amp;info!$Y$2:$Y$192,0))</f>
        <v>Other</v>
      </c>
      <c r="AA48" s="183" t="s">
        <v>2148</v>
      </c>
      <c r="AB48" s="9" t="s">
        <v>654</v>
      </c>
      <c r="AC48" s="9" t="s">
        <v>654</v>
      </c>
      <c r="AD48" s="9" t="s">
        <v>654</v>
      </c>
      <c r="AE48" s="9" t="s">
        <v>654</v>
      </c>
      <c r="AF48" s="184"/>
      <c r="AG48" s="183"/>
      <c r="AH48" s="183"/>
      <c r="AI48" s="183"/>
      <c r="AJ48" s="183"/>
      <c r="AK48" s="9" t="s">
        <v>654</v>
      </c>
      <c r="AL48" s="183"/>
      <c r="AM48" s="186" t="str">
        <f>IF(AF48="","","Q"&amp;INT((MONTH(AF48)-1)/3)+1&amp;YEAR(AF48)&amp;#REF!&amp;T48)</f>
        <v/>
      </c>
      <c r="AN48" s="186" t="e">
        <f>IF(K48="","","Q"&amp;INT((MONTH(K48)-1)/3)+1&amp;YEAR(K48)&amp;#REF!)</f>
        <v>#REF!</v>
      </c>
    </row>
    <row r="49" spans="1:40" s="216" customFormat="1" ht="20.100000000000001" customHeight="1" x14ac:dyDescent="0.25">
      <c r="A49" s="182">
        <v>47</v>
      </c>
      <c r="B49" s="182" t="s">
        <v>399</v>
      </c>
      <c r="C49" s="182" t="s">
        <v>1997</v>
      </c>
      <c r="D49" s="8" t="s">
        <v>2416</v>
      </c>
      <c r="E49" s="182" t="s">
        <v>1998</v>
      </c>
      <c r="F49" s="9" t="s">
        <v>1999</v>
      </c>
      <c r="G49" s="183"/>
      <c r="H49" s="9" t="s">
        <v>2001</v>
      </c>
      <c r="I49" s="9" t="s">
        <v>579</v>
      </c>
      <c r="J49" s="183"/>
      <c r="K49" s="10">
        <v>46037</v>
      </c>
      <c r="L49" s="183">
        <v>47</v>
      </c>
      <c r="M49" s="186" t="str">
        <f>IF(phc_8[[#This Row],[Register No.]]="","",C49&amp;"-"&amp;D49&amp;"-"&amp;"BHA-PHC-"&amp;phc_8[[#This Row],[Register No.]])</f>
        <v>Shining Star-Mobile Clinic-BHA-PHC-47</v>
      </c>
      <c r="N49" s="183" t="s">
        <v>401</v>
      </c>
      <c r="O49" s="183" t="s">
        <v>2139</v>
      </c>
      <c r="P49" s="183">
        <v>3</v>
      </c>
      <c r="Q49" s="183"/>
      <c r="R49" s="183"/>
      <c r="S49" s="190" t="str">
        <f t="shared" si="3"/>
        <v>&lt;5 yrs</v>
      </c>
      <c r="T49" s="183" t="s">
        <v>603</v>
      </c>
      <c r="U49" s="183" t="s">
        <v>2001</v>
      </c>
      <c r="V49" s="183" t="s">
        <v>2144</v>
      </c>
      <c r="W49" s="183" t="s">
        <v>3071</v>
      </c>
      <c r="X49" s="183" t="s">
        <v>113</v>
      </c>
      <c r="Y49" s="186" t="str">
        <f>INDEX(info!$Y$2:$Y$192,MATCH(phc_8[[#This Row],[Sub_Category]],info!$X$2:$X$192,0))</f>
        <v>ARI/RTI</v>
      </c>
      <c r="Z49" s="186" t="str">
        <f t="array" ref="Z49">INDEX(info!$AA$2:$AA$192,MATCH(PHC!$X49&amp;PHC!$Y49,info!$X$2:$X$192&amp;info!$Y$2:$Y$192,0))</f>
        <v>Communicable disease</v>
      </c>
      <c r="AA49" s="183" t="s">
        <v>2149</v>
      </c>
      <c r="AB49" s="9" t="s">
        <v>654</v>
      </c>
      <c r="AC49" s="9" t="s">
        <v>654</v>
      </c>
      <c r="AD49" s="9" t="s">
        <v>654</v>
      </c>
      <c r="AE49" s="9" t="s">
        <v>654</v>
      </c>
      <c r="AF49" s="184"/>
      <c r="AG49" s="183"/>
      <c r="AH49" s="183"/>
      <c r="AI49" s="183"/>
      <c r="AJ49" s="183"/>
      <c r="AK49" s="9" t="s">
        <v>654</v>
      </c>
      <c r="AL49" s="183"/>
      <c r="AM49" s="186" t="str">
        <f>IF(AF49="","","Q"&amp;INT((MONTH(AF49)-1)/3)+1&amp;YEAR(AF49)&amp;#REF!&amp;T49)</f>
        <v/>
      </c>
      <c r="AN49" s="186" t="e">
        <f>IF(K49="","","Q"&amp;INT((MONTH(K49)-1)/3)+1&amp;YEAR(K49)&amp;#REF!)</f>
        <v>#REF!</v>
      </c>
    </row>
    <row r="50" spans="1:40" ht="20.100000000000001" customHeight="1" x14ac:dyDescent="0.25">
      <c r="A50" s="8">
        <v>48</v>
      </c>
      <c r="B50" s="8" t="s">
        <v>399</v>
      </c>
      <c r="C50" s="8" t="s">
        <v>1997</v>
      </c>
      <c r="D50" s="8" t="s">
        <v>2416</v>
      </c>
      <c r="E50" s="8" t="s">
        <v>1998</v>
      </c>
      <c r="F50" s="9" t="s">
        <v>1999</v>
      </c>
      <c r="G50" s="183"/>
      <c r="H50" s="9" t="s">
        <v>2001</v>
      </c>
      <c r="I50" s="9" t="s">
        <v>579</v>
      </c>
      <c r="J50" s="183"/>
      <c r="K50" s="10">
        <v>46037</v>
      </c>
      <c r="L50" s="9">
        <v>48</v>
      </c>
      <c r="M50" s="185" t="str">
        <f>IF(phc_8[[#This Row],[Register No.]]="","",C50&amp;"-"&amp;D50&amp;"-"&amp;"BHA-PHC-"&amp;phc_8[[#This Row],[Register No.]])</f>
        <v>Shining Star-Mobile Clinic-BHA-PHC-48</v>
      </c>
      <c r="N50" s="9" t="s">
        <v>401</v>
      </c>
      <c r="O50" s="183" t="s">
        <v>2140</v>
      </c>
      <c r="P50" s="183">
        <v>46</v>
      </c>
      <c r="Q50" s="183"/>
      <c r="R50" s="183"/>
      <c r="S50" s="186" t="str">
        <f t="shared" si="3"/>
        <v>19 - 49 yrs</v>
      </c>
      <c r="T50" s="183" t="s">
        <v>603</v>
      </c>
      <c r="U50" s="9" t="s">
        <v>2001</v>
      </c>
      <c r="V50" s="183" t="s">
        <v>2145</v>
      </c>
      <c r="W50" s="183" t="s">
        <v>294</v>
      </c>
      <c r="X50" s="183" t="s">
        <v>294</v>
      </c>
      <c r="Y50" s="186" t="str">
        <f>INDEX(info!$Y$2:$Y$192,MATCH(phc_8[[#This Row],[Sub_Category]],info!$X$2:$X$192,0))</f>
        <v>Other (non-communicable)</v>
      </c>
      <c r="Z50" s="186" t="str">
        <f t="array" ref="Z50">INDEX(info!$AA$2:$AA$192,MATCH(PHC!$X50&amp;PHC!$Y50,info!$X$2:$X$192&amp;info!$Y$2:$Y$192,0))</f>
        <v>Other</v>
      </c>
      <c r="AA50" s="183" t="s">
        <v>2150</v>
      </c>
      <c r="AB50" s="9" t="s">
        <v>654</v>
      </c>
      <c r="AC50" s="9" t="s">
        <v>654</v>
      </c>
      <c r="AD50" s="9" t="s">
        <v>654</v>
      </c>
      <c r="AE50" s="9" t="s">
        <v>654</v>
      </c>
      <c r="AF50" s="184"/>
      <c r="AG50" s="183"/>
      <c r="AH50" s="183"/>
      <c r="AI50" s="183"/>
      <c r="AJ50" s="183"/>
      <c r="AK50" s="9" t="s">
        <v>654</v>
      </c>
      <c r="AL50" s="183"/>
      <c r="AM50" s="186" t="str">
        <f>IF(AF50="","","Q"&amp;INT((MONTH(AF50)-1)/3)+1&amp;YEAR(AF50)&amp;#REF!&amp;T50)</f>
        <v/>
      </c>
      <c r="AN50" s="186" t="e">
        <f>IF(K50="","","Q"&amp;INT((MONTH(K50)-1)/3)+1&amp;YEAR(K50)&amp;#REF!)</f>
        <v>#REF!</v>
      </c>
    </row>
    <row r="51" spans="1:40" ht="20.100000000000001" customHeight="1" x14ac:dyDescent="0.25">
      <c r="A51" s="8">
        <v>49</v>
      </c>
      <c r="B51" s="8" t="s">
        <v>399</v>
      </c>
      <c r="C51" s="8" t="s">
        <v>1997</v>
      </c>
      <c r="D51" s="8" t="s">
        <v>2416</v>
      </c>
      <c r="E51" s="8" t="s">
        <v>1998</v>
      </c>
      <c r="F51" s="9" t="s">
        <v>1999</v>
      </c>
      <c r="G51" s="183"/>
      <c r="H51" s="9" t="s">
        <v>2001</v>
      </c>
      <c r="I51" s="9" t="s">
        <v>579</v>
      </c>
      <c r="J51" s="183"/>
      <c r="K51" s="10">
        <v>46037</v>
      </c>
      <c r="L51" s="9">
        <v>49</v>
      </c>
      <c r="M51" s="185" t="str">
        <f>IF(phc_8[[#This Row],[Register No.]]="","",C51&amp;"-"&amp;D51&amp;"-"&amp;"BHA-PHC-"&amp;phc_8[[#This Row],[Register No.]])</f>
        <v>Shining Star-Mobile Clinic-BHA-PHC-49</v>
      </c>
      <c r="N51" s="9" t="s">
        <v>401</v>
      </c>
      <c r="O51" s="183" t="s">
        <v>2141</v>
      </c>
      <c r="P51" s="183">
        <v>37</v>
      </c>
      <c r="Q51" s="183"/>
      <c r="R51" s="183"/>
      <c r="S51" s="186" t="str">
        <f t="shared" si="3"/>
        <v>19 - 49 yrs</v>
      </c>
      <c r="T51" s="183" t="s">
        <v>603</v>
      </c>
      <c r="U51" s="9" t="s">
        <v>2001</v>
      </c>
      <c r="V51" s="183" t="s">
        <v>2146</v>
      </c>
      <c r="W51" s="183" t="s">
        <v>2014</v>
      </c>
      <c r="X51" s="183" t="s">
        <v>2014</v>
      </c>
      <c r="Y51" s="186" t="str">
        <f>INDEX(info!$Y$2:$Y$192,MATCH(phc_8[[#This Row],[Sub_Category]],info!$X$2:$X$192,0))</f>
        <v>Other (non-communicable)</v>
      </c>
      <c r="Z51" s="186" t="str">
        <f t="array" ref="Z51">INDEX(info!$AA$2:$AA$192,MATCH(PHC!$X51&amp;PHC!$Y51,info!$X$2:$X$192&amp;info!$Y$2:$Y$192,0))</f>
        <v>Other</v>
      </c>
      <c r="AA51" s="183" t="s">
        <v>2151</v>
      </c>
      <c r="AB51" s="9" t="s">
        <v>654</v>
      </c>
      <c r="AC51" s="9" t="s">
        <v>654</v>
      </c>
      <c r="AD51" s="9" t="s">
        <v>654</v>
      </c>
      <c r="AE51" s="9" t="s">
        <v>654</v>
      </c>
      <c r="AF51" s="184"/>
      <c r="AG51" s="183"/>
      <c r="AH51" s="183"/>
      <c r="AI51" s="183"/>
      <c r="AJ51" s="183"/>
      <c r="AK51" s="9" t="s">
        <v>654</v>
      </c>
      <c r="AL51" s="183"/>
      <c r="AM51" s="186" t="str">
        <f>IF(AF51="","","Q"&amp;INT((MONTH(AF51)-1)/3)+1&amp;YEAR(AF51)&amp;#REF!&amp;T51)</f>
        <v/>
      </c>
      <c r="AN51" s="186" t="e">
        <f>IF(K51="","","Q"&amp;INT((MONTH(K51)-1)/3)+1&amp;YEAR(K51)&amp;#REF!)</f>
        <v>#REF!</v>
      </c>
    </row>
    <row r="52" spans="1:40" ht="20.100000000000001" customHeight="1" x14ac:dyDescent="0.25">
      <c r="A52" s="8">
        <v>50</v>
      </c>
      <c r="B52" s="8" t="s">
        <v>399</v>
      </c>
      <c r="C52" s="8" t="s">
        <v>1997</v>
      </c>
      <c r="D52" s="8" t="s">
        <v>2416</v>
      </c>
      <c r="E52" s="8" t="s">
        <v>1998</v>
      </c>
      <c r="F52" s="9" t="s">
        <v>1999</v>
      </c>
      <c r="G52" s="183"/>
      <c r="H52" s="9" t="s">
        <v>2001</v>
      </c>
      <c r="I52" s="9" t="s">
        <v>579</v>
      </c>
      <c r="J52" s="183"/>
      <c r="K52" s="10">
        <v>46037</v>
      </c>
      <c r="L52" s="9">
        <v>50</v>
      </c>
      <c r="M52" s="185" t="str">
        <f>IF(phc_8[[#This Row],[Register No.]]="","",C52&amp;"-"&amp;D52&amp;"-"&amp;"BHA-PHC-"&amp;phc_8[[#This Row],[Register No.]])</f>
        <v>Shining Star-Mobile Clinic-BHA-PHC-50</v>
      </c>
      <c r="N52" s="9" t="s">
        <v>401</v>
      </c>
      <c r="O52" s="183" t="s">
        <v>2142</v>
      </c>
      <c r="P52" s="183">
        <v>45</v>
      </c>
      <c r="Q52" s="183"/>
      <c r="R52" s="183"/>
      <c r="S52" s="186" t="str">
        <f t="shared" si="3"/>
        <v>19 - 49 yrs</v>
      </c>
      <c r="T52" s="183" t="s">
        <v>603</v>
      </c>
      <c r="U52" s="9" t="s">
        <v>2001</v>
      </c>
      <c r="V52" s="183" t="s">
        <v>2147</v>
      </c>
      <c r="W52" s="183" t="s">
        <v>2059</v>
      </c>
      <c r="X52" s="183" t="s">
        <v>2014</v>
      </c>
      <c r="Y52" s="186" t="str">
        <f>INDEX(info!$Y$2:$Y$192,MATCH(phc_8[[#This Row],[Sub_Category]],info!$X$2:$X$192,0))</f>
        <v>Other (non-communicable)</v>
      </c>
      <c r="Z52" s="186" t="str">
        <f t="array" ref="Z52">INDEX(info!$AA$2:$AA$192,MATCH(PHC!$X52&amp;PHC!$Y52,info!$X$2:$X$192&amp;info!$Y$2:$Y$192,0))</f>
        <v>Other</v>
      </c>
      <c r="AA52" s="183" t="s">
        <v>2152</v>
      </c>
      <c r="AB52" s="9" t="s">
        <v>654</v>
      </c>
      <c r="AC52" s="9" t="s">
        <v>654</v>
      </c>
      <c r="AD52" s="9" t="s">
        <v>654</v>
      </c>
      <c r="AE52" s="9" t="s">
        <v>654</v>
      </c>
      <c r="AF52" s="184"/>
      <c r="AG52" s="183"/>
      <c r="AH52" s="183"/>
      <c r="AI52" s="183"/>
      <c r="AJ52" s="183"/>
      <c r="AK52" s="9" t="s">
        <v>654</v>
      </c>
      <c r="AL52" s="183"/>
      <c r="AM52" s="186" t="str">
        <f>IF(AF52="","","Q"&amp;INT((MONTH(AF52)-1)/3)+1&amp;YEAR(AF52)&amp;#REF!&amp;T52)</f>
        <v/>
      </c>
      <c r="AN52" s="186" t="e">
        <f>IF(K52="","","Q"&amp;INT((MONTH(K52)-1)/3)+1&amp;YEAR(K52)&amp;#REF!)</f>
        <v>#REF!</v>
      </c>
    </row>
    <row r="53" spans="1:40" ht="20.100000000000001" customHeight="1" x14ac:dyDescent="0.25">
      <c r="A53" s="8">
        <v>51</v>
      </c>
      <c r="B53" s="8" t="s">
        <v>399</v>
      </c>
      <c r="C53" s="8" t="s">
        <v>1997</v>
      </c>
      <c r="D53" s="8" t="s">
        <v>2416</v>
      </c>
      <c r="E53" s="8" t="s">
        <v>1998</v>
      </c>
      <c r="F53" s="9" t="s">
        <v>1999</v>
      </c>
      <c r="G53" s="183"/>
      <c r="H53" s="9" t="s">
        <v>2001</v>
      </c>
      <c r="I53" s="9" t="s">
        <v>579</v>
      </c>
      <c r="J53" s="183"/>
      <c r="K53" s="10">
        <v>46037</v>
      </c>
      <c r="L53" s="9">
        <v>51</v>
      </c>
      <c r="M53" s="185" t="str">
        <f>IF(phc_8[[#This Row],[Register No.]]="","",C53&amp;"-"&amp;D53&amp;"-"&amp;"BHA-PHC-"&amp;phc_8[[#This Row],[Register No.]])</f>
        <v>Shining Star-Mobile Clinic-BHA-PHC-51</v>
      </c>
      <c r="N53" s="9" t="s">
        <v>401</v>
      </c>
      <c r="O53" s="183" t="s">
        <v>2153</v>
      </c>
      <c r="P53" s="183">
        <v>68</v>
      </c>
      <c r="Q53" s="183"/>
      <c r="R53" s="183"/>
      <c r="S53" s="186" t="str">
        <f t="shared" si="3"/>
        <v>50 yrs +</v>
      </c>
      <c r="T53" s="183" t="s">
        <v>402</v>
      </c>
      <c r="U53" s="9" t="s">
        <v>2001</v>
      </c>
      <c r="V53" s="183" t="s">
        <v>2154</v>
      </c>
      <c r="W53" s="183" t="s">
        <v>2003</v>
      </c>
      <c r="X53" s="183" t="s">
        <v>181</v>
      </c>
      <c r="Y53" s="186" t="str">
        <f>INDEX(info!$Y$2:$Y$192,MATCH(phc_8[[#This Row],[Sub_Category]],info!$X$2:$X$192,0))</f>
        <v>Chronic medical disease</v>
      </c>
      <c r="Z53" s="186" t="str">
        <f t="array" ref="Z53">INDEX(info!$AA$2:$AA$192,MATCH(PHC!$X53&amp;PHC!$Y53,info!$X$2:$X$192&amp;info!$Y$2:$Y$192,0))</f>
        <v>Non-communicable disease</v>
      </c>
      <c r="AA53" s="183" t="s">
        <v>2155</v>
      </c>
      <c r="AB53" s="9" t="s">
        <v>654</v>
      </c>
      <c r="AC53" s="9" t="s">
        <v>654</v>
      </c>
      <c r="AD53" s="9" t="s">
        <v>654</v>
      </c>
      <c r="AE53" s="9" t="s">
        <v>654</v>
      </c>
      <c r="AF53" s="184"/>
      <c r="AG53" s="183"/>
      <c r="AH53" s="183"/>
      <c r="AI53" s="183"/>
      <c r="AJ53" s="183"/>
      <c r="AK53" s="9" t="s">
        <v>654</v>
      </c>
      <c r="AL53" s="183"/>
      <c r="AM53" s="186" t="str">
        <f>IF(AF53="","","Q"&amp;INT((MONTH(AF53)-1)/3)+1&amp;YEAR(AF53)&amp;#REF!&amp;T53)</f>
        <v/>
      </c>
      <c r="AN53" s="186" t="e">
        <f>IF(K53="","","Q"&amp;INT((MONTH(K53)-1)/3)+1&amp;YEAR(K53)&amp;#REF!)</f>
        <v>#REF!</v>
      </c>
    </row>
    <row r="54" spans="1:40" ht="20.100000000000001" customHeight="1" x14ac:dyDescent="0.25">
      <c r="A54" s="8">
        <v>52</v>
      </c>
      <c r="B54" s="8" t="s">
        <v>399</v>
      </c>
      <c r="C54" s="8" t="s">
        <v>1997</v>
      </c>
      <c r="D54" s="8" t="s">
        <v>2416</v>
      </c>
      <c r="E54" s="8" t="s">
        <v>1998</v>
      </c>
      <c r="F54" s="9" t="s">
        <v>1999</v>
      </c>
      <c r="G54" s="183"/>
      <c r="H54" s="9" t="s">
        <v>2001</v>
      </c>
      <c r="I54" s="9" t="s">
        <v>579</v>
      </c>
      <c r="J54" s="183"/>
      <c r="K54" s="10">
        <v>46037</v>
      </c>
      <c r="L54" s="9">
        <v>52</v>
      </c>
      <c r="M54" s="185" t="str">
        <f>IF(phc_8[[#This Row],[Register No.]]="","",C54&amp;"-"&amp;D54&amp;"-"&amp;"BHA-PHC-"&amp;phc_8[[#This Row],[Register No.]])</f>
        <v>Shining Star-Mobile Clinic-BHA-PHC-52</v>
      </c>
      <c r="N54" s="9" t="s">
        <v>401</v>
      </c>
      <c r="O54" s="183" t="s">
        <v>2156</v>
      </c>
      <c r="P54" s="183">
        <v>52</v>
      </c>
      <c r="Q54" s="183"/>
      <c r="R54" s="183"/>
      <c r="S54" s="186" t="str">
        <f t="shared" si="3"/>
        <v>50 yrs +</v>
      </c>
      <c r="T54" s="183" t="s">
        <v>603</v>
      </c>
      <c r="U54" s="9" t="s">
        <v>2001</v>
      </c>
      <c r="V54" s="183" t="s">
        <v>2157</v>
      </c>
      <c r="W54" s="183" t="s">
        <v>2059</v>
      </c>
      <c r="X54" s="183" t="s">
        <v>2014</v>
      </c>
      <c r="Y54" s="186" t="str">
        <f>INDEX(info!$Y$2:$Y$192,MATCH(phc_8[[#This Row],[Sub_Category]],info!$X$2:$X$192,0))</f>
        <v>Other (non-communicable)</v>
      </c>
      <c r="Z54" s="186" t="str">
        <f t="array" ref="Z54">INDEX(info!$AA$2:$AA$192,MATCH(PHC!$X54&amp;PHC!$Y54,info!$X$2:$X$192&amp;info!$Y$2:$Y$192,0))</f>
        <v>Other</v>
      </c>
      <c r="AA54" s="183" t="s">
        <v>2158</v>
      </c>
      <c r="AB54" s="9" t="s">
        <v>654</v>
      </c>
      <c r="AC54" s="9" t="s">
        <v>654</v>
      </c>
      <c r="AD54" s="9" t="s">
        <v>654</v>
      </c>
      <c r="AE54" s="9" t="s">
        <v>654</v>
      </c>
      <c r="AF54" s="184"/>
      <c r="AG54" s="183"/>
      <c r="AH54" s="183"/>
      <c r="AI54" s="183"/>
      <c r="AJ54" s="183"/>
      <c r="AK54" s="9" t="s">
        <v>654</v>
      </c>
      <c r="AL54" s="183"/>
      <c r="AM54" s="186" t="str">
        <f>IF(AF54="","","Q"&amp;INT((MONTH(AF54)-1)/3)+1&amp;YEAR(AF54)&amp;#REF!&amp;T54)</f>
        <v/>
      </c>
      <c r="AN54" s="186" t="e">
        <f>IF(K54="","","Q"&amp;INT((MONTH(K54)-1)/3)+1&amp;YEAR(K54)&amp;#REF!)</f>
        <v>#REF!</v>
      </c>
    </row>
    <row r="55" spans="1:40" ht="20.100000000000001" customHeight="1" x14ac:dyDescent="0.25">
      <c r="A55" s="8">
        <v>53</v>
      </c>
      <c r="B55" s="8" t="s">
        <v>399</v>
      </c>
      <c r="C55" s="8" t="s">
        <v>1997</v>
      </c>
      <c r="D55" s="8" t="s">
        <v>2416</v>
      </c>
      <c r="E55" s="8" t="s">
        <v>1998</v>
      </c>
      <c r="F55" s="9" t="s">
        <v>1999</v>
      </c>
      <c r="G55" s="183"/>
      <c r="H55" s="9" t="s">
        <v>2001</v>
      </c>
      <c r="I55" s="9" t="s">
        <v>579</v>
      </c>
      <c r="J55" s="183"/>
      <c r="K55" s="10">
        <v>46037</v>
      </c>
      <c r="L55" s="9">
        <v>53</v>
      </c>
      <c r="M55" s="185" t="str">
        <f>IF(phc_8[[#This Row],[Register No.]]="","",C55&amp;"-"&amp;D55&amp;"-"&amp;"BHA-PHC-"&amp;phc_8[[#This Row],[Register No.]])</f>
        <v>Shining Star-Mobile Clinic-BHA-PHC-53</v>
      </c>
      <c r="N55" s="9" t="s">
        <v>401</v>
      </c>
      <c r="O55" s="183" t="s">
        <v>2159</v>
      </c>
      <c r="P55" s="183">
        <v>30</v>
      </c>
      <c r="Q55" s="183"/>
      <c r="R55" s="183"/>
      <c r="S55" s="186" t="str">
        <f t="shared" si="3"/>
        <v>19 - 49 yrs</v>
      </c>
      <c r="T55" s="183" t="s">
        <v>603</v>
      </c>
      <c r="U55" s="9" t="s">
        <v>2001</v>
      </c>
      <c r="V55" s="183"/>
      <c r="W55" s="183" t="s">
        <v>294</v>
      </c>
      <c r="X55" s="183" t="s">
        <v>294</v>
      </c>
      <c r="Y55" s="186" t="str">
        <f>INDEX(info!$Y$2:$Y$192,MATCH(phc_8[[#This Row],[Sub_Category]],info!$X$2:$X$192,0))</f>
        <v>Other (non-communicable)</v>
      </c>
      <c r="Z55" s="186" t="str">
        <f t="array" ref="Z55">INDEX(info!$AA$2:$AA$192,MATCH(PHC!$X55&amp;PHC!$Y55,info!$X$2:$X$192&amp;info!$Y$2:$Y$192,0))</f>
        <v>Other</v>
      </c>
      <c r="AA55" s="183" t="s">
        <v>2164</v>
      </c>
      <c r="AB55" s="9" t="s">
        <v>654</v>
      </c>
      <c r="AC55" s="9" t="s">
        <v>654</v>
      </c>
      <c r="AD55" s="9" t="s">
        <v>654</v>
      </c>
      <c r="AE55" s="9" t="s">
        <v>654</v>
      </c>
      <c r="AF55" s="184"/>
      <c r="AG55" s="183"/>
      <c r="AH55" s="183"/>
      <c r="AI55" s="183"/>
      <c r="AJ55" s="183"/>
      <c r="AK55" s="9" t="s">
        <v>654</v>
      </c>
      <c r="AL55" s="183"/>
      <c r="AM55" s="186" t="str">
        <f>IF(AF55="","","Q"&amp;INT((MONTH(AF55)-1)/3)+1&amp;YEAR(AF55)&amp;#REF!&amp;T55)</f>
        <v/>
      </c>
      <c r="AN55" s="186" t="e">
        <f>IF(K55="","","Q"&amp;INT((MONTH(K55)-1)/3)+1&amp;YEAR(K55)&amp;#REF!)</f>
        <v>#REF!</v>
      </c>
    </row>
    <row r="56" spans="1:40" s="216" customFormat="1" ht="20.100000000000001" customHeight="1" x14ac:dyDescent="0.25">
      <c r="A56" s="182">
        <v>54</v>
      </c>
      <c r="B56" s="182" t="s">
        <v>399</v>
      </c>
      <c r="C56" s="182" t="s">
        <v>1997</v>
      </c>
      <c r="D56" s="8" t="s">
        <v>2416</v>
      </c>
      <c r="E56" s="182" t="s">
        <v>1998</v>
      </c>
      <c r="F56" s="9" t="s">
        <v>1999</v>
      </c>
      <c r="G56" s="183"/>
      <c r="H56" s="9" t="s">
        <v>2001</v>
      </c>
      <c r="I56" s="9" t="s">
        <v>579</v>
      </c>
      <c r="J56" s="183"/>
      <c r="K56" s="10">
        <v>46037</v>
      </c>
      <c r="L56" s="183">
        <v>54</v>
      </c>
      <c r="M56" s="186" t="str">
        <f>IF(phc_8[[#This Row],[Register No.]]="","",C56&amp;"-"&amp;D56&amp;"-"&amp;"BHA-PHC-"&amp;phc_8[[#This Row],[Register No.]])</f>
        <v>Shining Star-Mobile Clinic-BHA-PHC-54</v>
      </c>
      <c r="N56" s="183" t="s">
        <v>401</v>
      </c>
      <c r="O56" s="183" t="s">
        <v>2160</v>
      </c>
      <c r="P56" s="183"/>
      <c r="Q56" s="183">
        <v>8</v>
      </c>
      <c r="R56" s="183"/>
      <c r="S56" s="190" t="str">
        <f t="shared" si="3"/>
        <v>&lt;5 yrs</v>
      </c>
      <c r="T56" s="183" t="s">
        <v>402</v>
      </c>
      <c r="U56" s="183" t="s">
        <v>2001</v>
      </c>
      <c r="V56" s="183" t="s">
        <v>2162</v>
      </c>
      <c r="W56" s="183" t="s">
        <v>3071</v>
      </c>
      <c r="X56" s="183" t="s">
        <v>113</v>
      </c>
      <c r="Y56" s="186" t="str">
        <f>INDEX(info!$Y$2:$Y$192,MATCH(phc_8[[#This Row],[Sub_Category]],info!$X$2:$X$192,0))</f>
        <v>ARI/RTI</v>
      </c>
      <c r="Z56" s="186" t="str">
        <f t="array" ref="Z56">INDEX(info!$AA$2:$AA$192,MATCH(PHC!$X56&amp;PHC!$Y56,info!$X$2:$X$192&amp;info!$Y$2:$Y$192,0))</f>
        <v>Communicable disease</v>
      </c>
      <c r="AA56" s="183" t="s">
        <v>2165</v>
      </c>
      <c r="AB56" s="9" t="s">
        <v>654</v>
      </c>
      <c r="AC56" s="9" t="s">
        <v>654</v>
      </c>
      <c r="AD56" s="9" t="s">
        <v>654</v>
      </c>
      <c r="AE56" s="9" t="s">
        <v>654</v>
      </c>
      <c r="AF56" s="184"/>
      <c r="AG56" s="183"/>
      <c r="AH56" s="183"/>
      <c r="AI56" s="183"/>
      <c r="AJ56" s="183"/>
      <c r="AK56" s="9" t="s">
        <v>654</v>
      </c>
      <c r="AL56" s="183"/>
      <c r="AM56" s="186" t="str">
        <f>IF(AF56="","","Q"&amp;INT((MONTH(AF56)-1)/3)+1&amp;YEAR(AF56)&amp;#REF!&amp;T56)</f>
        <v/>
      </c>
      <c r="AN56" s="186" t="e">
        <f>IF(K56="","","Q"&amp;INT((MONTH(K56)-1)/3)+1&amp;YEAR(K56)&amp;#REF!)</f>
        <v>#REF!</v>
      </c>
    </row>
    <row r="57" spans="1:40" ht="20.100000000000001" customHeight="1" x14ac:dyDescent="0.25">
      <c r="A57" s="8">
        <v>55</v>
      </c>
      <c r="B57" s="8" t="s">
        <v>399</v>
      </c>
      <c r="C57" s="8" t="s">
        <v>1997</v>
      </c>
      <c r="D57" s="8" t="s">
        <v>2416</v>
      </c>
      <c r="E57" s="8" t="s">
        <v>1998</v>
      </c>
      <c r="F57" s="9" t="s">
        <v>1999</v>
      </c>
      <c r="G57" s="183"/>
      <c r="H57" s="9" t="s">
        <v>2001</v>
      </c>
      <c r="I57" s="9" t="s">
        <v>579</v>
      </c>
      <c r="J57" s="183"/>
      <c r="K57" s="10">
        <v>46037</v>
      </c>
      <c r="L57" s="9">
        <v>55</v>
      </c>
      <c r="M57" s="185" t="str">
        <f>IF(phc_8[[#This Row],[Register No.]]="","",C57&amp;"-"&amp;D57&amp;"-"&amp;"BHA-PHC-"&amp;phc_8[[#This Row],[Register No.]])</f>
        <v>Shining Star-Mobile Clinic-BHA-PHC-55</v>
      </c>
      <c r="N57" s="9" t="s">
        <v>401</v>
      </c>
      <c r="O57" s="183" t="s">
        <v>2161</v>
      </c>
      <c r="P57" s="183">
        <v>26</v>
      </c>
      <c r="Q57" s="183"/>
      <c r="R57" s="183"/>
      <c r="S57" s="186" t="str">
        <f t="shared" si="3"/>
        <v>19 - 49 yrs</v>
      </c>
      <c r="T57" s="183" t="s">
        <v>603</v>
      </c>
      <c r="U57" s="9" t="s">
        <v>2001</v>
      </c>
      <c r="V57" s="183" t="s">
        <v>2163</v>
      </c>
      <c r="W57" s="183" t="s">
        <v>294</v>
      </c>
      <c r="X57" s="183" t="s">
        <v>294</v>
      </c>
      <c r="Y57" s="186" t="str">
        <f>INDEX(info!$Y$2:$Y$192,MATCH(phc_8[[#This Row],[Sub_Category]],info!$X$2:$X$192,0))</f>
        <v>Other (non-communicable)</v>
      </c>
      <c r="Z57" s="186" t="str">
        <f t="array" ref="Z57">INDEX(info!$AA$2:$AA$192,MATCH(PHC!$X57&amp;PHC!$Y57,info!$X$2:$X$192&amp;info!$Y$2:$Y$192,0))</f>
        <v>Other</v>
      </c>
      <c r="AA57" s="183" t="s">
        <v>2166</v>
      </c>
      <c r="AB57" s="9" t="s">
        <v>654</v>
      </c>
      <c r="AC57" s="9" t="s">
        <v>654</v>
      </c>
      <c r="AD57" s="9" t="s">
        <v>654</v>
      </c>
      <c r="AE57" s="9" t="s">
        <v>654</v>
      </c>
      <c r="AF57" s="184"/>
      <c r="AG57" s="183"/>
      <c r="AH57" s="183"/>
      <c r="AI57" s="183"/>
      <c r="AJ57" s="183"/>
      <c r="AK57" s="9" t="s">
        <v>654</v>
      </c>
      <c r="AL57" s="183"/>
      <c r="AM57" s="186" t="str">
        <f>IF(AF57="","","Q"&amp;INT((MONTH(AF57)-1)/3)+1&amp;YEAR(AF57)&amp;#REF!&amp;T57)</f>
        <v/>
      </c>
      <c r="AN57" s="186" t="e">
        <f>IF(K57="","","Q"&amp;INT((MONTH(K57)-1)/3)+1&amp;YEAR(K57)&amp;#REF!)</f>
        <v>#REF!</v>
      </c>
    </row>
    <row r="58" spans="1:40" ht="20.100000000000001" customHeight="1" x14ac:dyDescent="0.25">
      <c r="A58" s="8">
        <v>56</v>
      </c>
      <c r="B58" s="8" t="s">
        <v>399</v>
      </c>
      <c r="C58" s="8" t="s">
        <v>1997</v>
      </c>
      <c r="D58" s="8" t="s">
        <v>2416</v>
      </c>
      <c r="E58" s="8" t="s">
        <v>1998</v>
      </c>
      <c r="F58" s="9" t="s">
        <v>1999</v>
      </c>
      <c r="G58" s="183"/>
      <c r="H58" s="9" t="s">
        <v>2001</v>
      </c>
      <c r="I58" s="9" t="s">
        <v>579</v>
      </c>
      <c r="J58" s="183"/>
      <c r="K58" s="10">
        <v>46037</v>
      </c>
      <c r="L58" s="9">
        <v>56</v>
      </c>
      <c r="M58" s="185" t="str">
        <f>IF(phc_8[[#This Row],[Register No.]]="","",C58&amp;"-"&amp;D58&amp;"-"&amp;"BHA-PHC-"&amp;phc_8[[#This Row],[Register No.]])</f>
        <v>Shining Star-Mobile Clinic-BHA-PHC-56</v>
      </c>
      <c r="N58" s="9" t="s">
        <v>401</v>
      </c>
      <c r="O58" s="183" t="s">
        <v>2167</v>
      </c>
      <c r="P58" s="183">
        <v>4</v>
      </c>
      <c r="Q58" s="183"/>
      <c r="R58" s="183"/>
      <c r="S58" s="186" t="str">
        <f t="shared" si="3"/>
        <v>&lt;5 yrs</v>
      </c>
      <c r="T58" s="183" t="s">
        <v>402</v>
      </c>
      <c r="U58" s="9" t="s">
        <v>2001</v>
      </c>
      <c r="V58" s="183" t="s">
        <v>2040</v>
      </c>
      <c r="W58" s="183" t="s">
        <v>2174</v>
      </c>
      <c r="X58" s="183" t="s">
        <v>196</v>
      </c>
      <c r="Y58" s="186" t="str">
        <f>INDEX(info!$Y$2:$Y$192,MATCH(phc_8[[#This Row],[Sub_Category]],info!$X$2:$X$192,0))</f>
        <v>Skin infection/disease</v>
      </c>
      <c r="Z58" s="186" t="str">
        <f t="array" ref="Z58">INDEX(info!$AA$2:$AA$192,MATCH(PHC!$X58&amp;PHC!$Y58,info!$X$2:$X$192&amp;info!$Y$2:$Y$192,0))</f>
        <v>Non-communicable disease</v>
      </c>
      <c r="AA58" s="183" t="s">
        <v>2176</v>
      </c>
      <c r="AB58" s="9" t="s">
        <v>654</v>
      </c>
      <c r="AC58" s="9" t="s">
        <v>654</v>
      </c>
      <c r="AD58" s="9" t="s">
        <v>654</v>
      </c>
      <c r="AE58" s="9" t="s">
        <v>654</v>
      </c>
      <c r="AF58" s="184"/>
      <c r="AG58" s="183"/>
      <c r="AH58" s="183"/>
      <c r="AI58" s="183"/>
      <c r="AJ58" s="183"/>
      <c r="AK58" s="9" t="s">
        <v>654</v>
      </c>
      <c r="AL58" s="183"/>
      <c r="AM58" s="186" t="str">
        <f>IF(AF58="","","Q"&amp;INT((MONTH(AF58)-1)/3)+1&amp;YEAR(AF58)&amp;#REF!&amp;T58)</f>
        <v/>
      </c>
      <c r="AN58" s="186" t="e">
        <f>IF(K58="","","Q"&amp;INT((MONTH(K58)-1)/3)+1&amp;YEAR(K58)&amp;#REF!)</f>
        <v>#REF!</v>
      </c>
    </row>
    <row r="59" spans="1:40" ht="20.100000000000001" customHeight="1" x14ac:dyDescent="0.25">
      <c r="A59" s="8">
        <v>57</v>
      </c>
      <c r="B59" s="8" t="s">
        <v>399</v>
      </c>
      <c r="C59" s="8" t="s">
        <v>1997</v>
      </c>
      <c r="D59" s="8" t="s">
        <v>2416</v>
      </c>
      <c r="E59" s="8" t="s">
        <v>1998</v>
      </c>
      <c r="F59" s="9" t="s">
        <v>1999</v>
      </c>
      <c r="G59" s="183"/>
      <c r="H59" s="9" t="s">
        <v>2001</v>
      </c>
      <c r="I59" s="9" t="s">
        <v>579</v>
      </c>
      <c r="J59" s="183"/>
      <c r="K59" s="10">
        <v>46037</v>
      </c>
      <c r="L59" s="9">
        <v>57</v>
      </c>
      <c r="M59" s="185" t="str">
        <f>IF(phc_8[[#This Row],[Register No.]]="","",C59&amp;"-"&amp;D59&amp;"-"&amp;"BHA-PHC-"&amp;phc_8[[#This Row],[Register No.]])</f>
        <v>Shining Star-Mobile Clinic-BHA-PHC-57</v>
      </c>
      <c r="N59" s="9" t="s">
        <v>401</v>
      </c>
      <c r="O59" s="183" t="s">
        <v>2168</v>
      </c>
      <c r="P59" s="183">
        <v>9</v>
      </c>
      <c r="Q59" s="183"/>
      <c r="R59" s="183"/>
      <c r="S59" s="186" t="str">
        <f t="shared" si="3"/>
        <v>5 - 14 yrs</v>
      </c>
      <c r="T59" s="183" t="s">
        <v>603</v>
      </c>
      <c r="U59" s="9" t="s">
        <v>2001</v>
      </c>
      <c r="V59" s="183" t="s">
        <v>2040</v>
      </c>
      <c r="W59" s="183" t="s">
        <v>2174</v>
      </c>
      <c r="X59" s="183" t="s">
        <v>196</v>
      </c>
      <c r="Y59" s="186" t="str">
        <f>INDEX(info!$Y$2:$Y$192,MATCH(phc_8[[#This Row],[Sub_Category]],info!$X$2:$X$192,0))</f>
        <v>Skin infection/disease</v>
      </c>
      <c r="Z59" s="186" t="str">
        <f t="array" ref="Z59">INDEX(info!$AA$2:$AA$192,MATCH(PHC!$X59&amp;PHC!$Y59,info!$X$2:$X$192&amp;info!$Y$2:$Y$192,0))</f>
        <v>Non-communicable disease</v>
      </c>
      <c r="AA59" s="183" t="s">
        <v>2177</v>
      </c>
      <c r="AB59" s="9" t="s">
        <v>654</v>
      </c>
      <c r="AC59" s="9" t="s">
        <v>654</v>
      </c>
      <c r="AD59" s="9" t="s">
        <v>654</v>
      </c>
      <c r="AE59" s="9" t="s">
        <v>654</v>
      </c>
      <c r="AF59" s="184"/>
      <c r="AG59" s="183"/>
      <c r="AH59" s="183"/>
      <c r="AI59" s="183"/>
      <c r="AJ59" s="183"/>
      <c r="AK59" s="9" t="s">
        <v>654</v>
      </c>
      <c r="AL59" s="183"/>
      <c r="AM59" s="186" t="str">
        <f>IF(AF59="","","Q"&amp;INT((MONTH(AF59)-1)/3)+1&amp;YEAR(AF59)&amp;#REF!&amp;T59)</f>
        <v/>
      </c>
      <c r="AN59" s="186" t="e">
        <f>IF(K59="","","Q"&amp;INT((MONTH(K59)-1)/3)+1&amp;YEAR(K59)&amp;#REF!)</f>
        <v>#REF!</v>
      </c>
    </row>
    <row r="60" spans="1:40" ht="20.100000000000001" customHeight="1" x14ac:dyDescent="0.25">
      <c r="A60" s="8">
        <v>58</v>
      </c>
      <c r="B60" s="8" t="s">
        <v>399</v>
      </c>
      <c r="C60" s="8" t="s">
        <v>1997</v>
      </c>
      <c r="D60" s="8" t="s">
        <v>2416</v>
      </c>
      <c r="E60" s="8" t="s">
        <v>1998</v>
      </c>
      <c r="F60" s="9" t="s">
        <v>1999</v>
      </c>
      <c r="G60" s="183"/>
      <c r="H60" s="9" t="s">
        <v>2001</v>
      </c>
      <c r="I60" s="9" t="s">
        <v>579</v>
      </c>
      <c r="J60" s="183"/>
      <c r="K60" s="10">
        <v>46037</v>
      </c>
      <c r="L60" s="9">
        <v>58</v>
      </c>
      <c r="M60" s="185" t="str">
        <f>IF(phc_8[[#This Row],[Register No.]]="","",C60&amp;"-"&amp;D60&amp;"-"&amp;"BHA-PHC-"&amp;phc_8[[#This Row],[Register No.]])</f>
        <v>Shining Star-Mobile Clinic-BHA-PHC-58</v>
      </c>
      <c r="N60" s="9" t="s">
        <v>401</v>
      </c>
      <c r="O60" s="183" t="s">
        <v>2169</v>
      </c>
      <c r="P60" s="183">
        <v>73</v>
      </c>
      <c r="Q60" s="183"/>
      <c r="R60" s="183"/>
      <c r="S60" s="186" t="str">
        <f t="shared" si="3"/>
        <v>50 yrs +</v>
      </c>
      <c r="T60" s="183" t="s">
        <v>603</v>
      </c>
      <c r="U60" s="9" t="s">
        <v>2001</v>
      </c>
      <c r="V60" s="183" t="s">
        <v>2043</v>
      </c>
      <c r="W60" s="183" t="s">
        <v>2175</v>
      </c>
      <c r="X60" s="183" t="s">
        <v>242</v>
      </c>
      <c r="Y60" s="186" t="str">
        <f>INDEX(info!$Y$2:$Y$192,MATCH(phc_8[[#This Row],[Sub_Category]],info!$X$2:$X$192,0))</f>
        <v>Accident/minor sugical and injuries</v>
      </c>
      <c r="Z60" s="186" t="str">
        <f t="array" ref="Z60">INDEX(info!$AA$2:$AA$192,MATCH(PHC!$X60&amp;PHC!$Y60,info!$X$2:$X$192&amp;info!$Y$2:$Y$192,0))</f>
        <v>Injury related</v>
      </c>
      <c r="AA60" s="183" t="s">
        <v>2178</v>
      </c>
      <c r="AB60" s="9" t="s">
        <v>654</v>
      </c>
      <c r="AC60" s="9" t="s">
        <v>654</v>
      </c>
      <c r="AD60" s="9" t="s">
        <v>654</v>
      </c>
      <c r="AE60" s="9" t="s">
        <v>654</v>
      </c>
      <c r="AF60" s="184"/>
      <c r="AG60" s="183"/>
      <c r="AH60" s="183"/>
      <c r="AI60" s="183"/>
      <c r="AJ60" s="183"/>
      <c r="AK60" s="9" t="s">
        <v>654</v>
      </c>
      <c r="AL60" s="183"/>
      <c r="AM60" s="186" t="str">
        <f>IF(AF60="","","Q"&amp;INT((MONTH(AF60)-1)/3)+1&amp;YEAR(AF60)&amp;#REF!&amp;T60)</f>
        <v/>
      </c>
      <c r="AN60" s="186" t="e">
        <f>IF(K60="","","Q"&amp;INT((MONTH(K60)-1)/3)+1&amp;YEAR(K60)&amp;#REF!)</f>
        <v>#REF!</v>
      </c>
    </row>
    <row r="61" spans="1:40" ht="20.100000000000001" customHeight="1" x14ac:dyDescent="0.25">
      <c r="A61" s="8">
        <v>59</v>
      </c>
      <c r="B61" s="8" t="s">
        <v>399</v>
      </c>
      <c r="C61" s="8" t="s">
        <v>1997</v>
      </c>
      <c r="D61" s="8" t="s">
        <v>2416</v>
      </c>
      <c r="E61" s="8" t="s">
        <v>1998</v>
      </c>
      <c r="F61" s="9" t="s">
        <v>1999</v>
      </c>
      <c r="G61" s="183"/>
      <c r="H61" s="9" t="s">
        <v>2001</v>
      </c>
      <c r="I61" s="9" t="s">
        <v>579</v>
      </c>
      <c r="J61" s="183"/>
      <c r="K61" s="10">
        <v>46037</v>
      </c>
      <c r="L61" s="9">
        <v>59</v>
      </c>
      <c r="M61" s="185" t="str">
        <f>IF(phc_8[[#This Row],[Register No.]]="","",C61&amp;"-"&amp;D61&amp;"-"&amp;"BHA-PHC-"&amp;phc_8[[#This Row],[Register No.]])</f>
        <v>Shining Star-Mobile Clinic-BHA-PHC-59</v>
      </c>
      <c r="N61" s="9" t="s">
        <v>401</v>
      </c>
      <c r="O61" s="183" t="s">
        <v>2170</v>
      </c>
      <c r="P61" s="183">
        <v>83</v>
      </c>
      <c r="Q61" s="183"/>
      <c r="R61" s="183"/>
      <c r="S61" s="186" t="str">
        <f t="shared" si="3"/>
        <v>50 yrs +</v>
      </c>
      <c r="T61" s="183" t="s">
        <v>603</v>
      </c>
      <c r="U61" s="9" t="s">
        <v>2001</v>
      </c>
      <c r="V61" s="183" t="s">
        <v>2172</v>
      </c>
      <c r="W61" s="183" t="s">
        <v>112</v>
      </c>
      <c r="X61" s="183" t="s">
        <v>112</v>
      </c>
      <c r="Y61" s="186" t="str">
        <f>INDEX(info!$Y$2:$Y$192,MATCH(phc_8[[#This Row],[Sub_Category]],info!$X$2:$X$192,0))</f>
        <v>Asthma</v>
      </c>
      <c r="Z61" s="186" t="str">
        <f t="array" ref="Z61">INDEX(info!$AA$2:$AA$192,MATCH(PHC!$X61&amp;PHC!$Y61,info!$X$2:$X$192&amp;info!$Y$2:$Y$192,0))</f>
        <v>Non-communicable disease</v>
      </c>
      <c r="AA61" s="183" t="s">
        <v>2179</v>
      </c>
      <c r="AB61" s="9" t="s">
        <v>654</v>
      </c>
      <c r="AC61" s="9" t="s">
        <v>654</v>
      </c>
      <c r="AD61" s="9" t="s">
        <v>654</v>
      </c>
      <c r="AE61" s="9" t="s">
        <v>654</v>
      </c>
      <c r="AF61" s="184"/>
      <c r="AG61" s="183"/>
      <c r="AH61" s="183"/>
      <c r="AI61" s="183"/>
      <c r="AJ61" s="183"/>
      <c r="AK61" s="9" t="s">
        <v>654</v>
      </c>
      <c r="AL61" s="183"/>
      <c r="AM61" s="186" t="str">
        <f>IF(AF61="","","Q"&amp;INT((MONTH(AF61)-1)/3)+1&amp;YEAR(AF61)&amp;#REF!&amp;T61)</f>
        <v/>
      </c>
      <c r="AN61" s="186" t="e">
        <f>IF(K61="","","Q"&amp;INT((MONTH(K61)-1)/3)+1&amp;YEAR(K61)&amp;#REF!)</f>
        <v>#REF!</v>
      </c>
    </row>
    <row r="62" spans="1:40" ht="20.100000000000001" customHeight="1" x14ac:dyDescent="0.25">
      <c r="A62" s="8">
        <v>60</v>
      </c>
      <c r="B62" s="8" t="s">
        <v>399</v>
      </c>
      <c r="C62" s="8" t="s">
        <v>1997</v>
      </c>
      <c r="D62" s="8" t="s">
        <v>2416</v>
      </c>
      <c r="E62" s="8" t="s">
        <v>1998</v>
      </c>
      <c r="F62" s="9" t="s">
        <v>1999</v>
      </c>
      <c r="G62" s="183"/>
      <c r="H62" s="9" t="s">
        <v>2001</v>
      </c>
      <c r="I62" s="9" t="s">
        <v>579</v>
      </c>
      <c r="J62" s="183"/>
      <c r="K62" s="10">
        <v>46037</v>
      </c>
      <c r="L62" s="9">
        <v>60</v>
      </c>
      <c r="M62" s="185" t="str">
        <f>IF(phc_8[[#This Row],[Register No.]]="","",C62&amp;"-"&amp;D62&amp;"-"&amp;"BHA-PHC-"&amp;phc_8[[#This Row],[Register No.]])</f>
        <v>Shining Star-Mobile Clinic-BHA-PHC-60</v>
      </c>
      <c r="N62" s="9" t="s">
        <v>401</v>
      </c>
      <c r="O62" s="183" t="s">
        <v>2171</v>
      </c>
      <c r="P62" s="183">
        <v>52</v>
      </c>
      <c r="Q62" s="183"/>
      <c r="R62" s="183"/>
      <c r="S62" s="186" t="str">
        <f t="shared" si="3"/>
        <v>50 yrs +</v>
      </c>
      <c r="T62" s="183" t="s">
        <v>603</v>
      </c>
      <c r="U62" s="9" t="s">
        <v>2001</v>
      </c>
      <c r="V62" s="183" t="s">
        <v>2173</v>
      </c>
      <c r="W62" s="183" t="s">
        <v>294</v>
      </c>
      <c r="X62" s="183" t="s">
        <v>294</v>
      </c>
      <c r="Y62" s="186" t="str">
        <f>INDEX(info!$Y$2:$Y$192,MATCH(phc_8[[#This Row],[Sub_Category]],info!$X$2:$X$192,0))</f>
        <v>Other (non-communicable)</v>
      </c>
      <c r="Z62" s="186" t="str">
        <f t="array" ref="Z62">INDEX(info!$AA$2:$AA$192,MATCH(PHC!$X62&amp;PHC!$Y62,info!$X$2:$X$192&amp;info!$Y$2:$Y$192,0))</f>
        <v>Other</v>
      </c>
      <c r="AA62" s="183" t="s">
        <v>2180</v>
      </c>
      <c r="AB62" s="9" t="s">
        <v>654</v>
      </c>
      <c r="AC62" s="9" t="s">
        <v>654</v>
      </c>
      <c r="AD62" s="9" t="s">
        <v>654</v>
      </c>
      <c r="AE62" s="9" t="s">
        <v>654</v>
      </c>
      <c r="AF62" s="184"/>
      <c r="AG62" s="183"/>
      <c r="AH62" s="183"/>
      <c r="AI62" s="183"/>
      <c r="AJ62" s="183"/>
      <c r="AK62" s="9" t="s">
        <v>654</v>
      </c>
      <c r="AL62" s="183"/>
      <c r="AM62" s="186" t="str">
        <f>IF(AF62="","","Q"&amp;INT((MONTH(AF62)-1)/3)+1&amp;YEAR(AF62)&amp;#REF!&amp;T62)</f>
        <v/>
      </c>
      <c r="AN62" s="186" t="e">
        <f>IF(K62="","","Q"&amp;INT((MONTH(K62)-1)/3)+1&amp;YEAR(K62)&amp;#REF!)</f>
        <v>#REF!</v>
      </c>
    </row>
    <row r="63" spans="1:40" ht="20.100000000000001" customHeight="1" x14ac:dyDescent="0.25">
      <c r="A63" s="8">
        <v>61</v>
      </c>
      <c r="B63" s="8" t="s">
        <v>399</v>
      </c>
      <c r="C63" s="8" t="s">
        <v>1997</v>
      </c>
      <c r="D63" s="8" t="s">
        <v>2416</v>
      </c>
      <c r="E63" s="8" t="s">
        <v>1998</v>
      </c>
      <c r="F63" s="9" t="s">
        <v>1999</v>
      </c>
      <c r="G63" s="183"/>
      <c r="H63" s="9" t="s">
        <v>2001</v>
      </c>
      <c r="I63" s="9" t="s">
        <v>579</v>
      </c>
      <c r="J63" s="183"/>
      <c r="K63" s="10">
        <v>46037</v>
      </c>
      <c r="L63" s="9">
        <v>61</v>
      </c>
      <c r="M63" s="185" t="str">
        <f>IF(phc_8[[#This Row],[Register No.]]="","",C63&amp;"-"&amp;D63&amp;"-"&amp;"BHA-PHC-"&amp;phc_8[[#This Row],[Register No.]])</f>
        <v>Shining Star-Mobile Clinic-BHA-PHC-61</v>
      </c>
      <c r="N63" s="9" t="s">
        <v>401</v>
      </c>
      <c r="O63" s="183" t="s">
        <v>2181</v>
      </c>
      <c r="P63" s="183">
        <v>44</v>
      </c>
      <c r="Q63" s="183"/>
      <c r="R63" s="183"/>
      <c r="S63" s="186" t="str">
        <f t="shared" si="3"/>
        <v>19 - 49 yrs</v>
      </c>
      <c r="T63" s="183" t="s">
        <v>603</v>
      </c>
      <c r="U63" s="9" t="s">
        <v>2001</v>
      </c>
      <c r="V63" s="183" t="s">
        <v>2157</v>
      </c>
      <c r="W63" s="183" t="s">
        <v>294</v>
      </c>
      <c r="X63" s="183" t="s">
        <v>294</v>
      </c>
      <c r="Y63" s="186" t="str">
        <f>INDEX(info!$Y$2:$Y$192,MATCH(phc_8[[#This Row],[Sub_Category]],info!$X$2:$X$192,0))</f>
        <v>Other (non-communicable)</v>
      </c>
      <c r="Z63" s="186" t="str">
        <f t="array" ref="Z63">INDEX(info!$AA$2:$AA$192,MATCH(PHC!$X63&amp;PHC!$Y63,info!$X$2:$X$192&amp;info!$Y$2:$Y$192,0))</f>
        <v>Other</v>
      </c>
      <c r="AA63" s="183" t="s">
        <v>2189</v>
      </c>
      <c r="AB63" s="9" t="s">
        <v>654</v>
      </c>
      <c r="AC63" s="9" t="s">
        <v>654</v>
      </c>
      <c r="AD63" s="9" t="s">
        <v>654</v>
      </c>
      <c r="AE63" s="9" t="s">
        <v>654</v>
      </c>
      <c r="AF63" s="184"/>
      <c r="AG63" s="183"/>
      <c r="AH63" s="183"/>
      <c r="AI63" s="183"/>
      <c r="AJ63" s="183"/>
      <c r="AK63" s="9" t="s">
        <v>654</v>
      </c>
      <c r="AL63" s="183"/>
      <c r="AM63" s="186" t="str">
        <f>IF(AF63="","","Q"&amp;INT((MONTH(AF63)-1)/3)+1&amp;YEAR(AF63)&amp;#REF!&amp;T63)</f>
        <v/>
      </c>
      <c r="AN63" s="186" t="e">
        <f>IF(K63="","","Q"&amp;INT((MONTH(K63)-1)/3)+1&amp;YEAR(K63)&amp;#REF!)</f>
        <v>#REF!</v>
      </c>
    </row>
    <row r="64" spans="1:40" ht="20.100000000000001" customHeight="1" x14ac:dyDescent="0.25">
      <c r="A64" s="8">
        <v>62</v>
      </c>
      <c r="B64" s="8" t="s">
        <v>399</v>
      </c>
      <c r="C64" s="8" t="s">
        <v>1997</v>
      </c>
      <c r="D64" s="8" t="s">
        <v>2416</v>
      </c>
      <c r="E64" s="8" t="s">
        <v>1998</v>
      </c>
      <c r="F64" s="9" t="s">
        <v>1999</v>
      </c>
      <c r="G64" s="183"/>
      <c r="H64" s="9" t="s">
        <v>2001</v>
      </c>
      <c r="I64" s="9" t="s">
        <v>579</v>
      </c>
      <c r="J64" s="183"/>
      <c r="K64" s="10">
        <v>46037</v>
      </c>
      <c r="L64" s="9">
        <v>62</v>
      </c>
      <c r="M64" s="185" t="str">
        <f>IF(phc_8[[#This Row],[Register No.]]="","",C64&amp;"-"&amp;D64&amp;"-"&amp;"BHA-PHC-"&amp;phc_8[[#This Row],[Register No.]])</f>
        <v>Shining Star-Mobile Clinic-BHA-PHC-62</v>
      </c>
      <c r="N64" s="9" t="s">
        <v>401</v>
      </c>
      <c r="O64" s="183" t="s">
        <v>2182</v>
      </c>
      <c r="P64" s="183">
        <v>57</v>
      </c>
      <c r="Q64" s="183"/>
      <c r="R64" s="183"/>
      <c r="S64" s="186" t="str">
        <f t="shared" si="3"/>
        <v>50 yrs +</v>
      </c>
      <c r="T64" s="183" t="s">
        <v>603</v>
      </c>
      <c r="U64" s="9" t="s">
        <v>2001</v>
      </c>
      <c r="V64" s="183" t="s">
        <v>2186</v>
      </c>
      <c r="W64" s="183" t="s">
        <v>294</v>
      </c>
      <c r="X64" s="183" t="s">
        <v>294</v>
      </c>
      <c r="Y64" s="186" t="str">
        <f>INDEX(info!$Y$2:$Y$192,MATCH(phc_8[[#This Row],[Sub_Category]],info!$X$2:$X$192,0))</f>
        <v>Other (non-communicable)</v>
      </c>
      <c r="Z64" s="186" t="str">
        <f t="array" ref="Z64">INDEX(info!$AA$2:$AA$192,MATCH(PHC!$X64&amp;PHC!$Y64,info!$X$2:$X$192&amp;info!$Y$2:$Y$192,0))</f>
        <v>Other</v>
      </c>
      <c r="AA64" s="183" t="s">
        <v>2190</v>
      </c>
      <c r="AB64" s="9" t="s">
        <v>654</v>
      </c>
      <c r="AC64" s="9" t="s">
        <v>654</v>
      </c>
      <c r="AD64" s="9" t="s">
        <v>654</v>
      </c>
      <c r="AE64" s="9" t="s">
        <v>654</v>
      </c>
      <c r="AF64" s="184"/>
      <c r="AG64" s="183"/>
      <c r="AH64" s="183"/>
      <c r="AI64" s="183"/>
      <c r="AJ64" s="183"/>
      <c r="AK64" s="9" t="s">
        <v>654</v>
      </c>
      <c r="AL64" s="183"/>
      <c r="AM64" s="186" t="str">
        <f>IF(AF64="","","Q"&amp;INT((MONTH(AF64)-1)/3)+1&amp;YEAR(AF64)&amp;#REF!&amp;T64)</f>
        <v/>
      </c>
      <c r="AN64" s="186" t="e">
        <f>IF(K64="","","Q"&amp;INT((MONTH(K64)-1)/3)+1&amp;YEAR(K64)&amp;#REF!)</f>
        <v>#REF!</v>
      </c>
    </row>
    <row r="65" spans="1:40" s="216" customFormat="1" ht="20.100000000000001" customHeight="1" x14ac:dyDescent="0.25">
      <c r="A65" s="182">
        <v>63</v>
      </c>
      <c r="B65" s="182" t="s">
        <v>399</v>
      </c>
      <c r="C65" s="182" t="s">
        <v>1997</v>
      </c>
      <c r="D65" s="8" t="s">
        <v>2416</v>
      </c>
      <c r="E65" s="182" t="s">
        <v>1998</v>
      </c>
      <c r="F65" s="9" t="s">
        <v>1999</v>
      </c>
      <c r="G65" s="183"/>
      <c r="H65" s="9" t="s">
        <v>2001</v>
      </c>
      <c r="I65" s="9" t="s">
        <v>579</v>
      </c>
      <c r="J65" s="183"/>
      <c r="K65" s="10">
        <v>46037</v>
      </c>
      <c r="L65" s="183">
        <v>63</v>
      </c>
      <c r="M65" s="186" t="str">
        <f>IF(phc_8[[#This Row],[Register No.]]="","",C65&amp;"-"&amp;D65&amp;"-"&amp;"BHA-PHC-"&amp;phc_8[[#This Row],[Register No.]])</f>
        <v>Shining Star-Mobile Clinic-BHA-PHC-63</v>
      </c>
      <c r="N65" s="183" t="s">
        <v>401</v>
      </c>
      <c r="O65" s="183" t="s">
        <v>2183</v>
      </c>
      <c r="P65" s="183">
        <v>6</v>
      </c>
      <c r="Q65" s="183"/>
      <c r="R65" s="183"/>
      <c r="S65" s="190" t="str">
        <f t="shared" si="3"/>
        <v>5 - 14 yrs</v>
      </c>
      <c r="T65" s="183" t="s">
        <v>603</v>
      </c>
      <c r="U65" s="183" t="s">
        <v>2001</v>
      </c>
      <c r="V65" s="183" t="s">
        <v>2187</v>
      </c>
      <c r="W65" s="183" t="s">
        <v>3071</v>
      </c>
      <c r="X65" s="183" t="s">
        <v>113</v>
      </c>
      <c r="Y65" s="186" t="str">
        <f>INDEX(info!$Y$2:$Y$192,MATCH(phc_8[[#This Row],[Sub_Category]],info!$X$2:$X$192,0))</f>
        <v>ARI/RTI</v>
      </c>
      <c r="Z65" s="186" t="str">
        <f t="array" ref="Z65">INDEX(info!$AA$2:$AA$192,MATCH(PHC!$X65&amp;PHC!$Y65,info!$X$2:$X$192&amp;info!$Y$2:$Y$192,0))</f>
        <v>Communicable disease</v>
      </c>
      <c r="AA65" s="183" t="s">
        <v>2033</v>
      </c>
      <c r="AB65" s="9" t="s">
        <v>654</v>
      </c>
      <c r="AC65" s="9" t="s">
        <v>654</v>
      </c>
      <c r="AD65" s="9" t="s">
        <v>654</v>
      </c>
      <c r="AE65" s="9" t="s">
        <v>654</v>
      </c>
      <c r="AF65" s="184"/>
      <c r="AG65" s="183"/>
      <c r="AH65" s="183"/>
      <c r="AI65" s="183"/>
      <c r="AJ65" s="183"/>
      <c r="AK65" s="9" t="s">
        <v>654</v>
      </c>
      <c r="AL65" s="183"/>
      <c r="AM65" s="186" t="str">
        <f>IF(AF65="","","Q"&amp;INT((MONTH(AF65)-1)/3)+1&amp;YEAR(AF65)&amp;#REF!&amp;T65)</f>
        <v/>
      </c>
      <c r="AN65" s="186" t="e">
        <f>IF(K65="","","Q"&amp;INT((MONTH(K65)-1)/3)+1&amp;YEAR(K65)&amp;#REF!)</f>
        <v>#REF!</v>
      </c>
    </row>
    <row r="66" spans="1:40" ht="20.100000000000001" customHeight="1" x14ac:dyDescent="0.25">
      <c r="A66" s="8">
        <v>64</v>
      </c>
      <c r="B66" s="8" t="s">
        <v>399</v>
      </c>
      <c r="C66" s="8" t="s">
        <v>1997</v>
      </c>
      <c r="D66" s="8" t="s">
        <v>2416</v>
      </c>
      <c r="E66" s="8" t="s">
        <v>1998</v>
      </c>
      <c r="F66" s="9" t="s">
        <v>1999</v>
      </c>
      <c r="G66" s="183"/>
      <c r="H66" s="9" t="s">
        <v>2001</v>
      </c>
      <c r="I66" s="9" t="s">
        <v>579</v>
      </c>
      <c r="J66" s="183"/>
      <c r="K66" s="10">
        <v>46037</v>
      </c>
      <c r="L66" s="9">
        <v>64</v>
      </c>
      <c r="M66" s="185" t="str">
        <f>IF(phc_8[[#This Row],[Register No.]]="","",C66&amp;"-"&amp;D66&amp;"-"&amp;"BHA-PHC-"&amp;phc_8[[#This Row],[Register No.]])</f>
        <v>Shining Star-Mobile Clinic-BHA-PHC-64</v>
      </c>
      <c r="N66" s="9" t="s">
        <v>401</v>
      </c>
      <c r="O66" s="183" t="s">
        <v>2184</v>
      </c>
      <c r="P66" s="183">
        <v>49</v>
      </c>
      <c r="Q66" s="183"/>
      <c r="R66" s="183"/>
      <c r="S66" s="186" t="str">
        <f t="shared" si="3"/>
        <v>19 - 49 yrs</v>
      </c>
      <c r="T66" s="183" t="s">
        <v>603</v>
      </c>
      <c r="U66" s="9" t="s">
        <v>2001</v>
      </c>
      <c r="V66" s="183" t="s">
        <v>2188</v>
      </c>
      <c r="W66" s="183" t="s">
        <v>2030</v>
      </c>
      <c r="X66" s="183" t="s">
        <v>178</v>
      </c>
      <c r="Y66" s="186" t="str">
        <f>INDEX(info!$Y$2:$Y$192,MATCH(phc_8[[#This Row],[Sub_Category]],info!$X$2:$X$192,0))</f>
        <v>Chronic medical disease</v>
      </c>
      <c r="Z66" s="186" t="str">
        <f t="array" ref="Z66">INDEX(info!$AA$2:$AA$192,MATCH(PHC!$X66&amp;PHC!$Y66,info!$X$2:$X$192&amp;info!$Y$2:$Y$192,0))</f>
        <v>Non-communicable disease</v>
      </c>
      <c r="AA66" s="183" t="s">
        <v>2191</v>
      </c>
      <c r="AB66" s="9" t="s">
        <v>654</v>
      </c>
      <c r="AC66" s="9" t="s">
        <v>654</v>
      </c>
      <c r="AD66" s="9" t="s">
        <v>654</v>
      </c>
      <c r="AE66" s="9" t="s">
        <v>654</v>
      </c>
      <c r="AF66" s="184"/>
      <c r="AG66" s="183"/>
      <c r="AH66" s="183"/>
      <c r="AI66" s="183"/>
      <c r="AJ66" s="183"/>
      <c r="AK66" s="9" t="s">
        <v>654</v>
      </c>
      <c r="AL66" s="183"/>
      <c r="AM66" s="186" t="str">
        <f>IF(AF66="","","Q"&amp;INT((MONTH(AF66)-1)/3)+1&amp;YEAR(AF66)&amp;#REF!&amp;T66)</f>
        <v/>
      </c>
      <c r="AN66" s="186" t="e">
        <f>IF(K66="","","Q"&amp;INT((MONTH(K66)-1)/3)+1&amp;YEAR(K66)&amp;#REF!)</f>
        <v>#REF!</v>
      </c>
    </row>
    <row r="67" spans="1:40" ht="20.100000000000001" customHeight="1" x14ac:dyDescent="0.25">
      <c r="A67" s="8">
        <v>65</v>
      </c>
      <c r="B67" s="8" t="s">
        <v>399</v>
      </c>
      <c r="C67" s="8" t="s">
        <v>1997</v>
      </c>
      <c r="D67" s="8" t="s">
        <v>2416</v>
      </c>
      <c r="E67" s="8" t="s">
        <v>1998</v>
      </c>
      <c r="F67" s="9" t="s">
        <v>1999</v>
      </c>
      <c r="G67" s="183"/>
      <c r="H67" s="9" t="s">
        <v>2001</v>
      </c>
      <c r="I67" s="9" t="s">
        <v>579</v>
      </c>
      <c r="J67" s="183"/>
      <c r="K67" s="10">
        <v>46037</v>
      </c>
      <c r="L67" s="9">
        <v>65</v>
      </c>
      <c r="M67" s="185" t="str">
        <f>IF(phc_8[[#This Row],[Register No.]]="","",C67&amp;"-"&amp;D67&amp;"-"&amp;"BHA-PHC-"&amp;phc_8[[#This Row],[Register No.]])</f>
        <v>Shining Star-Mobile Clinic-BHA-PHC-65</v>
      </c>
      <c r="N67" s="9" t="s">
        <v>401</v>
      </c>
      <c r="O67" s="183" t="s">
        <v>2185</v>
      </c>
      <c r="P67" s="183">
        <v>28</v>
      </c>
      <c r="Q67" s="183"/>
      <c r="R67" s="183"/>
      <c r="S67" s="186" t="str">
        <f t="shared" si="3"/>
        <v>19 - 49 yrs</v>
      </c>
      <c r="T67" s="183" t="s">
        <v>603</v>
      </c>
      <c r="U67" s="9" t="s">
        <v>2001</v>
      </c>
      <c r="V67" s="183" t="s">
        <v>2163</v>
      </c>
      <c r="W67" s="183" t="s">
        <v>294</v>
      </c>
      <c r="X67" s="183" t="s">
        <v>294</v>
      </c>
      <c r="Y67" s="186" t="str">
        <f>INDEX(info!$Y$2:$Y$192,MATCH(phc_8[[#This Row],[Sub_Category]],info!$X$2:$X$192,0))</f>
        <v>Other (non-communicable)</v>
      </c>
      <c r="Z67" s="186" t="str">
        <f t="array" ref="Z67">INDEX(info!$AA$2:$AA$192,MATCH(PHC!$X67&amp;PHC!$Y67,info!$X$2:$X$192&amp;info!$Y$2:$Y$192,0))</f>
        <v>Other</v>
      </c>
      <c r="AA67" s="183" t="s">
        <v>2192</v>
      </c>
      <c r="AB67" s="9" t="s">
        <v>654</v>
      </c>
      <c r="AC67" s="9" t="s">
        <v>654</v>
      </c>
      <c r="AD67" s="9" t="s">
        <v>654</v>
      </c>
      <c r="AE67" s="9" t="s">
        <v>654</v>
      </c>
      <c r="AF67" s="184"/>
      <c r="AG67" s="183"/>
      <c r="AH67" s="183"/>
      <c r="AI67" s="183"/>
      <c r="AJ67" s="183"/>
      <c r="AK67" s="9" t="s">
        <v>654</v>
      </c>
      <c r="AL67" s="183"/>
      <c r="AM67" s="186" t="str">
        <f>IF(AF67="","","Q"&amp;INT((MONTH(AF67)-1)/3)+1&amp;YEAR(AF67)&amp;#REF!&amp;T67)</f>
        <v/>
      </c>
      <c r="AN67" s="186" t="e">
        <f>IF(K67="","","Q"&amp;INT((MONTH(K67)-1)/3)+1&amp;YEAR(K67)&amp;#REF!)</f>
        <v>#REF!</v>
      </c>
    </row>
    <row r="68" spans="1:40" s="216" customFormat="1" ht="20.100000000000001" customHeight="1" x14ac:dyDescent="0.25">
      <c r="A68" s="182">
        <v>66</v>
      </c>
      <c r="B68" s="182" t="s">
        <v>399</v>
      </c>
      <c r="C68" s="182" t="s">
        <v>1997</v>
      </c>
      <c r="D68" s="8" t="s">
        <v>2416</v>
      </c>
      <c r="E68" s="182" t="s">
        <v>1998</v>
      </c>
      <c r="F68" s="9" t="s">
        <v>1999</v>
      </c>
      <c r="G68" s="183"/>
      <c r="H68" s="9" t="s">
        <v>2001</v>
      </c>
      <c r="I68" s="9" t="s">
        <v>579</v>
      </c>
      <c r="J68" s="183"/>
      <c r="K68" s="10">
        <v>46037</v>
      </c>
      <c r="L68" s="183">
        <v>66</v>
      </c>
      <c r="M68" s="186" t="str">
        <f>IF(phc_8[[#This Row],[Register No.]]="","",C68&amp;"-"&amp;D68&amp;"-"&amp;"BHA-PHC-"&amp;phc_8[[#This Row],[Register No.]])</f>
        <v>Shining Star-Mobile Clinic-BHA-PHC-66</v>
      </c>
      <c r="N68" s="183" t="s">
        <v>401</v>
      </c>
      <c r="O68" s="183" t="s">
        <v>2193</v>
      </c>
      <c r="P68" s="183">
        <v>2</v>
      </c>
      <c r="Q68" s="183"/>
      <c r="R68" s="183"/>
      <c r="S68" s="190" t="str">
        <f t="shared" si="3"/>
        <v>&lt;5 yrs</v>
      </c>
      <c r="T68" s="183" t="s">
        <v>402</v>
      </c>
      <c r="U68" s="183" t="s">
        <v>2001</v>
      </c>
      <c r="V68" s="183" t="s">
        <v>2198</v>
      </c>
      <c r="W68" s="183" t="s">
        <v>3071</v>
      </c>
      <c r="X68" s="183" t="s">
        <v>113</v>
      </c>
      <c r="Y68" s="186" t="str">
        <f>INDEX(info!$Y$2:$Y$192,MATCH(phc_8[[#This Row],[Sub_Category]],info!$X$2:$X$192,0))</f>
        <v>ARI/RTI</v>
      </c>
      <c r="Z68" s="186" t="str">
        <f t="array" ref="Z68">INDEX(info!$AA$2:$AA$192,MATCH(PHC!$X68&amp;PHC!$Y68,info!$X$2:$X$192&amp;info!$Y$2:$Y$192,0))</f>
        <v>Communicable disease</v>
      </c>
      <c r="AA68" s="183" t="s">
        <v>2176</v>
      </c>
      <c r="AB68" s="9" t="s">
        <v>654</v>
      </c>
      <c r="AC68" s="9" t="s">
        <v>654</v>
      </c>
      <c r="AD68" s="9" t="s">
        <v>654</v>
      </c>
      <c r="AE68" s="9" t="s">
        <v>654</v>
      </c>
      <c r="AF68" s="184"/>
      <c r="AG68" s="183"/>
      <c r="AH68" s="183"/>
      <c r="AI68" s="183"/>
      <c r="AJ68" s="183"/>
      <c r="AK68" s="9" t="s">
        <v>654</v>
      </c>
      <c r="AL68" s="183"/>
      <c r="AM68" s="186" t="str">
        <f>IF(AF68="","","Q"&amp;INT((MONTH(AF68)-1)/3)+1&amp;YEAR(AF68)&amp;#REF!&amp;T68)</f>
        <v/>
      </c>
      <c r="AN68" s="186" t="e">
        <f>IF(K68="","","Q"&amp;INT((MONTH(K68)-1)/3)+1&amp;YEAR(K68)&amp;#REF!)</f>
        <v>#REF!</v>
      </c>
    </row>
    <row r="69" spans="1:40" ht="20.100000000000001" customHeight="1" x14ac:dyDescent="0.25">
      <c r="A69" s="8">
        <v>67</v>
      </c>
      <c r="B69" s="8" t="s">
        <v>399</v>
      </c>
      <c r="C69" s="8" t="s">
        <v>1997</v>
      </c>
      <c r="D69" s="8" t="s">
        <v>2416</v>
      </c>
      <c r="E69" s="8" t="s">
        <v>1998</v>
      </c>
      <c r="F69" s="9" t="s">
        <v>1999</v>
      </c>
      <c r="G69" s="183"/>
      <c r="H69" s="9" t="s">
        <v>2001</v>
      </c>
      <c r="I69" s="9" t="s">
        <v>579</v>
      </c>
      <c r="J69" s="183"/>
      <c r="K69" s="10">
        <v>46037</v>
      </c>
      <c r="L69" s="9">
        <v>67</v>
      </c>
      <c r="M69" s="185" t="str">
        <f>IF(phc_8[[#This Row],[Register No.]]="","",C69&amp;"-"&amp;D69&amp;"-"&amp;"BHA-PHC-"&amp;phc_8[[#This Row],[Register No.]])</f>
        <v>Shining Star-Mobile Clinic-BHA-PHC-67</v>
      </c>
      <c r="N69" s="9" t="s">
        <v>401</v>
      </c>
      <c r="O69" s="183" t="s">
        <v>2194</v>
      </c>
      <c r="P69" s="183">
        <v>17</v>
      </c>
      <c r="Q69" s="183"/>
      <c r="R69" s="183"/>
      <c r="S69" s="186" t="str">
        <f t="shared" si="3"/>
        <v>15 - 18 yrs</v>
      </c>
      <c r="T69" s="183" t="s">
        <v>603</v>
      </c>
      <c r="U69" s="9" t="s">
        <v>2001</v>
      </c>
      <c r="V69" s="183" t="s">
        <v>2199</v>
      </c>
      <c r="W69" s="183" t="s">
        <v>2174</v>
      </c>
      <c r="X69" s="183" t="s">
        <v>196</v>
      </c>
      <c r="Y69" s="186" t="str">
        <f>INDEX(info!$Y$2:$Y$192,MATCH(phc_8[[#This Row],[Sub_Category]],info!$X$2:$X$192,0))</f>
        <v>Skin infection/disease</v>
      </c>
      <c r="Z69" s="186" t="str">
        <f t="array" ref="Z69">INDEX(info!$AA$2:$AA$192,MATCH(PHC!$X69&amp;PHC!$Y69,info!$X$2:$X$192&amp;info!$Y$2:$Y$192,0))</f>
        <v>Non-communicable disease</v>
      </c>
      <c r="AA69" s="183" t="s">
        <v>2203</v>
      </c>
      <c r="AB69" s="9" t="s">
        <v>654</v>
      </c>
      <c r="AC69" s="9" t="s">
        <v>654</v>
      </c>
      <c r="AD69" s="9" t="s">
        <v>654</v>
      </c>
      <c r="AE69" s="9" t="s">
        <v>654</v>
      </c>
      <c r="AF69" s="184"/>
      <c r="AG69" s="183"/>
      <c r="AH69" s="183"/>
      <c r="AI69" s="183"/>
      <c r="AJ69" s="183"/>
      <c r="AK69" s="9" t="s">
        <v>654</v>
      </c>
      <c r="AL69" s="183"/>
      <c r="AM69" s="186" t="str">
        <f>IF(AF69="","","Q"&amp;INT((MONTH(AF69)-1)/3)+1&amp;YEAR(AF69)&amp;#REF!&amp;T69)</f>
        <v/>
      </c>
      <c r="AN69" s="186" t="e">
        <f>IF(K69="","","Q"&amp;INT((MONTH(K69)-1)/3)+1&amp;YEAR(K69)&amp;#REF!)</f>
        <v>#REF!</v>
      </c>
    </row>
    <row r="70" spans="1:40" ht="20.100000000000001" customHeight="1" x14ac:dyDescent="0.25">
      <c r="A70" s="8">
        <v>68</v>
      </c>
      <c r="B70" s="8" t="s">
        <v>399</v>
      </c>
      <c r="C70" s="8" t="s">
        <v>1997</v>
      </c>
      <c r="D70" s="8" t="s">
        <v>2416</v>
      </c>
      <c r="E70" s="8" t="s">
        <v>1998</v>
      </c>
      <c r="F70" s="9" t="s">
        <v>1999</v>
      </c>
      <c r="G70" s="183"/>
      <c r="H70" s="9" t="s">
        <v>2001</v>
      </c>
      <c r="I70" s="9" t="s">
        <v>579</v>
      </c>
      <c r="J70" s="183"/>
      <c r="K70" s="10">
        <v>46037</v>
      </c>
      <c r="L70" s="9">
        <v>68</v>
      </c>
      <c r="M70" s="185" t="str">
        <f>IF(phc_8[[#This Row],[Register No.]]="","",C70&amp;"-"&amp;D70&amp;"-"&amp;"BHA-PHC-"&amp;phc_8[[#This Row],[Register No.]])</f>
        <v>Shining Star-Mobile Clinic-BHA-PHC-68</v>
      </c>
      <c r="N70" s="9" t="s">
        <v>401</v>
      </c>
      <c r="O70" s="183" t="s">
        <v>2195</v>
      </c>
      <c r="P70" s="183">
        <v>60</v>
      </c>
      <c r="Q70" s="183"/>
      <c r="R70" s="183"/>
      <c r="S70" s="186" t="str">
        <f t="shared" si="3"/>
        <v>50 yrs +</v>
      </c>
      <c r="T70" s="183" t="s">
        <v>603</v>
      </c>
      <c r="U70" s="9" t="s">
        <v>2001</v>
      </c>
      <c r="V70" s="183" t="s">
        <v>2200</v>
      </c>
      <c r="W70" s="183" t="s">
        <v>2175</v>
      </c>
      <c r="X70" s="183" t="s">
        <v>242</v>
      </c>
      <c r="Y70" s="186" t="str">
        <f>INDEX(info!$Y$2:$Y$192,MATCH(phc_8[[#This Row],[Sub_Category]],info!$X$2:$X$192,0))</f>
        <v>Accident/minor sugical and injuries</v>
      </c>
      <c r="Z70" s="186" t="str">
        <f t="array" ref="Z70">INDEX(info!$AA$2:$AA$192,MATCH(PHC!$X70&amp;PHC!$Y70,info!$X$2:$X$192&amp;info!$Y$2:$Y$192,0))</f>
        <v>Injury related</v>
      </c>
      <c r="AA70" s="183" t="s">
        <v>2204</v>
      </c>
      <c r="AB70" s="9" t="s">
        <v>654</v>
      </c>
      <c r="AC70" s="9" t="s">
        <v>654</v>
      </c>
      <c r="AD70" s="9" t="s">
        <v>654</v>
      </c>
      <c r="AE70" s="9" t="s">
        <v>654</v>
      </c>
      <c r="AF70" s="184"/>
      <c r="AG70" s="183"/>
      <c r="AH70" s="183"/>
      <c r="AI70" s="183"/>
      <c r="AJ70" s="183"/>
      <c r="AK70" s="9" t="s">
        <v>654</v>
      </c>
      <c r="AL70" s="183"/>
      <c r="AM70" s="186" t="str">
        <f>IF(AF70="","","Q"&amp;INT((MONTH(AF70)-1)/3)+1&amp;YEAR(AF70)&amp;#REF!&amp;T70)</f>
        <v/>
      </c>
      <c r="AN70" s="186" t="e">
        <f>IF(K70="","","Q"&amp;INT((MONTH(K70)-1)/3)+1&amp;YEAR(K70)&amp;#REF!)</f>
        <v>#REF!</v>
      </c>
    </row>
    <row r="71" spans="1:40" ht="20.100000000000001" customHeight="1" x14ac:dyDescent="0.25">
      <c r="A71" s="8">
        <v>69</v>
      </c>
      <c r="B71" s="8" t="s">
        <v>399</v>
      </c>
      <c r="C71" s="8" t="s">
        <v>1997</v>
      </c>
      <c r="D71" s="8" t="s">
        <v>2416</v>
      </c>
      <c r="E71" s="8" t="s">
        <v>1998</v>
      </c>
      <c r="F71" s="9" t="s">
        <v>1999</v>
      </c>
      <c r="G71" s="183"/>
      <c r="H71" s="9" t="s">
        <v>2001</v>
      </c>
      <c r="I71" s="9" t="s">
        <v>579</v>
      </c>
      <c r="J71" s="183"/>
      <c r="K71" s="10">
        <v>46037</v>
      </c>
      <c r="L71" s="9">
        <v>69</v>
      </c>
      <c r="M71" s="185" t="str">
        <f>IF(phc_8[[#This Row],[Register No.]]="","",C71&amp;"-"&amp;D71&amp;"-"&amp;"BHA-PHC-"&amp;phc_8[[#This Row],[Register No.]])</f>
        <v>Shining Star-Mobile Clinic-BHA-PHC-69</v>
      </c>
      <c r="N71" s="9" t="s">
        <v>401</v>
      </c>
      <c r="O71" s="183" t="s">
        <v>2196</v>
      </c>
      <c r="P71" s="183">
        <v>26</v>
      </c>
      <c r="Q71" s="183"/>
      <c r="R71" s="183"/>
      <c r="S71" s="186" t="str">
        <f t="shared" si="3"/>
        <v>19 - 49 yrs</v>
      </c>
      <c r="T71" s="183" t="s">
        <v>603</v>
      </c>
      <c r="U71" s="9" t="s">
        <v>2001</v>
      </c>
      <c r="V71" s="183" t="s">
        <v>2201</v>
      </c>
      <c r="W71" s="183" t="s">
        <v>294</v>
      </c>
      <c r="X71" s="183" t="s">
        <v>294</v>
      </c>
      <c r="Y71" s="186" t="str">
        <f>INDEX(info!$Y$2:$Y$192,MATCH(phc_8[[#This Row],[Sub_Category]],info!$X$2:$X$192,0))</f>
        <v>Other (non-communicable)</v>
      </c>
      <c r="Z71" s="186" t="str">
        <f t="array" ref="Z71">INDEX(info!$AA$2:$AA$192,MATCH(PHC!$X71&amp;PHC!$Y71,info!$X$2:$X$192&amp;info!$Y$2:$Y$192,0))</f>
        <v>Other</v>
      </c>
      <c r="AA71" s="183" t="s">
        <v>2205</v>
      </c>
      <c r="AB71" s="9" t="s">
        <v>654</v>
      </c>
      <c r="AC71" s="9" t="s">
        <v>654</v>
      </c>
      <c r="AD71" s="9" t="s">
        <v>654</v>
      </c>
      <c r="AE71" s="9" t="s">
        <v>654</v>
      </c>
      <c r="AF71" s="184"/>
      <c r="AG71" s="183"/>
      <c r="AH71" s="183"/>
      <c r="AI71" s="183"/>
      <c r="AJ71" s="183"/>
      <c r="AK71" s="9" t="s">
        <v>654</v>
      </c>
      <c r="AL71" s="183"/>
      <c r="AM71" s="186" t="str">
        <f>IF(AF71="","","Q"&amp;INT((MONTH(AF71)-1)/3)+1&amp;YEAR(AF71)&amp;#REF!&amp;T71)</f>
        <v/>
      </c>
      <c r="AN71" s="186" t="e">
        <f>IF(K71="","","Q"&amp;INT((MONTH(K71)-1)/3)+1&amp;YEAR(K71)&amp;#REF!)</f>
        <v>#REF!</v>
      </c>
    </row>
    <row r="72" spans="1:40" s="216" customFormat="1" ht="20.100000000000001" customHeight="1" x14ac:dyDescent="0.25">
      <c r="A72" s="182">
        <v>70</v>
      </c>
      <c r="B72" s="182" t="s">
        <v>399</v>
      </c>
      <c r="C72" s="182" t="s">
        <v>1997</v>
      </c>
      <c r="D72" s="8" t="s">
        <v>2416</v>
      </c>
      <c r="E72" s="182" t="s">
        <v>1998</v>
      </c>
      <c r="F72" s="9" t="s">
        <v>1999</v>
      </c>
      <c r="G72" s="183"/>
      <c r="H72" s="9" t="s">
        <v>2001</v>
      </c>
      <c r="I72" s="9" t="s">
        <v>579</v>
      </c>
      <c r="J72" s="183"/>
      <c r="K72" s="10">
        <v>46037</v>
      </c>
      <c r="L72" s="183">
        <v>70</v>
      </c>
      <c r="M72" s="186" t="str">
        <f>IF(phc_8[[#This Row],[Register No.]]="","",C72&amp;"-"&amp;D72&amp;"-"&amp;"BHA-PHC-"&amp;phc_8[[#This Row],[Register No.]])</f>
        <v>Shining Star-Mobile Clinic-BHA-PHC-70</v>
      </c>
      <c r="N72" s="183" t="s">
        <v>401</v>
      </c>
      <c r="O72" s="183" t="s">
        <v>2197</v>
      </c>
      <c r="P72" s="183">
        <v>3</v>
      </c>
      <c r="Q72" s="183"/>
      <c r="R72" s="183"/>
      <c r="S72" s="190" t="str">
        <f t="shared" si="3"/>
        <v>&lt;5 yrs</v>
      </c>
      <c r="T72" s="183" t="s">
        <v>603</v>
      </c>
      <c r="U72" s="183" t="s">
        <v>2001</v>
      </c>
      <c r="V72" s="183" t="s">
        <v>2202</v>
      </c>
      <c r="W72" s="183" t="s">
        <v>3071</v>
      </c>
      <c r="X72" s="183" t="s">
        <v>113</v>
      </c>
      <c r="Y72" s="186" t="str">
        <f>INDEX(info!$Y$2:$Y$192,MATCH(phc_8[[#This Row],[Sub_Category]],info!$X$2:$X$192,0))</f>
        <v>ARI/RTI</v>
      </c>
      <c r="Z72" s="186" t="str">
        <f t="array" ref="Z72">INDEX(info!$AA$2:$AA$192,MATCH(PHC!$X72&amp;PHC!$Y72,info!$X$2:$X$192&amp;info!$Y$2:$Y$192,0))</f>
        <v>Communicable disease</v>
      </c>
      <c r="AA72" s="183" t="s">
        <v>2176</v>
      </c>
      <c r="AB72" s="9" t="s">
        <v>654</v>
      </c>
      <c r="AC72" s="9" t="s">
        <v>654</v>
      </c>
      <c r="AD72" s="9" t="s">
        <v>654</v>
      </c>
      <c r="AE72" s="9" t="s">
        <v>654</v>
      </c>
      <c r="AF72" s="184"/>
      <c r="AG72" s="183"/>
      <c r="AH72" s="183"/>
      <c r="AI72" s="183"/>
      <c r="AJ72" s="183"/>
      <c r="AK72" s="9" t="s">
        <v>654</v>
      </c>
      <c r="AL72" s="183"/>
      <c r="AM72" s="186" t="str">
        <f>IF(AF72="","","Q"&amp;INT((MONTH(AF72)-1)/3)+1&amp;YEAR(AF72)&amp;#REF!&amp;T72)</f>
        <v/>
      </c>
      <c r="AN72" s="186" t="e">
        <f>IF(K72="","","Q"&amp;INT((MONTH(K72)-1)/3)+1&amp;YEAR(K72)&amp;#REF!)</f>
        <v>#REF!</v>
      </c>
    </row>
    <row r="73" spans="1:40" ht="20.100000000000001" customHeight="1" x14ac:dyDescent="0.25">
      <c r="A73" s="8">
        <v>71</v>
      </c>
      <c r="B73" s="8" t="s">
        <v>399</v>
      </c>
      <c r="C73" s="8" t="s">
        <v>1997</v>
      </c>
      <c r="D73" s="8" t="s">
        <v>2416</v>
      </c>
      <c r="E73" s="8" t="s">
        <v>1998</v>
      </c>
      <c r="F73" s="9" t="s">
        <v>1999</v>
      </c>
      <c r="G73" s="183"/>
      <c r="H73" s="9" t="s">
        <v>2001</v>
      </c>
      <c r="I73" s="9" t="s">
        <v>579</v>
      </c>
      <c r="J73" s="183"/>
      <c r="K73" s="10">
        <v>46037</v>
      </c>
      <c r="L73" s="9">
        <v>71</v>
      </c>
      <c r="M73" s="185" t="str">
        <f>IF(phc_8[[#This Row],[Register No.]]="","",C73&amp;"-"&amp;D73&amp;"-"&amp;"BHA-PHC-"&amp;phc_8[[#This Row],[Register No.]])</f>
        <v>Shining Star-Mobile Clinic-BHA-PHC-71</v>
      </c>
      <c r="N73" s="9" t="s">
        <v>401</v>
      </c>
      <c r="O73" s="183" t="s">
        <v>2206</v>
      </c>
      <c r="P73" s="183">
        <v>53</v>
      </c>
      <c r="Q73" s="183"/>
      <c r="R73" s="183"/>
      <c r="S73" s="186" t="str">
        <f t="shared" si="3"/>
        <v>50 yrs +</v>
      </c>
      <c r="T73" s="183" t="s">
        <v>603</v>
      </c>
      <c r="U73" s="9" t="s">
        <v>2001</v>
      </c>
      <c r="V73" s="183" t="s">
        <v>2211</v>
      </c>
      <c r="W73" s="183" t="s">
        <v>2014</v>
      </c>
      <c r="X73" s="183" t="s">
        <v>2014</v>
      </c>
      <c r="Y73" s="186" t="str">
        <f>INDEX(info!$Y$2:$Y$192,MATCH(phc_8[[#This Row],[Sub_Category]],info!$X$2:$X$192,0))</f>
        <v>Other (non-communicable)</v>
      </c>
      <c r="Z73" s="186" t="str">
        <f t="array" ref="Z73">INDEX(info!$AA$2:$AA$192,MATCH(PHC!$X73&amp;PHC!$Y73,info!$X$2:$X$192&amp;info!$Y$2:$Y$192,0))</f>
        <v>Other</v>
      </c>
      <c r="AA73" s="183" t="s">
        <v>2216</v>
      </c>
      <c r="AB73" s="9" t="s">
        <v>654</v>
      </c>
      <c r="AC73" s="9" t="s">
        <v>654</v>
      </c>
      <c r="AD73" s="9" t="s">
        <v>654</v>
      </c>
      <c r="AE73" s="9" t="s">
        <v>654</v>
      </c>
      <c r="AF73" s="184"/>
      <c r="AG73" s="183"/>
      <c r="AH73" s="183"/>
      <c r="AI73" s="183"/>
      <c r="AJ73" s="183"/>
      <c r="AK73" s="9" t="s">
        <v>654</v>
      </c>
      <c r="AL73" s="183"/>
      <c r="AM73" s="186" t="str">
        <f>IF(AF73="","","Q"&amp;INT((MONTH(AF73)-1)/3)+1&amp;YEAR(AF73)&amp;#REF!&amp;T73)</f>
        <v/>
      </c>
      <c r="AN73" s="186" t="e">
        <f>IF(K73="","","Q"&amp;INT((MONTH(K73)-1)/3)+1&amp;YEAR(K73)&amp;#REF!)</f>
        <v>#REF!</v>
      </c>
    </row>
    <row r="74" spans="1:40" ht="20.100000000000001" customHeight="1" x14ac:dyDescent="0.25">
      <c r="A74" s="8">
        <v>72</v>
      </c>
      <c r="B74" s="8" t="s">
        <v>399</v>
      </c>
      <c r="C74" s="8" t="s">
        <v>1997</v>
      </c>
      <c r="D74" s="8" t="s">
        <v>2416</v>
      </c>
      <c r="E74" s="8" t="s">
        <v>1998</v>
      </c>
      <c r="F74" s="9" t="s">
        <v>1999</v>
      </c>
      <c r="G74" s="183"/>
      <c r="H74" s="9" t="s">
        <v>2001</v>
      </c>
      <c r="I74" s="9" t="s">
        <v>579</v>
      </c>
      <c r="J74" s="183"/>
      <c r="K74" s="10">
        <v>46037</v>
      </c>
      <c r="L74" s="183">
        <v>72</v>
      </c>
      <c r="M74" s="185" t="str">
        <f>IF(phc_8[[#This Row],[Register No.]]="","",C74&amp;"-"&amp;D74&amp;"-"&amp;"BHA-PHC-"&amp;phc_8[[#This Row],[Register No.]])</f>
        <v>Shining Star-Mobile Clinic-BHA-PHC-72</v>
      </c>
      <c r="N74" s="9" t="s">
        <v>401</v>
      </c>
      <c r="O74" s="183" t="s">
        <v>2207</v>
      </c>
      <c r="P74" s="183">
        <v>58</v>
      </c>
      <c r="Q74" s="183"/>
      <c r="R74" s="183"/>
      <c r="S74" s="186" t="str">
        <f t="shared" si="3"/>
        <v>50 yrs +</v>
      </c>
      <c r="T74" s="183" t="s">
        <v>603</v>
      </c>
      <c r="U74" s="9" t="s">
        <v>2001</v>
      </c>
      <c r="V74" s="183" t="s">
        <v>2211</v>
      </c>
      <c r="W74" s="183" t="s">
        <v>2003</v>
      </c>
      <c r="X74" s="183" t="s">
        <v>181</v>
      </c>
      <c r="Y74" s="186" t="str">
        <f>INDEX(info!$Y$2:$Y$192,MATCH(phc_8[[#This Row],[Sub_Category]],info!$X$2:$X$192,0))</f>
        <v>Chronic medical disease</v>
      </c>
      <c r="Z74" s="186" t="str">
        <f t="array" ref="Z74">INDEX(info!$AA$2:$AA$192,MATCH(PHC!$X74&amp;PHC!$Y74,info!$X$2:$X$192&amp;info!$Y$2:$Y$192,0))</f>
        <v>Non-communicable disease</v>
      </c>
      <c r="AA74" s="183" t="s">
        <v>2217</v>
      </c>
      <c r="AB74" s="9" t="s">
        <v>654</v>
      </c>
      <c r="AC74" s="9" t="s">
        <v>654</v>
      </c>
      <c r="AD74" s="9" t="s">
        <v>654</v>
      </c>
      <c r="AE74" s="9" t="s">
        <v>654</v>
      </c>
      <c r="AF74" s="184"/>
      <c r="AG74" s="183"/>
      <c r="AH74" s="183"/>
      <c r="AI74" s="183"/>
      <c r="AJ74" s="183"/>
      <c r="AK74" s="9" t="s">
        <v>654</v>
      </c>
      <c r="AL74" s="183"/>
      <c r="AM74" s="186" t="str">
        <f>IF(AF74="","","Q"&amp;INT((MONTH(AF74)-1)/3)+1&amp;YEAR(AF74)&amp;#REF!&amp;T74)</f>
        <v/>
      </c>
      <c r="AN74" s="186" t="e">
        <f>IF(K74="","","Q"&amp;INT((MONTH(K74)-1)/3)+1&amp;YEAR(K74)&amp;#REF!)</f>
        <v>#REF!</v>
      </c>
    </row>
    <row r="75" spans="1:40" ht="20.100000000000001" customHeight="1" x14ac:dyDescent="0.25">
      <c r="A75" s="8">
        <v>73</v>
      </c>
      <c r="B75" s="8" t="s">
        <v>399</v>
      </c>
      <c r="C75" s="8" t="s">
        <v>1997</v>
      </c>
      <c r="D75" s="8" t="s">
        <v>2416</v>
      </c>
      <c r="E75" s="8" t="s">
        <v>1998</v>
      </c>
      <c r="F75" s="9" t="s">
        <v>1999</v>
      </c>
      <c r="G75" s="183"/>
      <c r="H75" s="9" t="s">
        <v>2001</v>
      </c>
      <c r="I75" s="9" t="s">
        <v>579</v>
      </c>
      <c r="J75" s="183"/>
      <c r="K75" s="10">
        <v>46037</v>
      </c>
      <c r="L75" s="9">
        <v>73</v>
      </c>
      <c r="M75" s="185" t="str">
        <f>IF(phc_8[[#This Row],[Register No.]]="","",C75&amp;"-"&amp;D75&amp;"-"&amp;"BHA-PHC-"&amp;phc_8[[#This Row],[Register No.]])</f>
        <v>Shining Star-Mobile Clinic-BHA-PHC-73</v>
      </c>
      <c r="N75" s="9" t="s">
        <v>401</v>
      </c>
      <c r="O75" s="183" t="s">
        <v>2208</v>
      </c>
      <c r="P75" s="183">
        <v>41</v>
      </c>
      <c r="Q75" s="183"/>
      <c r="R75" s="183"/>
      <c r="S75" s="186" t="str">
        <f t="shared" si="3"/>
        <v>19 - 49 yrs</v>
      </c>
      <c r="T75" s="183" t="s">
        <v>603</v>
      </c>
      <c r="U75" s="9" t="s">
        <v>2001</v>
      </c>
      <c r="V75" s="183" t="s">
        <v>2212</v>
      </c>
      <c r="W75" s="183" t="s">
        <v>2215</v>
      </c>
      <c r="X75" s="183"/>
      <c r="Y75" s="186" t="e">
        <f>INDEX(info!$Y$2:$Y$192,MATCH(phc_8[[#This Row],[Sub_Category]],info!$X$2:$X$192,0))</f>
        <v>#N/A</v>
      </c>
      <c r="Z75" s="186" t="e">
        <f t="array" ref="Z75">INDEX(info!$AA$2:$AA$192,MATCH(PHC!$X75&amp;PHC!$Y75,info!$X$2:$X$192&amp;info!$Y$2:$Y$192,0))</f>
        <v>#N/A</v>
      </c>
      <c r="AA75" s="183" t="s">
        <v>2218</v>
      </c>
      <c r="AB75" s="9" t="s">
        <v>654</v>
      </c>
      <c r="AC75" s="9" t="s">
        <v>654</v>
      </c>
      <c r="AD75" s="9" t="s">
        <v>654</v>
      </c>
      <c r="AE75" s="9" t="s">
        <v>654</v>
      </c>
      <c r="AF75" s="184"/>
      <c r="AG75" s="183"/>
      <c r="AH75" s="183"/>
      <c r="AI75" s="183"/>
      <c r="AJ75" s="183"/>
      <c r="AK75" s="9" t="s">
        <v>654</v>
      </c>
      <c r="AL75" s="183"/>
      <c r="AM75" s="186" t="str">
        <f>IF(AF75="","","Q"&amp;INT((MONTH(AF75)-1)/3)+1&amp;YEAR(AF75)&amp;#REF!&amp;T75)</f>
        <v/>
      </c>
      <c r="AN75" s="186" t="e">
        <f>IF(K75="","","Q"&amp;INT((MONTH(K75)-1)/3)+1&amp;YEAR(K75)&amp;#REF!)</f>
        <v>#REF!</v>
      </c>
    </row>
    <row r="76" spans="1:40" ht="20.100000000000001" customHeight="1" x14ac:dyDescent="0.25">
      <c r="A76" s="8">
        <v>74</v>
      </c>
      <c r="B76" s="8" t="s">
        <v>399</v>
      </c>
      <c r="C76" s="8" t="s">
        <v>1997</v>
      </c>
      <c r="D76" s="8" t="s">
        <v>2416</v>
      </c>
      <c r="E76" s="8" t="s">
        <v>1998</v>
      </c>
      <c r="F76" s="9" t="s">
        <v>1999</v>
      </c>
      <c r="G76" s="183"/>
      <c r="H76" s="9" t="s">
        <v>2001</v>
      </c>
      <c r="I76" s="9" t="s">
        <v>579</v>
      </c>
      <c r="J76" s="183"/>
      <c r="K76" s="10">
        <v>46037</v>
      </c>
      <c r="L76" s="183">
        <v>74</v>
      </c>
      <c r="M76" s="185" t="str">
        <f>IF(phc_8[[#This Row],[Register No.]]="","",C76&amp;"-"&amp;D76&amp;"-"&amp;"BHA-PHC-"&amp;phc_8[[#This Row],[Register No.]])</f>
        <v>Shining Star-Mobile Clinic-BHA-PHC-74</v>
      </c>
      <c r="N76" s="9" t="s">
        <v>401</v>
      </c>
      <c r="O76" s="183" t="s">
        <v>2209</v>
      </c>
      <c r="P76" s="183">
        <v>56</v>
      </c>
      <c r="Q76" s="183"/>
      <c r="R76" s="183"/>
      <c r="S76" s="186" t="str">
        <f t="shared" si="3"/>
        <v>50 yrs +</v>
      </c>
      <c r="T76" s="183" t="s">
        <v>603</v>
      </c>
      <c r="U76" s="9" t="s">
        <v>2001</v>
      </c>
      <c r="V76" s="183" t="s">
        <v>2213</v>
      </c>
      <c r="W76" s="183" t="s">
        <v>2003</v>
      </c>
      <c r="X76" s="183" t="s">
        <v>181</v>
      </c>
      <c r="Y76" s="186" t="str">
        <f>INDEX(info!$Y$2:$Y$192,MATCH(phc_8[[#This Row],[Sub_Category]],info!$X$2:$X$192,0))</f>
        <v>Chronic medical disease</v>
      </c>
      <c r="Z76" s="186" t="str">
        <f t="array" ref="Z76">INDEX(info!$AA$2:$AA$192,MATCH(PHC!$X76&amp;PHC!$Y76,info!$X$2:$X$192&amp;info!$Y$2:$Y$192,0))</f>
        <v>Non-communicable disease</v>
      </c>
      <c r="AA76" s="183" t="s">
        <v>2219</v>
      </c>
      <c r="AB76" s="9" t="s">
        <v>654</v>
      </c>
      <c r="AC76" s="9" t="s">
        <v>654</v>
      </c>
      <c r="AD76" s="9" t="s">
        <v>654</v>
      </c>
      <c r="AE76" s="9" t="s">
        <v>654</v>
      </c>
      <c r="AF76" s="184"/>
      <c r="AG76" s="183"/>
      <c r="AH76" s="183"/>
      <c r="AI76" s="183"/>
      <c r="AJ76" s="183"/>
      <c r="AK76" s="9" t="s">
        <v>654</v>
      </c>
      <c r="AL76" s="183"/>
      <c r="AM76" s="186" t="str">
        <f>IF(AF76="","","Q"&amp;INT((MONTH(AF76)-1)/3)+1&amp;YEAR(AF76)&amp;#REF!&amp;T76)</f>
        <v/>
      </c>
      <c r="AN76" s="186" t="e">
        <f>IF(K76="","","Q"&amp;INT((MONTH(K76)-1)/3)+1&amp;YEAR(K76)&amp;#REF!)</f>
        <v>#REF!</v>
      </c>
    </row>
    <row r="77" spans="1:40" ht="20.100000000000001" customHeight="1" x14ac:dyDescent="0.25">
      <c r="A77" s="8">
        <v>75</v>
      </c>
      <c r="B77" s="8" t="s">
        <v>399</v>
      </c>
      <c r="C77" s="8" t="s">
        <v>1997</v>
      </c>
      <c r="D77" s="8" t="s">
        <v>2416</v>
      </c>
      <c r="E77" s="8" t="s">
        <v>1998</v>
      </c>
      <c r="F77" s="9" t="s">
        <v>1999</v>
      </c>
      <c r="G77" s="183"/>
      <c r="H77" s="9" t="s">
        <v>2001</v>
      </c>
      <c r="I77" s="9" t="s">
        <v>579</v>
      </c>
      <c r="J77" s="183"/>
      <c r="K77" s="10">
        <v>46037</v>
      </c>
      <c r="L77" s="9">
        <v>75</v>
      </c>
      <c r="M77" s="185" t="str">
        <f>IF(phc_8[[#This Row],[Register No.]]="","",C77&amp;"-"&amp;D77&amp;"-"&amp;"BHA-PHC-"&amp;phc_8[[#This Row],[Register No.]])</f>
        <v>Shining Star-Mobile Clinic-BHA-PHC-75</v>
      </c>
      <c r="N77" s="9" t="s">
        <v>401</v>
      </c>
      <c r="O77" s="183" t="s">
        <v>2210</v>
      </c>
      <c r="P77" s="183">
        <v>30</v>
      </c>
      <c r="Q77" s="183"/>
      <c r="R77" s="183"/>
      <c r="S77" s="186" t="str">
        <f t="shared" si="3"/>
        <v>19 - 49 yrs</v>
      </c>
      <c r="T77" s="183" t="s">
        <v>603</v>
      </c>
      <c r="U77" s="9" t="s">
        <v>2001</v>
      </c>
      <c r="V77" s="183" t="s">
        <v>2214</v>
      </c>
      <c r="W77" s="183" t="s">
        <v>2014</v>
      </c>
      <c r="X77" s="183" t="s">
        <v>2014</v>
      </c>
      <c r="Y77" s="186" t="str">
        <f>INDEX(info!$Y$2:$Y$192,MATCH(phc_8[[#This Row],[Sub_Category]],info!$X$2:$X$192,0))</f>
        <v>Other (non-communicable)</v>
      </c>
      <c r="Z77" s="186" t="str">
        <f t="array" ref="Z77">INDEX(info!$AA$2:$AA$192,MATCH(PHC!$X77&amp;PHC!$Y77,info!$X$2:$X$192&amp;info!$Y$2:$Y$192,0))</f>
        <v>Other</v>
      </c>
      <c r="AA77" s="183" t="s">
        <v>2220</v>
      </c>
      <c r="AB77" s="9" t="s">
        <v>654</v>
      </c>
      <c r="AC77" s="9" t="s">
        <v>654</v>
      </c>
      <c r="AD77" s="9" t="s">
        <v>654</v>
      </c>
      <c r="AE77" s="9" t="s">
        <v>654</v>
      </c>
      <c r="AF77" s="184"/>
      <c r="AG77" s="183"/>
      <c r="AH77" s="183"/>
      <c r="AI77" s="183"/>
      <c r="AJ77" s="183"/>
      <c r="AK77" s="9" t="s">
        <v>654</v>
      </c>
      <c r="AL77" s="183"/>
      <c r="AM77" s="186" t="str">
        <f>IF(AF77="","","Q"&amp;INT((MONTH(AF77)-1)/3)+1&amp;YEAR(AF77)&amp;#REF!&amp;T77)</f>
        <v/>
      </c>
      <c r="AN77" s="186" t="e">
        <f>IF(K77="","","Q"&amp;INT((MONTH(K77)-1)/3)+1&amp;YEAR(K77)&amp;#REF!)</f>
        <v>#REF!</v>
      </c>
    </row>
    <row r="78" spans="1:40" s="216" customFormat="1" ht="20.100000000000001" customHeight="1" x14ac:dyDescent="0.25">
      <c r="A78" s="182">
        <v>76</v>
      </c>
      <c r="B78" s="182" t="s">
        <v>399</v>
      </c>
      <c r="C78" s="182" t="s">
        <v>1997</v>
      </c>
      <c r="D78" s="8" t="s">
        <v>2416</v>
      </c>
      <c r="E78" s="182" t="s">
        <v>1998</v>
      </c>
      <c r="F78" s="9" t="s">
        <v>1999</v>
      </c>
      <c r="G78" s="183"/>
      <c r="H78" s="9" t="s">
        <v>2001</v>
      </c>
      <c r="I78" s="9" t="s">
        <v>579</v>
      </c>
      <c r="J78" s="183"/>
      <c r="K78" s="10">
        <v>46037</v>
      </c>
      <c r="L78" s="183">
        <v>76</v>
      </c>
      <c r="M78" s="186" t="str">
        <f>IF(phc_8[[#This Row],[Register No.]]="","",C78&amp;"-"&amp;D78&amp;"-"&amp;"BHA-PHC-"&amp;phc_8[[#This Row],[Register No.]])</f>
        <v>Shining Star-Mobile Clinic-BHA-PHC-76</v>
      </c>
      <c r="N78" s="9" t="s">
        <v>401</v>
      </c>
      <c r="O78" s="183" t="s">
        <v>2221</v>
      </c>
      <c r="P78" s="183">
        <v>1</v>
      </c>
      <c r="Q78" s="183">
        <v>9</v>
      </c>
      <c r="R78" s="183"/>
      <c r="S78" s="190" t="str">
        <f t="shared" ref="S78:S109" si="4">IF(AND(ISBLANK(P78),ISBLANK(Q78),ISBLANK(R78))," ",
IF(OR(P78&lt;5,AND(P78=" ",Q78&lt;&gt;" ",R78&lt;&gt;" ")),"&lt;5 yrs",
IF(AND(P78&gt;=5,P78&lt;=14),"5 - 14 yrs",
IF(AND(P78&gt;=15,P78&lt;=18),"15 - 18 yrs",
IF(AND(P78&gt;=19,P78&lt;=49),"19 - 49 yrs","50 yrs +")))))</f>
        <v>&lt;5 yrs</v>
      </c>
      <c r="T78" s="183" t="s">
        <v>402</v>
      </c>
      <c r="U78" s="183" t="s">
        <v>2001</v>
      </c>
      <c r="V78" s="183" t="s">
        <v>2187</v>
      </c>
      <c r="W78" s="183" t="s">
        <v>3071</v>
      </c>
      <c r="X78" s="183" t="s">
        <v>113</v>
      </c>
      <c r="Y78" s="186" t="str">
        <f>INDEX(info!$Y$2:$Y$192,MATCH(phc_8[[#This Row],[Sub_Category]],info!$X$2:$X$192,0))</f>
        <v>ARI/RTI</v>
      </c>
      <c r="Z78" s="186" t="str">
        <f t="array" ref="Z78">INDEX(info!$AA$2:$AA$192,MATCH(PHC!$X78&amp;PHC!$Y78,info!$X$2:$X$192&amp;info!$Y$2:$Y$192,0))</f>
        <v>Communicable disease</v>
      </c>
      <c r="AA78" s="183" t="s">
        <v>2176</v>
      </c>
      <c r="AB78" s="9" t="s">
        <v>654</v>
      </c>
      <c r="AC78" s="9" t="s">
        <v>654</v>
      </c>
      <c r="AD78" s="9" t="s">
        <v>654</v>
      </c>
      <c r="AE78" s="9" t="s">
        <v>654</v>
      </c>
      <c r="AF78" s="184"/>
      <c r="AG78" s="183"/>
      <c r="AH78" s="183"/>
      <c r="AI78" s="183"/>
      <c r="AJ78" s="183"/>
      <c r="AK78" s="9" t="s">
        <v>654</v>
      </c>
      <c r="AL78" s="183"/>
      <c r="AM78" s="186" t="str">
        <f>IF(AF78="","","Q"&amp;INT((MONTH(AF78)-1)/3)+1&amp;YEAR(AF78)&amp;#REF!&amp;T78)</f>
        <v/>
      </c>
      <c r="AN78" s="186" t="e">
        <f>IF(K78="","","Q"&amp;INT((MONTH(K78)-1)/3)+1&amp;YEAR(K78)&amp;#REF!)</f>
        <v>#REF!</v>
      </c>
    </row>
    <row r="79" spans="1:40" ht="20.100000000000001" customHeight="1" x14ac:dyDescent="0.25">
      <c r="A79" s="8">
        <v>77</v>
      </c>
      <c r="B79" s="8" t="s">
        <v>399</v>
      </c>
      <c r="C79" s="8" t="s">
        <v>1997</v>
      </c>
      <c r="D79" s="8" t="s">
        <v>2416</v>
      </c>
      <c r="E79" s="8" t="s">
        <v>1998</v>
      </c>
      <c r="F79" s="9" t="s">
        <v>1999</v>
      </c>
      <c r="G79" s="183"/>
      <c r="H79" s="9" t="s">
        <v>2001</v>
      </c>
      <c r="I79" s="9" t="s">
        <v>579</v>
      </c>
      <c r="J79" s="183"/>
      <c r="K79" s="10">
        <v>46037</v>
      </c>
      <c r="L79" s="9">
        <v>77</v>
      </c>
      <c r="M79" s="185" t="str">
        <f>IF(phc_8[[#This Row],[Register No.]]="","",C79&amp;"-"&amp;D79&amp;"-"&amp;"BHA-PHC-"&amp;phc_8[[#This Row],[Register No.]])</f>
        <v>Shining Star-Mobile Clinic-BHA-PHC-77</v>
      </c>
      <c r="N79" s="9" t="s">
        <v>401</v>
      </c>
      <c r="O79" s="183" t="s">
        <v>3072</v>
      </c>
      <c r="P79" s="183">
        <v>58</v>
      </c>
      <c r="Q79" s="183"/>
      <c r="R79" s="183"/>
      <c r="S79" s="186" t="str">
        <f t="shared" si="4"/>
        <v>50 yrs +</v>
      </c>
      <c r="T79" s="183" t="s">
        <v>603</v>
      </c>
      <c r="U79" s="9" t="s">
        <v>2001</v>
      </c>
      <c r="V79" s="183" t="s">
        <v>3075</v>
      </c>
      <c r="W79" s="183" t="s">
        <v>2059</v>
      </c>
      <c r="X79" s="183" t="s">
        <v>2014</v>
      </c>
      <c r="Y79" s="186" t="str">
        <f>INDEX(info!$Y$2:$Y$192,MATCH(phc_8[[#This Row],[Sub_Category]],info!$X$2:$X$192,0))</f>
        <v>Other (non-communicable)</v>
      </c>
      <c r="Z79" s="186" t="str">
        <f t="array" ref="Z79">INDEX(info!$AA$2:$AA$192,MATCH(PHC!$X79&amp;PHC!$Y79,info!$X$2:$X$192&amp;info!$Y$2:$Y$192,0))</f>
        <v>Other</v>
      </c>
      <c r="AA79" s="183" t="s">
        <v>3080</v>
      </c>
      <c r="AB79" s="9" t="s">
        <v>654</v>
      </c>
      <c r="AC79" s="9" t="s">
        <v>654</v>
      </c>
      <c r="AD79" s="9" t="s">
        <v>654</v>
      </c>
      <c r="AE79" s="9" t="s">
        <v>654</v>
      </c>
      <c r="AF79" s="184"/>
      <c r="AG79" s="183"/>
      <c r="AH79" s="183"/>
      <c r="AI79" s="183"/>
      <c r="AJ79" s="183"/>
      <c r="AK79" s="9" t="s">
        <v>654</v>
      </c>
      <c r="AL79" s="183"/>
      <c r="AM79" s="186" t="str">
        <f>IF(AF79="","","Q"&amp;INT((MONTH(AF79)-1)/3)+1&amp;YEAR(AF79)&amp;#REF!&amp;T79)</f>
        <v/>
      </c>
      <c r="AN79" s="186" t="e">
        <f>IF(K79="","","Q"&amp;INT((MONTH(K79)-1)/3)+1&amp;YEAR(K79)&amp;#REF!)</f>
        <v>#REF!</v>
      </c>
    </row>
    <row r="80" spans="1:40" ht="20.100000000000001" customHeight="1" x14ac:dyDescent="0.25">
      <c r="A80" s="8">
        <v>78</v>
      </c>
      <c r="B80" s="8" t="s">
        <v>399</v>
      </c>
      <c r="C80" s="8" t="s">
        <v>1997</v>
      </c>
      <c r="D80" s="8" t="s">
        <v>2416</v>
      </c>
      <c r="E80" s="8" t="s">
        <v>1998</v>
      </c>
      <c r="F80" s="9" t="s">
        <v>1999</v>
      </c>
      <c r="G80" s="183"/>
      <c r="H80" s="9" t="s">
        <v>2001</v>
      </c>
      <c r="I80" s="183" t="s">
        <v>579</v>
      </c>
      <c r="J80" s="183"/>
      <c r="K80" s="10">
        <v>46037</v>
      </c>
      <c r="L80" s="183">
        <v>78</v>
      </c>
      <c r="M80" s="185" t="str">
        <f>IF(phc_8[[#This Row],[Register No.]]="","",C80&amp;"-"&amp;D80&amp;"-"&amp;"BHA-PHC-"&amp;phc_8[[#This Row],[Register No.]])</f>
        <v>Shining Star-Mobile Clinic-BHA-PHC-78</v>
      </c>
      <c r="N80" s="9" t="s">
        <v>401</v>
      </c>
      <c r="O80" s="183" t="s">
        <v>3073</v>
      </c>
      <c r="P80" s="183">
        <v>95</v>
      </c>
      <c r="Q80" s="183"/>
      <c r="R80" s="183"/>
      <c r="S80" s="186" t="str">
        <f t="shared" si="4"/>
        <v>50 yrs +</v>
      </c>
      <c r="T80" s="183" t="s">
        <v>603</v>
      </c>
      <c r="U80" s="9" t="s">
        <v>2001</v>
      </c>
      <c r="V80" s="183" t="s">
        <v>3076</v>
      </c>
      <c r="W80" s="183" t="s">
        <v>186</v>
      </c>
      <c r="X80" s="183" t="s">
        <v>186</v>
      </c>
      <c r="Y80" s="186" t="str">
        <f>INDEX(info!$Y$2:$Y$192,MATCH(phc_8[[#This Row],[Sub_Category]],info!$X$2:$X$192,0))</f>
        <v>Chronic medical disease</v>
      </c>
      <c r="Z80" s="186" t="str">
        <f t="array" ref="Z80">INDEX(info!$AA$2:$AA$192,MATCH(PHC!$X80&amp;PHC!$Y80,info!$X$2:$X$192&amp;info!$Y$2:$Y$192,0))</f>
        <v>Non-communicable disease</v>
      </c>
      <c r="AA80" s="183" t="s">
        <v>3081</v>
      </c>
      <c r="AB80" s="9" t="s">
        <v>654</v>
      </c>
      <c r="AC80" s="9" t="s">
        <v>654</v>
      </c>
      <c r="AD80" s="9" t="s">
        <v>654</v>
      </c>
      <c r="AE80" s="9" t="s">
        <v>654</v>
      </c>
      <c r="AF80" s="184"/>
      <c r="AG80" s="183"/>
      <c r="AH80" s="183"/>
      <c r="AI80" s="183"/>
      <c r="AJ80" s="183"/>
      <c r="AK80" s="9" t="s">
        <v>654</v>
      </c>
      <c r="AL80" s="183"/>
      <c r="AM80" s="186" t="str">
        <f>IF(AF80="","","Q"&amp;INT((MONTH(AF80)-1)/3)+1&amp;YEAR(AF80)&amp;#REF!&amp;T80)</f>
        <v/>
      </c>
      <c r="AN80" s="186" t="e">
        <f>IF(K80="","","Q"&amp;INT((MONTH(K80)-1)/3)+1&amp;YEAR(K80)&amp;#REF!)</f>
        <v>#REF!</v>
      </c>
    </row>
    <row r="81" spans="1:40" ht="20.100000000000001" customHeight="1" x14ac:dyDescent="0.25">
      <c r="A81" s="8">
        <v>79</v>
      </c>
      <c r="B81" s="8" t="s">
        <v>399</v>
      </c>
      <c r="C81" s="8" t="s">
        <v>1997</v>
      </c>
      <c r="D81" s="8" t="s">
        <v>2416</v>
      </c>
      <c r="E81" s="8" t="s">
        <v>1998</v>
      </c>
      <c r="F81" s="9" t="s">
        <v>1999</v>
      </c>
      <c r="G81" s="183"/>
      <c r="H81" s="9" t="s">
        <v>2001</v>
      </c>
      <c r="I81" s="183" t="s">
        <v>579</v>
      </c>
      <c r="J81" s="183"/>
      <c r="K81" s="10">
        <v>46037</v>
      </c>
      <c r="L81" s="9">
        <v>79</v>
      </c>
      <c r="M81" s="185" t="str">
        <f>IF(phc_8[[#This Row],[Register No.]]="","",C81&amp;"-"&amp;D81&amp;"-"&amp;"BHA-PHC-"&amp;phc_8[[#This Row],[Register No.]])</f>
        <v>Shining Star-Mobile Clinic-BHA-PHC-79</v>
      </c>
      <c r="N81" s="9" t="s">
        <v>401</v>
      </c>
      <c r="O81" s="183" t="s">
        <v>2279</v>
      </c>
      <c r="P81" s="183">
        <v>66</v>
      </c>
      <c r="Q81" s="183"/>
      <c r="R81" s="183"/>
      <c r="S81" s="186" t="str">
        <f t="shared" si="4"/>
        <v>50 yrs +</v>
      </c>
      <c r="T81" s="183" t="s">
        <v>402</v>
      </c>
      <c r="U81" s="9" t="s">
        <v>2001</v>
      </c>
      <c r="V81" s="183"/>
      <c r="W81" s="183" t="s">
        <v>3078</v>
      </c>
      <c r="X81" s="183" t="s">
        <v>3078</v>
      </c>
      <c r="Y81" s="186" t="str">
        <f>INDEX(info!$Y$2:$Y$192,MATCH(phc_8[[#This Row],[Sub_Category]],info!$X$2:$X$192,0))</f>
        <v>ARI/RTI</v>
      </c>
      <c r="Z81" s="186" t="str">
        <f t="array" ref="Z81">INDEX(info!$AA$2:$AA$192,MATCH(PHC!$X81&amp;PHC!$Y81,info!$X$2:$X$192&amp;info!$Y$2:$Y$192,0))</f>
        <v>Communicable disease</v>
      </c>
      <c r="AA81" s="183" t="s">
        <v>3082</v>
      </c>
      <c r="AB81" s="9" t="s">
        <v>654</v>
      </c>
      <c r="AC81" s="9" t="s">
        <v>654</v>
      </c>
      <c r="AD81" s="9" t="s">
        <v>654</v>
      </c>
      <c r="AE81" s="9" t="s">
        <v>654</v>
      </c>
      <c r="AF81" s="184"/>
      <c r="AG81" s="183"/>
      <c r="AH81" s="183"/>
      <c r="AI81" s="183"/>
      <c r="AJ81" s="183"/>
      <c r="AK81" s="9" t="s">
        <v>654</v>
      </c>
      <c r="AL81" s="183"/>
      <c r="AM81" s="186" t="str">
        <f>IF(AF81="","","Q"&amp;INT((MONTH(AF81)-1)/3)+1&amp;YEAR(AF81)&amp;#REF!&amp;T81)</f>
        <v/>
      </c>
      <c r="AN81" s="186" t="e">
        <f>IF(K81="","","Q"&amp;INT((MONTH(K81)-1)/3)+1&amp;YEAR(K81)&amp;#REF!)</f>
        <v>#REF!</v>
      </c>
    </row>
    <row r="82" spans="1:40" ht="20.100000000000001" customHeight="1" x14ac:dyDescent="0.25">
      <c r="A82" s="8">
        <v>80</v>
      </c>
      <c r="B82" s="8" t="s">
        <v>399</v>
      </c>
      <c r="C82" s="8" t="s">
        <v>1997</v>
      </c>
      <c r="D82" s="8" t="s">
        <v>2416</v>
      </c>
      <c r="E82" s="8" t="s">
        <v>1998</v>
      </c>
      <c r="F82" s="9" t="s">
        <v>1999</v>
      </c>
      <c r="G82" s="183"/>
      <c r="H82" s="9" t="s">
        <v>2001</v>
      </c>
      <c r="I82" s="183" t="s">
        <v>579</v>
      </c>
      <c r="J82" s="183"/>
      <c r="K82" s="10">
        <v>46037</v>
      </c>
      <c r="L82" s="183">
        <v>80</v>
      </c>
      <c r="M82" s="185" t="str">
        <f>IF(phc_8[[#This Row],[Register No.]]="","",C82&amp;"-"&amp;D82&amp;"-"&amp;"BHA-PHC-"&amp;phc_8[[#This Row],[Register No.]])</f>
        <v>Shining Star-Mobile Clinic-BHA-PHC-80</v>
      </c>
      <c r="N82" s="9" t="s">
        <v>401</v>
      </c>
      <c r="O82" s="183" t="s">
        <v>3074</v>
      </c>
      <c r="P82" s="183"/>
      <c r="Q82" s="183">
        <v>3</v>
      </c>
      <c r="R82" s="183"/>
      <c r="S82" s="186" t="str">
        <f t="shared" si="4"/>
        <v>&lt;5 yrs</v>
      </c>
      <c r="T82" s="183" t="s">
        <v>603</v>
      </c>
      <c r="U82" s="9" t="s">
        <v>2001</v>
      </c>
      <c r="V82" s="183" t="s">
        <v>3077</v>
      </c>
      <c r="W82" s="183" t="s">
        <v>3079</v>
      </c>
      <c r="X82" s="183" t="s">
        <v>103</v>
      </c>
      <c r="Y82" s="186" t="str">
        <f>INDEX(info!$Y$2:$Y$192,MATCH(phc_8[[#This Row],[Sub_Category]],info!$X$2:$X$192,0))</f>
        <v>ARI/RTI</v>
      </c>
      <c r="Z82" s="186" t="str">
        <f t="array" ref="Z82">INDEX(info!$AA$2:$AA$192,MATCH(PHC!$X82&amp;PHC!$Y82,info!$X$2:$X$192&amp;info!$Y$2:$Y$192,0))</f>
        <v>Communicable disease</v>
      </c>
      <c r="AA82" s="183" t="s">
        <v>3083</v>
      </c>
      <c r="AB82" s="9" t="s">
        <v>654</v>
      </c>
      <c r="AC82" s="9" t="s">
        <v>654</v>
      </c>
      <c r="AD82" s="9" t="s">
        <v>654</v>
      </c>
      <c r="AE82" s="9" t="s">
        <v>654</v>
      </c>
      <c r="AF82" s="184"/>
      <c r="AG82" s="183"/>
      <c r="AH82" s="183"/>
      <c r="AI82" s="183"/>
      <c r="AJ82" s="183"/>
      <c r="AK82" s="9" t="s">
        <v>654</v>
      </c>
      <c r="AL82" s="183"/>
      <c r="AM82" s="186" t="str">
        <f>IF(AF82="","","Q"&amp;INT((MONTH(AF82)-1)/3)+1&amp;YEAR(AF82)&amp;#REF!&amp;T82)</f>
        <v/>
      </c>
      <c r="AN82" s="186" t="e">
        <f>IF(K82="","","Q"&amp;INT((MONTH(K82)-1)/3)+1&amp;YEAR(K82)&amp;#REF!)</f>
        <v>#REF!</v>
      </c>
    </row>
    <row r="83" spans="1:40" s="91" customFormat="1" ht="20.100000000000001" customHeight="1" x14ac:dyDescent="0.25">
      <c r="A83" s="187">
        <v>81</v>
      </c>
      <c r="B83" s="187" t="s">
        <v>399</v>
      </c>
      <c r="C83" s="187" t="s">
        <v>1997</v>
      </c>
      <c r="D83" s="8" t="s">
        <v>2416</v>
      </c>
      <c r="E83" s="187" t="s">
        <v>1998</v>
      </c>
      <c r="F83" s="9" t="s">
        <v>2222</v>
      </c>
      <c r="G83" s="188"/>
      <c r="H83" s="9" t="s">
        <v>2228</v>
      </c>
      <c r="I83" s="188" t="s">
        <v>579</v>
      </c>
      <c r="J83" s="188"/>
      <c r="K83" s="10">
        <v>46038</v>
      </c>
      <c r="L83" s="188">
        <v>1</v>
      </c>
      <c r="M83" s="190" t="str">
        <f>IF(phc_8[[#This Row],[Register No.]]="","",C83&amp;"-"&amp;D83&amp;"-"&amp;"BHA-PHC-"&amp;phc_8[[#This Row],[Register No.]])</f>
        <v>Shining Star-Mobile Clinic-BHA-PHC-1</v>
      </c>
      <c r="N83" s="188" t="s">
        <v>401</v>
      </c>
      <c r="O83" s="188" t="s">
        <v>3084</v>
      </c>
      <c r="P83" s="188">
        <v>70</v>
      </c>
      <c r="Q83" s="188"/>
      <c r="R83" s="188"/>
      <c r="S83" s="190" t="str">
        <f t="shared" si="4"/>
        <v>50 yrs +</v>
      </c>
      <c r="T83" s="183" t="s">
        <v>603</v>
      </c>
      <c r="U83" s="188" t="s">
        <v>2228</v>
      </c>
      <c r="V83" s="188" t="s">
        <v>3088</v>
      </c>
      <c r="W83" s="188" t="s">
        <v>2003</v>
      </c>
      <c r="X83" s="188" t="s">
        <v>181</v>
      </c>
      <c r="Y83" s="190" t="str">
        <f>INDEX(info!$Y$2:$Y$192,MATCH(phc_8[[#This Row],[Sub_Category]],info!$X$2:$X$192,0))</f>
        <v>Chronic medical disease</v>
      </c>
      <c r="Z83" s="190" t="str">
        <f t="array" ref="Z83">INDEX(info!$AA$2:$AA$192,MATCH(PHC!$X83&amp;PHC!$Y83,info!$X$2:$X$192&amp;info!$Y$2:$Y$192,0))</f>
        <v>Non-communicable disease</v>
      </c>
      <c r="AA83" s="188" t="s">
        <v>3093</v>
      </c>
      <c r="AB83" s="9" t="s">
        <v>654</v>
      </c>
      <c r="AC83" s="9" t="s">
        <v>654</v>
      </c>
      <c r="AD83" s="9" t="s">
        <v>654</v>
      </c>
      <c r="AE83" s="9" t="s">
        <v>654</v>
      </c>
      <c r="AF83" s="189"/>
      <c r="AG83" s="188"/>
      <c r="AH83" s="188"/>
      <c r="AI83" s="188"/>
      <c r="AJ83" s="188"/>
      <c r="AK83" s="9" t="s">
        <v>654</v>
      </c>
      <c r="AL83" s="188"/>
      <c r="AM83" s="190" t="str">
        <f>IF(AF83="","","Q"&amp;INT((MONTH(AF83)-1)/3)+1&amp;YEAR(AF83)&amp;#REF!&amp;T83)</f>
        <v/>
      </c>
      <c r="AN83" s="190" t="e">
        <f>IF(K83="","","Q"&amp;INT((MONTH(K83)-1)/3)+1&amp;YEAR(K83)&amp;#REF!)</f>
        <v>#REF!</v>
      </c>
    </row>
    <row r="84" spans="1:40" ht="20.100000000000001" customHeight="1" x14ac:dyDescent="0.25">
      <c r="A84" s="8">
        <v>82</v>
      </c>
      <c r="B84" s="8" t="s">
        <v>399</v>
      </c>
      <c r="C84" s="8" t="s">
        <v>1997</v>
      </c>
      <c r="D84" s="8" t="s">
        <v>2416</v>
      </c>
      <c r="E84" s="8" t="s">
        <v>1998</v>
      </c>
      <c r="F84" s="9" t="s">
        <v>2222</v>
      </c>
      <c r="G84" s="183"/>
      <c r="H84" s="9" t="s">
        <v>2228</v>
      </c>
      <c r="I84" s="183" t="s">
        <v>579</v>
      </c>
      <c r="J84" s="183"/>
      <c r="K84" s="10">
        <v>46038</v>
      </c>
      <c r="L84" s="183">
        <v>2</v>
      </c>
      <c r="M84" s="185" t="str">
        <f>IF(phc_8[[#This Row],[Register No.]]="","",C84&amp;"-"&amp;D84&amp;"-"&amp;"BHA-PHC-"&amp;phc_8[[#This Row],[Register No.]])</f>
        <v>Shining Star-Mobile Clinic-BHA-PHC-2</v>
      </c>
      <c r="N84" s="9" t="s">
        <v>401</v>
      </c>
      <c r="O84" s="183" t="s">
        <v>3085</v>
      </c>
      <c r="P84" s="183">
        <v>72</v>
      </c>
      <c r="Q84" s="183"/>
      <c r="R84" s="183"/>
      <c r="S84" s="186" t="str">
        <f t="shared" si="4"/>
        <v>50 yrs +</v>
      </c>
      <c r="T84" s="183" t="s">
        <v>603</v>
      </c>
      <c r="U84" s="9" t="s">
        <v>2228</v>
      </c>
      <c r="V84" s="183" t="s">
        <v>3087</v>
      </c>
      <c r="W84" s="183" t="s">
        <v>2003</v>
      </c>
      <c r="X84" s="183" t="s">
        <v>181</v>
      </c>
      <c r="Y84" s="186" t="str">
        <f>INDEX(info!$Y$2:$Y$192,MATCH(phc_8[[#This Row],[Sub_Category]],info!$X$2:$X$192,0))</f>
        <v>Chronic medical disease</v>
      </c>
      <c r="Z84" s="186" t="str">
        <f t="array" ref="Z84">INDEX(info!$AA$2:$AA$192,MATCH(PHC!$X84&amp;PHC!$Y84,info!$X$2:$X$192&amp;info!$Y$2:$Y$192,0))</f>
        <v>Non-communicable disease</v>
      </c>
      <c r="AA84" s="183" t="s">
        <v>3094</v>
      </c>
      <c r="AB84" s="9" t="s">
        <v>654</v>
      </c>
      <c r="AC84" s="9" t="s">
        <v>654</v>
      </c>
      <c r="AD84" s="9" t="s">
        <v>654</v>
      </c>
      <c r="AE84" s="9" t="s">
        <v>654</v>
      </c>
      <c r="AF84" s="184"/>
      <c r="AG84" s="183"/>
      <c r="AH84" s="183"/>
      <c r="AI84" s="183"/>
      <c r="AJ84" s="183"/>
      <c r="AK84" s="9" t="s">
        <v>654</v>
      </c>
      <c r="AL84" s="183"/>
      <c r="AM84" s="186" t="str">
        <f>IF(AF84="","","Q"&amp;INT((MONTH(AF84)-1)/3)+1&amp;YEAR(AF84)&amp;#REF!&amp;T84)</f>
        <v/>
      </c>
      <c r="AN84" s="186" t="e">
        <f>IF(K84="","","Q"&amp;INT((MONTH(K84)-1)/3)+1&amp;YEAR(K84)&amp;#REF!)</f>
        <v>#REF!</v>
      </c>
    </row>
    <row r="85" spans="1:40" ht="20.100000000000001" customHeight="1" x14ac:dyDescent="0.25">
      <c r="A85" s="8">
        <v>83</v>
      </c>
      <c r="B85" s="8" t="s">
        <v>399</v>
      </c>
      <c r="C85" s="8" t="s">
        <v>1997</v>
      </c>
      <c r="D85" s="8" t="s">
        <v>2416</v>
      </c>
      <c r="E85" s="8" t="s">
        <v>1998</v>
      </c>
      <c r="F85" s="9" t="s">
        <v>2222</v>
      </c>
      <c r="G85" s="183"/>
      <c r="H85" s="9" t="s">
        <v>2228</v>
      </c>
      <c r="I85" s="183" t="s">
        <v>579</v>
      </c>
      <c r="J85" s="183"/>
      <c r="K85" s="10">
        <v>46038</v>
      </c>
      <c r="L85" s="9">
        <v>3</v>
      </c>
      <c r="M85" s="185" t="str">
        <f>IF(phc_8[[#This Row],[Register No.]]="","",C85&amp;"-"&amp;D85&amp;"-"&amp;"BHA-PHC-"&amp;phc_8[[#This Row],[Register No.]])</f>
        <v>Shining Star-Mobile Clinic-BHA-PHC-3</v>
      </c>
      <c r="N85" s="9" t="s">
        <v>401</v>
      </c>
      <c r="O85" s="183" t="s">
        <v>3019</v>
      </c>
      <c r="P85" s="183">
        <v>70</v>
      </c>
      <c r="Q85" s="183"/>
      <c r="R85" s="183"/>
      <c r="S85" s="186" t="str">
        <f t="shared" si="4"/>
        <v>50 yrs +</v>
      </c>
      <c r="T85" s="183" t="s">
        <v>603</v>
      </c>
      <c r="U85" s="9" t="s">
        <v>2228</v>
      </c>
      <c r="V85" s="183" t="s">
        <v>3089</v>
      </c>
      <c r="W85" s="183" t="s">
        <v>2003</v>
      </c>
      <c r="X85" s="183" t="s">
        <v>181</v>
      </c>
      <c r="Y85" s="186" t="str">
        <f>INDEX(info!$Y$2:$Y$192,MATCH(phc_8[[#This Row],[Sub_Category]],info!$X$2:$X$192,0))</f>
        <v>Chronic medical disease</v>
      </c>
      <c r="Z85" s="186" t="str">
        <f t="array" ref="Z85">INDEX(info!$AA$2:$AA$192,MATCH(PHC!$X85&amp;PHC!$Y85,info!$X$2:$X$192&amp;info!$Y$2:$Y$192,0))</f>
        <v>Non-communicable disease</v>
      </c>
      <c r="AA85" s="183" t="s">
        <v>3095</v>
      </c>
      <c r="AB85" s="9" t="s">
        <v>654</v>
      </c>
      <c r="AC85" s="9" t="s">
        <v>654</v>
      </c>
      <c r="AD85" s="9" t="s">
        <v>654</v>
      </c>
      <c r="AE85" s="9" t="s">
        <v>654</v>
      </c>
      <c r="AF85" s="184"/>
      <c r="AG85" s="183"/>
      <c r="AH85" s="183"/>
      <c r="AI85" s="183"/>
      <c r="AJ85" s="183"/>
      <c r="AK85" s="9" t="s">
        <v>654</v>
      </c>
      <c r="AL85" s="183"/>
      <c r="AM85" s="186" t="str">
        <f>IF(AF85="","","Q"&amp;INT((MONTH(AF85)-1)/3)+1&amp;YEAR(AF85)&amp;#REF!&amp;T85)</f>
        <v/>
      </c>
      <c r="AN85" s="186" t="e">
        <f>IF(K85="","","Q"&amp;INT((MONTH(K85)-1)/3)+1&amp;YEAR(K85)&amp;#REF!)</f>
        <v>#REF!</v>
      </c>
    </row>
    <row r="86" spans="1:40" ht="20.100000000000001" customHeight="1" x14ac:dyDescent="0.25">
      <c r="A86" s="8">
        <v>84</v>
      </c>
      <c r="B86" s="8" t="s">
        <v>399</v>
      </c>
      <c r="C86" s="8" t="s">
        <v>1997</v>
      </c>
      <c r="D86" s="8" t="s">
        <v>2416</v>
      </c>
      <c r="E86" s="8" t="s">
        <v>1998</v>
      </c>
      <c r="F86" s="9" t="s">
        <v>2222</v>
      </c>
      <c r="G86" s="183"/>
      <c r="H86" s="9" t="s">
        <v>2228</v>
      </c>
      <c r="I86" s="183" t="s">
        <v>579</v>
      </c>
      <c r="J86" s="183"/>
      <c r="K86" s="10">
        <v>46038</v>
      </c>
      <c r="L86" s="9">
        <v>4</v>
      </c>
      <c r="M86" s="185" t="str">
        <f>IF(phc_8[[#This Row],[Register No.]]="","",C86&amp;"-"&amp;D86&amp;"-"&amp;"BHA-PHC-"&amp;phc_8[[#This Row],[Register No.]])</f>
        <v>Shining Star-Mobile Clinic-BHA-PHC-4</v>
      </c>
      <c r="N86" s="9" t="s">
        <v>401</v>
      </c>
      <c r="O86" s="183" t="s">
        <v>3086</v>
      </c>
      <c r="P86" s="183">
        <v>60</v>
      </c>
      <c r="Q86" s="183"/>
      <c r="R86" s="183"/>
      <c r="S86" s="186" t="str">
        <f t="shared" si="4"/>
        <v>50 yrs +</v>
      </c>
      <c r="T86" s="183" t="s">
        <v>603</v>
      </c>
      <c r="U86" s="9" t="s">
        <v>2228</v>
      </c>
      <c r="V86" s="183" t="s">
        <v>3090</v>
      </c>
      <c r="W86" s="183" t="s">
        <v>3092</v>
      </c>
      <c r="X86" s="183" t="s">
        <v>242</v>
      </c>
      <c r="Y86" s="186" t="str">
        <f>INDEX(info!$Y$2:$Y$192,MATCH(phc_8[[#This Row],[Sub_Category]],info!$X$2:$X$192,0))</f>
        <v>Accident/minor sugical and injuries</v>
      </c>
      <c r="Z86" s="186" t="str">
        <f t="array" ref="Z86">INDEX(info!$AA$2:$AA$192,MATCH(PHC!$X86&amp;PHC!$Y86,info!$X$2:$X$192&amp;info!$Y$2:$Y$192,0))</f>
        <v>Injury related</v>
      </c>
      <c r="AA86" s="183" t="s">
        <v>3096</v>
      </c>
      <c r="AB86" s="9" t="s">
        <v>654</v>
      </c>
      <c r="AC86" s="9" t="s">
        <v>654</v>
      </c>
      <c r="AD86" s="9" t="s">
        <v>654</v>
      </c>
      <c r="AE86" s="9" t="s">
        <v>654</v>
      </c>
      <c r="AF86" s="184"/>
      <c r="AG86" s="183"/>
      <c r="AH86" s="183"/>
      <c r="AI86" s="183"/>
      <c r="AJ86" s="183"/>
      <c r="AK86" s="9" t="s">
        <v>654</v>
      </c>
      <c r="AL86" s="183"/>
      <c r="AM86" s="186" t="str">
        <f>IF(AF86="","","Q"&amp;INT((MONTH(AF86)-1)/3)+1&amp;YEAR(AF86)&amp;#REF!&amp;T86)</f>
        <v/>
      </c>
      <c r="AN86" s="186" t="e">
        <f>IF(K86="","","Q"&amp;INT((MONTH(K86)-1)/3)+1&amp;YEAR(K86)&amp;#REF!)</f>
        <v>#REF!</v>
      </c>
    </row>
    <row r="87" spans="1:40" ht="20.100000000000001" customHeight="1" x14ac:dyDescent="0.25">
      <c r="A87" s="8">
        <v>85</v>
      </c>
      <c r="B87" s="8" t="s">
        <v>399</v>
      </c>
      <c r="C87" s="8" t="s">
        <v>1997</v>
      </c>
      <c r="D87" s="8" t="s">
        <v>2416</v>
      </c>
      <c r="E87" s="8" t="s">
        <v>1998</v>
      </c>
      <c r="F87" s="9" t="s">
        <v>2222</v>
      </c>
      <c r="G87" s="183"/>
      <c r="H87" s="9" t="s">
        <v>2228</v>
      </c>
      <c r="I87" s="183" t="s">
        <v>579</v>
      </c>
      <c r="J87" s="183"/>
      <c r="K87" s="10">
        <v>46038</v>
      </c>
      <c r="L87" s="183">
        <v>5</v>
      </c>
      <c r="M87" s="185" t="str">
        <f>IF(phc_8[[#This Row],[Register No.]]="","",C87&amp;"-"&amp;D87&amp;"-"&amp;"BHA-PHC-"&amp;phc_8[[#This Row],[Register No.]])</f>
        <v>Shining Star-Mobile Clinic-BHA-PHC-5</v>
      </c>
      <c r="N87" s="9" t="s">
        <v>401</v>
      </c>
      <c r="O87" s="183" t="s">
        <v>3087</v>
      </c>
      <c r="P87" s="183">
        <v>67</v>
      </c>
      <c r="Q87" s="183"/>
      <c r="R87" s="183"/>
      <c r="S87" s="186" t="str">
        <f t="shared" si="4"/>
        <v>50 yrs +</v>
      </c>
      <c r="T87" s="183" t="s">
        <v>402</v>
      </c>
      <c r="U87" s="9" t="s">
        <v>2228</v>
      </c>
      <c r="V87" s="183" t="s">
        <v>3091</v>
      </c>
      <c r="W87" s="183" t="s">
        <v>186</v>
      </c>
      <c r="X87" s="183" t="s">
        <v>186</v>
      </c>
      <c r="Y87" s="186" t="str">
        <f>INDEX(info!$Y$2:$Y$192,MATCH(phc_8[[#This Row],[Sub_Category]],info!$X$2:$X$192,0))</f>
        <v>Chronic medical disease</v>
      </c>
      <c r="Z87" s="186" t="str">
        <f t="array" ref="Z87">INDEX(info!$AA$2:$AA$192,MATCH(PHC!$X87&amp;PHC!$Y87,info!$X$2:$X$192&amp;info!$Y$2:$Y$192,0))</f>
        <v>Non-communicable disease</v>
      </c>
      <c r="AA87" s="183" t="s">
        <v>3097</v>
      </c>
      <c r="AB87" s="9" t="s">
        <v>654</v>
      </c>
      <c r="AC87" s="9" t="s">
        <v>654</v>
      </c>
      <c r="AD87" s="9" t="s">
        <v>654</v>
      </c>
      <c r="AE87" s="9" t="s">
        <v>654</v>
      </c>
      <c r="AF87" s="184"/>
      <c r="AG87" s="183"/>
      <c r="AH87" s="183"/>
      <c r="AI87" s="183"/>
      <c r="AJ87" s="183"/>
      <c r="AK87" s="9" t="s">
        <v>654</v>
      </c>
      <c r="AL87" s="183"/>
      <c r="AM87" s="186" t="str">
        <f>IF(AF87="","","Q"&amp;INT((MONTH(AF87)-1)/3)+1&amp;YEAR(AF87)&amp;#REF!&amp;T87)</f>
        <v/>
      </c>
      <c r="AN87" s="186" t="e">
        <f>IF(K87="","","Q"&amp;INT((MONTH(K87)-1)/3)+1&amp;YEAR(K87)&amp;#REF!)</f>
        <v>#REF!</v>
      </c>
    </row>
    <row r="88" spans="1:40" ht="20.100000000000001" customHeight="1" x14ac:dyDescent="0.25">
      <c r="A88" s="8">
        <v>86</v>
      </c>
      <c r="B88" s="8" t="s">
        <v>399</v>
      </c>
      <c r="C88" s="8" t="s">
        <v>1997</v>
      </c>
      <c r="D88" s="8" t="s">
        <v>2416</v>
      </c>
      <c r="E88" s="8" t="s">
        <v>1998</v>
      </c>
      <c r="F88" s="9" t="s">
        <v>2222</v>
      </c>
      <c r="G88" s="183"/>
      <c r="H88" s="9" t="s">
        <v>2228</v>
      </c>
      <c r="I88" s="183" t="s">
        <v>579</v>
      </c>
      <c r="J88" s="183"/>
      <c r="K88" s="10">
        <v>46038</v>
      </c>
      <c r="L88" s="9">
        <v>6</v>
      </c>
      <c r="M88" s="185" t="str">
        <f>IF(phc_8[[#This Row],[Register No.]]="","",C88&amp;"-"&amp;D88&amp;"-"&amp;"BHA-PHC-"&amp;phc_8[[#This Row],[Register No.]])</f>
        <v>Shining Star-Mobile Clinic-BHA-PHC-6</v>
      </c>
      <c r="N88" s="9" t="s">
        <v>401</v>
      </c>
      <c r="O88" s="183" t="s">
        <v>3048</v>
      </c>
      <c r="P88" s="183">
        <v>87</v>
      </c>
      <c r="Q88" s="183"/>
      <c r="R88" s="183"/>
      <c r="S88" s="186" t="str">
        <f t="shared" si="4"/>
        <v>50 yrs +</v>
      </c>
      <c r="T88" s="183" t="s">
        <v>603</v>
      </c>
      <c r="U88" s="9" t="s">
        <v>2228</v>
      </c>
      <c r="V88" s="183" t="s">
        <v>3101</v>
      </c>
      <c r="W88" s="183" t="s">
        <v>27</v>
      </c>
      <c r="X88" s="183" t="s">
        <v>27</v>
      </c>
      <c r="Y88" s="186" t="str">
        <f>INDEX(info!$Y$2:$Y$192,MATCH(phc_8[[#This Row],[Sub_Category]],info!$X$2:$X$192,0))</f>
        <v>Accident/minor sugical and injuries</v>
      </c>
      <c r="Z88" s="186" t="str">
        <f t="array" ref="Z88">INDEX(info!$AA$2:$AA$192,MATCH(PHC!$X88&amp;PHC!$Y88,info!$X$2:$X$192&amp;info!$Y$2:$Y$192,0))</f>
        <v>Communicable disease</v>
      </c>
      <c r="AA88" s="183" t="s">
        <v>3107</v>
      </c>
      <c r="AB88" s="9" t="s">
        <v>654</v>
      </c>
      <c r="AC88" s="9" t="s">
        <v>654</v>
      </c>
      <c r="AD88" s="9" t="s">
        <v>654</v>
      </c>
      <c r="AE88" s="9" t="s">
        <v>654</v>
      </c>
      <c r="AF88" s="184"/>
      <c r="AG88" s="183"/>
      <c r="AH88" s="183"/>
      <c r="AI88" s="183"/>
      <c r="AJ88" s="183"/>
      <c r="AK88" s="9" t="s">
        <v>654</v>
      </c>
      <c r="AL88" s="183"/>
      <c r="AM88" s="186" t="str">
        <f>IF(AF88="","","Q"&amp;INT((MONTH(AF88)-1)/3)+1&amp;YEAR(AF88)&amp;#REF!&amp;T88)</f>
        <v/>
      </c>
      <c r="AN88" s="186" t="e">
        <f>IF(K88="","","Q"&amp;INT((MONTH(K88)-1)/3)+1&amp;YEAR(K88)&amp;#REF!)</f>
        <v>#REF!</v>
      </c>
    </row>
    <row r="89" spans="1:40" ht="20.100000000000001" customHeight="1" x14ac:dyDescent="0.25">
      <c r="A89" s="8">
        <v>87</v>
      </c>
      <c r="B89" s="8" t="s">
        <v>399</v>
      </c>
      <c r="C89" s="8" t="s">
        <v>1997</v>
      </c>
      <c r="D89" s="8" t="s">
        <v>2416</v>
      </c>
      <c r="E89" s="8" t="s">
        <v>1998</v>
      </c>
      <c r="F89" s="9" t="s">
        <v>2222</v>
      </c>
      <c r="G89" s="183"/>
      <c r="H89" s="9" t="s">
        <v>2228</v>
      </c>
      <c r="I89" s="183" t="s">
        <v>579</v>
      </c>
      <c r="J89" s="183"/>
      <c r="K89" s="10">
        <v>46038</v>
      </c>
      <c r="L89" s="9">
        <v>7</v>
      </c>
      <c r="M89" s="185" t="str">
        <f>IF(phc_8[[#This Row],[Register No.]]="","",C89&amp;"-"&amp;D89&amp;"-"&amp;"BHA-PHC-"&amp;phc_8[[#This Row],[Register No.]])</f>
        <v>Shining Star-Mobile Clinic-BHA-PHC-7</v>
      </c>
      <c r="N89" s="9" t="s">
        <v>401</v>
      </c>
      <c r="O89" s="183" t="s">
        <v>2649</v>
      </c>
      <c r="P89" s="183">
        <v>59</v>
      </c>
      <c r="Q89" s="183"/>
      <c r="R89" s="183"/>
      <c r="S89" s="186" t="str">
        <f t="shared" si="4"/>
        <v>50 yrs +</v>
      </c>
      <c r="T89" s="183" t="s">
        <v>603</v>
      </c>
      <c r="U89" s="9" t="s">
        <v>2228</v>
      </c>
      <c r="V89" s="183" t="s">
        <v>3102</v>
      </c>
      <c r="W89" s="183" t="s">
        <v>3105</v>
      </c>
      <c r="X89" s="183" t="s">
        <v>3105</v>
      </c>
      <c r="Y89" s="186" t="str">
        <f>INDEX(info!$Y$2:$Y$192,MATCH(phc_8[[#This Row],[Sub_Category]],info!$X$2:$X$192,0))</f>
        <v>Chronic medical disease</v>
      </c>
      <c r="Z89" s="186" t="str">
        <f t="array" ref="Z89">INDEX(info!$AA$2:$AA$192,MATCH(PHC!$X89&amp;PHC!$Y89,info!$X$2:$X$192&amp;info!$Y$2:$Y$192,0))</f>
        <v>Non-communicable disease</v>
      </c>
      <c r="AA89" s="183" t="s">
        <v>3108</v>
      </c>
      <c r="AB89" s="9" t="s">
        <v>654</v>
      </c>
      <c r="AC89" s="9" t="s">
        <v>654</v>
      </c>
      <c r="AD89" s="9" t="s">
        <v>654</v>
      </c>
      <c r="AE89" s="9" t="s">
        <v>654</v>
      </c>
      <c r="AF89" s="184"/>
      <c r="AG89" s="183"/>
      <c r="AH89" s="183"/>
      <c r="AI89" s="183"/>
      <c r="AJ89" s="183"/>
      <c r="AK89" s="9" t="s">
        <v>654</v>
      </c>
      <c r="AL89" s="183"/>
      <c r="AM89" s="186" t="str">
        <f>IF(AF89="","","Q"&amp;INT((MONTH(AF89)-1)/3)+1&amp;YEAR(AF89)&amp;#REF!&amp;T89)</f>
        <v/>
      </c>
      <c r="AN89" s="186" t="e">
        <f>IF(K89="","","Q"&amp;INT((MONTH(K89)-1)/3)+1&amp;YEAR(K89)&amp;#REF!)</f>
        <v>#REF!</v>
      </c>
    </row>
    <row r="90" spans="1:40" ht="20.100000000000001" customHeight="1" x14ac:dyDescent="0.25">
      <c r="A90" s="8">
        <v>88</v>
      </c>
      <c r="B90" s="8" t="s">
        <v>399</v>
      </c>
      <c r="C90" s="8" t="s">
        <v>1997</v>
      </c>
      <c r="D90" s="8" t="s">
        <v>2416</v>
      </c>
      <c r="E90" s="8" t="s">
        <v>1998</v>
      </c>
      <c r="F90" s="9" t="s">
        <v>2222</v>
      </c>
      <c r="G90" s="183"/>
      <c r="H90" s="9" t="s">
        <v>2228</v>
      </c>
      <c r="I90" s="183" t="s">
        <v>579</v>
      </c>
      <c r="J90" s="183"/>
      <c r="K90" s="10">
        <v>46038</v>
      </c>
      <c r="L90" s="183">
        <v>8</v>
      </c>
      <c r="M90" s="185" t="str">
        <f>IF(phc_8[[#This Row],[Register No.]]="","",C90&amp;"-"&amp;D90&amp;"-"&amp;"BHA-PHC-"&amp;phc_8[[#This Row],[Register No.]])</f>
        <v>Shining Star-Mobile Clinic-BHA-PHC-8</v>
      </c>
      <c r="N90" s="9" t="s">
        <v>401</v>
      </c>
      <c r="O90" s="183" t="s">
        <v>3098</v>
      </c>
      <c r="P90" s="183">
        <v>73</v>
      </c>
      <c r="Q90" s="183"/>
      <c r="R90" s="183"/>
      <c r="S90" s="186" t="str">
        <f t="shared" si="4"/>
        <v>50 yrs +</v>
      </c>
      <c r="T90" s="183" t="s">
        <v>603</v>
      </c>
      <c r="U90" s="9" t="s">
        <v>2228</v>
      </c>
      <c r="V90" s="183" t="s">
        <v>3103</v>
      </c>
      <c r="W90" s="183" t="s">
        <v>2014</v>
      </c>
      <c r="X90" s="183" t="s">
        <v>2014</v>
      </c>
      <c r="Y90" s="186" t="str">
        <f>INDEX(info!$Y$2:$Y$192,MATCH(phc_8[[#This Row],[Sub_Category]],info!$X$2:$X$192,0))</f>
        <v>Other (non-communicable)</v>
      </c>
      <c r="Z90" s="186" t="str">
        <f t="array" ref="Z90">INDEX(info!$AA$2:$AA$192,MATCH(PHC!$X90&amp;PHC!$Y90,info!$X$2:$X$192&amp;info!$Y$2:$Y$192,0))</f>
        <v>Other</v>
      </c>
      <c r="AA90" s="183" t="s">
        <v>3109</v>
      </c>
      <c r="AB90" s="9" t="s">
        <v>654</v>
      </c>
      <c r="AC90" s="9" t="s">
        <v>654</v>
      </c>
      <c r="AD90" s="9" t="s">
        <v>654</v>
      </c>
      <c r="AE90" s="9" t="s">
        <v>654</v>
      </c>
      <c r="AF90" s="184"/>
      <c r="AG90" s="183"/>
      <c r="AH90" s="183"/>
      <c r="AI90" s="183"/>
      <c r="AJ90" s="183"/>
      <c r="AK90" s="9" t="s">
        <v>654</v>
      </c>
      <c r="AL90" s="183"/>
      <c r="AM90" s="186" t="str">
        <f>IF(AF90="","","Q"&amp;INT((MONTH(AF90)-1)/3)+1&amp;YEAR(AF90)&amp;#REF!&amp;T90)</f>
        <v/>
      </c>
      <c r="AN90" s="186" t="e">
        <f>IF(K90="","","Q"&amp;INT((MONTH(K90)-1)/3)+1&amp;YEAR(K90)&amp;#REF!)</f>
        <v>#REF!</v>
      </c>
    </row>
    <row r="91" spans="1:40" ht="20.100000000000001" customHeight="1" x14ac:dyDescent="0.25">
      <c r="A91" s="8">
        <v>89</v>
      </c>
      <c r="B91" s="8" t="s">
        <v>399</v>
      </c>
      <c r="C91" s="8" t="s">
        <v>1997</v>
      </c>
      <c r="D91" s="8" t="s">
        <v>2416</v>
      </c>
      <c r="E91" s="8" t="s">
        <v>1998</v>
      </c>
      <c r="F91" s="9" t="s">
        <v>2222</v>
      </c>
      <c r="G91" s="183"/>
      <c r="H91" s="9" t="s">
        <v>2228</v>
      </c>
      <c r="I91" s="183" t="s">
        <v>579</v>
      </c>
      <c r="J91" s="183"/>
      <c r="K91" s="10">
        <v>46038</v>
      </c>
      <c r="L91" s="9">
        <v>9</v>
      </c>
      <c r="M91" s="185" t="str">
        <f>IF(phc_8[[#This Row],[Register No.]]="","",C91&amp;"-"&amp;D91&amp;"-"&amp;"BHA-PHC-"&amp;phc_8[[#This Row],[Register No.]])</f>
        <v>Shining Star-Mobile Clinic-BHA-PHC-9</v>
      </c>
      <c r="N91" s="9" t="s">
        <v>401</v>
      </c>
      <c r="O91" s="183" t="s">
        <v>3099</v>
      </c>
      <c r="P91" s="183">
        <v>63</v>
      </c>
      <c r="Q91" s="183"/>
      <c r="R91" s="183"/>
      <c r="S91" s="186" t="str">
        <f t="shared" si="4"/>
        <v>50 yrs +</v>
      </c>
      <c r="T91" s="183" t="s">
        <v>402</v>
      </c>
      <c r="U91" s="9" t="s">
        <v>2228</v>
      </c>
      <c r="V91" s="183" t="s">
        <v>3104</v>
      </c>
      <c r="W91" s="183" t="s">
        <v>3106</v>
      </c>
      <c r="X91" s="183" t="s">
        <v>290</v>
      </c>
      <c r="Y91" s="186" t="str">
        <f>INDEX(info!$Y$2:$Y$192,MATCH(phc_8[[#This Row],[Sub_Category]],info!$X$2:$X$192,0))</f>
        <v>Stroke</v>
      </c>
      <c r="Z91" s="186" t="str">
        <f t="array" ref="Z91">INDEX(info!$AA$2:$AA$192,MATCH(PHC!$X91&amp;PHC!$Y91,info!$X$2:$X$192&amp;info!$Y$2:$Y$192,0))</f>
        <v>Non-communicable disease</v>
      </c>
      <c r="AA91" s="183" t="s">
        <v>3110</v>
      </c>
      <c r="AB91" s="9" t="s">
        <v>654</v>
      </c>
      <c r="AC91" s="9" t="s">
        <v>654</v>
      </c>
      <c r="AD91" s="9" t="s">
        <v>654</v>
      </c>
      <c r="AE91" s="9" t="s">
        <v>654</v>
      </c>
      <c r="AF91" s="184"/>
      <c r="AG91" s="183"/>
      <c r="AH91" s="183"/>
      <c r="AI91" s="183"/>
      <c r="AJ91" s="183"/>
      <c r="AK91" s="9" t="s">
        <v>654</v>
      </c>
      <c r="AL91" s="183"/>
      <c r="AM91" s="186" t="str">
        <f>IF(AF91="","","Q"&amp;INT((MONTH(AF91)-1)/3)+1&amp;YEAR(AF91)&amp;#REF!&amp;T91)</f>
        <v/>
      </c>
      <c r="AN91" s="186" t="e">
        <f>IF(K91="","","Q"&amp;INT((MONTH(K91)-1)/3)+1&amp;YEAR(K91)&amp;#REF!)</f>
        <v>#REF!</v>
      </c>
    </row>
    <row r="92" spans="1:40" ht="20.100000000000001" customHeight="1" x14ac:dyDescent="0.25">
      <c r="A92" s="8">
        <v>90</v>
      </c>
      <c r="B92" s="8" t="s">
        <v>399</v>
      </c>
      <c r="C92" s="8" t="s">
        <v>1997</v>
      </c>
      <c r="D92" s="8" t="s">
        <v>2416</v>
      </c>
      <c r="E92" s="8" t="s">
        <v>1998</v>
      </c>
      <c r="F92" s="9" t="s">
        <v>2222</v>
      </c>
      <c r="G92" s="183"/>
      <c r="H92" s="9" t="s">
        <v>2228</v>
      </c>
      <c r="I92" s="183" t="s">
        <v>579</v>
      </c>
      <c r="J92" s="183"/>
      <c r="K92" s="10">
        <v>46038</v>
      </c>
      <c r="L92" s="9">
        <v>10</v>
      </c>
      <c r="M92" s="185" t="str">
        <f>IF(phc_8[[#This Row],[Register No.]]="","",C92&amp;"-"&amp;D92&amp;"-"&amp;"BHA-PHC-"&amp;phc_8[[#This Row],[Register No.]])</f>
        <v>Shining Star-Mobile Clinic-BHA-PHC-10</v>
      </c>
      <c r="N92" s="9" t="s">
        <v>401</v>
      </c>
      <c r="O92" s="183" t="s">
        <v>3100</v>
      </c>
      <c r="P92" s="183">
        <v>56</v>
      </c>
      <c r="Q92" s="183"/>
      <c r="R92" s="183"/>
      <c r="S92" s="186" t="str">
        <f t="shared" si="4"/>
        <v>50 yrs +</v>
      </c>
      <c r="T92" s="183" t="s">
        <v>402</v>
      </c>
      <c r="U92" s="9" t="s">
        <v>2228</v>
      </c>
      <c r="V92" s="183" t="s">
        <v>2909</v>
      </c>
      <c r="W92" s="183" t="s">
        <v>108</v>
      </c>
      <c r="X92" s="183" t="s">
        <v>108</v>
      </c>
      <c r="Y92" s="186" t="str">
        <f>INDEX(info!$Y$2:$Y$192,MATCH(phc_8[[#This Row],[Sub_Category]],info!$X$2:$X$192,0))</f>
        <v>ARI/RTI</v>
      </c>
      <c r="Z92" s="186" t="str">
        <f t="array" ref="Z92">INDEX(info!$AA$2:$AA$192,MATCH(PHC!$X92&amp;PHC!$Y92,info!$X$2:$X$192&amp;info!$Y$2:$Y$192,0))</f>
        <v>Communicable disease</v>
      </c>
      <c r="AA92" s="183" t="s">
        <v>3111</v>
      </c>
      <c r="AB92" s="9" t="s">
        <v>654</v>
      </c>
      <c r="AC92" s="9" t="s">
        <v>654</v>
      </c>
      <c r="AD92" s="9" t="s">
        <v>654</v>
      </c>
      <c r="AE92" s="9" t="s">
        <v>654</v>
      </c>
      <c r="AF92" s="184"/>
      <c r="AG92" s="183"/>
      <c r="AH92" s="183"/>
      <c r="AI92" s="183"/>
      <c r="AJ92" s="183"/>
      <c r="AK92" s="9" t="s">
        <v>654</v>
      </c>
      <c r="AL92" s="183"/>
      <c r="AM92" s="186" t="str">
        <f>IF(AF92="","","Q"&amp;INT((MONTH(AF92)-1)/3)+1&amp;YEAR(AF92)&amp;#REF!&amp;T92)</f>
        <v/>
      </c>
      <c r="AN92" s="186" t="e">
        <f>IF(K92="","","Q"&amp;INT((MONTH(K92)-1)/3)+1&amp;YEAR(K92)&amp;#REF!)</f>
        <v>#REF!</v>
      </c>
    </row>
    <row r="93" spans="1:40" ht="20.100000000000001" customHeight="1" x14ac:dyDescent="0.25">
      <c r="A93" s="8">
        <v>91</v>
      </c>
      <c r="B93" s="8" t="s">
        <v>399</v>
      </c>
      <c r="C93" s="8" t="s">
        <v>1997</v>
      </c>
      <c r="D93" s="8" t="s">
        <v>2416</v>
      </c>
      <c r="E93" s="8" t="s">
        <v>1998</v>
      </c>
      <c r="F93" s="9" t="s">
        <v>2222</v>
      </c>
      <c r="G93" s="183"/>
      <c r="H93" s="9" t="s">
        <v>2228</v>
      </c>
      <c r="I93" s="183" t="s">
        <v>579</v>
      </c>
      <c r="J93" s="183"/>
      <c r="K93" s="10">
        <v>46038</v>
      </c>
      <c r="L93" s="183">
        <v>11</v>
      </c>
      <c r="M93" s="185" t="str">
        <f>IF(phc_8[[#This Row],[Register No.]]="","",C93&amp;"-"&amp;D93&amp;"-"&amp;"BHA-PHC-"&amp;phc_8[[#This Row],[Register No.]])</f>
        <v>Shining Star-Mobile Clinic-BHA-PHC-11</v>
      </c>
      <c r="N93" s="9" t="s">
        <v>401</v>
      </c>
      <c r="O93" s="183" t="s">
        <v>3112</v>
      </c>
      <c r="P93" s="183">
        <v>31</v>
      </c>
      <c r="Q93" s="183"/>
      <c r="R93" s="183"/>
      <c r="S93" s="186" t="str">
        <f t="shared" si="4"/>
        <v>19 - 49 yrs</v>
      </c>
      <c r="T93" s="183" t="s">
        <v>603</v>
      </c>
      <c r="U93" s="9" t="s">
        <v>2228</v>
      </c>
      <c r="V93" s="183" t="s">
        <v>3117</v>
      </c>
      <c r="W93" s="183" t="s">
        <v>3122</v>
      </c>
      <c r="X93" s="183" t="s">
        <v>228</v>
      </c>
      <c r="Y93" s="186" t="str">
        <f>INDEX(info!$Y$2:$Y$192,MATCH(phc_8[[#This Row],[Sub_Category]],info!$X$2:$X$192,0))</f>
        <v>Ear problem/disease</v>
      </c>
      <c r="Z93" s="186" t="str">
        <f t="array" ref="Z93">INDEX(info!$AA$2:$AA$192,MATCH(PHC!$X93&amp;PHC!$Y93,info!$X$2:$X$192&amp;info!$Y$2:$Y$192,0))</f>
        <v>Communicable disease</v>
      </c>
      <c r="AA93" s="183" t="s">
        <v>3124</v>
      </c>
      <c r="AB93" s="9" t="s">
        <v>654</v>
      </c>
      <c r="AC93" s="9" t="s">
        <v>654</v>
      </c>
      <c r="AD93" s="9" t="s">
        <v>654</v>
      </c>
      <c r="AE93" s="9" t="s">
        <v>654</v>
      </c>
      <c r="AF93" s="184"/>
      <c r="AG93" s="183"/>
      <c r="AH93" s="183"/>
      <c r="AI93" s="183"/>
      <c r="AJ93" s="183"/>
      <c r="AK93" s="9" t="s">
        <v>654</v>
      </c>
      <c r="AL93" s="183"/>
      <c r="AM93" s="186" t="str">
        <f>IF(AF93="","","Q"&amp;INT((MONTH(AF93)-1)/3)+1&amp;YEAR(AF93)&amp;#REF!&amp;T93)</f>
        <v/>
      </c>
      <c r="AN93" s="186" t="e">
        <f>IF(K93="","","Q"&amp;INT((MONTH(K93)-1)/3)+1&amp;YEAR(K93)&amp;#REF!)</f>
        <v>#REF!</v>
      </c>
    </row>
    <row r="94" spans="1:40" ht="20.100000000000001" customHeight="1" x14ac:dyDescent="0.25">
      <c r="A94" s="8">
        <v>92</v>
      </c>
      <c r="B94" s="8" t="s">
        <v>399</v>
      </c>
      <c r="C94" s="8" t="s">
        <v>1997</v>
      </c>
      <c r="D94" s="8" t="s">
        <v>2416</v>
      </c>
      <c r="E94" s="8" t="s">
        <v>1998</v>
      </c>
      <c r="F94" s="9" t="s">
        <v>2222</v>
      </c>
      <c r="G94" s="183"/>
      <c r="H94" s="9" t="s">
        <v>2228</v>
      </c>
      <c r="I94" s="183" t="s">
        <v>579</v>
      </c>
      <c r="J94" s="183"/>
      <c r="K94" s="10">
        <v>46038</v>
      </c>
      <c r="L94" s="9">
        <v>12</v>
      </c>
      <c r="M94" s="185" t="str">
        <f>IF(phc_8[[#This Row],[Register No.]]="","",C94&amp;"-"&amp;D94&amp;"-"&amp;"BHA-PHC-"&amp;phc_8[[#This Row],[Register No.]])</f>
        <v>Shining Star-Mobile Clinic-BHA-PHC-12</v>
      </c>
      <c r="N94" s="9" t="s">
        <v>401</v>
      </c>
      <c r="O94" s="183" t="s">
        <v>3113</v>
      </c>
      <c r="P94" s="183">
        <v>17</v>
      </c>
      <c r="Q94" s="183"/>
      <c r="R94" s="183"/>
      <c r="S94" s="186" t="str">
        <f t="shared" si="4"/>
        <v>15 - 18 yrs</v>
      </c>
      <c r="T94" s="183" t="s">
        <v>402</v>
      </c>
      <c r="U94" s="9" t="s">
        <v>2228</v>
      </c>
      <c r="V94" s="183" t="s">
        <v>3118</v>
      </c>
      <c r="W94" s="183" t="s">
        <v>225</v>
      </c>
      <c r="X94" s="183" t="s">
        <v>225</v>
      </c>
      <c r="Y94" s="186" t="str">
        <f>INDEX(info!$Y$2:$Y$192,MATCH(phc_8[[#This Row],[Sub_Category]],info!$X$2:$X$192,0))</f>
        <v>GI problem</v>
      </c>
      <c r="Z94" s="186" t="str">
        <f t="array" ref="Z94">INDEX(info!$AA$2:$AA$192,MATCH(PHC!$X94&amp;PHC!$Y94,info!$X$2:$X$192&amp;info!$Y$2:$Y$192,0))</f>
        <v>Non-communicable disease</v>
      </c>
      <c r="AA94" s="183" t="s">
        <v>3125</v>
      </c>
      <c r="AB94" s="9" t="s">
        <v>654</v>
      </c>
      <c r="AC94" s="9" t="s">
        <v>654</v>
      </c>
      <c r="AD94" s="9" t="s">
        <v>654</v>
      </c>
      <c r="AE94" s="9" t="s">
        <v>654</v>
      </c>
      <c r="AF94" s="184"/>
      <c r="AG94" s="183"/>
      <c r="AH94" s="183"/>
      <c r="AI94" s="183"/>
      <c r="AJ94" s="183"/>
      <c r="AK94" s="9" t="s">
        <v>654</v>
      </c>
      <c r="AL94" s="183"/>
      <c r="AM94" s="186" t="str">
        <f>IF(AF94="","","Q"&amp;INT((MONTH(AF94)-1)/3)+1&amp;YEAR(AF94)&amp;#REF!&amp;T94)</f>
        <v/>
      </c>
      <c r="AN94" s="186" t="e">
        <f>IF(K94="","","Q"&amp;INT((MONTH(K94)-1)/3)+1&amp;YEAR(K94)&amp;#REF!)</f>
        <v>#REF!</v>
      </c>
    </row>
    <row r="95" spans="1:40" ht="20.100000000000001" customHeight="1" x14ac:dyDescent="0.25">
      <c r="A95" s="8">
        <v>93</v>
      </c>
      <c r="B95" s="8" t="s">
        <v>399</v>
      </c>
      <c r="C95" s="8" t="s">
        <v>1997</v>
      </c>
      <c r="D95" s="8" t="s">
        <v>2416</v>
      </c>
      <c r="E95" s="8" t="s">
        <v>1998</v>
      </c>
      <c r="F95" s="9" t="s">
        <v>2222</v>
      </c>
      <c r="G95" s="183"/>
      <c r="H95" s="9" t="s">
        <v>2228</v>
      </c>
      <c r="I95" s="183" t="s">
        <v>579</v>
      </c>
      <c r="J95" s="183"/>
      <c r="K95" s="10">
        <v>46038</v>
      </c>
      <c r="L95" s="9">
        <v>13</v>
      </c>
      <c r="M95" s="185" t="str">
        <f>IF(phc_8[[#This Row],[Register No.]]="","",C95&amp;"-"&amp;D95&amp;"-"&amp;"BHA-PHC-"&amp;phc_8[[#This Row],[Register No.]])</f>
        <v>Shining Star-Mobile Clinic-BHA-PHC-13</v>
      </c>
      <c r="N95" s="9" t="s">
        <v>401</v>
      </c>
      <c r="O95" s="183" t="s">
        <v>3114</v>
      </c>
      <c r="P95" s="183">
        <v>15</v>
      </c>
      <c r="Q95" s="183"/>
      <c r="R95" s="183"/>
      <c r="S95" s="186" t="str">
        <f t="shared" si="4"/>
        <v>15 - 18 yrs</v>
      </c>
      <c r="T95" s="183" t="s">
        <v>402</v>
      </c>
      <c r="U95" s="9" t="s">
        <v>2228</v>
      </c>
      <c r="V95" s="183" t="s">
        <v>3119</v>
      </c>
      <c r="W95" s="183" t="s">
        <v>294</v>
      </c>
      <c r="X95" s="183" t="s">
        <v>294</v>
      </c>
      <c r="Y95" s="186" t="str">
        <f>INDEX(info!$Y$2:$Y$192,MATCH(phc_8[[#This Row],[Sub_Category]],info!$X$2:$X$192,0))</f>
        <v>Other (non-communicable)</v>
      </c>
      <c r="Z95" s="186" t="str">
        <f t="array" ref="Z95">INDEX(info!$AA$2:$AA$192,MATCH(PHC!$X95&amp;PHC!$Y95,info!$X$2:$X$192&amp;info!$Y$2:$Y$192,0))</f>
        <v>Other</v>
      </c>
      <c r="AA95" s="183" t="s">
        <v>3126</v>
      </c>
      <c r="AB95" s="9" t="s">
        <v>654</v>
      </c>
      <c r="AC95" s="9" t="s">
        <v>654</v>
      </c>
      <c r="AD95" s="9" t="s">
        <v>654</v>
      </c>
      <c r="AE95" s="9" t="s">
        <v>654</v>
      </c>
      <c r="AF95" s="184"/>
      <c r="AG95" s="183"/>
      <c r="AH95" s="183"/>
      <c r="AI95" s="183"/>
      <c r="AJ95" s="183"/>
      <c r="AK95" s="9" t="s">
        <v>654</v>
      </c>
      <c r="AL95" s="183"/>
      <c r="AM95" s="186" t="str">
        <f>IF(AF95="","","Q"&amp;INT((MONTH(AF95)-1)/3)+1&amp;YEAR(AF95)&amp;#REF!&amp;T95)</f>
        <v/>
      </c>
      <c r="AN95" s="186" t="e">
        <f>IF(K95="","","Q"&amp;INT((MONTH(K95)-1)/3)+1&amp;YEAR(K95)&amp;#REF!)</f>
        <v>#REF!</v>
      </c>
    </row>
    <row r="96" spans="1:40" ht="20.100000000000001" customHeight="1" x14ac:dyDescent="0.25">
      <c r="A96" s="8">
        <v>94</v>
      </c>
      <c r="B96" s="8" t="s">
        <v>399</v>
      </c>
      <c r="C96" s="8" t="s">
        <v>1997</v>
      </c>
      <c r="D96" s="8" t="s">
        <v>2416</v>
      </c>
      <c r="E96" s="8" t="s">
        <v>1998</v>
      </c>
      <c r="F96" s="9" t="s">
        <v>2222</v>
      </c>
      <c r="G96" s="183"/>
      <c r="H96" s="9" t="s">
        <v>2228</v>
      </c>
      <c r="I96" s="183" t="s">
        <v>579</v>
      </c>
      <c r="J96" s="183"/>
      <c r="K96" s="10">
        <v>46038</v>
      </c>
      <c r="L96" s="183">
        <v>14</v>
      </c>
      <c r="M96" s="185" t="str">
        <f>IF(phc_8[[#This Row],[Register No.]]="","",C96&amp;"-"&amp;D96&amp;"-"&amp;"BHA-PHC-"&amp;phc_8[[#This Row],[Register No.]])</f>
        <v>Shining Star-Mobile Clinic-BHA-PHC-14</v>
      </c>
      <c r="N96" s="9" t="s">
        <v>401</v>
      </c>
      <c r="O96" s="183" t="s">
        <v>3115</v>
      </c>
      <c r="P96" s="183">
        <v>15</v>
      </c>
      <c r="Q96" s="183"/>
      <c r="R96" s="183"/>
      <c r="S96" s="186" t="str">
        <f t="shared" si="4"/>
        <v>15 - 18 yrs</v>
      </c>
      <c r="T96" s="183" t="s">
        <v>402</v>
      </c>
      <c r="U96" s="9" t="s">
        <v>2228</v>
      </c>
      <c r="V96" s="183" t="s">
        <v>3120</v>
      </c>
      <c r="W96" s="183" t="s">
        <v>2028</v>
      </c>
      <c r="X96" s="183" t="s">
        <v>108</v>
      </c>
      <c r="Y96" s="186" t="str">
        <f>INDEX(info!$Y$2:$Y$192,MATCH(phc_8[[#This Row],[Sub_Category]],info!$X$2:$X$192,0))</f>
        <v>ARI/RTI</v>
      </c>
      <c r="Z96" s="186" t="str">
        <f t="array" ref="Z96">INDEX(info!$AA$2:$AA$192,MATCH(PHC!$X96&amp;PHC!$Y96,info!$X$2:$X$192&amp;info!$Y$2:$Y$192,0))</f>
        <v>Communicable disease</v>
      </c>
      <c r="AA96" s="183" t="s">
        <v>3127</v>
      </c>
      <c r="AB96" s="9" t="s">
        <v>654</v>
      </c>
      <c r="AC96" s="9" t="s">
        <v>654</v>
      </c>
      <c r="AD96" s="9" t="s">
        <v>654</v>
      </c>
      <c r="AE96" s="9" t="s">
        <v>654</v>
      </c>
      <c r="AF96" s="184"/>
      <c r="AG96" s="183"/>
      <c r="AH96" s="183"/>
      <c r="AI96" s="183"/>
      <c r="AJ96" s="183"/>
      <c r="AK96" s="9" t="s">
        <v>654</v>
      </c>
      <c r="AL96" s="183"/>
      <c r="AM96" s="186" t="str">
        <f>IF(AF96="","","Q"&amp;INT((MONTH(AF96)-1)/3)+1&amp;YEAR(AF96)&amp;#REF!&amp;T96)</f>
        <v/>
      </c>
      <c r="AN96" s="186" t="e">
        <f>IF(K96="","","Q"&amp;INT((MONTH(K96)-1)/3)+1&amp;YEAR(K96)&amp;#REF!)</f>
        <v>#REF!</v>
      </c>
    </row>
    <row r="97" spans="1:40" ht="20.100000000000001" customHeight="1" x14ac:dyDescent="0.25">
      <c r="A97" s="8">
        <v>95</v>
      </c>
      <c r="B97" s="8" t="s">
        <v>399</v>
      </c>
      <c r="C97" s="8" t="s">
        <v>1997</v>
      </c>
      <c r="D97" s="8" t="s">
        <v>2416</v>
      </c>
      <c r="E97" s="8" t="s">
        <v>1998</v>
      </c>
      <c r="F97" s="9" t="s">
        <v>2222</v>
      </c>
      <c r="G97" s="183"/>
      <c r="H97" s="9" t="s">
        <v>2228</v>
      </c>
      <c r="I97" s="183" t="s">
        <v>579</v>
      </c>
      <c r="J97" s="183"/>
      <c r="K97" s="10">
        <v>46038</v>
      </c>
      <c r="L97" s="9">
        <v>15</v>
      </c>
      <c r="M97" s="185" t="str">
        <f>IF(phc_8[[#This Row],[Register No.]]="","",C97&amp;"-"&amp;D97&amp;"-"&amp;"BHA-PHC-"&amp;phc_8[[#This Row],[Register No.]])</f>
        <v>Shining Star-Mobile Clinic-BHA-PHC-15</v>
      </c>
      <c r="N97" s="9" t="s">
        <v>401</v>
      </c>
      <c r="O97" s="183" t="s">
        <v>3116</v>
      </c>
      <c r="P97" s="183">
        <v>13</v>
      </c>
      <c r="Q97" s="183"/>
      <c r="R97" s="183"/>
      <c r="S97" s="186" t="str">
        <f t="shared" si="4"/>
        <v>5 - 14 yrs</v>
      </c>
      <c r="T97" s="183" t="s">
        <v>402</v>
      </c>
      <c r="U97" s="9" t="s">
        <v>2228</v>
      </c>
      <c r="V97" s="183" t="s">
        <v>3121</v>
      </c>
      <c r="W97" s="183" t="s">
        <v>3123</v>
      </c>
      <c r="X97" s="183" t="s">
        <v>228</v>
      </c>
      <c r="Y97" s="186" t="str">
        <f>INDEX(info!$Y$2:$Y$192,MATCH(phc_8[[#This Row],[Sub_Category]],info!$X$2:$X$192,0))</f>
        <v>Ear problem/disease</v>
      </c>
      <c r="Z97" s="186" t="str">
        <f t="array" ref="Z97">INDEX(info!$AA$2:$AA$192,MATCH(PHC!$X97&amp;PHC!$Y97,info!$X$2:$X$192&amp;info!$Y$2:$Y$192,0))</f>
        <v>Communicable disease</v>
      </c>
      <c r="AA97" s="183" t="s">
        <v>3128</v>
      </c>
      <c r="AB97" s="9" t="s">
        <v>654</v>
      </c>
      <c r="AC97" s="9" t="s">
        <v>654</v>
      </c>
      <c r="AD97" s="9" t="s">
        <v>654</v>
      </c>
      <c r="AE97" s="9" t="s">
        <v>654</v>
      </c>
      <c r="AF97" s="184"/>
      <c r="AG97" s="183"/>
      <c r="AH97" s="183"/>
      <c r="AI97" s="183"/>
      <c r="AJ97" s="183"/>
      <c r="AK97" s="9" t="s">
        <v>654</v>
      </c>
      <c r="AL97" s="183"/>
      <c r="AM97" s="186" t="str">
        <f>IF(AF97="","","Q"&amp;INT((MONTH(AF97)-1)/3)+1&amp;YEAR(AF97)&amp;#REF!&amp;T97)</f>
        <v/>
      </c>
      <c r="AN97" s="186" t="e">
        <f>IF(K97="","","Q"&amp;INT((MONTH(K97)-1)/3)+1&amp;YEAR(K97)&amp;#REF!)</f>
        <v>#REF!</v>
      </c>
    </row>
    <row r="98" spans="1:40" ht="20.100000000000001" customHeight="1" x14ac:dyDescent="0.25">
      <c r="A98" s="8">
        <v>96</v>
      </c>
      <c r="B98" s="8" t="s">
        <v>399</v>
      </c>
      <c r="C98" s="8" t="s">
        <v>1997</v>
      </c>
      <c r="D98" s="8" t="s">
        <v>2416</v>
      </c>
      <c r="E98" s="8" t="s">
        <v>1998</v>
      </c>
      <c r="F98" s="9" t="s">
        <v>2222</v>
      </c>
      <c r="G98" s="183"/>
      <c r="H98" s="9" t="s">
        <v>2228</v>
      </c>
      <c r="I98" s="183" t="s">
        <v>579</v>
      </c>
      <c r="J98" s="183"/>
      <c r="K98" s="10">
        <v>46038</v>
      </c>
      <c r="L98" s="9">
        <v>16</v>
      </c>
      <c r="M98" s="185" t="str">
        <f>IF(phc_8[[#This Row],[Register No.]]="","",C98&amp;"-"&amp;D98&amp;"-"&amp;"BHA-PHC-"&amp;phc_8[[#This Row],[Register No.]])</f>
        <v>Shining Star-Mobile Clinic-BHA-PHC-16</v>
      </c>
      <c r="N98" s="9" t="s">
        <v>401</v>
      </c>
      <c r="O98" s="183" t="s">
        <v>3129</v>
      </c>
      <c r="P98" s="183">
        <v>11</v>
      </c>
      <c r="Q98" s="183"/>
      <c r="R98" s="183"/>
      <c r="S98" s="186" t="str">
        <f t="shared" si="4"/>
        <v>5 - 14 yrs</v>
      </c>
      <c r="T98" s="183" t="s">
        <v>402</v>
      </c>
      <c r="U98" s="9" t="s">
        <v>2228</v>
      </c>
      <c r="V98" s="183" t="s">
        <v>3134</v>
      </c>
      <c r="W98" s="183" t="s">
        <v>294</v>
      </c>
      <c r="X98" s="183" t="s">
        <v>294</v>
      </c>
      <c r="Y98" s="186" t="str">
        <f>INDEX(info!$Y$2:$Y$192,MATCH(phc_8[[#This Row],[Sub_Category]],info!$X$2:$X$192,0))</f>
        <v>Other (non-communicable)</v>
      </c>
      <c r="Z98" s="186" t="str">
        <f t="array" ref="Z98">INDEX(info!$AA$2:$AA$192,MATCH(PHC!$X98&amp;PHC!$Y98,info!$X$2:$X$192&amp;info!$Y$2:$Y$192,0))</f>
        <v>Other</v>
      </c>
      <c r="AA98" s="183" t="s">
        <v>3141</v>
      </c>
      <c r="AB98" s="9" t="s">
        <v>654</v>
      </c>
      <c r="AC98" s="9" t="s">
        <v>654</v>
      </c>
      <c r="AD98" s="9" t="s">
        <v>654</v>
      </c>
      <c r="AE98" s="9" t="s">
        <v>654</v>
      </c>
      <c r="AF98" s="184"/>
      <c r="AG98" s="183"/>
      <c r="AH98" s="183"/>
      <c r="AI98" s="183"/>
      <c r="AJ98" s="183"/>
      <c r="AK98" s="9" t="s">
        <v>654</v>
      </c>
      <c r="AL98" s="183"/>
      <c r="AM98" s="186" t="str">
        <f>IF(AF98="","","Q"&amp;INT((MONTH(AF98)-1)/3)+1&amp;YEAR(AF98)&amp;#REF!&amp;T98)</f>
        <v/>
      </c>
      <c r="AN98" s="186" t="e">
        <f>IF(K98="","","Q"&amp;INT((MONTH(K98)-1)/3)+1&amp;YEAR(K98)&amp;#REF!)</f>
        <v>#REF!</v>
      </c>
    </row>
    <row r="99" spans="1:40" ht="20.100000000000001" customHeight="1" x14ac:dyDescent="0.25">
      <c r="A99" s="8">
        <v>97</v>
      </c>
      <c r="B99" s="8" t="s">
        <v>399</v>
      </c>
      <c r="C99" s="8" t="s">
        <v>1997</v>
      </c>
      <c r="D99" s="8" t="s">
        <v>2416</v>
      </c>
      <c r="E99" s="8" t="s">
        <v>1998</v>
      </c>
      <c r="F99" s="9" t="s">
        <v>2222</v>
      </c>
      <c r="G99" s="183"/>
      <c r="H99" s="9" t="s">
        <v>2228</v>
      </c>
      <c r="I99" s="183" t="s">
        <v>579</v>
      </c>
      <c r="J99" s="183"/>
      <c r="K99" s="10">
        <v>46038</v>
      </c>
      <c r="L99" s="183">
        <v>17</v>
      </c>
      <c r="M99" s="185" t="str">
        <f>IF(phc_8[[#This Row],[Register No.]]="","",C99&amp;"-"&amp;D99&amp;"-"&amp;"BHA-PHC-"&amp;phc_8[[#This Row],[Register No.]])</f>
        <v>Shining Star-Mobile Clinic-BHA-PHC-17</v>
      </c>
      <c r="N99" s="9" t="s">
        <v>401</v>
      </c>
      <c r="O99" s="183" t="s">
        <v>3130</v>
      </c>
      <c r="P99" s="183">
        <v>10</v>
      </c>
      <c r="Q99" s="183"/>
      <c r="R99" s="183"/>
      <c r="S99" s="186" t="str">
        <f t="shared" si="4"/>
        <v>5 - 14 yrs</v>
      </c>
      <c r="T99" s="183" t="s">
        <v>402</v>
      </c>
      <c r="U99" s="9" t="s">
        <v>2228</v>
      </c>
      <c r="V99" s="183" t="s">
        <v>3135</v>
      </c>
      <c r="W99" s="183" t="s">
        <v>242</v>
      </c>
      <c r="X99" s="183" t="s">
        <v>242</v>
      </c>
      <c r="Y99" s="186" t="str">
        <f>INDEX(info!$Y$2:$Y$192,MATCH(phc_8[[#This Row],[Sub_Category]],info!$X$2:$X$192,0))</f>
        <v>Accident/minor sugical and injuries</v>
      </c>
      <c r="Z99" s="186" t="str">
        <f t="array" ref="Z99">INDEX(info!$AA$2:$AA$192,MATCH(PHC!$X99&amp;PHC!$Y99,info!$X$2:$X$192&amp;info!$Y$2:$Y$192,0))</f>
        <v>Injury related</v>
      </c>
      <c r="AA99" s="183" t="s">
        <v>3142</v>
      </c>
      <c r="AB99" s="9" t="s">
        <v>654</v>
      </c>
      <c r="AC99" s="9" t="s">
        <v>654</v>
      </c>
      <c r="AD99" s="9" t="s">
        <v>654</v>
      </c>
      <c r="AE99" s="9" t="s">
        <v>654</v>
      </c>
      <c r="AF99" s="184"/>
      <c r="AG99" s="183"/>
      <c r="AH99" s="183"/>
      <c r="AI99" s="183"/>
      <c r="AJ99" s="183"/>
      <c r="AK99" s="9" t="s">
        <v>654</v>
      </c>
      <c r="AL99" s="183"/>
      <c r="AM99" s="186" t="str">
        <f>IF(AF99="","","Q"&amp;INT((MONTH(AF99)-1)/3)+1&amp;YEAR(AF99)&amp;#REF!&amp;T99)</f>
        <v/>
      </c>
      <c r="AN99" s="186" t="e">
        <f>IF(K99="","","Q"&amp;INT((MONTH(K99)-1)/3)+1&amp;YEAR(K99)&amp;#REF!)</f>
        <v>#REF!</v>
      </c>
    </row>
    <row r="100" spans="1:40" ht="20.100000000000001" customHeight="1" x14ac:dyDescent="0.25">
      <c r="A100" s="8">
        <v>98</v>
      </c>
      <c r="B100" s="8" t="s">
        <v>399</v>
      </c>
      <c r="C100" s="8" t="s">
        <v>1997</v>
      </c>
      <c r="D100" s="8" t="s">
        <v>2416</v>
      </c>
      <c r="E100" s="8" t="s">
        <v>1998</v>
      </c>
      <c r="F100" s="9" t="s">
        <v>2222</v>
      </c>
      <c r="G100" s="183"/>
      <c r="H100" s="9" t="s">
        <v>2228</v>
      </c>
      <c r="I100" s="183" t="s">
        <v>579</v>
      </c>
      <c r="J100" s="183"/>
      <c r="K100" s="10">
        <v>46038</v>
      </c>
      <c r="L100" s="9">
        <v>18</v>
      </c>
      <c r="M100" s="185" t="str">
        <f>IF(phc_8[[#This Row],[Register No.]]="","",C100&amp;"-"&amp;D100&amp;"-"&amp;"BHA-PHC-"&amp;phc_8[[#This Row],[Register No.]])</f>
        <v>Shining Star-Mobile Clinic-BHA-PHC-18</v>
      </c>
      <c r="N100" s="9" t="s">
        <v>401</v>
      </c>
      <c r="O100" s="183" t="s">
        <v>3131</v>
      </c>
      <c r="P100" s="183">
        <v>10</v>
      </c>
      <c r="Q100" s="183"/>
      <c r="R100" s="183"/>
      <c r="S100" s="186" t="str">
        <f t="shared" si="4"/>
        <v>5 - 14 yrs</v>
      </c>
      <c r="T100" s="183" t="s">
        <v>402</v>
      </c>
      <c r="U100" s="9" t="s">
        <v>2228</v>
      </c>
      <c r="V100" s="183" t="s">
        <v>3136</v>
      </c>
      <c r="W100" s="183" t="s">
        <v>3139</v>
      </c>
      <c r="X100" s="183" t="s">
        <v>294</v>
      </c>
      <c r="Y100" s="186" t="str">
        <f>INDEX(info!$Y$2:$Y$192,MATCH(phc_8[[#This Row],[Sub_Category]],info!$X$2:$X$192,0))</f>
        <v>Other (non-communicable)</v>
      </c>
      <c r="Z100" s="186" t="str">
        <f t="array" ref="Z100">INDEX(info!$AA$2:$AA$192,MATCH(PHC!$X100&amp;PHC!$Y100,info!$X$2:$X$192&amp;info!$Y$2:$Y$192,0))</f>
        <v>Other</v>
      </c>
      <c r="AA100" s="183" t="s">
        <v>2192</v>
      </c>
      <c r="AB100" s="9" t="s">
        <v>654</v>
      </c>
      <c r="AC100" s="9" t="s">
        <v>654</v>
      </c>
      <c r="AD100" s="9" t="s">
        <v>654</v>
      </c>
      <c r="AE100" s="9" t="s">
        <v>654</v>
      </c>
      <c r="AF100" s="184"/>
      <c r="AG100" s="183"/>
      <c r="AH100" s="183"/>
      <c r="AI100" s="183"/>
      <c r="AJ100" s="183"/>
      <c r="AK100" s="9" t="s">
        <v>654</v>
      </c>
      <c r="AL100" s="183"/>
      <c r="AM100" s="186" t="str">
        <f>IF(AF100="","","Q"&amp;INT((MONTH(AF100)-1)/3)+1&amp;YEAR(AF100)&amp;#REF!&amp;T100)</f>
        <v/>
      </c>
      <c r="AN100" s="186" t="e">
        <f>IF(K100="","","Q"&amp;INT((MONTH(K100)-1)/3)+1&amp;YEAR(K100)&amp;#REF!)</f>
        <v>#REF!</v>
      </c>
    </row>
    <row r="101" spans="1:40" ht="20.100000000000001" customHeight="1" x14ac:dyDescent="0.25">
      <c r="A101" s="8">
        <v>99</v>
      </c>
      <c r="B101" s="8" t="s">
        <v>399</v>
      </c>
      <c r="C101" s="8" t="s">
        <v>1997</v>
      </c>
      <c r="D101" s="8" t="s">
        <v>2416</v>
      </c>
      <c r="E101" s="8" t="s">
        <v>1998</v>
      </c>
      <c r="F101" s="9" t="s">
        <v>2222</v>
      </c>
      <c r="G101" s="183"/>
      <c r="H101" s="9" t="s">
        <v>2228</v>
      </c>
      <c r="I101" s="183" t="s">
        <v>579</v>
      </c>
      <c r="J101" s="183"/>
      <c r="K101" s="10">
        <v>46038</v>
      </c>
      <c r="L101" s="9">
        <v>19</v>
      </c>
      <c r="M101" s="185" t="str">
        <f>IF(phc_8[[#This Row],[Register No.]]="","",C101&amp;"-"&amp;D101&amp;"-"&amp;"BHA-PHC-"&amp;phc_8[[#This Row],[Register No.]])</f>
        <v>Shining Star-Mobile Clinic-BHA-PHC-19</v>
      </c>
      <c r="N101" s="9" t="s">
        <v>401</v>
      </c>
      <c r="O101" s="183" t="s">
        <v>3132</v>
      </c>
      <c r="P101" s="183">
        <v>10</v>
      </c>
      <c r="Q101" s="183"/>
      <c r="R101" s="183"/>
      <c r="S101" s="186" t="str">
        <f t="shared" si="4"/>
        <v>5 - 14 yrs</v>
      </c>
      <c r="T101" s="183" t="s">
        <v>402</v>
      </c>
      <c r="U101" s="9" t="s">
        <v>2228</v>
      </c>
      <c r="V101" s="183" t="s">
        <v>3137</v>
      </c>
      <c r="W101" s="183" t="s">
        <v>3140</v>
      </c>
      <c r="X101" s="183" t="s">
        <v>108</v>
      </c>
      <c r="Y101" s="186" t="str">
        <f>INDEX(info!$Y$2:$Y$192,MATCH(phc_8[[#This Row],[Sub_Category]],info!$X$2:$X$192,0))</f>
        <v>ARI/RTI</v>
      </c>
      <c r="Z101" s="186" t="str">
        <f t="array" ref="Z101">INDEX(info!$AA$2:$AA$192,MATCH(PHC!$X101&amp;PHC!$Y101,info!$X$2:$X$192&amp;info!$Y$2:$Y$192,0))</f>
        <v>Communicable disease</v>
      </c>
      <c r="AA101" s="183" t="s">
        <v>3143</v>
      </c>
      <c r="AB101" s="9" t="s">
        <v>654</v>
      </c>
      <c r="AC101" s="9" t="s">
        <v>654</v>
      </c>
      <c r="AD101" s="9" t="s">
        <v>654</v>
      </c>
      <c r="AE101" s="9" t="s">
        <v>654</v>
      </c>
      <c r="AF101" s="184"/>
      <c r="AG101" s="183"/>
      <c r="AH101" s="183"/>
      <c r="AI101" s="183"/>
      <c r="AJ101" s="183"/>
      <c r="AK101" s="9" t="s">
        <v>654</v>
      </c>
      <c r="AL101" s="183"/>
      <c r="AM101" s="186" t="str">
        <f>IF(AF101="","","Q"&amp;INT((MONTH(AF101)-1)/3)+1&amp;YEAR(AF101)&amp;#REF!&amp;T101)</f>
        <v/>
      </c>
      <c r="AN101" s="186" t="e">
        <f>IF(K101="","","Q"&amp;INT((MONTH(K101)-1)/3)+1&amp;YEAR(K101)&amp;#REF!)</f>
        <v>#REF!</v>
      </c>
    </row>
    <row r="102" spans="1:40" ht="20.100000000000001" customHeight="1" x14ac:dyDescent="0.25">
      <c r="A102" s="8">
        <v>100</v>
      </c>
      <c r="B102" s="8" t="s">
        <v>399</v>
      </c>
      <c r="C102" s="8" t="s">
        <v>1997</v>
      </c>
      <c r="D102" s="8" t="s">
        <v>2416</v>
      </c>
      <c r="E102" s="8" t="s">
        <v>1998</v>
      </c>
      <c r="F102" s="9" t="s">
        <v>2222</v>
      </c>
      <c r="G102" s="183"/>
      <c r="H102" s="9" t="s">
        <v>2228</v>
      </c>
      <c r="I102" s="183" t="s">
        <v>579</v>
      </c>
      <c r="J102" s="183"/>
      <c r="K102" s="10">
        <v>46038</v>
      </c>
      <c r="L102" s="183">
        <v>20</v>
      </c>
      <c r="M102" s="185" t="str">
        <f>IF(phc_8[[#This Row],[Register No.]]="","",C102&amp;"-"&amp;D102&amp;"-"&amp;"BHA-PHC-"&amp;phc_8[[#This Row],[Register No.]])</f>
        <v>Shining Star-Mobile Clinic-BHA-PHC-20</v>
      </c>
      <c r="N102" s="9" t="s">
        <v>401</v>
      </c>
      <c r="O102" s="183" t="s">
        <v>3133</v>
      </c>
      <c r="P102" s="183">
        <v>9</v>
      </c>
      <c r="Q102" s="183"/>
      <c r="R102" s="183"/>
      <c r="S102" s="186" t="str">
        <f t="shared" si="4"/>
        <v>5 - 14 yrs</v>
      </c>
      <c r="T102" s="183" t="s">
        <v>402</v>
      </c>
      <c r="U102" s="9" t="s">
        <v>2228</v>
      </c>
      <c r="V102" s="183" t="s">
        <v>3138</v>
      </c>
      <c r="W102" s="183" t="s">
        <v>3140</v>
      </c>
      <c r="X102" s="183" t="s">
        <v>108</v>
      </c>
      <c r="Y102" s="186" t="str">
        <f>INDEX(info!$Y$2:$Y$192,MATCH(phc_8[[#This Row],[Sub_Category]],info!$X$2:$X$192,0))</f>
        <v>ARI/RTI</v>
      </c>
      <c r="Z102" s="186" t="str">
        <f t="array" ref="Z102">INDEX(info!$AA$2:$AA$192,MATCH(PHC!$X102&amp;PHC!$Y102,info!$X$2:$X$192&amp;info!$Y$2:$Y$192,0))</f>
        <v>Communicable disease</v>
      </c>
      <c r="AA102" s="183" t="s">
        <v>3144</v>
      </c>
      <c r="AB102" s="9" t="s">
        <v>654</v>
      </c>
      <c r="AC102" s="9" t="s">
        <v>654</v>
      </c>
      <c r="AD102" s="9" t="s">
        <v>654</v>
      </c>
      <c r="AE102" s="9" t="s">
        <v>654</v>
      </c>
      <c r="AF102" s="184"/>
      <c r="AG102" s="183"/>
      <c r="AH102" s="183"/>
      <c r="AI102" s="183"/>
      <c r="AJ102" s="183"/>
      <c r="AK102" s="9" t="s">
        <v>654</v>
      </c>
      <c r="AL102" s="183"/>
      <c r="AM102" s="186" t="str">
        <f>IF(AF102="","","Q"&amp;INT((MONTH(AF102)-1)/3)+1&amp;YEAR(AF102)&amp;#REF!&amp;T102)</f>
        <v/>
      </c>
      <c r="AN102" s="186" t="e">
        <f>IF(K102="","","Q"&amp;INT((MONTH(K102)-1)/3)+1&amp;YEAR(K102)&amp;#REF!)</f>
        <v>#REF!</v>
      </c>
    </row>
    <row r="103" spans="1:40" ht="20.100000000000001" customHeight="1" x14ac:dyDescent="0.25">
      <c r="A103" s="8">
        <v>101</v>
      </c>
      <c r="B103" s="8" t="s">
        <v>399</v>
      </c>
      <c r="C103" s="8" t="s">
        <v>1997</v>
      </c>
      <c r="D103" s="8" t="s">
        <v>2416</v>
      </c>
      <c r="E103" s="8" t="s">
        <v>1998</v>
      </c>
      <c r="F103" s="9" t="s">
        <v>2222</v>
      </c>
      <c r="G103" s="183"/>
      <c r="H103" s="9" t="s">
        <v>2228</v>
      </c>
      <c r="I103" s="183" t="s">
        <v>579</v>
      </c>
      <c r="J103" s="183"/>
      <c r="K103" s="10">
        <v>46038</v>
      </c>
      <c r="L103" s="9">
        <v>21</v>
      </c>
      <c r="M103" s="185" t="str">
        <f>IF(phc_8[[#This Row],[Register No.]]="","",C103&amp;"-"&amp;D103&amp;"-"&amp;"BHA-PHC-"&amp;phc_8[[#This Row],[Register No.]])</f>
        <v>Shining Star-Mobile Clinic-BHA-PHC-21</v>
      </c>
      <c r="N103" s="9" t="s">
        <v>401</v>
      </c>
      <c r="O103" s="183" t="s">
        <v>3145</v>
      </c>
      <c r="P103" s="183">
        <v>7</v>
      </c>
      <c r="Q103" s="183"/>
      <c r="R103" s="183"/>
      <c r="S103" s="186" t="str">
        <f t="shared" si="4"/>
        <v>5 - 14 yrs</v>
      </c>
      <c r="T103" s="183" t="s">
        <v>402</v>
      </c>
      <c r="U103" s="9" t="s">
        <v>2228</v>
      </c>
      <c r="V103" s="183" t="s">
        <v>3149</v>
      </c>
      <c r="W103" s="183" t="s">
        <v>2174</v>
      </c>
      <c r="X103" s="183" t="s">
        <v>196</v>
      </c>
      <c r="Y103" s="186" t="str">
        <f>INDEX(info!$Y$2:$Y$192,MATCH(phc_8[[#This Row],[Sub_Category]],info!$X$2:$X$192,0))</f>
        <v>Skin infection/disease</v>
      </c>
      <c r="Z103" s="186" t="str">
        <f t="array" ref="Z103">INDEX(info!$AA$2:$AA$192,MATCH(PHC!$X103&amp;PHC!$Y103,info!$X$2:$X$192&amp;info!$Y$2:$Y$192,0))</f>
        <v>Non-communicable disease</v>
      </c>
      <c r="AA103" s="183" t="s">
        <v>3154</v>
      </c>
      <c r="AB103" s="9" t="s">
        <v>654</v>
      </c>
      <c r="AC103" s="9" t="s">
        <v>654</v>
      </c>
      <c r="AD103" s="9" t="s">
        <v>654</v>
      </c>
      <c r="AE103" s="9" t="s">
        <v>654</v>
      </c>
      <c r="AF103" s="184"/>
      <c r="AG103" s="183"/>
      <c r="AH103" s="183"/>
      <c r="AI103" s="183"/>
      <c r="AJ103" s="183"/>
      <c r="AK103" s="9" t="s">
        <v>654</v>
      </c>
      <c r="AL103" s="183"/>
      <c r="AM103" s="186" t="str">
        <f>IF(AF103="","","Q"&amp;INT((MONTH(AF103)-1)/3)+1&amp;YEAR(AF103)&amp;#REF!&amp;T103)</f>
        <v/>
      </c>
      <c r="AN103" s="186" t="e">
        <f>IF(K103="","","Q"&amp;INT((MONTH(K103)-1)/3)+1&amp;YEAR(K103)&amp;#REF!)</f>
        <v>#REF!</v>
      </c>
    </row>
    <row r="104" spans="1:40" ht="20.100000000000001" customHeight="1" x14ac:dyDescent="0.25">
      <c r="A104" s="8">
        <v>102</v>
      </c>
      <c r="B104" s="8" t="s">
        <v>399</v>
      </c>
      <c r="C104" s="8" t="s">
        <v>1997</v>
      </c>
      <c r="D104" s="8" t="s">
        <v>2416</v>
      </c>
      <c r="E104" s="8" t="s">
        <v>1998</v>
      </c>
      <c r="F104" s="9" t="s">
        <v>2222</v>
      </c>
      <c r="G104" s="183"/>
      <c r="H104" s="9" t="s">
        <v>2228</v>
      </c>
      <c r="I104" s="183" t="s">
        <v>579</v>
      </c>
      <c r="J104" s="183"/>
      <c r="K104" s="10">
        <v>46038</v>
      </c>
      <c r="L104" s="9">
        <v>22</v>
      </c>
      <c r="M104" s="185" t="str">
        <f>IF(phc_8[[#This Row],[Register No.]]="","",C104&amp;"-"&amp;D104&amp;"-"&amp;"BHA-PHC-"&amp;phc_8[[#This Row],[Register No.]])</f>
        <v>Shining Star-Mobile Clinic-BHA-PHC-22</v>
      </c>
      <c r="N104" s="9" t="s">
        <v>401</v>
      </c>
      <c r="O104" s="183" t="s">
        <v>3146</v>
      </c>
      <c r="P104" s="183">
        <v>90</v>
      </c>
      <c r="Q104" s="183"/>
      <c r="R104" s="183"/>
      <c r="S104" s="186" t="str">
        <f t="shared" si="4"/>
        <v>50 yrs +</v>
      </c>
      <c r="T104" s="183" t="s">
        <v>603</v>
      </c>
      <c r="U104" s="9" t="s">
        <v>2228</v>
      </c>
      <c r="V104" s="183" t="s">
        <v>3150</v>
      </c>
      <c r="W104" s="183" t="s">
        <v>3078</v>
      </c>
      <c r="X104" s="183" t="s">
        <v>3078</v>
      </c>
      <c r="Y104" s="186" t="str">
        <f>INDEX(info!$Y$2:$Y$192,MATCH(phc_8[[#This Row],[Sub_Category]],info!$X$2:$X$192,0))</f>
        <v>ARI/RTI</v>
      </c>
      <c r="Z104" s="186" t="str">
        <f t="array" ref="Z104">INDEX(info!$AA$2:$AA$192,MATCH(PHC!$X104&amp;PHC!$Y104,info!$X$2:$X$192&amp;info!$Y$2:$Y$192,0))</f>
        <v>Communicable disease</v>
      </c>
      <c r="AA104" s="183" t="s">
        <v>3155</v>
      </c>
      <c r="AB104" s="9" t="s">
        <v>654</v>
      </c>
      <c r="AC104" s="9" t="s">
        <v>654</v>
      </c>
      <c r="AD104" s="9" t="s">
        <v>654</v>
      </c>
      <c r="AE104" s="9" t="s">
        <v>654</v>
      </c>
      <c r="AF104" s="184"/>
      <c r="AG104" s="183"/>
      <c r="AH104" s="183"/>
      <c r="AI104" s="183"/>
      <c r="AJ104" s="183"/>
      <c r="AK104" s="9" t="s">
        <v>654</v>
      </c>
      <c r="AL104" s="183"/>
      <c r="AM104" s="186" t="str">
        <f>IF(AF104="","","Q"&amp;INT((MONTH(AF104)-1)/3)+1&amp;YEAR(AF104)&amp;#REF!&amp;T104)</f>
        <v/>
      </c>
      <c r="AN104" s="186" t="e">
        <f>IF(K104="","","Q"&amp;INT((MONTH(K104)-1)/3)+1&amp;YEAR(K104)&amp;#REF!)</f>
        <v>#REF!</v>
      </c>
    </row>
    <row r="105" spans="1:40" ht="20.100000000000001" customHeight="1" x14ac:dyDescent="0.25">
      <c r="A105" s="8">
        <v>103</v>
      </c>
      <c r="B105" s="8" t="s">
        <v>399</v>
      </c>
      <c r="C105" s="8" t="s">
        <v>1997</v>
      </c>
      <c r="D105" s="8" t="s">
        <v>2416</v>
      </c>
      <c r="E105" s="8" t="s">
        <v>1998</v>
      </c>
      <c r="F105" s="9" t="s">
        <v>2222</v>
      </c>
      <c r="G105" s="183"/>
      <c r="H105" s="9" t="s">
        <v>2228</v>
      </c>
      <c r="I105" s="183" t="s">
        <v>579</v>
      </c>
      <c r="J105" s="183"/>
      <c r="K105" s="10">
        <v>46038</v>
      </c>
      <c r="L105" s="183">
        <v>23</v>
      </c>
      <c r="M105" s="185" t="str">
        <f>IF(phc_8[[#This Row],[Register No.]]="","",C105&amp;"-"&amp;D105&amp;"-"&amp;"BHA-PHC-"&amp;phc_8[[#This Row],[Register No.]])</f>
        <v>Shining Star-Mobile Clinic-BHA-PHC-23</v>
      </c>
      <c r="N105" s="9" t="s">
        <v>401</v>
      </c>
      <c r="O105" s="183" t="s">
        <v>3147</v>
      </c>
      <c r="P105" s="183">
        <v>70</v>
      </c>
      <c r="Q105" s="183"/>
      <c r="R105" s="183"/>
      <c r="S105" s="186" t="str">
        <f t="shared" si="4"/>
        <v>50 yrs +</v>
      </c>
      <c r="T105" s="183" t="s">
        <v>402</v>
      </c>
      <c r="U105" s="9" t="s">
        <v>2228</v>
      </c>
      <c r="V105" s="183" t="s">
        <v>2012</v>
      </c>
      <c r="W105" s="183" t="s">
        <v>3153</v>
      </c>
      <c r="X105" s="183"/>
      <c r="Y105" s="186" t="e">
        <f>INDEX(info!$Y$2:$Y$192,MATCH(phc_8[[#This Row],[Sub_Category]],info!$X$2:$X$192,0))</f>
        <v>#N/A</v>
      </c>
      <c r="Z105" s="186" t="e">
        <f t="array" ref="Z105">INDEX(info!$AA$2:$AA$192,MATCH(PHC!$X105&amp;PHC!$Y105,info!$X$2:$X$192&amp;info!$Y$2:$Y$192,0))</f>
        <v>#N/A</v>
      </c>
      <c r="AA105" s="183" t="s">
        <v>3156</v>
      </c>
      <c r="AB105" s="9" t="s">
        <v>654</v>
      </c>
      <c r="AC105" s="9" t="s">
        <v>654</v>
      </c>
      <c r="AD105" s="9" t="s">
        <v>654</v>
      </c>
      <c r="AE105" s="9" t="s">
        <v>654</v>
      </c>
      <c r="AF105" s="184"/>
      <c r="AG105" s="183"/>
      <c r="AH105" s="183"/>
      <c r="AI105" s="183"/>
      <c r="AJ105" s="183"/>
      <c r="AK105" s="9" t="s">
        <v>654</v>
      </c>
      <c r="AL105" s="183"/>
      <c r="AM105" s="186" t="str">
        <f>IF(AF105="","","Q"&amp;INT((MONTH(AF105)-1)/3)+1&amp;YEAR(AF105)&amp;#REF!&amp;T105)</f>
        <v/>
      </c>
      <c r="AN105" s="186" t="e">
        <f>IF(K105="","","Q"&amp;INT((MONTH(K105)-1)/3)+1&amp;YEAR(K105)&amp;#REF!)</f>
        <v>#REF!</v>
      </c>
    </row>
    <row r="106" spans="1:40" ht="20.100000000000001" customHeight="1" x14ac:dyDescent="0.25">
      <c r="A106" s="8">
        <v>104</v>
      </c>
      <c r="B106" s="8" t="s">
        <v>399</v>
      </c>
      <c r="C106" s="8" t="s">
        <v>1997</v>
      </c>
      <c r="D106" s="8" t="s">
        <v>2416</v>
      </c>
      <c r="E106" s="8" t="s">
        <v>1998</v>
      </c>
      <c r="F106" s="9" t="s">
        <v>2222</v>
      </c>
      <c r="G106" s="183"/>
      <c r="H106" s="9" t="s">
        <v>2228</v>
      </c>
      <c r="I106" s="183" t="s">
        <v>579</v>
      </c>
      <c r="J106" s="183"/>
      <c r="K106" s="10">
        <v>46038</v>
      </c>
      <c r="L106" s="9">
        <v>24</v>
      </c>
      <c r="M106" s="185" t="str">
        <f>IF(phc_8[[#This Row],[Register No.]]="","",C106&amp;"-"&amp;D106&amp;"-"&amp;"BHA-PHC-"&amp;phc_8[[#This Row],[Register No.]])</f>
        <v>Shining Star-Mobile Clinic-BHA-PHC-24</v>
      </c>
      <c r="N106" s="9" t="s">
        <v>401</v>
      </c>
      <c r="O106" s="183" t="s">
        <v>3148</v>
      </c>
      <c r="P106" s="183">
        <v>70</v>
      </c>
      <c r="Q106" s="183"/>
      <c r="R106" s="183"/>
      <c r="S106" s="186" t="str">
        <f t="shared" si="4"/>
        <v>50 yrs +</v>
      </c>
      <c r="T106" s="183" t="s">
        <v>603</v>
      </c>
      <c r="U106" s="9" t="s">
        <v>2228</v>
      </c>
      <c r="V106" s="183" t="s">
        <v>3151</v>
      </c>
      <c r="W106" s="183" t="s">
        <v>3078</v>
      </c>
      <c r="X106" s="183" t="s">
        <v>3078</v>
      </c>
      <c r="Y106" s="186" t="str">
        <f>INDEX(info!$Y$2:$Y$192,MATCH(phc_8[[#This Row],[Sub_Category]],info!$X$2:$X$192,0))</f>
        <v>ARI/RTI</v>
      </c>
      <c r="Z106" s="186" t="str">
        <f t="array" ref="Z106">INDEX(info!$AA$2:$AA$192,MATCH(PHC!$X106&amp;PHC!$Y106,info!$X$2:$X$192&amp;info!$Y$2:$Y$192,0))</f>
        <v>Communicable disease</v>
      </c>
      <c r="AA106" s="183" t="s">
        <v>3157</v>
      </c>
      <c r="AB106" s="9" t="s">
        <v>654</v>
      </c>
      <c r="AC106" s="9" t="s">
        <v>654</v>
      </c>
      <c r="AD106" s="9" t="s">
        <v>654</v>
      </c>
      <c r="AE106" s="9" t="s">
        <v>654</v>
      </c>
      <c r="AF106" s="184"/>
      <c r="AG106" s="183"/>
      <c r="AH106" s="183"/>
      <c r="AI106" s="183"/>
      <c r="AJ106" s="183"/>
      <c r="AK106" s="9" t="s">
        <v>654</v>
      </c>
      <c r="AL106" s="183"/>
      <c r="AM106" s="186" t="str">
        <f>IF(AF106="","","Q"&amp;INT((MONTH(AF106)-1)/3)+1&amp;YEAR(AF106)&amp;#REF!&amp;T106)</f>
        <v/>
      </c>
      <c r="AN106" s="186" t="e">
        <f>IF(K106="","","Q"&amp;INT((MONTH(K106)-1)/3)+1&amp;YEAR(K106)&amp;#REF!)</f>
        <v>#REF!</v>
      </c>
    </row>
    <row r="107" spans="1:40" ht="20.100000000000001" customHeight="1" x14ac:dyDescent="0.25">
      <c r="A107" s="8">
        <v>105</v>
      </c>
      <c r="B107" s="8" t="s">
        <v>399</v>
      </c>
      <c r="C107" s="8" t="s">
        <v>1997</v>
      </c>
      <c r="D107" s="8" t="s">
        <v>2416</v>
      </c>
      <c r="E107" s="8" t="s">
        <v>1998</v>
      </c>
      <c r="F107" s="9" t="s">
        <v>2222</v>
      </c>
      <c r="G107" s="183"/>
      <c r="H107" s="9" t="s">
        <v>2228</v>
      </c>
      <c r="I107" s="183" t="s">
        <v>579</v>
      </c>
      <c r="J107" s="183"/>
      <c r="K107" s="10">
        <v>46038</v>
      </c>
      <c r="L107" s="9">
        <v>25</v>
      </c>
      <c r="M107" s="185" t="str">
        <f>IF(phc_8[[#This Row],[Register No.]]="","",C107&amp;"-"&amp;D107&amp;"-"&amp;"BHA-PHC-"&amp;phc_8[[#This Row],[Register No.]])</f>
        <v>Shining Star-Mobile Clinic-BHA-PHC-25</v>
      </c>
      <c r="N107" s="9" t="s">
        <v>401</v>
      </c>
      <c r="O107" s="183" t="s">
        <v>3044</v>
      </c>
      <c r="P107" s="183">
        <v>88</v>
      </c>
      <c r="Q107" s="183"/>
      <c r="R107" s="183"/>
      <c r="S107" s="186" t="str">
        <f t="shared" si="4"/>
        <v>50 yrs +</v>
      </c>
      <c r="T107" s="183" t="s">
        <v>603</v>
      </c>
      <c r="U107" s="9" t="s">
        <v>2228</v>
      </c>
      <c r="V107" s="183" t="s">
        <v>3152</v>
      </c>
      <c r="W107" s="183" t="s">
        <v>2003</v>
      </c>
      <c r="X107" s="183" t="s">
        <v>181</v>
      </c>
      <c r="Y107" s="186" t="str">
        <f>INDEX(info!$Y$2:$Y$192,MATCH(phc_8[[#This Row],[Sub_Category]],info!$X$2:$X$192,0))</f>
        <v>Chronic medical disease</v>
      </c>
      <c r="Z107" s="186" t="str">
        <f t="array" ref="Z107">INDEX(info!$AA$2:$AA$192,MATCH(PHC!$X107&amp;PHC!$Y107,info!$X$2:$X$192&amp;info!$Y$2:$Y$192,0))</f>
        <v>Non-communicable disease</v>
      </c>
      <c r="AA107" s="183" t="s">
        <v>3158</v>
      </c>
      <c r="AB107" s="9" t="s">
        <v>654</v>
      </c>
      <c r="AC107" s="9" t="s">
        <v>654</v>
      </c>
      <c r="AD107" s="9" t="s">
        <v>654</v>
      </c>
      <c r="AE107" s="9" t="s">
        <v>654</v>
      </c>
      <c r="AF107" s="184"/>
      <c r="AG107" s="183"/>
      <c r="AH107" s="183"/>
      <c r="AI107" s="183"/>
      <c r="AJ107" s="183"/>
      <c r="AK107" s="9" t="s">
        <v>654</v>
      </c>
      <c r="AL107" s="183"/>
      <c r="AM107" s="186" t="str">
        <f>IF(AF107="","","Q"&amp;INT((MONTH(AF107)-1)/3)+1&amp;YEAR(AF107)&amp;#REF!&amp;T107)</f>
        <v/>
      </c>
      <c r="AN107" s="186" t="e">
        <f>IF(K107="","","Q"&amp;INT((MONTH(K107)-1)/3)+1&amp;YEAR(K107)&amp;#REF!)</f>
        <v>#REF!</v>
      </c>
    </row>
    <row r="108" spans="1:40" ht="20.100000000000001" customHeight="1" x14ac:dyDescent="0.25">
      <c r="A108" s="8">
        <v>106</v>
      </c>
      <c r="B108" s="8" t="s">
        <v>399</v>
      </c>
      <c r="C108" s="8" t="s">
        <v>1997</v>
      </c>
      <c r="D108" s="8" t="s">
        <v>2416</v>
      </c>
      <c r="E108" s="8" t="s">
        <v>1998</v>
      </c>
      <c r="F108" s="9" t="s">
        <v>2222</v>
      </c>
      <c r="G108" s="183"/>
      <c r="H108" s="9" t="s">
        <v>2228</v>
      </c>
      <c r="I108" s="183" t="s">
        <v>579</v>
      </c>
      <c r="J108" s="183"/>
      <c r="K108" s="10">
        <v>46038</v>
      </c>
      <c r="L108" s="183">
        <v>26</v>
      </c>
      <c r="M108" s="185" t="str">
        <f>IF(phc_8[[#This Row],[Register No.]]="","",C108&amp;"-"&amp;D108&amp;"-"&amp;"BHA-PHC-"&amp;phc_8[[#This Row],[Register No.]])</f>
        <v>Shining Star-Mobile Clinic-BHA-PHC-26</v>
      </c>
      <c r="N108" s="9" t="s">
        <v>401</v>
      </c>
      <c r="O108" s="183" t="s">
        <v>3159</v>
      </c>
      <c r="P108" s="183">
        <v>43</v>
      </c>
      <c r="Q108" s="183"/>
      <c r="R108" s="183"/>
      <c r="S108" s="186" t="str">
        <f t="shared" si="4"/>
        <v>19 - 49 yrs</v>
      </c>
      <c r="T108" s="183" t="s">
        <v>402</v>
      </c>
      <c r="U108" s="9" t="s">
        <v>2228</v>
      </c>
      <c r="V108" s="183" t="s">
        <v>3164</v>
      </c>
      <c r="W108" s="183" t="s">
        <v>3167</v>
      </c>
      <c r="X108" s="183" t="s">
        <v>46</v>
      </c>
      <c r="Y108" s="186" t="str">
        <f>INDEX(info!$Y$2:$Y$192,MATCH(phc_8[[#This Row],[Sub_Category]],info!$X$2:$X$192,0))</f>
        <v>Diarrhoea/ GE</v>
      </c>
      <c r="Z108" s="186" t="str">
        <f t="array" ref="Z108">INDEX(info!$AA$2:$AA$192,MATCH(PHC!$X108&amp;PHC!$Y108,info!$X$2:$X$192&amp;info!$Y$2:$Y$192,0))</f>
        <v>Communicable disease</v>
      </c>
      <c r="AA108" s="183" t="s">
        <v>3169</v>
      </c>
      <c r="AB108" s="9" t="s">
        <v>654</v>
      </c>
      <c r="AC108" s="9" t="s">
        <v>654</v>
      </c>
      <c r="AD108" s="9" t="s">
        <v>654</v>
      </c>
      <c r="AE108" s="9" t="s">
        <v>654</v>
      </c>
      <c r="AF108" s="184"/>
      <c r="AG108" s="183"/>
      <c r="AH108" s="183"/>
      <c r="AI108" s="183"/>
      <c r="AJ108" s="183"/>
      <c r="AK108" s="9" t="s">
        <v>654</v>
      </c>
      <c r="AL108" s="183"/>
      <c r="AM108" s="186" t="str">
        <f>IF(AF108="","","Q"&amp;INT((MONTH(AF108)-1)/3)+1&amp;YEAR(AF108)&amp;#REF!&amp;T108)</f>
        <v/>
      </c>
      <c r="AN108" s="186" t="e">
        <f>IF(K108="","","Q"&amp;INT((MONTH(K108)-1)/3)+1&amp;YEAR(K108)&amp;#REF!)</f>
        <v>#REF!</v>
      </c>
    </row>
    <row r="109" spans="1:40" ht="20.100000000000001" customHeight="1" x14ac:dyDescent="0.25">
      <c r="A109" s="8">
        <v>107</v>
      </c>
      <c r="B109" s="8" t="s">
        <v>399</v>
      </c>
      <c r="C109" s="8" t="s">
        <v>1997</v>
      </c>
      <c r="D109" s="8" t="s">
        <v>2416</v>
      </c>
      <c r="E109" s="8" t="s">
        <v>1998</v>
      </c>
      <c r="F109" s="9" t="s">
        <v>2222</v>
      </c>
      <c r="G109" s="183"/>
      <c r="H109" s="9" t="s">
        <v>2228</v>
      </c>
      <c r="I109" s="183" t="s">
        <v>579</v>
      </c>
      <c r="J109" s="183"/>
      <c r="K109" s="10">
        <v>46038</v>
      </c>
      <c r="L109" s="9">
        <v>27</v>
      </c>
      <c r="M109" s="185" t="str">
        <f>IF(phc_8[[#This Row],[Register No.]]="","",C109&amp;"-"&amp;D109&amp;"-"&amp;"BHA-PHC-"&amp;phc_8[[#This Row],[Register No.]])</f>
        <v>Shining Star-Mobile Clinic-BHA-PHC-27</v>
      </c>
      <c r="N109" s="9" t="s">
        <v>401</v>
      </c>
      <c r="O109" s="183" t="s">
        <v>3160</v>
      </c>
      <c r="P109" s="183">
        <v>75</v>
      </c>
      <c r="Q109" s="183"/>
      <c r="R109" s="183"/>
      <c r="S109" s="186" t="str">
        <f t="shared" si="4"/>
        <v>50 yrs +</v>
      </c>
      <c r="T109" s="183" t="s">
        <v>603</v>
      </c>
      <c r="U109" s="9" t="s">
        <v>2228</v>
      </c>
      <c r="V109" s="183" t="s">
        <v>3165</v>
      </c>
      <c r="W109" s="183" t="s">
        <v>3168</v>
      </c>
      <c r="X109" s="183" t="s">
        <v>242</v>
      </c>
      <c r="Y109" s="186" t="str">
        <f>INDEX(info!$Y$2:$Y$192,MATCH(phc_8[[#This Row],[Sub_Category]],info!$X$2:$X$192,0))</f>
        <v>Accident/minor sugical and injuries</v>
      </c>
      <c r="Z109" s="186" t="str">
        <f t="array" ref="Z109">INDEX(info!$AA$2:$AA$192,MATCH(PHC!$X109&amp;PHC!$Y109,info!$X$2:$X$192&amp;info!$Y$2:$Y$192,0))</f>
        <v>Injury related</v>
      </c>
      <c r="AA109" s="183" t="s">
        <v>3093</v>
      </c>
      <c r="AB109" s="9" t="s">
        <v>654</v>
      </c>
      <c r="AC109" s="9" t="s">
        <v>654</v>
      </c>
      <c r="AD109" s="9" t="s">
        <v>654</v>
      </c>
      <c r="AE109" s="9" t="s">
        <v>654</v>
      </c>
      <c r="AF109" s="184"/>
      <c r="AG109" s="183"/>
      <c r="AH109" s="183"/>
      <c r="AI109" s="183"/>
      <c r="AJ109" s="183"/>
      <c r="AK109" s="9" t="s">
        <v>654</v>
      </c>
      <c r="AL109" s="183"/>
      <c r="AM109" s="186" t="str">
        <f>IF(AF109="","","Q"&amp;INT((MONTH(AF109)-1)/3)+1&amp;YEAR(AF109)&amp;#REF!&amp;T109)</f>
        <v/>
      </c>
      <c r="AN109" s="186" t="e">
        <f>IF(K109="","","Q"&amp;INT((MONTH(K109)-1)/3)+1&amp;YEAR(K109)&amp;#REF!)</f>
        <v>#REF!</v>
      </c>
    </row>
    <row r="110" spans="1:40" ht="20.100000000000001" customHeight="1" x14ac:dyDescent="0.25">
      <c r="A110" s="8">
        <v>108</v>
      </c>
      <c r="B110" s="8" t="s">
        <v>399</v>
      </c>
      <c r="C110" s="8" t="s">
        <v>1997</v>
      </c>
      <c r="D110" s="8" t="s">
        <v>2416</v>
      </c>
      <c r="E110" s="8" t="s">
        <v>1998</v>
      </c>
      <c r="F110" s="9" t="s">
        <v>2222</v>
      </c>
      <c r="G110" s="183"/>
      <c r="H110" s="9" t="s">
        <v>2228</v>
      </c>
      <c r="I110" s="183" t="s">
        <v>579</v>
      </c>
      <c r="J110" s="183"/>
      <c r="K110" s="10">
        <v>46038</v>
      </c>
      <c r="L110" s="9">
        <v>28</v>
      </c>
      <c r="M110" s="185" t="str">
        <f>IF(phc_8[[#This Row],[Register No.]]="","",C110&amp;"-"&amp;D110&amp;"-"&amp;"BHA-PHC-"&amp;phc_8[[#This Row],[Register No.]])</f>
        <v>Shining Star-Mobile Clinic-BHA-PHC-28</v>
      </c>
      <c r="N110" s="9" t="s">
        <v>401</v>
      </c>
      <c r="O110" s="183" t="s">
        <v>3161</v>
      </c>
      <c r="P110" s="183">
        <v>53</v>
      </c>
      <c r="Q110" s="183"/>
      <c r="R110" s="183"/>
      <c r="S110" s="186" t="str">
        <f t="shared" ref="S110:S141" si="5">IF(AND(ISBLANK(P110),ISBLANK(Q110),ISBLANK(R110))," ",
IF(OR(P110&lt;5,AND(P110=" ",Q110&lt;&gt;" ",R110&lt;&gt;" ")),"&lt;5 yrs",
IF(AND(P110&gt;=5,P110&lt;=14),"5 - 14 yrs",
IF(AND(P110&gt;=15,P110&lt;=18),"15 - 18 yrs",
IF(AND(P110&gt;=19,P110&lt;=49),"19 - 49 yrs","50 yrs +")))))</f>
        <v>50 yrs +</v>
      </c>
      <c r="T110" s="183" t="s">
        <v>402</v>
      </c>
      <c r="U110" s="9" t="s">
        <v>2228</v>
      </c>
      <c r="V110" s="183" t="s">
        <v>3166</v>
      </c>
      <c r="W110" s="183" t="s">
        <v>2030</v>
      </c>
      <c r="X110" s="183" t="s">
        <v>181</v>
      </c>
      <c r="Y110" s="186" t="str">
        <f>INDEX(info!$Y$2:$Y$192,MATCH(phc_8[[#This Row],[Sub_Category]],info!$X$2:$X$192,0))</f>
        <v>Chronic medical disease</v>
      </c>
      <c r="Z110" s="186" t="str">
        <f t="array" ref="Z110">INDEX(info!$AA$2:$AA$192,MATCH(PHC!$X110&amp;PHC!$Y110,info!$X$2:$X$192&amp;info!$Y$2:$Y$192,0))</f>
        <v>Non-communicable disease</v>
      </c>
      <c r="AA110" s="183" t="s">
        <v>3170</v>
      </c>
      <c r="AB110" s="9" t="s">
        <v>654</v>
      </c>
      <c r="AC110" s="9" t="s">
        <v>654</v>
      </c>
      <c r="AD110" s="9" t="s">
        <v>654</v>
      </c>
      <c r="AE110" s="9" t="s">
        <v>654</v>
      </c>
      <c r="AF110" s="184"/>
      <c r="AG110" s="183"/>
      <c r="AH110" s="183"/>
      <c r="AI110" s="183"/>
      <c r="AJ110" s="183"/>
      <c r="AK110" s="9" t="s">
        <v>654</v>
      </c>
      <c r="AL110" s="183"/>
      <c r="AM110" s="186" t="str">
        <f>IF(AF110="","","Q"&amp;INT((MONTH(AF110)-1)/3)+1&amp;YEAR(AF110)&amp;#REF!&amp;T110)</f>
        <v/>
      </c>
      <c r="AN110" s="186" t="e">
        <f>IF(K110="","","Q"&amp;INT((MONTH(K110)-1)/3)+1&amp;YEAR(K110)&amp;#REF!)</f>
        <v>#REF!</v>
      </c>
    </row>
    <row r="111" spans="1:40" ht="20.100000000000001" customHeight="1" x14ac:dyDescent="0.25">
      <c r="A111" s="8">
        <v>109</v>
      </c>
      <c r="B111" s="8" t="s">
        <v>399</v>
      </c>
      <c r="C111" s="8" t="s">
        <v>1997</v>
      </c>
      <c r="D111" s="8" t="s">
        <v>2416</v>
      </c>
      <c r="E111" s="8" t="s">
        <v>1998</v>
      </c>
      <c r="F111" s="9" t="s">
        <v>2222</v>
      </c>
      <c r="G111" s="183"/>
      <c r="H111" s="9" t="s">
        <v>2228</v>
      </c>
      <c r="I111" s="183" t="s">
        <v>579</v>
      </c>
      <c r="J111" s="183"/>
      <c r="K111" s="10">
        <v>46038</v>
      </c>
      <c r="L111" s="183">
        <v>29</v>
      </c>
      <c r="M111" s="185" t="str">
        <f>IF(phc_8[[#This Row],[Register No.]]="","",C111&amp;"-"&amp;D111&amp;"-"&amp;"BHA-PHC-"&amp;phc_8[[#This Row],[Register No.]])</f>
        <v>Shining Star-Mobile Clinic-BHA-PHC-29</v>
      </c>
      <c r="N111" s="9" t="s">
        <v>401</v>
      </c>
      <c r="O111" s="183" t="s">
        <v>3162</v>
      </c>
      <c r="P111" s="183">
        <v>70</v>
      </c>
      <c r="Q111" s="183"/>
      <c r="R111" s="183"/>
      <c r="S111" s="186" t="str">
        <f t="shared" si="5"/>
        <v>50 yrs +</v>
      </c>
      <c r="T111" s="183" t="s">
        <v>603</v>
      </c>
      <c r="U111" s="9" t="s">
        <v>2228</v>
      </c>
      <c r="V111" s="183" t="s">
        <v>2055</v>
      </c>
      <c r="W111" s="183" t="s">
        <v>2003</v>
      </c>
      <c r="X111" s="183" t="s">
        <v>181</v>
      </c>
      <c r="Y111" s="186" t="str">
        <f>INDEX(info!$Y$2:$Y$192,MATCH(phc_8[[#This Row],[Sub_Category]],info!$X$2:$X$192,0))</f>
        <v>Chronic medical disease</v>
      </c>
      <c r="Z111" s="186" t="str">
        <f t="array" ref="Z111">INDEX(info!$AA$2:$AA$192,MATCH(PHC!$X111&amp;PHC!$Y111,info!$X$2:$X$192&amp;info!$Y$2:$Y$192,0))</f>
        <v>Non-communicable disease</v>
      </c>
      <c r="AA111" s="183" t="s">
        <v>3171</v>
      </c>
      <c r="AB111" s="9" t="s">
        <v>654</v>
      </c>
      <c r="AC111" s="9" t="s">
        <v>654</v>
      </c>
      <c r="AD111" s="9" t="s">
        <v>654</v>
      </c>
      <c r="AE111" s="9" t="s">
        <v>654</v>
      </c>
      <c r="AF111" s="184"/>
      <c r="AG111" s="183"/>
      <c r="AH111" s="183"/>
      <c r="AI111" s="183"/>
      <c r="AJ111" s="183"/>
      <c r="AK111" s="9" t="s">
        <v>654</v>
      </c>
      <c r="AL111" s="183"/>
      <c r="AM111" s="186" t="str">
        <f>IF(AF111="","","Q"&amp;INT((MONTH(AF111)-1)/3)+1&amp;YEAR(AF111)&amp;#REF!&amp;T111)</f>
        <v/>
      </c>
      <c r="AN111" s="186" t="e">
        <f>IF(K111="","","Q"&amp;INT((MONTH(K111)-1)/3)+1&amp;YEAR(K111)&amp;#REF!)</f>
        <v>#REF!</v>
      </c>
    </row>
    <row r="112" spans="1:40" ht="20.100000000000001" customHeight="1" x14ac:dyDescent="0.25">
      <c r="A112" s="8">
        <v>110</v>
      </c>
      <c r="B112" s="8" t="s">
        <v>399</v>
      </c>
      <c r="C112" s="8" t="s">
        <v>1997</v>
      </c>
      <c r="D112" s="8" t="s">
        <v>2416</v>
      </c>
      <c r="E112" s="8" t="s">
        <v>1998</v>
      </c>
      <c r="F112" s="9" t="s">
        <v>2222</v>
      </c>
      <c r="G112" s="183"/>
      <c r="H112" s="9" t="s">
        <v>2228</v>
      </c>
      <c r="I112" s="183" t="s">
        <v>579</v>
      </c>
      <c r="J112" s="183"/>
      <c r="K112" s="10">
        <v>46038</v>
      </c>
      <c r="L112" s="9">
        <v>30</v>
      </c>
      <c r="M112" s="185" t="str">
        <f>IF(phc_8[[#This Row],[Register No.]]="","",C112&amp;"-"&amp;D112&amp;"-"&amp;"BHA-PHC-"&amp;phc_8[[#This Row],[Register No.]])</f>
        <v>Shining Star-Mobile Clinic-BHA-PHC-30</v>
      </c>
      <c r="N112" s="9" t="s">
        <v>401</v>
      </c>
      <c r="O112" s="183" t="s">
        <v>3163</v>
      </c>
      <c r="P112" s="183">
        <v>79</v>
      </c>
      <c r="Q112" s="183"/>
      <c r="R112" s="183"/>
      <c r="S112" s="186" t="str">
        <f t="shared" si="5"/>
        <v>50 yrs +</v>
      </c>
      <c r="T112" s="183" t="s">
        <v>603</v>
      </c>
      <c r="U112" s="9" t="s">
        <v>2228</v>
      </c>
      <c r="V112" s="183" t="s">
        <v>2041</v>
      </c>
      <c r="W112" s="183" t="s">
        <v>2003</v>
      </c>
      <c r="X112" s="183" t="s">
        <v>181</v>
      </c>
      <c r="Y112" s="186" t="str">
        <f>INDEX(info!$Y$2:$Y$192,MATCH(phc_8[[#This Row],[Sub_Category]],info!$X$2:$X$192,0))</f>
        <v>Chronic medical disease</v>
      </c>
      <c r="Z112" s="186" t="str">
        <f t="array" ref="Z112">INDEX(info!$AA$2:$AA$192,MATCH(PHC!$X112&amp;PHC!$Y112,info!$X$2:$X$192&amp;info!$Y$2:$Y$192,0))</f>
        <v>Non-communicable disease</v>
      </c>
      <c r="AA112" s="183" t="s">
        <v>3172</v>
      </c>
      <c r="AB112" s="9" t="s">
        <v>654</v>
      </c>
      <c r="AC112" s="9" t="s">
        <v>654</v>
      </c>
      <c r="AD112" s="9" t="s">
        <v>654</v>
      </c>
      <c r="AE112" s="9" t="s">
        <v>654</v>
      </c>
      <c r="AF112" s="184"/>
      <c r="AG112" s="183"/>
      <c r="AH112" s="183"/>
      <c r="AI112" s="183"/>
      <c r="AJ112" s="183"/>
      <c r="AK112" s="9" t="s">
        <v>654</v>
      </c>
      <c r="AL112" s="183"/>
      <c r="AM112" s="186" t="str">
        <f>IF(AF112="","","Q"&amp;INT((MONTH(AF112)-1)/3)+1&amp;YEAR(AF112)&amp;#REF!&amp;T112)</f>
        <v/>
      </c>
      <c r="AN112" s="186" t="e">
        <f>IF(K112="","","Q"&amp;INT((MONTH(K112)-1)/3)+1&amp;YEAR(K112)&amp;#REF!)</f>
        <v>#REF!</v>
      </c>
    </row>
    <row r="113" spans="1:40" ht="20.100000000000001" customHeight="1" x14ac:dyDescent="0.25">
      <c r="A113" s="8">
        <v>111</v>
      </c>
      <c r="B113" s="8" t="s">
        <v>399</v>
      </c>
      <c r="C113" s="8" t="s">
        <v>1997</v>
      </c>
      <c r="D113" s="8" t="s">
        <v>2416</v>
      </c>
      <c r="E113" s="8" t="s">
        <v>1998</v>
      </c>
      <c r="F113" s="9" t="s">
        <v>2222</v>
      </c>
      <c r="G113" s="183"/>
      <c r="H113" s="9" t="s">
        <v>2228</v>
      </c>
      <c r="I113" s="183" t="s">
        <v>579</v>
      </c>
      <c r="J113" s="183"/>
      <c r="K113" s="10">
        <v>46038</v>
      </c>
      <c r="L113" s="9">
        <v>31</v>
      </c>
      <c r="M113" s="185" t="str">
        <f>IF(phc_8[[#This Row],[Register No.]]="","",C113&amp;"-"&amp;D113&amp;"-"&amp;"BHA-PHC-"&amp;phc_8[[#This Row],[Register No.]])</f>
        <v>Shining Star-Mobile Clinic-BHA-PHC-31</v>
      </c>
      <c r="N113" s="9" t="s">
        <v>401</v>
      </c>
      <c r="O113" s="183" t="s">
        <v>3173</v>
      </c>
      <c r="P113" s="183">
        <v>78</v>
      </c>
      <c r="Q113" s="183"/>
      <c r="R113" s="183"/>
      <c r="S113" s="186" t="str">
        <f t="shared" si="5"/>
        <v>50 yrs +</v>
      </c>
      <c r="T113" s="183" t="s">
        <v>402</v>
      </c>
      <c r="U113" s="9" t="s">
        <v>2228</v>
      </c>
      <c r="V113" s="183" t="s">
        <v>3178</v>
      </c>
      <c r="W113" s="183" t="s">
        <v>3182</v>
      </c>
      <c r="X113" s="183" t="s">
        <v>242</v>
      </c>
      <c r="Y113" s="186" t="str">
        <f>INDEX(info!$Y$2:$Y$192,MATCH(phc_8[[#This Row],[Sub_Category]],info!$X$2:$X$192,0))</f>
        <v>Accident/minor sugical and injuries</v>
      </c>
      <c r="Z113" s="186" t="str">
        <f t="array" ref="Z113">INDEX(info!$AA$2:$AA$192,MATCH(PHC!$X113&amp;PHC!$Y113,info!$X$2:$X$192&amp;info!$Y$2:$Y$192,0))</f>
        <v>Injury related</v>
      </c>
      <c r="AA113" s="183" t="s">
        <v>3183</v>
      </c>
      <c r="AB113" s="9" t="s">
        <v>654</v>
      </c>
      <c r="AC113" s="9" t="s">
        <v>654</v>
      </c>
      <c r="AD113" s="9" t="s">
        <v>654</v>
      </c>
      <c r="AE113" s="9" t="s">
        <v>654</v>
      </c>
      <c r="AF113" s="184"/>
      <c r="AG113" s="183"/>
      <c r="AH113" s="183"/>
      <c r="AI113" s="183"/>
      <c r="AJ113" s="183"/>
      <c r="AK113" s="9" t="s">
        <v>654</v>
      </c>
      <c r="AL113" s="183"/>
      <c r="AM113" s="186" t="str">
        <f>IF(AF113="","","Q"&amp;INT((MONTH(AF113)-1)/3)+1&amp;YEAR(AF113)&amp;#REF!&amp;T113)</f>
        <v/>
      </c>
      <c r="AN113" s="186" t="e">
        <f>IF(K113="","","Q"&amp;INT((MONTH(K113)-1)/3)+1&amp;YEAR(K113)&amp;#REF!)</f>
        <v>#REF!</v>
      </c>
    </row>
    <row r="114" spans="1:40" ht="20.100000000000001" customHeight="1" x14ac:dyDescent="0.25">
      <c r="A114" s="8">
        <v>112</v>
      </c>
      <c r="B114" s="8" t="s">
        <v>399</v>
      </c>
      <c r="C114" s="8" t="s">
        <v>1997</v>
      </c>
      <c r="D114" s="8" t="s">
        <v>2416</v>
      </c>
      <c r="E114" s="8" t="s">
        <v>1998</v>
      </c>
      <c r="F114" s="9" t="s">
        <v>2222</v>
      </c>
      <c r="G114" s="183"/>
      <c r="H114" s="9" t="s">
        <v>2228</v>
      </c>
      <c r="I114" s="183" t="s">
        <v>579</v>
      </c>
      <c r="J114" s="183"/>
      <c r="K114" s="10">
        <v>46038</v>
      </c>
      <c r="L114" s="183">
        <v>32</v>
      </c>
      <c r="M114" s="185" t="str">
        <f>IF(phc_8[[#This Row],[Register No.]]="","",C114&amp;"-"&amp;D114&amp;"-"&amp;"BHA-PHC-"&amp;phc_8[[#This Row],[Register No.]])</f>
        <v>Shining Star-Mobile Clinic-BHA-PHC-32</v>
      </c>
      <c r="N114" s="9" t="s">
        <v>401</v>
      </c>
      <c r="O114" s="183" t="s">
        <v>3174</v>
      </c>
      <c r="P114" s="183">
        <v>64</v>
      </c>
      <c r="Q114" s="183"/>
      <c r="R114" s="183"/>
      <c r="S114" s="186" t="str">
        <f t="shared" si="5"/>
        <v>50 yrs +</v>
      </c>
      <c r="T114" s="183" t="s">
        <v>603</v>
      </c>
      <c r="U114" s="9" t="s">
        <v>2228</v>
      </c>
      <c r="V114" s="183" t="s">
        <v>3179</v>
      </c>
      <c r="W114" s="183" t="s">
        <v>2003</v>
      </c>
      <c r="X114" s="183" t="s">
        <v>181</v>
      </c>
      <c r="Y114" s="186" t="str">
        <f>INDEX(info!$Y$2:$Y$192,MATCH(phc_8[[#This Row],[Sub_Category]],info!$X$2:$X$192,0))</f>
        <v>Chronic medical disease</v>
      </c>
      <c r="Z114" s="186" t="str">
        <f t="array" ref="Z114">INDEX(info!$AA$2:$AA$192,MATCH(PHC!$X114&amp;PHC!$Y114,info!$X$2:$X$192&amp;info!$Y$2:$Y$192,0))</f>
        <v>Non-communicable disease</v>
      </c>
      <c r="AA114" s="183" t="s">
        <v>3184</v>
      </c>
      <c r="AB114" s="9" t="s">
        <v>654</v>
      </c>
      <c r="AC114" s="9" t="s">
        <v>654</v>
      </c>
      <c r="AD114" s="9" t="s">
        <v>654</v>
      </c>
      <c r="AE114" s="9" t="s">
        <v>654</v>
      </c>
      <c r="AF114" s="184"/>
      <c r="AG114" s="183"/>
      <c r="AH114" s="183"/>
      <c r="AI114" s="183"/>
      <c r="AJ114" s="183"/>
      <c r="AK114" s="9" t="s">
        <v>654</v>
      </c>
      <c r="AL114" s="183"/>
      <c r="AM114" s="186" t="str">
        <f>IF(AF114="","","Q"&amp;INT((MONTH(AF114)-1)/3)+1&amp;YEAR(AF114)&amp;#REF!&amp;T114)</f>
        <v/>
      </c>
      <c r="AN114" s="186" t="e">
        <f>IF(K114="","","Q"&amp;INT((MONTH(K114)-1)/3)+1&amp;YEAR(K114)&amp;#REF!)</f>
        <v>#REF!</v>
      </c>
    </row>
    <row r="115" spans="1:40" ht="20.100000000000001" customHeight="1" x14ac:dyDescent="0.25">
      <c r="A115" s="8">
        <v>113</v>
      </c>
      <c r="B115" s="8" t="s">
        <v>399</v>
      </c>
      <c r="C115" s="8" t="s">
        <v>1997</v>
      </c>
      <c r="D115" s="8" t="s">
        <v>2416</v>
      </c>
      <c r="E115" s="8" t="s">
        <v>1998</v>
      </c>
      <c r="F115" s="9" t="s">
        <v>2222</v>
      </c>
      <c r="G115" s="183"/>
      <c r="H115" s="9" t="s">
        <v>2228</v>
      </c>
      <c r="I115" s="183" t="s">
        <v>579</v>
      </c>
      <c r="J115" s="183"/>
      <c r="K115" s="10">
        <v>46038</v>
      </c>
      <c r="L115" s="9">
        <v>33</v>
      </c>
      <c r="M115" s="185" t="str">
        <f>IF(phc_8[[#This Row],[Register No.]]="","",C115&amp;"-"&amp;D115&amp;"-"&amp;"BHA-PHC-"&amp;phc_8[[#This Row],[Register No.]])</f>
        <v>Shining Star-Mobile Clinic-BHA-PHC-33</v>
      </c>
      <c r="N115" s="9" t="s">
        <v>401</v>
      </c>
      <c r="O115" s="183" t="s">
        <v>3175</v>
      </c>
      <c r="P115" s="183">
        <v>67</v>
      </c>
      <c r="Q115" s="183"/>
      <c r="R115" s="183"/>
      <c r="S115" s="186" t="str">
        <f t="shared" si="5"/>
        <v>50 yrs +</v>
      </c>
      <c r="T115" s="183" t="s">
        <v>603</v>
      </c>
      <c r="U115" s="9" t="s">
        <v>2228</v>
      </c>
      <c r="V115" s="183" t="s">
        <v>3180</v>
      </c>
      <c r="W115" s="183" t="s">
        <v>2003</v>
      </c>
      <c r="X115" s="183" t="s">
        <v>181</v>
      </c>
      <c r="Y115" s="186" t="str">
        <f>INDEX(info!$Y$2:$Y$192,MATCH(phc_8[[#This Row],[Sub_Category]],info!$X$2:$X$192,0))</f>
        <v>Chronic medical disease</v>
      </c>
      <c r="Z115" s="186" t="str">
        <f t="array" ref="Z115">INDEX(info!$AA$2:$AA$192,MATCH(PHC!$X115&amp;PHC!$Y115,info!$X$2:$X$192&amp;info!$Y$2:$Y$192,0))</f>
        <v>Non-communicable disease</v>
      </c>
      <c r="AA115" s="183" t="s">
        <v>3185</v>
      </c>
      <c r="AB115" s="9" t="s">
        <v>654</v>
      </c>
      <c r="AC115" s="9" t="s">
        <v>654</v>
      </c>
      <c r="AD115" s="9" t="s">
        <v>654</v>
      </c>
      <c r="AE115" s="9" t="s">
        <v>654</v>
      </c>
      <c r="AF115" s="184"/>
      <c r="AG115" s="183"/>
      <c r="AH115" s="183"/>
      <c r="AI115" s="183"/>
      <c r="AJ115" s="183"/>
      <c r="AK115" s="9" t="s">
        <v>654</v>
      </c>
      <c r="AL115" s="183"/>
      <c r="AM115" s="186" t="str">
        <f>IF(AF115="","","Q"&amp;INT((MONTH(AF115)-1)/3)+1&amp;YEAR(AF115)&amp;#REF!&amp;T115)</f>
        <v/>
      </c>
      <c r="AN115" s="186" t="e">
        <f>IF(K115="","","Q"&amp;INT((MONTH(K115)-1)/3)+1&amp;YEAR(K115)&amp;#REF!)</f>
        <v>#REF!</v>
      </c>
    </row>
    <row r="116" spans="1:40" ht="20.100000000000001" customHeight="1" x14ac:dyDescent="0.25">
      <c r="A116" s="8">
        <v>114</v>
      </c>
      <c r="B116" s="8" t="s">
        <v>399</v>
      </c>
      <c r="C116" s="8" t="s">
        <v>1997</v>
      </c>
      <c r="D116" s="8" t="s">
        <v>2416</v>
      </c>
      <c r="E116" s="8" t="s">
        <v>1998</v>
      </c>
      <c r="F116" s="9" t="s">
        <v>2222</v>
      </c>
      <c r="G116" s="183"/>
      <c r="H116" s="9" t="s">
        <v>2228</v>
      </c>
      <c r="I116" s="183" t="s">
        <v>579</v>
      </c>
      <c r="J116" s="183"/>
      <c r="K116" s="10">
        <v>46038</v>
      </c>
      <c r="L116" s="9">
        <v>34</v>
      </c>
      <c r="M116" s="185" t="str">
        <f>IF(phc_8[[#This Row],[Register No.]]="","",C116&amp;"-"&amp;D116&amp;"-"&amp;"BHA-PHC-"&amp;phc_8[[#This Row],[Register No.]])</f>
        <v>Shining Star-Mobile Clinic-BHA-PHC-34</v>
      </c>
      <c r="N116" s="9" t="s">
        <v>401</v>
      </c>
      <c r="O116" s="183" t="s">
        <v>3176</v>
      </c>
      <c r="P116" s="183">
        <v>60</v>
      </c>
      <c r="Q116" s="183"/>
      <c r="R116" s="183"/>
      <c r="S116" s="186" t="str">
        <f t="shared" si="5"/>
        <v>50 yrs +</v>
      </c>
      <c r="T116" s="183" t="s">
        <v>603</v>
      </c>
      <c r="U116" s="9" t="s">
        <v>2228</v>
      </c>
      <c r="V116" s="183" t="s">
        <v>3180</v>
      </c>
      <c r="W116" s="183" t="s">
        <v>2014</v>
      </c>
      <c r="X116" s="183" t="s">
        <v>2014</v>
      </c>
      <c r="Y116" s="186" t="str">
        <f>INDEX(info!$Y$2:$Y$192,MATCH(phc_8[[#This Row],[Sub_Category]],info!$X$2:$X$192,0))</f>
        <v>Other (non-communicable)</v>
      </c>
      <c r="Z116" s="186" t="str">
        <f t="array" ref="Z116">INDEX(info!$AA$2:$AA$192,MATCH(PHC!$X116&amp;PHC!$Y116,info!$X$2:$X$192&amp;info!$Y$2:$Y$192,0))</f>
        <v>Other</v>
      </c>
      <c r="AA116" s="183" t="s">
        <v>3186</v>
      </c>
      <c r="AB116" s="9" t="s">
        <v>654</v>
      </c>
      <c r="AC116" s="9" t="s">
        <v>654</v>
      </c>
      <c r="AD116" s="9" t="s">
        <v>654</v>
      </c>
      <c r="AE116" s="9" t="s">
        <v>654</v>
      </c>
      <c r="AF116" s="184"/>
      <c r="AG116" s="183"/>
      <c r="AH116" s="183"/>
      <c r="AI116" s="183"/>
      <c r="AJ116" s="183"/>
      <c r="AK116" s="9" t="s">
        <v>654</v>
      </c>
      <c r="AL116" s="183"/>
      <c r="AM116" s="186" t="str">
        <f>IF(AF116="","","Q"&amp;INT((MONTH(AF116)-1)/3)+1&amp;YEAR(AF116)&amp;#REF!&amp;T116)</f>
        <v/>
      </c>
      <c r="AN116" s="186" t="e">
        <f>IF(K116="","","Q"&amp;INT((MONTH(K116)-1)/3)+1&amp;YEAR(K116)&amp;#REF!)</f>
        <v>#REF!</v>
      </c>
    </row>
    <row r="117" spans="1:40" ht="20.100000000000001" customHeight="1" x14ac:dyDescent="0.25">
      <c r="A117" s="8">
        <v>115</v>
      </c>
      <c r="B117" s="8" t="s">
        <v>399</v>
      </c>
      <c r="C117" s="8" t="s">
        <v>1997</v>
      </c>
      <c r="D117" s="8" t="s">
        <v>2416</v>
      </c>
      <c r="E117" s="8" t="s">
        <v>1998</v>
      </c>
      <c r="F117" s="9" t="s">
        <v>2222</v>
      </c>
      <c r="G117" s="183"/>
      <c r="H117" s="9" t="s">
        <v>2228</v>
      </c>
      <c r="I117" s="183" t="s">
        <v>579</v>
      </c>
      <c r="J117" s="183"/>
      <c r="K117" s="10">
        <v>46038</v>
      </c>
      <c r="L117" s="183">
        <v>35</v>
      </c>
      <c r="M117" s="185" t="str">
        <f>IF(phc_8[[#This Row],[Register No.]]="","",C117&amp;"-"&amp;D117&amp;"-"&amp;"BHA-PHC-"&amp;phc_8[[#This Row],[Register No.]])</f>
        <v>Shining Star-Mobile Clinic-BHA-PHC-35</v>
      </c>
      <c r="N117" s="9" t="s">
        <v>401</v>
      </c>
      <c r="O117" s="183" t="s">
        <v>3177</v>
      </c>
      <c r="P117" s="183">
        <v>53</v>
      </c>
      <c r="Q117" s="183"/>
      <c r="R117" s="183"/>
      <c r="S117" s="186" t="str">
        <f t="shared" si="5"/>
        <v>50 yrs +</v>
      </c>
      <c r="T117" s="183" t="s">
        <v>603</v>
      </c>
      <c r="U117" s="9" t="s">
        <v>2228</v>
      </c>
      <c r="V117" s="183" t="s">
        <v>3181</v>
      </c>
      <c r="W117" s="183" t="s">
        <v>2003</v>
      </c>
      <c r="X117" s="183" t="s">
        <v>181</v>
      </c>
      <c r="Y117" s="186" t="str">
        <f>INDEX(info!$Y$2:$Y$192,MATCH(phc_8[[#This Row],[Sub_Category]],info!$X$2:$X$192,0))</f>
        <v>Chronic medical disease</v>
      </c>
      <c r="Z117" s="186" t="str">
        <f t="array" ref="Z117">INDEX(info!$AA$2:$AA$192,MATCH(PHC!$X117&amp;PHC!$Y117,info!$X$2:$X$192&amp;info!$Y$2:$Y$192,0))</f>
        <v>Non-communicable disease</v>
      </c>
      <c r="AA117" s="183" t="s">
        <v>3187</v>
      </c>
      <c r="AB117" s="9" t="s">
        <v>654</v>
      </c>
      <c r="AC117" s="9" t="s">
        <v>654</v>
      </c>
      <c r="AD117" s="9" t="s">
        <v>654</v>
      </c>
      <c r="AE117" s="9" t="s">
        <v>654</v>
      </c>
      <c r="AF117" s="184"/>
      <c r="AG117" s="183"/>
      <c r="AH117" s="183"/>
      <c r="AI117" s="183"/>
      <c r="AJ117" s="183"/>
      <c r="AK117" s="9" t="s">
        <v>654</v>
      </c>
      <c r="AL117" s="183"/>
      <c r="AM117" s="186" t="str">
        <f>IF(AF117="","","Q"&amp;INT((MONTH(AF117)-1)/3)+1&amp;YEAR(AF117)&amp;#REF!&amp;T117)</f>
        <v/>
      </c>
      <c r="AN117" s="186" t="e">
        <f>IF(K117="","","Q"&amp;INT((MONTH(K117)-1)/3)+1&amp;YEAR(K117)&amp;#REF!)</f>
        <v>#REF!</v>
      </c>
    </row>
    <row r="118" spans="1:40" ht="20.100000000000001" customHeight="1" x14ac:dyDescent="0.25">
      <c r="A118" s="8">
        <v>116</v>
      </c>
      <c r="B118" s="8" t="s">
        <v>399</v>
      </c>
      <c r="C118" s="8" t="s">
        <v>1997</v>
      </c>
      <c r="D118" s="8" t="s">
        <v>2416</v>
      </c>
      <c r="E118" s="8" t="s">
        <v>1998</v>
      </c>
      <c r="F118" s="9" t="s">
        <v>2222</v>
      </c>
      <c r="G118" s="183"/>
      <c r="H118" s="9" t="s">
        <v>2228</v>
      </c>
      <c r="I118" s="183" t="s">
        <v>579</v>
      </c>
      <c r="J118" s="183"/>
      <c r="K118" s="10">
        <v>46038</v>
      </c>
      <c r="L118" s="9">
        <v>36</v>
      </c>
      <c r="M118" s="185" t="str">
        <f>IF(phc_8[[#This Row],[Register No.]]="","",C118&amp;"-"&amp;D118&amp;"-"&amp;"BHA-PHC-"&amp;phc_8[[#This Row],[Register No.]])</f>
        <v>Shining Star-Mobile Clinic-BHA-PHC-36</v>
      </c>
      <c r="N118" s="9" t="s">
        <v>401</v>
      </c>
      <c r="O118" s="183" t="s">
        <v>3188</v>
      </c>
      <c r="P118" s="183">
        <v>57</v>
      </c>
      <c r="Q118" s="183"/>
      <c r="R118" s="183"/>
      <c r="S118" s="186" t="str">
        <f t="shared" si="5"/>
        <v>50 yrs +</v>
      </c>
      <c r="T118" s="183" t="s">
        <v>603</v>
      </c>
      <c r="U118" s="9" t="s">
        <v>2228</v>
      </c>
      <c r="V118" s="183" t="s">
        <v>3191</v>
      </c>
      <c r="W118" s="183" t="s">
        <v>2003</v>
      </c>
      <c r="X118" s="183" t="s">
        <v>181</v>
      </c>
      <c r="Y118" s="186" t="str">
        <f>INDEX(info!$Y$2:$Y$192,MATCH(phc_8[[#This Row],[Sub_Category]],info!$X$2:$X$192,0))</f>
        <v>Chronic medical disease</v>
      </c>
      <c r="Z118" s="186" t="str">
        <f t="array" ref="Z118">INDEX(info!$AA$2:$AA$192,MATCH(PHC!$X118&amp;PHC!$Y118,info!$X$2:$X$192&amp;info!$Y$2:$Y$192,0))</f>
        <v>Non-communicable disease</v>
      </c>
      <c r="AA118" s="183" t="s">
        <v>3198</v>
      </c>
      <c r="AB118" s="9" t="s">
        <v>654</v>
      </c>
      <c r="AC118" s="9" t="s">
        <v>654</v>
      </c>
      <c r="AD118" s="9" t="s">
        <v>654</v>
      </c>
      <c r="AE118" s="9" t="s">
        <v>654</v>
      </c>
      <c r="AF118" s="184"/>
      <c r="AG118" s="183"/>
      <c r="AH118" s="183"/>
      <c r="AI118" s="183"/>
      <c r="AJ118" s="183"/>
      <c r="AK118" s="9" t="s">
        <v>654</v>
      </c>
      <c r="AL118" s="183"/>
      <c r="AM118" s="186" t="str">
        <f>IF(AF118="","","Q"&amp;INT((MONTH(AF118)-1)/3)+1&amp;YEAR(AF118)&amp;#REF!&amp;T118)</f>
        <v/>
      </c>
      <c r="AN118" s="186" t="e">
        <f>IF(K118="","","Q"&amp;INT((MONTH(K118)-1)/3)+1&amp;YEAR(K118)&amp;#REF!)</f>
        <v>#REF!</v>
      </c>
    </row>
    <row r="119" spans="1:40" ht="20.100000000000001" customHeight="1" x14ac:dyDescent="0.25">
      <c r="A119" s="8">
        <v>117</v>
      </c>
      <c r="B119" s="8" t="s">
        <v>399</v>
      </c>
      <c r="C119" s="8" t="s">
        <v>1997</v>
      </c>
      <c r="D119" s="8" t="s">
        <v>2416</v>
      </c>
      <c r="E119" s="8" t="s">
        <v>1998</v>
      </c>
      <c r="F119" s="9" t="s">
        <v>2222</v>
      </c>
      <c r="G119" s="183"/>
      <c r="H119" s="9" t="s">
        <v>2228</v>
      </c>
      <c r="I119" s="183" t="s">
        <v>579</v>
      </c>
      <c r="J119" s="183"/>
      <c r="K119" s="10">
        <v>46038</v>
      </c>
      <c r="L119" s="9">
        <v>37</v>
      </c>
      <c r="M119" s="185" t="str">
        <f>IF(phc_8[[#This Row],[Register No.]]="","",C119&amp;"-"&amp;D119&amp;"-"&amp;"BHA-PHC-"&amp;phc_8[[#This Row],[Register No.]])</f>
        <v>Shining Star-Mobile Clinic-BHA-PHC-37</v>
      </c>
      <c r="N119" s="9" t="s">
        <v>401</v>
      </c>
      <c r="O119" s="183" t="s">
        <v>2036</v>
      </c>
      <c r="P119" s="183">
        <v>37</v>
      </c>
      <c r="Q119" s="183"/>
      <c r="R119" s="183"/>
      <c r="S119" s="186" t="str">
        <f t="shared" si="5"/>
        <v>19 - 49 yrs</v>
      </c>
      <c r="T119" s="183" t="s">
        <v>603</v>
      </c>
      <c r="U119" s="9" t="s">
        <v>2228</v>
      </c>
      <c r="V119" s="183"/>
      <c r="W119" s="183" t="s">
        <v>3195</v>
      </c>
      <c r="X119" s="183"/>
      <c r="Y119" s="186" t="e">
        <f>INDEX(info!$Y$2:$Y$192,MATCH(phc_8[[#This Row],[Sub_Category]],info!$X$2:$X$192,0))</f>
        <v>#N/A</v>
      </c>
      <c r="Z119" s="186" t="e">
        <f t="array" ref="Z119">INDEX(info!$AA$2:$AA$192,MATCH(PHC!$X119&amp;PHC!$Y119,info!$X$2:$X$192&amp;info!$Y$2:$Y$192,0))</f>
        <v>#N/A</v>
      </c>
      <c r="AA119" s="183" t="s">
        <v>3199</v>
      </c>
      <c r="AB119" s="9" t="s">
        <v>654</v>
      </c>
      <c r="AC119" s="9" t="s">
        <v>654</v>
      </c>
      <c r="AD119" s="9" t="s">
        <v>654</v>
      </c>
      <c r="AE119" s="9" t="s">
        <v>654</v>
      </c>
      <c r="AF119" s="184"/>
      <c r="AG119" s="183"/>
      <c r="AH119" s="183"/>
      <c r="AI119" s="183"/>
      <c r="AJ119" s="183"/>
      <c r="AK119" s="9" t="s">
        <v>654</v>
      </c>
      <c r="AL119" s="183"/>
      <c r="AM119" s="186" t="str">
        <f>IF(AF119="","","Q"&amp;INT((MONTH(AF119)-1)/3)+1&amp;YEAR(AF119)&amp;#REF!&amp;T119)</f>
        <v/>
      </c>
      <c r="AN119" s="186" t="e">
        <f>IF(K119="","","Q"&amp;INT((MONTH(K119)-1)/3)+1&amp;YEAR(K119)&amp;#REF!)</f>
        <v>#REF!</v>
      </c>
    </row>
    <row r="120" spans="1:40" ht="20.100000000000001" customHeight="1" x14ac:dyDescent="0.25">
      <c r="A120" s="8">
        <v>118</v>
      </c>
      <c r="B120" s="8" t="s">
        <v>399</v>
      </c>
      <c r="C120" s="8" t="s">
        <v>1997</v>
      </c>
      <c r="D120" s="8" t="s">
        <v>2416</v>
      </c>
      <c r="E120" s="8" t="s">
        <v>1998</v>
      </c>
      <c r="F120" s="9" t="s">
        <v>2222</v>
      </c>
      <c r="G120" s="183"/>
      <c r="H120" s="9" t="s">
        <v>2228</v>
      </c>
      <c r="I120" s="183" t="s">
        <v>579</v>
      </c>
      <c r="J120" s="183"/>
      <c r="K120" s="10">
        <v>46038</v>
      </c>
      <c r="L120" s="183">
        <v>38</v>
      </c>
      <c r="M120" s="185" t="str">
        <f>IF(phc_8[[#This Row],[Register No.]]="","",C120&amp;"-"&amp;D120&amp;"-"&amp;"BHA-PHC-"&amp;phc_8[[#This Row],[Register No.]])</f>
        <v>Shining Star-Mobile Clinic-BHA-PHC-38</v>
      </c>
      <c r="N120" s="9" t="s">
        <v>401</v>
      </c>
      <c r="O120" s="183" t="s">
        <v>2719</v>
      </c>
      <c r="P120" s="183">
        <v>66</v>
      </c>
      <c r="Q120" s="183"/>
      <c r="R120" s="183"/>
      <c r="S120" s="186" t="str">
        <f t="shared" si="5"/>
        <v>50 yrs +</v>
      </c>
      <c r="T120" s="183" t="s">
        <v>402</v>
      </c>
      <c r="U120" s="9" t="s">
        <v>2228</v>
      </c>
      <c r="V120" s="183" t="s">
        <v>3192</v>
      </c>
      <c r="W120" s="183" t="s">
        <v>2003</v>
      </c>
      <c r="X120" s="183" t="s">
        <v>181</v>
      </c>
      <c r="Y120" s="186" t="str">
        <f>INDEX(info!$Y$2:$Y$192,MATCH(phc_8[[#This Row],[Sub_Category]],info!$X$2:$X$192,0))</f>
        <v>Chronic medical disease</v>
      </c>
      <c r="Z120" s="186" t="str">
        <f t="array" ref="Z120">INDEX(info!$AA$2:$AA$192,MATCH(PHC!$X120&amp;PHC!$Y120,info!$X$2:$X$192&amp;info!$Y$2:$Y$192,0))</f>
        <v>Non-communicable disease</v>
      </c>
      <c r="AA120" s="183" t="s">
        <v>3200</v>
      </c>
      <c r="AB120" s="9" t="s">
        <v>654</v>
      </c>
      <c r="AC120" s="9" t="s">
        <v>654</v>
      </c>
      <c r="AD120" s="9" t="s">
        <v>654</v>
      </c>
      <c r="AE120" s="9" t="s">
        <v>654</v>
      </c>
      <c r="AF120" s="184"/>
      <c r="AG120" s="183"/>
      <c r="AH120" s="183"/>
      <c r="AI120" s="183"/>
      <c r="AJ120" s="183"/>
      <c r="AK120" s="9" t="s">
        <v>654</v>
      </c>
      <c r="AL120" s="183"/>
      <c r="AM120" s="186" t="str">
        <f>IF(AF120="","","Q"&amp;INT((MONTH(AF120)-1)/3)+1&amp;YEAR(AF120)&amp;#REF!&amp;T120)</f>
        <v/>
      </c>
      <c r="AN120" s="186" t="e">
        <f>IF(K120="","","Q"&amp;INT((MONTH(K120)-1)/3)+1&amp;YEAR(K120)&amp;#REF!)</f>
        <v>#REF!</v>
      </c>
    </row>
    <row r="121" spans="1:40" ht="20.100000000000001" customHeight="1" x14ac:dyDescent="0.25">
      <c r="A121" s="8">
        <v>119</v>
      </c>
      <c r="B121" s="8" t="s">
        <v>399</v>
      </c>
      <c r="C121" s="8" t="s">
        <v>1997</v>
      </c>
      <c r="D121" s="8" t="s">
        <v>2416</v>
      </c>
      <c r="E121" s="8" t="s">
        <v>1998</v>
      </c>
      <c r="F121" s="9" t="s">
        <v>2222</v>
      </c>
      <c r="G121" s="183"/>
      <c r="H121" s="9" t="s">
        <v>2228</v>
      </c>
      <c r="I121" s="183" t="s">
        <v>579</v>
      </c>
      <c r="J121" s="183"/>
      <c r="K121" s="10">
        <v>46038</v>
      </c>
      <c r="L121" s="9">
        <v>39</v>
      </c>
      <c r="M121" s="185" t="str">
        <f>IF(phc_8[[#This Row],[Register No.]]="","",C121&amp;"-"&amp;D121&amp;"-"&amp;"BHA-PHC-"&amp;phc_8[[#This Row],[Register No.]])</f>
        <v>Shining Star-Mobile Clinic-BHA-PHC-39</v>
      </c>
      <c r="N121" s="9" t="s">
        <v>401</v>
      </c>
      <c r="O121" s="183" t="s">
        <v>3189</v>
      </c>
      <c r="P121" s="183">
        <v>21</v>
      </c>
      <c r="Q121" s="183"/>
      <c r="R121" s="183"/>
      <c r="S121" s="186" t="e">
        <f>IF(AND(ISBLANK(P121),ISBLANK(Q121),ISBLANK(#REF!))," ",
IF(OR(P121&lt;5,AND(P121=" ",Q121&lt;&gt;" ",#REF!&lt;&gt;" ")),"&lt;5 yrs",
IF(AND(P121&gt;=5,P121&lt;=14),"5 - 14 yrs",
IF(AND(P121&gt;=15,P121&lt;=18),"15 - 18 yrs",
IF(AND(P121&gt;=19,P121&lt;=49),"19 - 49 yrs","50 yrs +")))))</f>
        <v>#REF!</v>
      </c>
      <c r="T121" s="183" t="s">
        <v>603</v>
      </c>
      <c r="U121" s="9" t="s">
        <v>2228</v>
      </c>
      <c r="V121" s="183" t="s">
        <v>3193</v>
      </c>
      <c r="W121" s="183" t="s">
        <v>3197</v>
      </c>
      <c r="X121" s="183"/>
      <c r="Y121" s="186" t="e">
        <f>INDEX(info!$Y$2:$Y$192,MATCH(phc_8[[#This Row],[Sub_Category]],info!$X$2:$X$192,0))</f>
        <v>#N/A</v>
      </c>
      <c r="Z121" s="186" t="e">
        <f t="array" ref="Z121">INDEX(info!$AA$2:$AA$192,MATCH(PHC!$X121&amp;PHC!$Y121,info!$X$2:$X$192&amp;info!$Y$2:$Y$192,0))</f>
        <v>#N/A</v>
      </c>
      <c r="AA121" s="183" t="s">
        <v>3201</v>
      </c>
      <c r="AB121" s="9" t="s">
        <v>654</v>
      </c>
      <c r="AC121" s="9" t="s">
        <v>654</v>
      </c>
      <c r="AD121" s="9" t="s">
        <v>654</v>
      </c>
      <c r="AE121" s="9" t="s">
        <v>654</v>
      </c>
      <c r="AF121" s="184"/>
      <c r="AG121" s="183"/>
      <c r="AH121" s="183"/>
      <c r="AI121" s="183"/>
      <c r="AJ121" s="183"/>
      <c r="AK121" s="9" t="s">
        <v>654</v>
      </c>
      <c r="AL121" s="183"/>
      <c r="AM121" s="186" t="str">
        <f>IF(AF121="","","Q"&amp;INT((MONTH(AF121)-1)/3)+1&amp;YEAR(AF121)&amp;#REF!&amp;T121)</f>
        <v/>
      </c>
      <c r="AN121" s="186" t="e">
        <f>IF(K121="","","Q"&amp;INT((MONTH(K121)-1)/3)+1&amp;YEAR(K121)&amp;#REF!)</f>
        <v>#REF!</v>
      </c>
    </row>
    <row r="122" spans="1:40" ht="20.100000000000001" customHeight="1" x14ac:dyDescent="0.25">
      <c r="A122" s="8">
        <v>120</v>
      </c>
      <c r="B122" s="8" t="s">
        <v>399</v>
      </c>
      <c r="C122" s="8" t="s">
        <v>1997</v>
      </c>
      <c r="D122" s="8" t="s">
        <v>2416</v>
      </c>
      <c r="E122" s="8" t="s">
        <v>1998</v>
      </c>
      <c r="F122" s="9" t="s">
        <v>2222</v>
      </c>
      <c r="G122" s="183"/>
      <c r="H122" s="9" t="s">
        <v>2228</v>
      </c>
      <c r="I122" s="183" t="s">
        <v>579</v>
      </c>
      <c r="J122" s="183"/>
      <c r="K122" s="10">
        <v>46038</v>
      </c>
      <c r="L122" s="9">
        <v>40</v>
      </c>
      <c r="M122" s="185" t="str">
        <f>IF(phc_8[[#This Row],[Register No.]]="","",C122&amp;"-"&amp;D122&amp;"-"&amp;"BHA-PHC-"&amp;phc_8[[#This Row],[Register No.]])</f>
        <v>Shining Star-Mobile Clinic-BHA-PHC-40</v>
      </c>
      <c r="N122" s="9" t="s">
        <v>401</v>
      </c>
      <c r="O122" s="183" t="s">
        <v>3190</v>
      </c>
      <c r="P122" s="183"/>
      <c r="Q122" s="183"/>
      <c r="R122" s="183">
        <v>17</v>
      </c>
      <c r="S122" s="186" t="str">
        <f>IF(AND(ISBLANK(P122),ISBLANK(Q122),ISBLANK(R122))," ",
IF(OR(P122&lt;5,AND(P122=" ",Q122&lt;&gt;" ",R122&lt;&gt;" ")),"&lt;5 yrs",
IF(AND(P122&gt;=5,P122&lt;=14),"5 - 14 yrs",
IF(AND(P122&gt;=15,P122&lt;=18),"15 - 18 yrs",
IF(AND(P122&gt;=19,P122&lt;=49),"19 - 49 yrs","50 yrs +")))))</f>
        <v>&lt;5 yrs</v>
      </c>
      <c r="T122" s="183" t="s">
        <v>603</v>
      </c>
      <c r="U122" s="9" t="s">
        <v>2228</v>
      </c>
      <c r="V122" s="183" t="s">
        <v>3194</v>
      </c>
      <c r="W122" s="183" t="s">
        <v>3196</v>
      </c>
      <c r="X122" s="183"/>
      <c r="Y122" s="186" t="e">
        <f>INDEX(info!$Y$2:$Y$192,MATCH(phc_8[[#This Row],[Sub_Category]],info!$X$2:$X$192,0))</f>
        <v>#N/A</v>
      </c>
      <c r="Z122" s="186" t="e">
        <f t="array" ref="Z122">INDEX(info!$AA$2:$AA$192,MATCH(PHC!$X122&amp;PHC!$Y122,info!$X$2:$X$192&amp;info!$Y$2:$Y$192,0))</f>
        <v>#N/A</v>
      </c>
      <c r="AA122" s="183" t="s">
        <v>3202</v>
      </c>
      <c r="AB122" s="9" t="s">
        <v>654</v>
      </c>
      <c r="AC122" s="9" t="s">
        <v>654</v>
      </c>
      <c r="AD122" s="9" t="s">
        <v>654</v>
      </c>
      <c r="AE122" s="9" t="s">
        <v>654</v>
      </c>
      <c r="AF122" s="184"/>
      <c r="AG122" s="183"/>
      <c r="AH122" s="183"/>
      <c r="AI122" s="183"/>
      <c r="AJ122" s="183"/>
      <c r="AK122" s="9" t="s">
        <v>654</v>
      </c>
      <c r="AL122" s="183"/>
      <c r="AM122" s="186" t="str">
        <f>IF(AF122="","","Q"&amp;INT((MONTH(AF122)-1)/3)+1&amp;YEAR(AF122)&amp;#REF!&amp;T122)</f>
        <v/>
      </c>
      <c r="AN122" s="186" t="e">
        <f>IF(K122="","","Q"&amp;INT((MONTH(K122)-1)/3)+1&amp;YEAR(K122)&amp;#REF!)</f>
        <v>#REF!</v>
      </c>
    </row>
    <row r="123" spans="1:40" ht="20.100000000000001" customHeight="1" x14ac:dyDescent="0.25">
      <c r="A123" s="8">
        <v>121</v>
      </c>
      <c r="B123" s="8" t="s">
        <v>399</v>
      </c>
      <c r="C123" s="8" t="s">
        <v>1997</v>
      </c>
      <c r="D123" s="8" t="s">
        <v>2416</v>
      </c>
      <c r="E123" s="8" t="s">
        <v>1998</v>
      </c>
      <c r="F123" s="9" t="s">
        <v>2222</v>
      </c>
      <c r="G123" s="183"/>
      <c r="H123" s="9" t="s">
        <v>2228</v>
      </c>
      <c r="I123" s="183" t="s">
        <v>579</v>
      </c>
      <c r="J123" s="183"/>
      <c r="K123" s="10">
        <v>46038</v>
      </c>
      <c r="L123" s="183">
        <v>41</v>
      </c>
      <c r="M123" s="185" t="str">
        <f>IF(phc_8[[#This Row],[Register No.]]="","",C123&amp;"-"&amp;D123&amp;"-"&amp;"BHA-PHC-"&amp;phc_8[[#This Row],[Register No.]])</f>
        <v>Shining Star-Mobile Clinic-BHA-PHC-41</v>
      </c>
      <c r="N123" s="9" t="s">
        <v>401</v>
      </c>
      <c r="O123" s="183" t="s">
        <v>3203</v>
      </c>
      <c r="P123" s="183">
        <v>67</v>
      </c>
      <c r="Q123" s="183"/>
      <c r="R123" s="183"/>
      <c r="S123" s="186" t="str">
        <f t="shared" si="5"/>
        <v>50 yrs +</v>
      </c>
      <c r="T123" s="183" t="s">
        <v>603</v>
      </c>
      <c r="U123" s="9" t="s">
        <v>2228</v>
      </c>
      <c r="V123" s="183" t="s">
        <v>3207</v>
      </c>
      <c r="W123" s="183" t="s">
        <v>3210</v>
      </c>
      <c r="X123" s="183" t="s">
        <v>216</v>
      </c>
      <c r="Y123" s="186" t="str">
        <f>INDEX(info!$Y$2:$Y$192,MATCH(phc_8[[#This Row],[Sub_Category]],info!$X$2:$X$192,0))</f>
        <v>Eye problem/disease</v>
      </c>
      <c r="Z123" s="186" t="str">
        <f t="array" ref="Z123">INDEX(info!$AA$2:$AA$192,MATCH(PHC!$X123&amp;PHC!$Y123,info!$X$2:$X$192&amp;info!$Y$2:$Y$192,0))</f>
        <v>Non-communicable disease</v>
      </c>
      <c r="AA123" s="183" t="s">
        <v>2151</v>
      </c>
      <c r="AB123" s="9" t="s">
        <v>654</v>
      </c>
      <c r="AC123" s="9" t="s">
        <v>654</v>
      </c>
      <c r="AD123" s="9" t="s">
        <v>654</v>
      </c>
      <c r="AE123" s="9" t="s">
        <v>654</v>
      </c>
      <c r="AF123" s="184"/>
      <c r="AG123" s="183"/>
      <c r="AH123" s="183"/>
      <c r="AI123" s="183"/>
      <c r="AJ123" s="183"/>
      <c r="AK123" s="9" t="s">
        <v>654</v>
      </c>
      <c r="AL123" s="183"/>
      <c r="AM123" s="186" t="str">
        <f>IF(AF123="","","Q"&amp;INT((MONTH(AF123)-1)/3)+1&amp;YEAR(AF123)&amp;#REF!&amp;T123)</f>
        <v/>
      </c>
      <c r="AN123" s="186" t="e">
        <f>IF(K123="","","Q"&amp;INT((MONTH(K123)-1)/3)+1&amp;YEAR(K123)&amp;#REF!)</f>
        <v>#REF!</v>
      </c>
    </row>
    <row r="124" spans="1:40" ht="20.100000000000001" customHeight="1" x14ac:dyDescent="0.25">
      <c r="A124" s="8">
        <v>122</v>
      </c>
      <c r="B124" s="8" t="s">
        <v>399</v>
      </c>
      <c r="C124" s="8" t="s">
        <v>1997</v>
      </c>
      <c r="D124" s="8" t="s">
        <v>2416</v>
      </c>
      <c r="E124" s="8" t="s">
        <v>1998</v>
      </c>
      <c r="F124" s="9" t="s">
        <v>2222</v>
      </c>
      <c r="G124" s="183"/>
      <c r="H124" s="9" t="s">
        <v>2228</v>
      </c>
      <c r="I124" s="183" t="s">
        <v>579</v>
      </c>
      <c r="J124" s="183"/>
      <c r="K124" s="10">
        <v>46038</v>
      </c>
      <c r="L124" s="9">
        <v>42</v>
      </c>
      <c r="M124" s="185" t="str">
        <f>IF(phc_8[[#This Row],[Register No.]]="","",C124&amp;"-"&amp;D124&amp;"-"&amp;"BHA-PHC-"&amp;phc_8[[#This Row],[Register No.]])</f>
        <v>Shining Star-Mobile Clinic-BHA-PHC-42</v>
      </c>
      <c r="N124" s="9" t="s">
        <v>401</v>
      </c>
      <c r="O124" s="183" t="s">
        <v>3204</v>
      </c>
      <c r="P124" s="183">
        <v>33</v>
      </c>
      <c r="Q124" s="183"/>
      <c r="R124" s="183"/>
      <c r="S124" s="186" t="str">
        <f t="shared" si="5"/>
        <v>19 - 49 yrs</v>
      </c>
      <c r="T124" s="183" t="s">
        <v>603</v>
      </c>
      <c r="U124" s="9" t="s">
        <v>2228</v>
      </c>
      <c r="V124" s="183"/>
      <c r="W124" s="183" t="s">
        <v>3195</v>
      </c>
      <c r="X124" s="183"/>
      <c r="Y124" s="186" t="e">
        <f>INDEX(info!$Y$2:$Y$192,MATCH(phc_8[[#This Row],[Sub_Category]],info!$X$2:$X$192,0))</f>
        <v>#N/A</v>
      </c>
      <c r="Z124" s="186" t="e">
        <f t="array" ref="Z124">INDEX(info!$AA$2:$AA$192,MATCH(PHC!$X124&amp;PHC!$Y124,info!$X$2:$X$192&amp;info!$Y$2:$Y$192,0))</f>
        <v>#N/A</v>
      </c>
      <c r="AA124" s="183" t="s">
        <v>3199</v>
      </c>
      <c r="AB124" s="9" t="s">
        <v>654</v>
      </c>
      <c r="AC124" s="9" t="s">
        <v>654</v>
      </c>
      <c r="AD124" s="9" t="s">
        <v>654</v>
      </c>
      <c r="AE124" s="9" t="s">
        <v>654</v>
      </c>
      <c r="AF124" s="184"/>
      <c r="AG124" s="183"/>
      <c r="AH124" s="183"/>
      <c r="AI124" s="183"/>
      <c r="AJ124" s="183"/>
      <c r="AK124" s="9" t="s">
        <v>654</v>
      </c>
      <c r="AL124" s="183"/>
      <c r="AM124" s="186" t="str">
        <f>IF(AF124="","","Q"&amp;INT((MONTH(AF124)-1)/3)+1&amp;YEAR(AF124)&amp;#REF!&amp;T124)</f>
        <v/>
      </c>
      <c r="AN124" s="186" t="e">
        <f>IF(K124="","","Q"&amp;INT((MONTH(K124)-1)/3)+1&amp;YEAR(K124)&amp;#REF!)</f>
        <v>#REF!</v>
      </c>
    </row>
    <row r="125" spans="1:40" ht="20.100000000000001" customHeight="1" x14ac:dyDescent="0.25">
      <c r="A125" s="8">
        <v>123</v>
      </c>
      <c r="B125" s="8" t="s">
        <v>399</v>
      </c>
      <c r="C125" s="8" t="s">
        <v>1997</v>
      </c>
      <c r="D125" s="8" t="s">
        <v>2416</v>
      </c>
      <c r="E125" s="8" t="s">
        <v>1998</v>
      </c>
      <c r="F125" s="9" t="s">
        <v>2222</v>
      </c>
      <c r="G125" s="183"/>
      <c r="H125" s="9" t="s">
        <v>2228</v>
      </c>
      <c r="I125" s="183" t="s">
        <v>579</v>
      </c>
      <c r="J125" s="183"/>
      <c r="K125" s="10">
        <v>46038</v>
      </c>
      <c r="L125" s="9">
        <v>43</v>
      </c>
      <c r="M125" s="185" t="str">
        <f>IF(phc_8[[#This Row],[Register No.]]="","",C125&amp;"-"&amp;D125&amp;"-"&amp;"BHA-PHC-"&amp;phc_8[[#This Row],[Register No.]])</f>
        <v>Shining Star-Mobile Clinic-BHA-PHC-43</v>
      </c>
      <c r="N125" s="9" t="s">
        <v>401</v>
      </c>
      <c r="O125" s="183" t="s">
        <v>3205</v>
      </c>
      <c r="P125" s="183">
        <v>67</v>
      </c>
      <c r="Q125" s="183"/>
      <c r="R125" s="183"/>
      <c r="S125" s="186" t="str">
        <f t="shared" si="5"/>
        <v>50 yrs +</v>
      </c>
      <c r="T125" s="183" t="s">
        <v>603</v>
      </c>
      <c r="U125" s="9" t="s">
        <v>2228</v>
      </c>
      <c r="V125" s="183" t="s">
        <v>3208</v>
      </c>
      <c r="W125" s="183" t="s">
        <v>294</v>
      </c>
      <c r="X125" s="183" t="s">
        <v>294</v>
      </c>
      <c r="Y125" s="186" t="str">
        <f>INDEX(info!$Y$2:$Y$192,MATCH(phc_8[[#This Row],[Sub_Category]],info!$X$2:$X$192,0))</f>
        <v>Other (non-communicable)</v>
      </c>
      <c r="Z125" s="186" t="str">
        <f t="array" ref="Z125">INDEX(info!$AA$2:$AA$192,MATCH(PHC!$X125&amp;PHC!$Y125,info!$X$2:$X$192&amp;info!$Y$2:$Y$192,0))</f>
        <v>Other</v>
      </c>
      <c r="AA125" s="183" t="s">
        <v>3211</v>
      </c>
      <c r="AB125" s="9" t="s">
        <v>654</v>
      </c>
      <c r="AC125" s="9" t="s">
        <v>654</v>
      </c>
      <c r="AD125" s="9" t="s">
        <v>654</v>
      </c>
      <c r="AE125" s="9" t="s">
        <v>654</v>
      </c>
      <c r="AF125" s="184"/>
      <c r="AG125" s="183"/>
      <c r="AH125" s="183"/>
      <c r="AI125" s="183"/>
      <c r="AJ125" s="183"/>
      <c r="AK125" s="9" t="s">
        <v>654</v>
      </c>
      <c r="AL125" s="183"/>
      <c r="AM125" s="186" t="str">
        <f>IF(AF125="","","Q"&amp;INT((MONTH(AF125)-1)/3)+1&amp;YEAR(AF125)&amp;#REF!&amp;T125)</f>
        <v/>
      </c>
      <c r="AN125" s="186" t="e">
        <f>IF(K125="","","Q"&amp;INT((MONTH(K125)-1)/3)+1&amp;YEAR(K125)&amp;#REF!)</f>
        <v>#REF!</v>
      </c>
    </row>
    <row r="126" spans="1:40" ht="20.100000000000001" customHeight="1" x14ac:dyDescent="0.25">
      <c r="A126" s="8">
        <v>124</v>
      </c>
      <c r="B126" s="8" t="s">
        <v>399</v>
      </c>
      <c r="C126" s="8" t="s">
        <v>1997</v>
      </c>
      <c r="D126" s="8" t="s">
        <v>2416</v>
      </c>
      <c r="E126" s="8" t="s">
        <v>1998</v>
      </c>
      <c r="F126" s="9" t="s">
        <v>2222</v>
      </c>
      <c r="G126" s="183"/>
      <c r="H126" s="9" t="s">
        <v>2228</v>
      </c>
      <c r="I126" s="183" t="s">
        <v>579</v>
      </c>
      <c r="J126" s="183"/>
      <c r="K126" s="10">
        <v>46038</v>
      </c>
      <c r="L126" s="183">
        <v>44</v>
      </c>
      <c r="M126" s="185" t="str">
        <f>IF(phc_8[[#This Row],[Register No.]]="","",C126&amp;"-"&amp;D126&amp;"-"&amp;"BHA-PHC-"&amp;phc_8[[#This Row],[Register No.]])</f>
        <v>Shining Star-Mobile Clinic-BHA-PHC-44</v>
      </c>
      <c r="N126" s="9" t="s">
        <v>401</v>
      </c>
      <c r="O126" s="183" t="s">
        <v>3163</v>
      </c>
      <c r="P126" s="183">
        <v>47</v>
      </c>
      <c r="Q126" s="183"/>
      <c r="R126" s="183"/>
      <c r="S126" s="186" t="str">
        <f t="shared" si="5"/>
        <v>19 - 49 yrs</v>
      </c>
      <c r="T126" s="183" t="s">
        <v>603</v>
      </c>
      <c r="U126" s="9" t="s">
        <v>2228</v>
      </c>
      <c r="V126" s="183" t="s">
        <v>2784</v>
      </c>
      <c r="W126" s="183" t="s">
        <v>294</v>
      </c>
      <c r="X126" s="183" t="s">
        <v>294</v>
      </c>
      <c r="Y126" s="186" t="str">
        <f>INDEX(info!$Y$2:$Y$192,MATCH(phc_8[[#This Row],[Sub_Category]],info!$X$2:$X$192,0))</f>
        <v>Other (non-communicable)</v>
      </c>
      <c r="Z126" s="186" t="str">
        <f t="array" ref="Z126">INDEX(info!$AA$2:$AA$192,MATCH(PHC!$X126&amp;PHC!$Y126,info!$X$2:$X$192&amp;info!$Y$2:$Y$192,0))</f>
        <v>Other</v>
      </c>
      <c r="AA126" s="183" t="s">
        <v>2164</v>
      </c>
      <c r="AB126" s="9" t="s">
        <v>654</v>
      </c>
      <c r="AC126" s="9" t="s">
        <v>654</v>
      </c>
      <c r="AD126" s="9" t="s">
        <v>654</v>
      </c>
      <c r="AE126" s="9" t="s">
        <v>654</v>
      </c>
      <c r="AF126" s="184"/>
      <c r="AG126" s="183"/>
      <c r="AH126" s="183"/>
      <c r="AI126" s="183"/>
      <c r="AJ126" s="183"/>
      <c r="AK126" s="9" t="s">
        <v>654</v>
      </c>
      <c r="AL126" s="183"/>
      <c r="AM126" s="186" t="str">
        <f>IF(AF126="","","Q"&amp;INT((MONTH(AF126)-1)/3)+1&amp;YEAR(AF126)&amp;#REF!&amp;T126)</f>
        <v/>
      </c>
      <c r="AN126" s="186" t="e">
        <f>IF(K126="","","Q"&amp;INT((MONTH(K126)-1)/3)+1&amp;YEAR(K126)&amp;#REF!)</f>
        <v>#REF!</v>
      </c>
    </row>
    <row r="127" spans="1:40" ht="20.100000000000001" customHeight="1" x14ac:dyDescent="0.25">
      <c r="A127" s="8">
        <v>125</v>
      </c>
      <c r="B127" s="8" t="s">
        <v>399</v>
      </c>
      <c r="C127" s="8" t="s">
        <v>1997</v>
      </c>
      <c r="D127" s="8" t="s">
        <v>2416</v>
      </c>
      <c r="E127" s="8" t="s">
        <v>1998</v>
      </c>
      <c r="F127" s="9" t="s">
        <v>2222</v>
      </c>
      <c r="G127" s="183"/>
      <c r="H127" s="9" t="s">
        <v>2228</v>
      </c>
      <c r="I127" s="183" t="s">
        <v>579</v>
      </c>
      <c r="J127" s="183"/>
      <c r="K127" s="10">
        <v>46038</v>
      </c>
      <c r="L127" s="9">
        <v>45</v>
      </c>
      <c r="M127" s="185" t="str">
        <f>IF(phc_8[[#This Row],[Register No.]]="","",C127&amp;"-"&amp;D127&amp;"-"&amp;"BHA-PHC-"&amp;phc_8[[#This Row],[Register No.]])</f>
        <v>Shining Star-Mobile Clinic-BHA-PHC-45</v>
      </c>
      <c r="N127" s="9" t="s">
        <v>401</v>
      </c>
      <c r="O127" s="183" t="s">
        <v>3206</v>
      </c>
      <c r="P127" s="183">
        <v>42</v>
      </c>
      <c r="Q127" s="183"/>
      <c r="R127" s="183"/>
      <c r="S127" s="186" t="str">
        <f t="shared" si="5"/>
        <v>19 - 49 yrs</v>
      </c>
      <c r="T127" s="183" t="s">
        <v>603</v>
      </c>
      <c r="U127" s="9" t="s">
        <v>2228</v>
      </c>
      <c r="V127" s="183" t="s">
        <v>3209</v>
      </c>
      <c r="W127" s="183" t="s">
        <v>2059</v>
      </c>
      <c r="X127" s="183" t="s">
        <v>2014</v>
      </c>
      <c r="Y127" s="186" t="str">
        <f>INDEX(info!$Y$2:$Y$192,MATCH(phc_8[[#This Row],[Sub_Category]],info!$X$2:$X$192,0))</f>
        <v>Other (non-communicable)</v>
      </c>
      <c r="Z127" s="186" t="str">
        <f t="array" ref="Z127">INDEX(info!$AA$2:$AA$192,MATCH(PHC!$X127&amp;PHC!$Y127,info!$X$2:$X$192&amp;info!$Y$2:$Y$192,0))</f>
        <v>Other</v>
      </c>
      <c r="AA127" s="183" t="s">
        <v>3212</v>
      </c>
      <c r="AB127" s="9" t="s">
        <v>654</v>
      </c>
      <c r="AC127" s="9" t="s">
        <v>654</v>
      </c>
      <c r="AD127" s="9" t="s">
        <v>654</v>
      </c>
      <c r="AE127" s="9" t="s">
        <v>654</v>
      </c>
      <c r="AF127" s="184"/>
      <c r="AG127" s="183"/>
      <c r="AH127" s="183"/>
      <c r="AI127" s="183"/>
      <c r="AJ127" s="183"/>
      <c r="AK127" s="9" t="s">
        <v>654</v>
      </c>
      <c r="AL127" s="183"/>
      <c r="AM127" s="186" t="str">
        <f>IF(AF127="","","Q"&amp;INT((MONTH(AF127)-1)/3)+1&amp;YEAR(AF127)&amp;#REF!&amp;T127)</f>
        <v/>
      </c>
      <c r="AN127" s="186" t="e">
        <f>IF(K127="","","Q"&amp;INT((MONTH(K127)-1)/3)+1&amp;YEAR(K127)&amp;#REF!)</f>
        <v>#REF!</v>
      </c>
    </row>
    <row r="128" spans="1:40" ht="20.100000000000001" customHeight="1" x14ac:dyDescent="0.25">
      <c r="A128" s="8">
        <v>126</v>
      </c>
      <c r="B128" s="8" t="s">
        <v>399</v>
      </c>
      <c r="C128" s="8" t="s">
        <v>1997</v>
      </c>
      <c r="D128" s="8" t="s">
        <v>2416</v>
      </c>
      <c r="E128" s="8" t="s">
        <v>1998</v>
      </c>
      <c r="F128" s="9" t="s">
        <v>2222</v>
      </c>
      <c r="G128" s="183"/>
      <c r="H128" s="9" t="s">
        <v>2228</v>
      </c>
      <c r="I128" s="183" t="s">
        <v>579</v>
      </c>
      <c r="J128" s="183"/>
      <c r="K128" s="10">
        <v>46038</v>
      </c>
      <c r="L128" s="9">
        <v>46</v>
      </c>
      <c r="M128" s="185" t="str">
        <f>IF(phc_8[[#This Row],[Register No.]]="","",C128&amp;"-"&amp;D128&amp;"-"&amp;"BHA-PHC-"&amp;phc_8[[#This Row],[Register No.]])</f>
        <v>Shining Star-Mobile Clinic-BHA-PHC-46</v>
      </c>
      <c r="N128" s="9" t="s">
        <v>401</v>
      </c>
      <c r="O128" s="183" t="s">
        <v>2308</v>
      </c>
      <c r="P128" s="183">
        <v>8</v>
      </c>
      <c r="Q128" s="183"/>
      <c r="R128" s="183"/>
      <c r="S128" s="186" t="str">
        <f t="shared" si="5"/>
        <v>5 - 14 yrs</v>
      </c>
      <c r="T128" s="183" t="s">
        <v>603</v>
      </c>
      <c r="U128" s="9" t="s">
        <v>2228</v>
      </c>
      <c r="V128" s="183" t="s">
        <v>3217</v>
      </c>
      <c r="W128" s="183" t="s">
        <v>2028</v>
      </c>
      <c r="X128" s="183" t="s">
        <v>108</v>
      </c>
      <c r="Y128" s="186" t="str">
        <f>INDEX(info!$Y$2:$Y$192,MATCH(phc_8[[#This Row],[Sub_Category]],info!$X$2:$X$192,0))</f>
        <v>ARI/RTI</v>
      </c>
      <c r="Z128" s="186" t="str">
        <f t="array" ref="Z128">INDEX(info!$AA$2:$AA$192,MATCH(PHC!$X128&amp;PHC!$Y128,info!$X$2:$X$192&amp;info!$Y$2:$Y$192,0))</f>
        <v>Communicable disease</v>
      </c>
      <c r="AA128" s="183" t="s">
        <v>3223</v>
      </c>
      <c r="AB128" s="9" t="s">
        <v>654</v>
      </c>
      <c r="AC128" s="9" t="s">
        <v>654</v>
      </c>
      <c r="AD128" s="9" t="s">
        <v>654</v>
      </c>
      <c r="AE128" s="9" t="s">
        <v>654</v>
      </c>
      <c r="AF128" s="184"/>
      <c r="AG128" s="183"/>
      <c r="AH128" s="183"/>
      <c r="AI128" s="183"/>
      <c r="AJ128" s="183"/>
      <c r="AK128" s="9" t="s">
        <v>654</v>
      </c>
      <c r="AL128" s="183"/>
      <c r="AM128" s="186" t="str">
        <f>IF(AF128="","","Q"&amp;INT((MONTH(AF128)-1)/3)+1&amp;YEAR(AF128)&amp;#REF!&amp;T128)</f>
        <v/>
      </c>
      <c r="AN128" s="186" t="e">
        <f>IF(K128="","","Q"&amp;INT((MONTH(K128)-1)/3)+1&amp;YEAR(K128)&amp;#REF!)</f>
        <v>#REF!</v>
      </c>
    </row>
    <row r="129" spans="1:40" ht="20.100000000000001" customHeight="1" x14ac:dyDescent="0.25">
      <c r="A129" s="8">
        <v>127</v>
      </c>
      <c r="B129" s="8" t="s">
        <v>399</v>
      </c>
      <c r="C129" s="8" t="s">
        <v>1997</v>
      </c>
      <c r="D129" s="8" t="s">
        <v>2416</v>
      </c>
      <c r="E129" s="8" t="s">
        <v>1998</v>
      </c>
      <c r="F129" s="9" t="s">
        <v>2222</v>
      </c>
      <c r="G129" s="183"/>
      <c r="H129" s="9" t="s">
        <v>2228</v>
      </c>
      <c r="I129" s="183" t="s">
        <v>579</v>
      </c>
      <c r="J129" s="183"/>
      <c r="K129" s="10">
        <v>46038</v>
      </c>
      <c r="L129" s="183">
        <v>47</v>
      </c>
      <c r="M129" s="185" t="str">
        <f>IF(phc_8[[#This Row],[Register No.]]="","",C129&amp;"-"&amp;D129&amp;"-"&amp;"BHA-PHC-"&amp;phc_8[[#This Row],[Register No.]])</f>
        <v>Shining Star-Mobile Clinic-BHA-PHC-47</v>
      </c>
      <c r="N129" s="9" t="s">
        <v>401</v>
      </c>
      <c r="O129" s="183" t="s">
        <v>3213</v>
      </c>
      <c r="P129" s="183">
        <v>65</v>
      </c>
      <c r="Q129" s="183"/>
      <c r="R129" s="183"/>
      <c r="S129" s="186" t="str">
        <f t="shared" si="5"/>
        <v>50 yrs +</v>
      </c>
      <c r="T129" s="183" t="s">
        <v>603</v>
      </c>
      <c r="U129" s="9" t="s">
        <v>2228</v>
      </c>
      <c r="V129" s="183" t="s">
        <v>3218</v>
      </c>
      <c r="W129" s="183" t="s">
        <v>3584</v>
      </c>
      <c r="X129" s="183" t="s">
        <v>195</v>
      </c>
      <c r="Y129" s="186" t="str">
        <f>INDEX(info!$Y$2:$Y$192,MATCH(phc_8[[#This Row],[Sub_Category]],info!$X$2:$X$192,0))</f>
        <v>Bacteria disease</v>
      </c>
      <c r="Z129" s="186" t="str">
        <f t="array" ref="Z129">INDEX(info!$AA$2:$AA$192,MATCH(PHC!$X129&amp;PHC!$Y129,info!$X$2:$X$192&amp;info!$Y$2:$Y$192,0))</f>
        <v>Communicable disease</v>
      </c>
      <c r="AA129" s="183" t="s">
        <v>3224</v>
      </c>
      <c r="AB129" s="9" t="s">
        <v>654</v>
      </c>
      <c r="AC129" s="9" t="s">
        <v>654</v>
      </c>
      <c r="AD129" s="9" t="s">
        <v>654</v>
      </c>
      <c r="AE129" s="9" t="s">
        <v>654</v>
      </c>
      <c r="AF129" s="184"/>
      <c r="AG129" s="183"/>
      <c r="AH129" s="183"/>
      <c r="AI129" s="183"/>
      <c r="AJ129" s="183"/>
      <c r="AK129" s="9" t="s">
        <v>654</v>
      </c>
      <c r="AL129" s="183"/>
      <c r="AM129" s="186" t="str">
        <f>IF(AF129="","","Q"&amp;INT((MONTH(AF129)-1)/3)+1&amp;YEAR(AF129)&amp;#REF!&amp;T129)</f>
        <v/>
      </c>
      <c r="AN129" s="186" t="e">
        <f>IF(K129="","","Q"&amp;INT((MONTH(K129)-1)/3)+1&amp;YEAR(K129)&amp;#REF!)</f>
        <v>#REF!</v>
      </c>
    </row>
    <row r="130" spans="1:40" ht="20.100000000000001" customHeight="1" x14ac:dyDescent="0.25">
      <c r="A130" s="8">
        <v>128</v>
      </c>
      <c r="B130" s="8" t="s">
        <v>399</v>
      </c>
      <c r="C130" s="8" t="s">
        <v>1997</v>
      </c>
      <c r="D130" s="8" t="s">
        <v>2416</v>
      </c>
      <c r="E130" s="8" t="s">
        <v>1998</v>
      </c>
      <c r="F130" s="9" t="s">
        <v>2222</v>
      </c>
      <c r="G130" s="183"/>
      <c r="H130" s="9" t="s">
        <v>2228</v>
      </c>
      <c r="I130" s="183" t="s">
        <v>579</v>
      </c>
      <c r="J130" s="183"/>
      <c r="K130" s="10">
        <v>46038</v>
      </c>
      <c r="L130" s="9">
        <v>48</v>
      </c>
      <c r="M130" s="185" t="str">
        <f>IF(phc_8[[#This Row],[Register No.]]="","",C130&amp;"-"&amp;D130&amp;"-"&amp;"BHA-PHC-"&amp;phc_8[[#This Row],[Register No.]])</f>
        <v>Shining Star-Mobile Clinic-BHA-PHC-48</v>
      </c>
      <c r="N130" s="9" t="s">
        <v>401</v>
      </c>
      <c r="O130" s="183" t="s">
        <v>3214</v>
      </c>
      <c r="P130" s="183">
        <v>48</v>
      </c>
      <c r="Q130" s="183"/>
      <c r="R130" s="183"/>
      <c r="S130" s="186" t="str">
        <f t="shared" si="5"/>
        <v>19 - 49 yrs</v>
      </c>
      <c r="T130" s="183" t="s">
        <v>603</v>
      </c>
      <c r="U130" s="9" t="s">
        <v>2228</v>
      </c>
      <c r="V130" s="183" t="s">
        <v>3219</v>
      </c>
      <c r="W130" s="183" t="s">
        <v>294</v>
      </c>
      <c r="X130" s="183" t="s">
        <v>294</v>
      </c>
      <c r="Y130" s="186" t="str">
        <f>INDEX(info!$Y$2:$Y$192,MATCH(phc_8[[#This Row],[Sub_Category]],info!$X$2:$X$192,0))</f>
        <v>Other (non-communicable)</v>
      </c>
      <c r="Z130" s="186" t="str">
        <f t="array" ref="Z130">INDEX(info!$AA$2:$AA$192,MATCH(PHC!$X130&amp;PHC!$Y130,info!$X$2:$X$192&amp;info!$Y$2:$Y$192,0))</f>
        <v>Other</v>
      </c>
      <c r="AA130" s="183" t="s">
        <v>3225</v>
      </c>
      <c r="AB130" s="9" t="s">
        <v>654</v>
      </c>
      <c r="AC130" s="9" t="s">
        <v>654</v>
      </c>
      <c r="AD130" s="9" t="s">
        <v>654</v>
      </c>
      <c r="AE130" s="9" t="s">
        <v>654</v>
      </c>
      <c r="AF130" s="184"/>
      <c r="AG130" s="183"/>
      <c r="AH130" s="183"/>
      <c r="AI130" s="183"/>
      <c r="AJ130" s="183"/>
      <c r="AK130" s="9" t="s">
        <v>654</v>
      </c>
      <c r="AL130" s="183"/>
      <c r="AM130" s="186" t="str">
        <f>IF(AF130="","","Q"&amp;INT((MONTH(AF130)-1)/3)+1&amp;YEAR(AF130)&amp;#REF!&amp;T130)</f>
        <v/>
      </c>
      <c r="AN130" s="186" t="e">
        <f>IF(K130="","","Q"&amp;INT((MONTH(K130)-1)/3)+1&amp;YEAR(K130)&amp;#REF!)</f>
        <v>#REF!</v>
      </c>
    </row>
    <row r="131" spans="1:40" ht="20.100000000000001" customHeight="1" x14ac:dyDescent="0.25">
      <c r="A131" s="8">
        <v>129</v>
      </c>
      <c r="B131" s="8" t="s">
        <v>399</v>
      </c>
      <c r="C131" s="8" t="s">
        <v>1997</v>
      </c>
      <c r="D131" s="8" t="s">
        <v>2416</v>
      </c>
      <c r="E131" s="8" t="s">
        <v>1998</v>
      </c>
      <c r="F131" s="9" t="s">
        <v>2222</v>
      </c>
      <c r="G131" s="183"/>
      <c r="H131" s="9" t="s">
        <v>2228</v>
      </c>
      <c r="I131" s="183" t="s">
        <v>579</v>
      </c>
      <c r="J131" s="183"/>
      <c r="K131" s="10">
        <v>46038</v>
      </c>
      <c r="L131" s="9">
        <v>49</v>
      </c>
      <c r="M131" s="185" t="str">
        <f>IF(phc_8[[#This Row],[Register No.]]="","",C131&amp;"-"&amp;D131&amp;"-"&amp;"BHA-PHC-"&amp;phc_8[[#This Row],[Register No.]])</f>
        <v>Shining Star-Mobile Clinic-BHA-PHC-49</v>
      </c>
      <c r="N131" s="9" t="s">
        <v>401</v>
      </c>
      <c r="O131" s="183" t="s">
        <v>3215</v>
      </c>
      <c r="P131" s="183">
        <v>45</v>
      </c>
      <c r="Q131" s="183"/>
      <c r="R131" s="183"/>
      <c r="S131" s="186" t="str">
        <f t="shared" si="5"/>
        <v>19 - 49 yrs</v>
      </c>
      <c r="T131" s="183" t="s">
        <v>603</v>
      </c>
      <c r="U131" s="9" t="s">
        <v>2228</v>
      </c>
      <c r="V131" s="183" t="s">
        <v>3220</v>
      </c>
      <c r="W131" s="183" t="s">
        <v>2003</v>
      </c>
      <c r="X131" s="183" t="s">
        <v>181</v>
      </c>
      <c r="Y131" s="186" t="str">
        <f>INDEX(info!$Y$2:$Y$192,MATCH(phc_8[[#This Row],[Sub_Category]],info!$X$2:$X$192,0))</f>
        <v>Chronic medical disease</v>
      </c>
      <c r="Z131" s="186" t="str">
        <f t="array" ref="Z131">INDEX(info!$AA$2:$AA$192,MATCH(PHC!$X131&amp;PHC!$Y131,info!$X$2:$X$192&amp;info!$Y$2:$Y$192,0))</f>
        <v>Non-communicable disease</v>
      </c>
      <c r="AA131" s="183" t="s">
        <v>3226</v>
      </c>
      <c r="AB131" s="9" t="s">
        <v>654</v>
      </c>
      <c r="AC131" s="9" t="s">
        <v>654</v>
      </c>
      <c r="AD131" s="9" t="s">
        <v>654</v>
      </c>
      <c r="AE131" s="9" t="s">
        <v>654</v>
      </c>
      <c r="AF131" s="184"/>
      <c r="AG131" s="183"/>
      <c r="AH131" s="183"/>
      <c r="AI131" s="183"/>
      <c r="AJ131" s="183"/>
      <c r="AK131" s="9" t="s">
        <v>654</v>
      </c>
      <c r="AL131" s="183"/>
      <c r="AM131" s="186" t="str">
        <f>IF(AF131="","","Q"&amp;INT((MONTH(AF131)-1)/3)+1&amp;YEAR(AF131)&amp;#REF!&amp;T131)</f>
        <v/>
      </c>
      <c r="AN131" s="186" t="e">
        <f>IF(K131="","","Q"&amp;INT((MONTH(K131)-1)/3)+1&amp;YEAR(K131)&amp;#REF!)</f>
        <v>#REF!</v>
      </c>
    </row>
    <row r="132" spans="1:40" ht="20.100000000000001" customHeight="1" x14ac:dyDescent="0.25">
      <c r="A132" s="8">
        <v>130</v>
      </c>
      <c r="B132" s="8" t="s">
        <v>399</v>
      </c>
      <c r="C132" s="8" t="s">
        <v>1997</v>
      </c>
      <c r="D132" s="8" t="s">
        <v>2416</v>
      </c>
      <c r="E132" s="8" t="s">
        <v>1998</v>
      </c>
      <c r="F132" s="9" t="s">
        <v>2222</v>
      </c>
      <c r="G132" s="183"/>
      <c r="H132" s="9" t="s">
        <v>2228</v>
      </c>
      <c r="I132" s="183" t="s">
        <v>579</v>
      </c>
      <c r="J132" s="183"/>
      <c r="K132" s="10">
        <v>46038</v>
      </c>
      <c r="L132" s="183">
        <v>50</v>
      </c>
      <c r="M132" s="185" t="str">
        <f>IF(phc_8[[#This Row],[Register No.]]="","",C132&amp;"-"&amp;D132&amp;"-"&amp;"BHA-PHC-"&amp;phc_8[[#This Row],[Register No.]])</f>
        <v>Shining Star-Mobile Clinic-BHA-PHC-50</v>
      </c>
      <c r="N132" s="9" t="s">
        <v>401</v>
      </c>
      <c r="O132" s="183" t="s">
        <v>3216</v>
      </c>
      <c r="P132" s="183">
        <v>23</v>
      </c>
      <c r="Q132" s="183"/>
      <c r="R132" s="183"/>
      <c r="S132" s="186" t="str">
        <f t="shared" si="5"/>
        <v>19 - 49 yrs</v>
      </c>
      <c r="T132" s="183" t="s">
        <v>603</v>
      </c>
      <c r="U132" s="9" t="s">
        <v>2228</v>
      </c>
      <c r="V132" s="183" t="s">
        <v>3221</v>
      </c>
      <c r="W132" s="183" t="s">
        <v>3222</v>
      </c>
      <c r="X132" s="183" t="s">
        <v>218</v>
      </c>
      <c r="Y132" s="186" t="str">
        <f>INDEX(info!$Y$2:$Y$192,MATCH(phc_8[[#This Row],[Sub_Category]],info!$X$2:$X$192,0))</f>
        <v>Genito-urinary diseases</v>
      </c>
      <c r="Z132" s="186" t="str">
        <f t="array" ref="Z132">INDEX(info!$AA$2:$AA$192,MATCH(PHC!$X132&amp;PHC!$Y132,info!$X$2:$X$192&amp;info!$Y$2:$Y$192,0))</f>
        <v>Communicable disease</v>
      </c>
      <c r="AA132" s="183" t="s">
        <v>3227</v>
      </c>
      <c r="AB132" s="9" t="s">
        <v>654</v>
      </c>
      <c r="AC132" s="9" t="s">
        <v>654</v>
      </c>
      <c r="AD132" s="9" t="s">
        <v>654</v>
      </c>
      <c r="AE132" s="9" t="s">
        <v>654</v>
      </c>
      <c r="AF132" s="184"/>
      <c r="AG132" s="183"/>
      <c r="AH132" s="183"/>
      <c r="AI132" s="183"/>
      <c r="AJ132" s="183"/>
      <c r="AK132" s="9" t="s">
        <v>654</v>
      </c>
      <c r="AL132" s="183"/>
      <c r="AM132" s="186" t="str">
        <f>IF(AF132="","","Q"&amp;INT((MONTH(AF132)-1)/3)+1&amp;YEAR(AF132)&amp;#REF!&amp;T132)</f>
        <v/>
      </c>
      <c r="AN132" s="186" t="e">
        <f>IF(K132="","","Q"&amp;INT((MONTH(K132)-1)/3)+1&amp;YEAR(K132)&amp;#REF!)</f>
        <v>#REF!</v>
      </c>
    </row>
    <row r="133" spans="1:40" ht="20.100000000000001" customHeight="1" x14ac:dyDescent="0.25">
      <c r="A133" s="8">
        <v>131</v>
      </c>
      <c r="B133" s="8" t="s">
        <v>399</v>
      </c>
      <c r="C133" s="8" t="s">
        <v>1997</v>
      </c>
      <c r="D133" s="8" t="s">
        <v>2416</v>
      </c>
      <c r="E133" s="8" t="s">
        <v>1998</v>
      </c>
      <c r="F133" s="9" t="s">
        <v>2222</v>
      </c>
      <c r="G133" s="183"/>
      <c r="H133" s="9" t="s">
        <v>2228</v>
      </c>
      <c r="I133" s="183" t="s">
        <v>579</v>
      </c>
      <c r="J133" s="183"/>
      <c r="K133" s="10">
        <v>46038</v>
      </c>
      <c r="L133" s="9">
        <v>51</v>
      </c>
      <c r="M133" s="185" t="str">
        <f>IF(phc_8[[#This Row],[Register No.]]="","",C133&amp;"-"&amp;D133&amp;"-"&amp;"BHA-PHC-"&amp;phc_8[[#This Row],[Register No.]])</f>
        <v>Shining Star-Mobile Clinic-BHA-PHC-51</v>
      </c>
      <c r="N133" s="9" t="s">
        <v>401</v>
      </c>
      <c r="O133" s="183" t="s">
        <v>3228</v>
      </c>
      <c r="P133" s="183">
        <v>60</v>
      </c>
      <c r="Q133" s="183"/>
      <c r="R133" s="183"/>
      <c r="S133" s="186" t="str">
        <f t="shared" si="5"/>
        <v>50 yrs +</v>
      </c>
      <c r="T133" s="183" t="s">
        <v>603</v>
      </c>
      <c r="U133" s="9" t="s">
        <v>2228</v>
      </c>
      <c r="V133" s="183" t="s">
        <v>3232</v>
      </c>
      <c r="W133" s="183" t="s">
        <v>294</v>
      </c>
      <c r="X133" s="183" t="s">
        <v>294</v>
      </c>
      <c r="Y133" s="186" t="str">
        <f>INDEX(info!$Y$2:$Y$192,MATCH(phc_8[[#This Row],[Sub_Category]],info!$X$2:$X$192,0))</f>
        <v>Other (non-communicable)</v>
      </c>
      <c r="Z133" s="186" t="str">
        <f t="array" ref="Z133">INDEX(info!$AA$2:$AA$192,MATCH(PHC!$X133&amp;PHC!$Y133,info!$X$2:$X$192&amp;info!$Y$2:$Y$192,0))</f>
        <v>Other</v>
      </c>
      <c r="AA133" s="183" t="s">
        <v>2152</v>
      </c>
      <c r="AB133" s="9" t="s">
        <v>654</v>
      </c>
      <c r="AC133" s="9" t="s">
        <v>654</v>
      </c>
      <c r="AD133" s="9" t="s">
        <v>654</v>
      </c>
      <c r="AE133" s="9" t="s">
        <v>654</v>
      </c>
      <c r="AF133" s="184"/>
      <c r="AG133" s="183"/>
      <c r="AH133" s="183"/>
      <c r="AI133" s="183"/>
      <c r="AJ133" s="183"/>
      <c r="AK133" s="9" t="s">
        <v>654</v>
      </c>
      <c r="AL133" s="183"/>
      <c r="AM133" s="186" t="str">
        <f>IF(AF133="","","Q"&amp;INT((MONTH(AF133)-1)/3)+1&amp;YEAR(AF133)&amp;#REF!&amp;T133)</f>
        <v/>
      </c>
      <c r="AN133" s="186" t="e">
        <f>IF(K133="","","Q"&amp;INT((MONTH(K133)-1)/3)+1&amp;YEAR(K133)&amp;#REF!)</f>
        <v>#REF!</v>
      </c>
    </row>
    <row r="134" spans="1:40" ht="20.100000000000001" customHeight="1" x14ac:dyDescent="0.25">
      <c r="A134" s="8">
        <v>132</v>
      </c>
      <c r="B134" s="8" t="s">
        <v>399</v>
      </c>
      <c r="C134" s="8" t="s">
        <v>1997</v>
      </c>
      <c r="D134" s="8" t="s">
        <v>2416</v>
      </c>
      <c r="E134" s="8" t="s">
        <v>1998</v>
      </c>
      <c r="F134" s="9" t="s">
        <v>2222</v>
      </c>
      <c r="G134" s="183"/>
      <c r="H134" s="9" t="s">
        <v>2228</v>
      </c>
      <c r="I134" s="183" t="s">
        <v>579</v>
      </c>
      <c r="J134" s="183"/>
      <c r="K134" s="10">
        <v>46038</v>
      </c>
      <c r="L134" s="9">
        <v>52</v>
      </c>
      <c r="M134" s="185" t="str">
        <f>IF(phc_8[[#This Row],[Register No.]]="","",C134&amp;"-"&amp;D134&amp;"-"&amp;"BHA-PHC-"&amp;phc_8[[#This Row],[Register No.]])</f>
        <v>Shining Star-Mobile Clinic-BHA-PHC-52</v>
      </c>
      <c r="N134" s="9" t="s">
        <v>401</v>
      </c>
      <c r="O134" s="183" t="s">
        <v>3229</v>
      </c>
      <c r="P134" s="183">
        <v>68</v>
      </c>
      <c r="Q134" s="183"/>
      <c r="R134" s="183"/>
      <c r="S134" s="186" t="str">
        <f t="shared" si="5"/>
        <v>50 yrs +</v>
      </c>
      <c r="T134" s="183" t="s">
        <v>603</v>
      </c>
      <c r="U134" s="9" t="s">
        <v>2228</v>
      </c>
      <c r="V134" s="183" t="s">
        <v>3233</v>
      </c>
      <c r="W134" s="183" t="s">
        <v>3182</v>
      </c>
      <c r="X134" s="183" t="s">
        <v>242</v>
      </c>
      <c r="Y134" s="186" t="str">
        <f>INDEX(info!$Y$2:$Y$192,MATCH(phc_8[[#This Row],[Sub_Category]],info!$X$2:$X$192,0))</f>
        <v>Accident/minor sugical and injuries</v>
      </c>
      <c r="Z134" s="186" t="str">
        <f t="array" ref="Z134">INDEX(info!$AA$2:$AA$192,MATCH(PHC!$X134&amp;PHC!$Y134,info!$X$2:$X$192&amp;info!$Y$2:$Y$192,0))</f>
        <v>Injury related</v>
      </c>
      <c r="AA134" s="183" t="s">
        <v>3237</v>
      </c>
      <c r="AB134" s="9" t="s">
        <v>654</v>
      </c>
      <c r="AC134" s="9" t="s">
        <v>654</v>
      </c>
      <c r="AD134" s="9" t="s">
        <v>654</v>
      </c>
      <c r="AE134" s="9" t="s">
        <v>654</v>
      </c>
      <c r="AF134" s="184"/>
      <c r="AG134" s="183"/>
      <c r="AH134" s="183"/>
      <c r="AI134" s="183"/>
      <c r="AJ134" s="183"/>
      <c r="AK134" s="9" t="s">
        <v>654</v>
      </c>
      <c r="AL134" s="183"/>
      <c r="AM134" s="186" t="str">
        <f>IF(AF134="","","Q"&amp;INT((MONTH(AF134)-1)/3)+1&amp;YEAR(AF134)&amp;#REF!&amp;T134)</f>
        <v/>
      </c>
      <c r="AN134" s="186" t="e">
        <f>IF(K134="","","Q"&amp;INT((MONTH(K134)-1)/3)+1&amp;YEAR(K134)&amp;#REF!)</f>
        <v>#REF!</v>
      </c>
    </row>
    <row r="135" spans="1:40" ht="20.100000000000001" customHeight="1" x14ac:dyDescent="0.25">
      <c r="A135" s="8">
        <v>133</v>
      </c>
      <c r="B135" s="8" t="s">
        <v>399</v>
      </c>
      <c r="C135" s="8" t="s">
        <v>1997</v>
      </c>
      <c r="D135" s="8" t="s">
        <v>2416</v>
      </c>
      <c r="E135" s="8" t="s">
        <v>1998</v>
      </c>
      <c r="F135" s="9" t="s">
        <v>2222</v>
      </c>
      <c r="G135" s="183"/>
      <c r="H135" s="9" t="s">
        <v>2228</v>
      </c>
      <c r="I135" s="183" t="s">
        <v>579</v>
      </c>
      <c r="J135" s="183"/>
      <c r="K135" s="10">
        <v>46038</v>
      </c>
      <c r="L135" s="183">
        <v>53</v>
      </c>
      <c r="M135" s="185" t="str">
        <f>IF(phc_8[[#This Row],[Register No.]]="","",C135&amp;"-"&amp;D135&amp;"-"&amp;"BHA-PHC-"&amp;phc_8[[#This Row],[Register No.]])</f>
        <v>Shining Star-Mobile Clinic-BHA-PHC-53</v>
      </c>
      <c r="N135" s="9" t="s">
        <v>401</v>
      </c>
      <c r="O135" s="183" t="s">
        <v>3230</v>
      </c>
      <c r="P135" s="183">
        <v>60</v>
      </c>
      <c r="Q135" s="183"/>
      <c r="R135" s="183"/>
      <c r="S135" s="186" t="str">
        <f t="shared" si="5"/>
        <v>50 yrs +</v>
      </c>
      <c r="T135" s="183" t="s">
        <v>603</v>
      </c>
      <c r="U135" s="9" t="s">
        <v>2228</v>
      </c>
      <c r="V135" s="183" t="s">
        <v>3234</v>
      </c>
      <c r="W135" s="183" t="s">
        <v>2059</v>
      </c>
      <c r="X135" s="183" t="s">
        <v>2014</v>
      </c>
      <c r="Y135" s="186" t="str">
        <f>INDEX(info!$Y$2:$Y$192,MATCH(phc_8[[#This Row],[Sub_Category]],info!$X$2:$X$192,0))</f>
        <v>Other (non-communicable)</v>
      </c>
      <c r="Z135" s="186" t="str">
        <f t="array" ref="Z135">INDEX(info!$AA$2:$AA$192,MATCH(PHC!$X135&amp;PHC!$Y135,info!$X$2:$X$192&amp;info!$Y$2:$Y$192,0))</f>
        <v>Other</v>
      </c>
      <c r="AA135" s="183" t="s">
        <v>3238</v>
      </c>
      <c r="AB135" s="9" t="s">
        <v>654</v>
      </c>
      <c r="AC135" s="9" t="s">
        <v>654</v>
      </c>
      <c r="AD135" s="9" t="s">
        <v>654</v>
      </c>
      <c r="AE135" s="9" t="s">
        <v>654</v>
      </c>
      <c r="AF135" s="184"/>
      <c r="AG135" s="183"/>
      <c r="AH135" s="183"/>
      <c r="AI135" s="183"/>
      <c r="AJ135" s="183"/>
      <c r="AK135" s="9" t="s">
        <v>654</v>
      </c>
      <c r="AL135" s="183"/>
      <c r="AM135" s="186" t="str">
        <f>IF(AF135="","","Q"&amp;INT((MONTH(AF135)-1)/3)+1&amp;YEAR(AF135)&amp;#REF!&amp;T135)</f>
        <v/>
      </c>
      <c r="AN135" s="186" t="e">
        <f>IF(K135="","","Q"&amp;INT((MONTH(K135)-1)/3)+1&amp;YEAR(K135)&amp;#REF!)</f>
        <v>#REF!</v>
      </c>
    </row>
    <row r="136" spans="1:40" ht="20.100000000000001" customHeight="1" x14ac:dyDescent="0.25">
      <c r="A136" s="8">
        <v>134</v>
      </c>
      <c r="B136" s="8" t="s">
        <v>399</v>
      </c>
      <c r="C136" s="8" t="s">
        <v>1997</v>
      </c>
      <c r="D136" s="8" t="s">
        <v>2416</v>
      </c>
      <c r="E136" s="8" t="s">
        <v>1998</v>
      </c>
      <c r="F136" s="9" t="s">
        <v>2222</v>
      </c>
      <c r="G136" s="183"/>
      <c r="H136" s="9" t="s">
        <v>2228</v>
      </c>
      <c r="I136" s="183" t="s">
        <v>579</v>
      </c>
      <c r="J136" s="183"/>
      <c r="K136" s="10">
        <v>46038</v>
      </c>
      <c r="L136" s="9">
        <v>54</v>
      </c>
      <c r="M136" s="185" t="str">
        <f>IF(phc_8[[#This Row],[Register No.]]="","",C136&amp;"-"&amp;D136&amp;"-"&amp;"BHA-PHC-"&amp;phc_8[[#This Row],[Register No.]])</f>
        <v>Shining Star-Mobile Clinic-BHA-PHC-54</v>
      </c>
      <c r="N136" s="9" t="s">
        <v>401</v>
      </c>
      <c r="O136" s="183" t="s">
        <v>3231</v>
      </c>
      <c r="P136" s="183">
        <v>75</v>
      </c>
      <c r="Q136" s="183"/>
      <c r="R136" s="183"/>
      <c r="S136" s="186" t="str">
        <f t="shared" si="5"/>
        <v>50 yrs +</v>
      </c>
      <c r="T136" s="183" t="s">
        <v>603</v>
      </c>
      <c r="U136" s="9" t="s">
        <v>2228</v>
      </c>
      <c r="V136" s="183" t="s">
        <v>3235</v>
      </c>
      <c r="W136" s="183" t="s">
        <v>3236</v>
      </c>
      <c r="X136" s="183" t="s">
        <v>225</v>
      </c>
      <c r="Y136" s="186" t="str">
        <f>INDEX(info!$Y$2:$Y$192,MATCH(phc_8[[#This Row],[Sub_Category]],info!$X$2:$X$192,0))</f>
        <v>GI problem</v>
      </c>
      <c r="Z136" s="186" t="str">
        <f t="array" ref="Z136">INDEX(info!$AA$2:$AA$192,MATCH(PHC!$X136&amp;PHC!$Y136,info!$X$2:$X$192&amp;info!$Y$2:$Y$192,0))</f>
        <v>Non-communicable disease</v>
      </c>
      <c r="AA136" s="183" t="s">
        <v>3239</v>
      </c>
      <c r="AB136" s="9" t="s">
        <v>654</v>
      </c>
      <c r="AC136" s="9" t="s">
        <v>654</v>
      </c>
      <c r="AD136" s="9" t="s">
        <v>654</v>
      </c>
      <c r="AE136" s="9" t="s">
        <v>654</v>
      </c>
      <c r="AF136" s="184"/>
      <c r="AG136" s="183"/>
      <c r="AH136" s="183"/>
      <c r="AI136" s="183"/>
      <c r="AJ136" s="183"/>
      <c r="AK136" s="9" t="s">
        <v>654</v>
      </c>
      <c r="AL136" s="183"/>
      <c r="AM136" s="186" t="str">
        <f>IF(AF136="","","Q"&amp;INT((MONTH(AF136)-1)/3)+1&amp;YEAR(AF136)&amp;#REF!&amp;T136)</f>
        <v/>
      </c>
      <c r="AN136" s="186" t="e">
        <f>IF(K136="","","Q"&amp;INT((MONTH(K136)-1)/3)+1&amp;YEAR(K136)&amp;#REF!)</f>
        <v>#REF!</v>
      </c>
    </row>
    <row r="137" spans="1:40" ht="20.100000000000001" customHeight="1" x14ac:dyDescent="0.25">
      <c r="A137" s="8">
        <v>135</v>
      </c>
      <c r="B137" s="8" t="s">
        <v>399</v>
      </c>
      <c r="C137" s="8" t="s">
        <v>1997</v>
      </c>
      <c r="D137" s="8" t="s">
        <v>2416</v>
      </c>
      <c r="E137" s="8" t="s">
        <v>1998</v>
      </c>
      <c r="F137" s="9" t="s">
        <v>2222</v>
      </c>
      <c r="G137" s="183"/>
      <c r="H137" s="9" t="s">
        <v>2228</v>
      </c>
      <c r="I137" s="183" t="s">
        <v>579</v>
      </c>
      <c r="J137" s="183"/>
      <c r="K137" s="10">
        <v>46038</v>
      </c>
      <c r="L137" s="9">
        <v>55</v>
      </c>
      <c r="M137" s="185" t="str">
        <f>IF(phc_8[[#This Row],[Register No.]]="","",C137&amp;"-"&amp;D137&amp;"-"&amp;"BHA-PHC-"&amp;phc_8[[#This Row],[Register No.]])</f>
        <v>Shining Star-Mobile Clinic-BHA-PHC-55</v>
      </c>
      <c r="N137" s="9" t="s">
        <v>401</v>
      </c>
      <c r="O137" s="183" t="s">
        <v>2726</v>
      </c>
      <c r="P137" s="183">
        <v>56</v>
      </c>
      <c r="Q137" s="183"/>
      <c r="R137" s="183"/>
      <c r="S137" s="186" t="str">
        <f t="shared" si="5"/>
        <v>50 yrs +</v>
      </c>
      <c r="T137" s="183" t="s">
        <v>402</v>
      </c>
      <c r="U137" s="9" t="s">
        <v>2228</v>
      </c>
      <c r="V137" s="183" t="s">
        <v>3233</v>
      </c>
      <c r="W137" s="183" t="s">
        <v>294</v>
      </c>
      <c r="X137" s="183" t="s">
        <v>294</v>
      </c>
      <c r="Y137" s="186" t="str">
        <f>INDEX(info!$Y$2:$Y$192,MATCH(phc_8[[#This Row],[Sub_Category]],info!$X$2:$X$192,0))</f>
        <v>Other (non-communicable)</v>
      </c>
      <c r="Z137" s="186" t="str">
        <f t="array" ref="Z137">INDEX(info!$AA$2:$AA$192,MATCH(PHC!$X137&amp;PHC!$Y137,info!$X$2:$X$192&amp;info!$Y$2:$Y$192,0))</f>
        <v>Other</v>
      </c>
      <c r="AA137" s="183" t="s">
        <v>3211</v>
      </c>
      <c r="AB137" s="9" t="s">
        <v>654</v>
      </c>
      <c r="AC137" s="9" t="s">
        <v>654</v>
      </c>
      <c r="AD137" s="9" t="s">
        <v>654</v>
      </c>
      <c r="AE137" s="9" t="s">
        <v>654</v>
      </c>
      <c r="AF137" s="184"/>
      <c r="AG137" s="183"/>
      <c r="AH137" s="183"/>
      <c r="AI137" s="183"/>
      <c r="AJ137" s="183"/>
      <c r="AK137" s="9" t="s">
        <v>654</v>
      </c>
      <c r="AL137" s="183"/>
      <c r="AM137" s="186" t="str">
        <f>IF(AF137="","","Q"&amp;INT((MONTH(AF137)-1)/3)+1&amp;YEAR(AF137)&amp;#REF!&amp;T137)</f>
        <v/>
      </c>
      <c r="AN137" s="186" t="e">
        <f>IF(K137="","","Q"&amp;INT((MONTH(K137)-1)/3)+1&amp;YEAR(K137)&amp;#REF!)</f>
        <v>#REF!</v>
      </c>
    </row>
    <row r="138" spans="1:40" ht="20.100000000000001" customHeight="1" x14ac:dyDescent="0.25">
      <c r="A138" s="8">
        <v>136</v>
      </c>
      <c r="B138" s="8" t="s">
        <v>399</v>
      </c>
      <c r="C138" s="8" t="s">
        <v>1997</v>
      </c>
      <c r="D138" s="8" t="s">
        <v>2416</v>
      </c>
      <c r="E138" s="8" t="s">
        <v>1998</v>
      </c>
      <c r="F138" s="9" t="s">
        <v>2222</v>
      </c>
      <c r="G138" s="183"/>
      <c r="H138" s="9" t="s">
        <v>2228</v>
      </c>
      <c r="I138" s="183" t="s">
        <v>579</v>
      </c>
      <c r="J138" s="183"/>
      <c r="K138" s="10">
        <v>46038</v>
      </c>
      <c r="L138" s="183">
        <v>56</v>
      </c>
      <c r="M138" s="185" t="str">
        <f>IF(phc_8[[#This Row],[Register No.]]="","",C138&amp;"-"&amp;D138&amp;"-"&amp;"BHA-PHC-"&amp;phc_8[[#This Row],[Register No.]])</f>
        <v>Shining Star-Mobile Clinic-BHA-PHC-56</v>
      </c>
      <c r="N138" s="9" t="s">
        <v>401</v>
      </c>
      <c r="O138" s="183" t="s">
        <v>3240</v>
      </c>
      <c r="P138" s="183">
        <v>70</v>
      </c>
      <c r="Q138" s="183"/>
      <c r="R138" s="183"/>
      <c r="S138" s="186" t="str">
        <f t="shared" si="5"/>
        <v>50 yrs +</v>
      </c>
      <c r="T138" s="183" t="s">
        <v>402</v>
      </c>
      <c r="U138" s="9" t="s">
        <v>2228</v>
      </c>
      <c r="V138" s="183" t="s">
        <v>2743</v>
      </c>
      <c r="W138" s="183" t="s">
        <v>2003</v>
      </c>
      <c r="X138" s="183" t="s">
        <v>181</v>
      </c>
      <c r="Y138" s="186" t="str">
        <f>INDEX(info!$Y$2:$Y$192,MATCH(phc_8[[#This Row],[Sub_Category]],info!$X$2:$X$192,0))</f>
        <v>Chronic medical disease</v>
      </c>
      <c r="Z138" s="186" t="str">
        <f t="array" ref="Z138">INDEX(info!$AA$2:$AA$192,MATCH(PHC!$X138&amp;PHC!$Y138,info!$X$2:$X$192&amp;info!$Y$2:$Y$192,0))</f>
        <v>Non-communicable disease</v>
      </c>
      <c r="AA138" s="183" t="s">
        <v>3250</v>
      </c>
      <c r="AB138" s="9" t="s">
        <v>654</v>
      </c>
      <c r="AC138" s="9" t="s">
        <v>654</v>
      </c>
      <c r="AD138" s="9" t="s">
        <v>654</v>
      </c>
      <c r="AE138" s="9" t="s">
        <v>654</v>
      </c>
      <c r="AF138" s="184"/>
      <c r="AG138" s="183"/>
      <c r="AH138" s="183"/>
      <c r="AI138" s="183"/>
      <c r="AJ138" s="183"/>
      <c r="AK138" s="9" t="s">
        <v>654</v>
      </c>
      <c r="AL138" s="183"/>
      <c r="AM138" s="186" t="str">
        <f>IF(AF138="","","Q"&amp;INT((MONTH(AF138)-1)/3)+1&amp;YEAR(AF138)&amp;#REF!&amp;T138)</f>
        <v/>
      </c>
      <c r="AN138" s="186" t="e">
        <f>IF(K138="","","Q"&amp;INT((MONTH(K138)-1)/3)+1&amp;YEAR(K138)&amp;#REF!)</f>
        <v>#REF!</v>
      </c>
    </row>
    <row r="139" spans="1:40" ht="20.100000000000001" customHeight="1" x14ac:dyDescent="0.25">
      <c r="A139" s="8">
        <v>137</v>
      </c>
      <c r="B139" s="8" t="s">
        <v>399</v>
      </c>
      <c r="C139" s="8" t="s">
        <v>1997</v>
      </c>
      <c r="D139" s="8" t="s">
        <v>2416</v>
      </c>
      <c r="E139" s="8" t="s">
        <v>1998</v>
      </c>
      <c r="F139" s="9" t="s">
        <v>2222</v>
      </c>
      <c r="G139" s="183"/>
      <c r="H139" s="9" t="s">
        <v>2228</v>
      </c>
      <c r="I139" s="183" t="s">
        <v>579</v>
      </c>
      <c r="J139" s="183"/>
      <c r="K139" s="10">
        <v>46038</v>
      </c>
      <c r="L139" s="9">
        <v>57</v>
      </c>
      <c r="M139" s="185" t="str">
        <f>IF(phc_8[[#This Row],[Register No.]]="","",C139&amp;"-"&amp;D139&amp;"-"&amp;"BHA-PHC-"&amp;phc_8[[#This Row],[Register No.]])</f>
        <v>Shining Star-Mobile Clinic-BHA-PHC-57</v>
      </c>
      <c r="N139" s="9" t="s">
        <v>401</v>
      </c>
      <c r="O139" s="183" t="s">
        <v>3241</v>
      </c>
      <c r="P139" s="183">
        <v>10</v>
      </c>
      <c r="Q139" s="183"/>
      <c r="R139" s="183"/>
      <c r="S139" s="186" t="str">
        <f t="shared" si="5"/>
        <v>5 - 14 yrs</v>
      </c>
      <c r="T139" s="183" t="s">
        <v>402</v>
      </c>
      <c r="U139" s="9" t="s">
        <v>2228</v>
      </c>
      <c r="V139" s="183" t="s">
        <v>3245</v>
      </c>
      <c r="W139" s="183" t="s">
        <v>3249</v>
      </c>
      <c r="X139" s="183" t="s">
        <v>196</v>
      </c>
      <c r="Y139" s="186" t="str">
        <f>INDEX(info!$Y$2:$Y$192,MATCH(phc_8[[#This Row],[Sub_Category]],info!$X$2:$X$192,0))</f>
        <v>Skin infection/disease</v>
      </c>
      <c r="Z139" s="186" t="str">
        <f t="array" ref="Z139">INDEX(info!$AA$2:$AA$192,MATCH(PHC!$X139&amp;PHC!$Y139,info!$X$2:$X$192&amp;info!$Y$2:$Y$192,0))</f>
        <v>Non-communicable disease</v>
      </c>
      <c r="AA139" s="183" t="s">
        <v>3251</v>
      </c>
      <c r="AB139" s="9" t="s">
        <v>654</v>
      </c>
      <c r="AC139" s="9" t="s">
        <v>654</v>
      </c>
      <c r="AD139" s="9" t="s">
        <v>654</v>
      </c>
      <c r="AE139" s="9" t="s">
        <v>654</v>
      </c>
      <c r="AF139" s="184"/>
      <c r="AG139" s="183"/>
      <c r="AH139" s="183"/>
      <c r="AI139" s="183"/>
      <c r="AJ139" s="183"/>
      <c r="AK139" s="9" t="s">
        <v>654</v>
      </c>
      <c r="AL139" s="183"/>
      <c r="AM139" s="186" t="str">
        <f>IF(AF139="","","Q"&amp;INT((MONTH(AF139)-1)/3)+1&amp;YEAR(AF139)&amp;#REF!&amp;T139)</f>
        <v/>
      </c>
      <c r="AN139" s="186" t="e">
        <f>IF(K139="","","Q"&amp;INT((MONTH(K139)-1)/3)+1&amp;YEAR(K139)&amp;#REF!)</f>
        <v>#REF!</v>
      </c>
    </row>
    <row r="140" spans="1:40" ht="20.100000000000001" customHeight="1" x14ac:dyDescent="0.25">
      <c r="A140" s="8">
        <v>138</v>
      </c>
      <c r="B140" s="8" t="s">
        <v>399</v>
      </c>
      <c r="C140" s="8" t="s">
        <v>1997</v>
      </c>
      <c r="D140" s="8" t="s">
        <v>2416</v>
      </c>
      <c r="E140" s="8" t="s">
        <v>1998</v>
      </c>
      <c r="F140" s="9" t="s">
        <v>2222</v>
      </c>
      <c r="G140" s="183"/>
      <c r="H140" s="9" t="s">
        <v>2228</v>
      </c>
      <c r="I140" s="183" t="s">
        <v>579</v>
      </c>
      <c r="J140" s="183"/>
      <c r="K140" s="10">
        <v>46038</v>
      </c>
      <c r="L140" s="9">
        <v>58</v>
      </c>
      <c r="M140" s="185" t="str">
        <f>IF(phc_8[[#This Row],[Register No.]]="","",C140&amp;"-"&amp;D140&amp;"-"&amp;"BHA-PHC-"&amp;phc_8[[#This Row],[Register No.]])</f>
        <v>Shining Star-Mobile Clinic-BHA-PHC-58</v>
      </c>
      <c r="N140" s="9" t="s">
        <v>401</v>
      </c>
      <c r="O140" s="183" t="s">
        <v>3242</v>
      </c>
      <c r="P140" s="183">
        <v>52</v>
      </c>
      <c r="Q140" s="183"/>
      <c r="R140" s="183"/>
      <c r="S140" s="186" t="str">
        <f t="shared" si="5"/>
        <v>50 yrs +</v>
      </c>
      <c r="T140" s="183" t="s">
        <v>603</v>
      </c>
      <c r="U140" s="9" t="s">
        <v>2228</v>
      </c>
      <c r="V140" s="183" t="s">
        <v>3246</v>
      </c>
      <c r="W140" s="183" t="s">
        <v>178</v>
      </c>
      <c r="X140" s="183" t="s">
        <v>178</v>
      </c>
      <c r="Y140" s="186" t="str">
        <f>INDEX(info!$Y$2:$Y$192,MATCH(phc_8[[#This Row],[Sub_Category]],info!$X$2:$X$192,0))</f>
        <v>Chronic medical disease</v>
      </c>
      <c r="Z140" s="186" t="str">
        <f t="array" ref="Z140">INDEX(info!$AA$2:$AA$192,MATCH(PHC!$X140&amp;PHC!$Y140,info!$X$2:$X$192&amp;info!$Y$2:$Y$192,0))</f>
        <v>Non-communicable disease</v>
      </c>
      <c r="AA140" s="183" t="s">
        <v>3252</v>
      </c>
      <c r="AB140" s="9" t="s">
        <v>654</v>
      </c>
      <c r="AC140" s="9" t="s">
        <v>654</v>
      </c>
      <c r="AD140" s="9" t="s">
        <v>654</v>
      </c>
      <c r="AE140" s="9" t="s">
        <v>654</v>
      </c>
      <c r="AF140" s="184"/>
      <c r="AG140" s="183"/>
      <c r="AH140" s="183"/>
      <c r="AI140" s="183"/>
      <c r="AJ140" s="183"/>
      <c r="AK140" s="9" t="s">
        <v>654</v>
      </c>
      <c r="AL140" s="183"/>
      <c r="AM140" s="186" t="str">
        <f>IF(AF140="","","Q"&amp;INT((MONTH(AF140)-1)/3)+1&amp;YEAR(AF140)&amp;#REF!&amp;T140)</f>
        <v/>
      </c>
      <c r="AN140" s="186" t="e">
        <f>IF(K140="","","Q"&amp;INT((MONTH(K140)-1)/3)+1&amp;YEAR(K140)&amp;#REF!)</f>
        <v>#REF!</v>
      </c>
    </row>
    <row r="141" spans="1:40" ht="20.100000000000001" customHeight="1" x14ac:dyDescent="0.25">
      <c r="A141" s="8">
        <v>139</v>
      </c>
      <c r="B141" s="8" t="s">
        <v>399</v>
      </c>
      <c r="C141" s="8" t="s">
        <v>1997</v>
      </c>
      <c r="D141" s="8" t="s">
        <v>2416</v>
      </c>
      <c r="E141" s="8" t="s">
        <v>1998</v>
      </c>
      <c r="F141" s="9" t="s">
        <v>2222</v>
      </c>
      <c r="G141" s="183"/>
      <c r="H141" s="9" t="s">
        <v>2228</v>
      </c>
      <c r="I141" s="183" t="s">
        <v>579</v>
      </c>
      <c r="J141" s="183"/>
      <c r="K141" s="10">
        <v>46038</v>
      </c>
      <c r="L141" s="183">
        <v>59</v>
      </c>
      <c r="M141" s="185" t="str">
        <f>IF(phc_8[[#This Row],[Register No.]]="","",C141&amp;"-"&amp;D141&amp;"-"&amp;"BHA-PHC-"&amp;phc_8[[#This Row],[Register No.]])</f>
        <v>Shining Star-Mobile Clinic-BHA-PHC-59</v>
      </c>
      <c r="N141" s="9" t="s">
        <v>401</v>
      </c>
      <c r="O141" s="183" t="s">
        <v>3243</v>
      </c>
      <c r="P141" s="183">
        <v>89</v>
      </c>
      <c r="Q141" s="183"/>
      <c r="R141" s="183"/>
      <c r="S141" s="186" t="str">
        <f t="shared" si="5"/>
        <v>50 yrs +</v>
      </c>
      <c r="T141" s="183" t="s">
        <v>603</v>
      </c>
      <c r="U141" s="9" t="s">
        <v>2228</v>
      </c>
      <c r="V141" s="183" t="s">
        <v>3247</v>
      </c>
      <c r="W141" s="183" t="s">
        <v>294</v>
      </c>
      <c r="X141" s="183" t="s">
        <v>294</v>
      </c>
      <c r="Y141" s="186" t="str">
        <f>INDEX(info!$Y$2:$Y$192,MATCH(phc_8[[#This Row],[Sub_Category]],info!$X$2:$X$192,0))</f>
        <v>Other (non-communicable)</v>
      </c>
      <c r="Z141" s="186" t="str">
        <f t="array" ref="Z141">INDEX(info!$AA$2:$AA$192,MATCH(PHC!$X141&amp;PHC!$Y141,info!$X$2:$X$192&amp;info!$Y$2:$Y$192,0))</f>
        <v>Other</v>
      </c>
      <c r="AA141" s="183" t="s">
        <v>3253</v>
      </c>
      <c r="AB141" s="9" t="s">
        <v>654</v>
      </c>
      <c r="AC141" s="9" t="s">
        <v>654</v>
      </c>
      <c r="AD141" s="9" t="s">
        <v>654</v>
      </c>
      <c r="AE141" s="9" t="s">
        <v>654</v>
      </c>
      <c r="AF141" s="184"/>
      <c r="AG141" s="183"/>
      <c r="AH141" s="183"/>
      <c r="AI141" s="183"/>
      <c r="AJ141" s="183"/>
      <c r="AK141" s="9" t="s">
        <v>654</v>
      </c>
      <c r="AL141" s="183"/>
      <c r="AM141" s="186" t="str">
        <f>IF(AF141="","","Q"&amp;INT((MONTH(AF141)-1)/3)+1&amp;YEAR(AF141)&amp;#REF!&amp;T141)</f>
        <v/>
      </c>
      <c r="AN141" s="186" t="e">
        <f>IF(K141="","","Q"&amp;INT((MONTH(K141)-1)/3)+1&amp;YEAR(K141)&amp;#REF!)</f>
        <v>#REF!</v>
      </c>
    </row>
    <row r="142" spans="1:40" ht="20.100000000000001" customHeight="1" x14ac:dyDescent="0.25">
      <c r="A142" s="8">
        <v>140</v>
      </c>
      <c r="B142" s="8" t="s">
        <v>399</v>
      </c>
      <c r="C142" s="8" t="s">
        <v>1997</v>
      </c>
      <c r="D142" s="8" t="s">
        <v>2416</v>
      </c>
      <c r="E142" s="8" t="s">
        <v>1998</v>
      </c>
      <c r="F142" s="9" t="s">
        <v>2222</v>
      </c>
      <c r="G142" s="183"/>
      <c r="H142" s="9" t="s">
        <v>2228</v>
      </c>
      <c r="I142" s="183" t="s">
        <v>579</v>
      </c>
      <c r="J142" s="183"/>
      <c r="K142" s="10">
        <v>46038</v>
      </c>
      <c r="L142" s="9">
        <v>60</v>
      </c>
      <c r="M142" s="185" t="str">
        <f>IF(phc_8[[#This Row],[Register No.]]="","",C142&amp;"-"&amp;D142&amp;"-"&amp;"BHA-PHC-"&amp;phc_8[[#This Row],[Register No.]])</f>
        <v>Shining Star-Mobile Clinic-BHA-PHC-60</v>
      </c>
      <c r="N142" s="9" t="s">
        <v>401</v>
      </c>
      <c r="O142" s="183" t="s">
        <v>3244</v>
      </c>
      <c r="P142" s="183">
        <v>75</v>
      </c>
      <c r="Q142" s="183"/>
      <c r="R142" s="183"/>
      <c r="S142" s="186" t="str">
        <f t="shared" ref="S142:S173" si="6">IF(AND(ISBLANK(P142),ISBLANK(Q142),ISBLANK(R142))," ",
IF(OR(P142&lt;5,AND(P142=" ",Q142&lt;&gt;" ",R142&lt;&gt;" ")),"&lt;5 yrs",
IF(AND(P142&gt;=5,P142&lt;=14),"5 - 14 yrs",
IF(AND(P142&gt;=15,P142&lt;=18),"15 - 18 yrs",
IF(AND(P142&gt;=19,P142&lt;=49),"19 - 49 yrs","50 yrs +")))))</f>
        <v>50 yrs +</v>
      </c>
      <c r="T142" s="183" t="s">
        <v>603</v>
      </c>
      <c r="U142" s="9" t="s">
        <v>2228</v>
      </c>
      <c r="V142" s="183" t="s">
        <v>3248</v>
      </c>
      <c r="W142" s="183" t="s">
        <v>2030</v>
      </c>
      <c r="X142" s="183" t="s">
        <v>181</v>
      </c>
      <c r="Y142" s="186" t="str">
        <f>INDEX(info!$Y$2:$Y$192,MATCH(phc_8[[#This Row],[Sub_Category]],info!$X$2:$X$192,0))</f>
        <v>Chronic medical disease</v>
      </c>
      <c r="Z142" s="186" t="str">
        <f t="array" ref="Z142">INDEX(info!$AA$2:$AA$192,MATCH(PHC!$X142&amp;PHC!$Y142,info!$X$2:$X$192&amp;info!$Y$2:$Y$192,0))</f>
        <v>Non-communicable disease</v>
      </c>
      <c r="AA142" s="183" t="s">
        <v>3254</v>
      </c>
      <c r="AB142" s="9" t="s">
        <v>654</v>
      </c>
      <c r="AC142" s="9" t="s">
        <v>654</v>
      </c>
      <c r="AD142" s="9" t="s">
        <v>654</v>
      </c>
      <c r="AE142" s="9" t="s">
        <v>654</v>
      </c>
      <c r="AF142" s="184"/>
      <c r="AG142" s="183"/>
      <c r="AH142" s="183"/>
      <c r="AI142" s="183"/>
      <c r="AJ142" s="183"/>
      <c r="AK142" s="9" t="s">
        <v>654</v>
      </c>
      <c r="AL142" s="183"/>
      <c r="AM142" s="186" t="str">
        <f>IF(AF142="","","Q"&amp;INT((MONTH(AF142)-1)/3)+1&amp;YEAR(AF142)&amp;#REF!&amp;T142)</f>
        <v/>
      </c>
      <c r="AN142" s="186" t="e">
        <f>IF(K142="","","Q"&amp;INT((MONTH(K142)-1)/3)+1&amp;YEAR(K142)&amp;#REF!)</f>
        <v>#REF!</v>
      </c>
    </row>
    <row r="143" spans="1:40" ht="20.100000000000001" customHeight="1" x14ac:dyDescent="0.25">
      <c r="A143" s="8">
        <v>141</v>
      </c>
      <c r="B143" s="8" t="s">
        <v>399</v>
      </c>
      <c r="C143" s="8" t="s">
        <v>1997</v>
      </c>
      <c r="D143" s="8" t="s">
        <v>2416</v>
      </c>
      <c r="E143" s="8" t="s">
        <v>1998</v>
      </c>
      <c r="F143" s="9" t="s">
        <v>2222</v>
      </c>
      <c r="G143" s="183"/>
      <c r="H143" s="9" t="s">
        <v>2228</v>
      </c>
      <c r="I143" s="183" t="s">
        <v>579</v>
      </c>
      <c r="J143" s="183"/>
      <c r="K143" s="10">
        <v>46038</v>
      </c>
      <c r="L143" s="9">
        <v>61</v>
      </c>
      <c r="M143" s="185" t="str">
        <f>IF(phc_8[[#This Row],[Register No.]]="","",C143&amp;"-"&amp;D143&amp;"-"&amp;"BHA-PHC-"&amp;phc_8[[#This Row],[Register No.]])</f>
        <v>Shining Star-Mobile Clinic-BHA-PHC-61</v>
      </c>
      <c r="N143" s="9" t="s">
        <v>401</v>
      </c>
      <c r="O143" s="183" t="s">
        <v>3255</v>
      </c>
      <c r="P143" s="183">
        <v>49</v>
      </c>
      <c r="Q143" s="183"/>
      <c r="R143" s="183"/>
      <c r="S143" s="186" t="str">
        <f t="shared" si="6"/>
        <v>19 - 49 yrs</v>
      </c>
      <c r="T143" s="183" t="s">
        <v>402</v>
      </c>
      <c r="U143" s="9" t="s">
        <v>2228</v>
      </c>
      <c r="V143" s="183" t="s">
        <v>3259</v>
      </c>
      <c r="W143" s="183" t="s">
        <v>2014</v>
      </c>
      <c r="X143" s="183" t="s">
        <v>2014</v>
      </c>
      <c r="Y143" s="186" t="str">
        <f>INDEX(info!$Y$2:$Y$192,MATCH(phc_8[[#This Row],[Sub_Category]],info!$X$2:$X$192,0))</f>
        <v>Other (non-communicable)</v>
      </c>
      <c r="Z143" s="186" t="str">
        <f t="array" ref="Z143">INDEX(info!$AA$2:$AA$192,MATCH(PHC!$X143&amp;PHC!$Y143,info!$X$2:$X$192&amp;info!$Y$2:$Y$192,0))</f>
        <v>Other</v>
      </c>
      <c r="AA143" s="183" t="s">
        <v>3265</v>
      </c>
      <c r="AB143" s="9" t="s">
        <v>654</v>
      </c>
      <c r="AC143" s="9" t="s">
        <v>654</v>
      </c>
      <c r="AD143" s="9" t="s">
        <v>654</v>
      </c>
      <c r="AE143" s="9" t="s">
        <v>654</v>
      </c>
      <c r="AF143" s="184"/>
      <c r="AG143" s="183"/>
      <c r="AH143" s="183"/>
      <c r="AI143" s="183"/>
      <c r="AJ143" s="183"/>
      <c r="AK143" s="9" t="s">
        <v>654</v>
      </c>
      <c r="AL143" s="183"/>
      <c r="AM143" s="186" t="str">
        <f>IF(AF143="","","Q"&amp;INT((MONTH(AF143)-1)/3)+1&amp;YEAR(AF143)&amp;#REF!&amp;T143)</f>
        <v/>
      </c>
      <c r="AN143" s="186" t="e">
        <f>IF(K143="","","Q"&amp;INT((MONTH(K143)-1)/3)+1&amp;YEAR(K143)&amp;#REF!)</f>
        <v>#REF!</v>
      </c>
    </row>
    <row r="144" spans="1:40" ht="20.100000000000001" customHeight="1" x14ac:dyDescent="0.25">
      <c r="A144" s="8">
        <v>142</v>
      </c>
      <c r="B144" s="8" t="s">
        <v>399</v>
      </c>
      <c r="C144" s="8" t="s">
        <v>1997</v>
      </c>
      <c r="D144" s="8" t="s">
        <v>2416</v>
      </c>
      <c r="E144" s="8" t="s">
        <v>1998</v>
      </c>
      <c r="F144" s="9" t="s">
        <v>2222</v>
      </c>
      <c r="G144" s="183"/>
      <c r="H144" s="9" t="s">
        <v>2228</v>
      </c>
      <c r="I144" s="183" t="s">
        <v>579</v>
      </c>
      <c r="J144" s="183"/>
      <c r="K144" s="10">
        <v>46038</v>
      </c>
      <c r="L144" s="183">
        <v>62</v>
      </c>
      <c r="M144" s="185" t="str">
        <f>IF(phc_8[[#This Row],[Register No.]]="","",C144&amp;"-"&amp;D144&amp;"-"&amp;"BHA-PHC-"&amp;phc_8[[#This Row],[Register No.]])</f>
        <v>Shining Star-Mobile Clinic-BHA-PHC-62</v>
      </c>
      <c r="N144" s="9" t="s">
        <v>401</v>
      </c>
      <c r="O144" s="183" t="s">
        <v>3256</v>
      </c>
      <c r="P144" s="183">
        <v>70</v>
      </c>
      <c r="Q144" s="183"/>
      <c r="R144" s="183"/>
      <c r="S144" s="186" t="str">
        <f t="shared" si="6"/>
        <v>50 yrs +</v>
      </c>
      <c r="T144" s="183" t="s">
        <v>402</v>
      </c>
      <c r="U144" s="9" t="s">
        <v>2228</v>
      </c>
      <c r="V144" s="183" t="s">
        <v>3260</v>
      </c>
      <c r="W144" s="183" t="s">
        <v>3182</v>
      </c>
      <c r="X144" s="183" t="s">
        <v>242</v>
      </c>
      <c r="Y144" s="186" t="str">
        <f>INDEX(info!$Y$2:$Y$192,MATCH(phc_8[[#This Row],[Sub_Category]],info!$X$2:$X$192,0))</f>
        <v>Accident/minor sugical and injuries</v>
      </c>
      <c r="Z144" s="186" t="str">
        <f t="array" ref="Z144">INDEX(info!$AA$2:$AA$192,MATCH(PHC!$X144&amp;PHC!$Y144,info!$X$2:$X$192&amp;info!$Y$2:$Y$192,0))</f>
        <v>Injury related</v>
      </c>
      <c r="AA144" s="183" t="s">
        <v>3266</v>
      </c>
      <c r="AB144" s="9" t="s">
        <v>654</v>
      </c>
      <c r="AC144" s="9" t="s">
        <v>654</v>
      </c>
      <c r="AD144" s="9" t="s">
        <v>654</v>
      </c>
      <c r="AE144" s="9" t="s">
        <v>654</v>
      </c>
      <c r="AF144" s="184"/>
      <c r="AG144" s="183"/>
      <c r="AH144" s="183"/>
      <c r="AI144" s="183"/>
      <c r="AJ144" s="183"/>
      <c r="AK144" s="9" t="s">
        <v>654</v>
      </c>
      <c r="AL144" s="183"/>
      <c r="AM144" s="186" t="str">
        <f>IF(AF144="","","Q"&amp;INT((MONTH(AF144)-1)/3)+1&amp;YEAR(AF144)&amp;#REF!&amp;T144)</f>
        <v/>
      </c>
      <c r="AN144" s="186" t="e">
        <f>IF(K144="","","Q"&amp;INT((MONTH(K144)-1)/3)+1&amp;YEAR(K144)&amp;#REF!)</f>
        <v>#REF!</v>
      </c>
    </row>
    <row r="145" spans="1:40" ht="20.100000000000001" customHeight="1" x14ac:dyDescent="0.25">
      <c r="A145" s="8">
        <v>143</v>
      </c>
      <c r="B145" s="8" t="s">
        <v>399</v>
      </c>
      <c r="C145" s="8" t="s">
        <v>1997</v>
      </c>
      <c r="D145" s="8" t="s">
        <v>2416</v>
      </c>
      <c r="E145" s="8" t="s">
        <v>1998</v>
      </c>
      <c r="F145" s="9" t="s">
        <v>2222</v>
      </c>
      <c r="G145" s="183"/>
      <c r="H145" s="9" t="s">
        <v>2228</v>
      </c>
      <c r="I145" s="183" t="s">
        <v>579</v>
      </c>
      <c r="J145" s="183"/>
      <c r="K145" s="10">
        <v>46038</v>
      </c>
      <c r="L145" s="9">
        <v>63</v>
      </c>
      <c r="M145" s="185" t="str">
        <f>IF(phc_8[[#This Row],[Register No.]]="","",C145&amp;"-"&amp;D145&amp;"-"&amp;"BHA-PHC-"&amp;phc_8[[#This Row],[Register No.]])</f>
        <v>Shining Star-Mobile Clinic-BHA-PHC-63</v>
      </c>
      <c r="N145" s="9" t="s">
        <v>401</v>
      </c>
      <c r="O145" s="183" t="s">
        <v>3257</v>
      </c>
      <c r="P145" s="183">
        <v>48</v>
      </c>
      <c r="Q145" s="183"/>
      <c r="R145" s="183"/>
      <c r="S145" s="186" t="str">
        <f t="shared" si="6"/>
        <v>19 - 49 yrs</v>
      </c>
      <c r="T145" s="183" t="s">
        <v>402</v>
      </c>
      <c r="U145" s="9" t="s">
        <v>2228</v>
      </c>
      <c r="V145" s="183" t="s">
        <v>3261</v>
      </c>
      <c r="W145" s="183" t="s">
        <v>2003</v>
      </c>
      <c r="X145" s="183" t="s">
        <v>181</v>
      </c>
      <c r="Y145" s="186" t="str">
        <f>INDEX(info!$Y$2:$Y$192,MATCH(phc_8[[#This Row],[Sub_Category]],info!$X$2:$X$192,0))</f>
        <v>Chronic medical disease</v>
      </c>
      <c r="Z145" s="186" t="str">
        <f t="array" ref="Z145">INDEX(info!$AA$2:$AA$192,MATCH(PHC!$X145&amp;PHC!$Y145,info!$X$2:$X$192&amp;info!$Y$2:$Y$192,0))</f>
        <v>Non-communicable disease</v>
      </c>
      <c r="AA145" s="183" t="s">
        <v>3267</v>
      </c>
      <c r="AB145" s="9" t="s">
        <v>654</v>
      </c>
      <c r="AC145" s="9" t="s">
        <v>654</v>
      </c>
      <c r="AD145" s="9" t="s">
        <v>654</v>
      </c>
      <c r="AE145" s="9" t="s">
        <v>654</v>
      </c>
      <c r="AF145" s="184"/>
      <c r="AG145" s="183"/>
      <c r="AH145" s="183"/>
      <c r="AI145" s="183"/>
      <c r="AJ145" s="183"/>
      <c r="AK145" s="9" t="s">
        <v>654</v>
      </c>
      <c r="AL145" s="183"/>
      <c r="AM145" s="186" t="str">
        <f>IF(AF145="","","Q"&amp;INT((MONTH(AF145)-1)/3)+1&amp;YEAR(AF145)&amp;#REF!&amp;T145)</f>
        <v/>
      </c>
      <c r="AN145" s="186" t="e">
        <f>IF(K145="","","Q"&amp;INT((MONTH(K145)-1)/3)+1&amp;YEAR(K145)&amp;#REF!)</f>
        <v>#REF!</v>
      </c>
    </row>
    <row r="146" spans="1:40" ht="20.100000000000001" customHeight="1" x14ac:dyDescent="0.25">
      <c r="A146" s="8">
        <v>144</v>
      </c>
      <c r="B146" s="8" t="s">
        <v>399</v>
      </c>
      <c r="C146" s="8" t="s">
        <v>1997</v>
      </c>
      <c r="D146" s="8" t="s">
        <v>2416</v>
      </c>
      <c r="E146" s="8" t="s">
        <v>1998</v>
      </c>
      <c r="F146" s="9" t="s">
        <v>2222</v>
      </c>
      <c r="G146" s="183"/>
      <c r="H146" s="9" t="s">
        <v>2228</v>
      </c>
      <c r="I146" s="183" t="s">
        <v>579</v>
      </c>
      <c r="J146" s="183"/>
      <c r="K146" s="10">
        <v>46038</v>
      </c>
      <c r="L146" s="9">
        <v>64</v>
      </c>
      <c r="M146" s="185" t="str">
        <f>IF(phc_8[[#This Row],[Register No.]]="","",C146&amp;"-"&amp;D146&amp;"-"&amp;"BHA-PHC-"&amp;phc_8[[#This Row],[Register No.]])</f>
        <v>Shining Star-Mobile Clinic-BHA-PHC-64</v>
      </c>
      <c r="N146" s="9" t="s">
        <v>401</v>
      </c>
      <c r="O146" s="183" t="s">
        <v>3258</v>
      </c>
      <c r="P146" s="183">
        <v>60</v>
      </c>
      <c r="Q146" s="183"/>
      <c r="R146" s="183"/>
      <c r="S146" s="186" t="str">
        <f t="shared" si="6"/>
        <v>50 yrs +</v>
      </c>
      <c r="T146" s="183" t="s">
        <v>603</v>
      </c>
      <c r="U146" s="9" t="s">
        <v>2228</v>
      </c>
      <c r="V146" s="183" t="s">
        <v>3262</v>
      </c>
      <c r="W146" s="183" t="s">
        <v>2003</v>
      </c>
      <c r="X146" s="183" t="s">
        <v>181</v>
      </c>
      <c r="Y146" s="186" t="str">
        <f>INDEX(info!$Y$2:$Y$192,MATCH(phc_8[[#This Row],[Sub_Category]],info!$X$2:$X$192,0))</f>
        <v>Chronic medical disease</v>
      </c>
      <c r="Z146" s="186" t="str">
        <f t="array" ref="Z146">INDEX(info!$AA$2:$AA$192,MATCH(PHC!$X146&amp;PHC!$Y146,info!$X$2:$X$192&amp;info!$Y$2:$Y$192,0))</f>
        <v>Non-communicable disease</v>
      </c>
      <c r="AA146" s="183" t="s">
        <v>3268</v>
      </c>
      <c r="AB146" s="9" t="s">
        <v>654</v>
      </c>
      <c r="AC146" s="9" t="s">
        <v>654</v>
      </c>
      <c r="AD146" s="9" t="s">
        <v>654</v>
      </c>
      <c r="AE146" s="9" t="s">
        <v>654</v>
      </c>
      <c r="AF146" s="184"/>
      <c r="AG146" s="183"/>
      <c r="AH146" s="183"/>
      <c r="AI146" s="183"/>
      <c r="AJ146" s="183"/>
      <c r="AK146" s="9" t="s">
        <v>654</v>
      </c>
      <c r="AL146" s="183"/>
      <c r="AM146" s="186" t="str">
        <f>IF(AF146="","","Q"&amp;INT((MONTH(AF146)-1)/3)+1&amp;YEAR(AF146)&amp;#REF!&amp;T146)</f>
        <v/>
      </c>
      <c r="AN146" s="186" t="e">
        <f>IF(K146="","","Q"&amp;INT((MONTH(K146)-1)/3)+1&amp;YEAR(K146)&amp;#REF!)</f>
        <v>#REF!</v>
      </c>
    </row>
    <row r="147" spans="1:40" ht="20.100000000000001" customHeight="1" x14ac:dyDescent="0.25">
      <c r="A147" s="8">
        <v>145</v>
      </c>
      <c r="B147" s="8" t="s">
        <v>399</v>
      </c>
      <c r="C147" s="8" t="s">
        <v>1997</v>
      </c>
      <c r="D147" s="8" t="s">
        <v>2416</v>
      </c>
      <c r="E147" s="8" t="s">
        <v>1998</v>
      </c>
      <c r="F147" s="9" t="s">
        <v>2222</v>
      </c>
      <c r="G147" s="183"/>
      <c r="H147" s="9" t="s">
        <v>2228</v>
      </c>
      <c r="I147" s="183" t="s">
        <v>579</v>
      </c>
      <c r="J147" s="183"/>
      <c r="K147" s="10">
        <v>46038</v>
      </c>
      <c r="L147" s="183">
        <v>65</v>
      </c>
      <c r="M147" s="185" t="str">
        <f>IF(phc_8[[#This Row],[Register No.]]="","",C147&amp;"-"&amp;D147&amp;"-"&amp;"BHA-PHC-"&amp;phc_8[[#This Row],[Register No.]])</f>
        <v>Shining Star-Mobile Clinic-BHA-PHC-65</v>
      </c>
      <c r="N147" s="9" t="s">
        <v>401</v>
      </c>
      <c r="O147" s="183" t="s">
        <v>3046</v>
      </c>
      <c r="P147" s="183">
        <v>73</v>
      </c>
      <c r="Q147" s="183"/>
      <c r="R147" s="183"/>
      <c r="S147" s="186" t="str">
        <f t="shared" si="6"/>
        <v>50 yrs +</v>
      </c>
      <c r="T147" s="183" t="s">
        <v>603</v>
      </c>
      <c r="U147" s="9" t="s">
        <v>2228</v>
      </c>
      <c r="V147" s="183" t="s">
        <v>3263</v>
      </c>
      <c r="W147" s="183" t="s">
        <v>3264</v>
      </c>
      <c r="X147" s="183" t="s">
        <v>62</v>
      </c>
      <c r="Y147" s="186" t="str">
        <f>INDEX(info!$Y$2:$Y$192,MATCH(phc_8[[#This Row],[Sub_Category]],info!$X$2:$X$192,0))</f>
        <v>ARI/RTI</v>
      </c>
      <c r="Z147" s="186" t="str">
        <f t="array" ref="Z147">INDEX(info!$AA$2:$AA$192,MATCH(PHC!$X147&amp;PHC!$Y147,info!$X$2:$X$192&amp;info!$Y$2:$Y$192,0))</f>
        <v>Communicable disease</v>
      </c>
      <c r="AA147" s="183" t="s">
        <v>3269</v>
      </c>
      <c r="AB147" s="9" t="s">
        <v>654</v>
      </c>
      <c r="AC147" s="9" t="s">
        <v>654</v>
      </c>
      <c r="AD147" s="9" t="s">
        <v>654</v>
      </c>
      <c r="AE147" s="9" t="s">
        <v>654</v>
      </c>
      <c r="AF147" s="184"/>
      <c r="AG147" s="183"/>
      <c r="AH147" s="183"/>
      <c r="AI147" s="183"/>
      <c r="AJ147" s="183"/>
      <c r="AK147" s="9" t="s">
        <v>654</v>
      </c>
      <c r="AL147" s="183"/>
      <c r="AM147" s="186" t="str">
        <f>IF(AF147="","","Q"&amp;INT((MONTH(AF147)-1)/3)+1&amp;YEAR(AF147)&amp;#REF!&amp;T147)</f>
        <v/>
      </c>
      <c r="AN147" s="186" t="e">
        <f>IF(K147="","","Q"&amp;INT((MONTH(K147)-1)/3)+1&amp;YEAR(K147)&amp;#REF!)</f>
        <v>#REF!</v>
      </c>
    </row>
    <row r="148" spans="1:40" ht="20.100000000000001" customHeight="1" x14ac:dyDescent="0.25">
      <c r="A148" s="8">
        <v>146</v>
      </c>
      <c r="B148" s="8" t="s">
        <v>399</v>
      </c>
      <c r="C148" s="8" t="s">
        <v>1997</v>
      </c>
      <c r="D148" s="8" t="s">
        <v>2416</v>
      </c>
      <c r="E148" s="8" t="s">
        <v>1998</v>
      </c>
      <c r="F148" s="9" t="s">
        <v>2222</v>
      </c>
      <c r="G148" s="183"/>
      <c r="H148" s="9" t="s">
        <v>2228</v>
      </c>
      <c r="I148" s="183" t="s">
        <v>579</v>
      </c>
      <c r="J148" s="183"/>
      <c r="K148" s="10">
        <v>46038</v>
      </c>
      <c r="L148" s="9">
        <v>66</v>
      </c>
      <c r="M148" s="185" t="str">
        <f>IF(phc_8[[#This Row],[Register No.]]="","",C148&amp;"-"&amp;D148&amp;"-"&amp;"BHA-PHC-"&amp;phc_8[[#This Row],[Register No.]])</f>
        <v>Shining Star-Mobile Clinic-BHA-PHC-66</v>
      </c>
      <c r="N148" s="9" t="s">
        <v>401</v>
      </c>
      <c r="O148" s="183" t="s">
        <v>3270</v>
      </c>
      <c r="P148" s="183">
        <v>57</v>
      </c>
      <c r="Q148" s="183"/>
      <c r="R148" s="183"/>
      <c r="S148" s="186" t="str">
        <f t="shared" si="6"/>
        <v>50 yrs +</v>
      </c>
      <c r="T148" s="183" t="s">
        <v>603</v>
      </c>
      <c r="U148" s="9" t="s">
        <v>2228</v>
      </c>
      <c r="V148" s="183" t="s">
        <v>3275</v>
      </c>
      <c r="W148" s="183" t="s">
        <v>178</v>
      </c>
      <c r="X148" s="183" t="s">
        <v>178</v>
      </c>
      <c r="Y148" s="186" t="str">
        <f>INDEX(info!$Y$2:$Y$192,MATCH(phc_8[[#This Row],[Sub_Category]],info!$X$2:$X$192,0))</f>
        <v>Chronic medical disease</v>
      </c>
      <c r="Z148" s="186" t="str">
        <f t="array" ref="Z148">INDEX(info!$AA$2:$AA$192,MATCH(PHC!$X148&amp;PHC!$Y148,info!$X$2:$X$192&amp;info!$Y$2:$Y$192,0))</f>
        <v>Non-communicable disease</v>
      </c>
      <c r="AA148" s="183" t="s">
        <v>3279</v>
      </c>
      <c r="AB148" s="9" t="s">
        <v>654</v>
      </c>
      <c r="AC148" s="9" t="s">
        <v>654</v>
      </c>
      <c r="AD148" s="9" t="s">
        <v>654</v>
      </c>
      <c r="AE148" s="9" t="s">
        <v>654</v>
      </c>
      <c r="AF148" s="184"/>
      <c r="AG148" s="183"/>
      <c r="AH148" s="183"/>
      <c r="AI148" s="183"/>
      <c r="AJ148" s="183"/>
      <c r="AK148" s="9" t="s">
        <v>654</v>
      </c>
      <c r="AL148" s="183"/>
      <c r="AM148" s="186" t="str">
        <f>IF(AF148="","","Q"&amp;INT((MONTH(AF148)-1)/3)+1&amp;YEAR(AF148)&amp;#REF!&amp;T148)</f>
        <v/>
      </c>
      <c r="AN148" s="186" t="e">
        <f>IF(K148="","","Q"&amp;INT((MONTH(K148)-1)/3)+1&amp;YEAR(K148)&amp;#REF!)</f>
        <v>#REF!</v>
      </c>
    </row>
    <row r="149" spans="1:40" ht="20.100000000000001" customHeight="1" x14ac:dyDescent="0.25">
      <c r="A149" s="8">
        <v>147</v>
      </c>
      <c r="B149" s="8" t="s">
        <v>399</v>
      </c>
      <c r="C149" s="8" t="s">
        <v>1997</v>
      </c>
      <c r="D149" s="8" t="s">
        <v>2416</v>
      </c>
      <c r="E149" s="8" t="s">
        <v>1998</v>
      </c>
      <c r="F149" s="9" t="s">
        <v>2222</v>
      </c>
      <c r="G149" s="183"/>
      <c r="H149" s="9" t="s">
        <v>2228</v>
      </c>
      <c r="I149" s="183" t="s">
        <v>579</v>
      </c>
      <c r="J149" s="183"/>
      <c r="K149" s="10">
        <v>46038</v>
      </c>
      <c r="L149" s="9">
        <v>67</v>
      </c>
      <c r="M149" s="185" t="str">
        <f>IF(phc_8[[#This Row],[Register No.]]="","",C149&amp;"-"&amp;D149&amp;"-"&amp;"BHA-PHC-"&amp;phc_8[[#This Row],[Register No.]])</f>
        <v>Shining Star-Mobile Clinic-BHA-PHC-67</v>
      </c>
      <c r="N149" s="9" t="s">
        <v>401</v>
      </c>
      <c r="O149" s="183" t="s">
        <v>3271</v>
      </c>
      <c r="P149" s="183">
        <v>37</v>
      </c>
      <c r="Q149" s="183"/>
      <c r="R149" s="183"/>
      <c r="S149" s="186" t="str">
        <f t="shared" si="6"/>
        <v>19 - 49 yrs</v>
      </c>
      <c r="T149" s="183" t="s">
        <v>603</v>
      </c>
      <c r="U149" s="9" t="s">
        <v>2228</v>
      </c>
      <c r="V149" s="183" t="s">
        <v>2574</v>
      </c>
      <c r="W149" s="183" t="s">
        <v>3277</v>
      </c>
      <c r="X149" s="183"/>
      <c r="Y149" s="186" t="e">
        <f>INDEX(info!$Y$2:$Y$192,MATCH(phc_8[[#This Row],[Sub_Category]],info!$X$2:$X$192,0))</f>
        <v>#N/A</v>
      </c>
      <c r="Z149" s="186" t="e">
        <f t="array" ref="Z149">INDEX(info!$AA$2:$AA$192,MATCH(PHC!$X149&amp;PHC!$Y149,info!$X$2:$X$192&amp;info!$Y$2:$Y$192,0))</f>
        <v>#N/A</v>
      </c>
      <c r="AA149" s="183" t="s">
        <v>3280</v>
      </c>
      <c r="AB149" s="9" t="s">
        <v>654</v>
      </c>
      <c r="AC149" s="9" t="s">
        <v>654</v>
      </c>
      <c r="AD149" s="9" t="s">
        <v>654</v>
      </c>
      <c r="AE149" s="9" t="s">
        <v>654</v>
      </c>
      <c r="AF149" s="184"/>
      <c r="AG149" s="183"/>
      <c r="AH149" s="183"/>
      <c r="AI149" s="183"/>
      <c r="AJ149" s="183"/>
      <c r="AK149" s="9" t="s">
        <v>654</v>
      </c>
      <c r="AL149" s="183"/>
      <c r="AM149" s="186" t="str">
        <f>IF(AF149="","","Q"&amp;INT((MONTH(AF149)-1)/3)+1&amp;YEAR(AF149)&amp;#REF!&amp;T149)</f>
        <v/>
      </c>
      <c r="AN149" s="186" t="e">
        <f>IF(K149="","","Q"&amp;INT((MONTH(K149)-1)/3)+1&amp;YEAR(K149)&amp;#REF!)</f>
        <v>#REF!</v>
      </c>
    </row>
    <row r="150" spans="1:40" ht="20.100000000000001" customHeight="1" x14ac:dyDescent="0.25">
      <c r="A150" s="8">
        <v>148</v>
      </c>
      <c r="B150" s="8" t="s">
        <v>399</v>
      </c>
      <c r="C150" s="8" t="s">
        <v>1997</v>
      </c>
      <c r="D150" s="8" t="s">
        <v>2416</v>
      </c>
      <c r="E150" s="8" t="s">
        <v>1998</v>
      </c>
      <c r="F150" s="9" t="s">
        <v>2222</v>
      </c>
      <c r="G150" s="183"/>
      <c r="H150" s="9" t="s">
        <v>2228</v>
      </c>
      <c r="I150" s="183" t="s">
        <v>579</v>
      </c>
      <c r="J150" s="183"/>
      <c r="K150" s="10">
        <v>46038</v>
      </c>
      <c r="L150" s="183">
        <v>68</v>
      </c>
      <c r="M150" s="185" t="str">
        <f>IF(phc_8[[#This Row],[Register No.]]="","",C150&amp;"-"&amp;D150&amp;"-"&amp;"BHA-PHC-"&amp;phc_8[[#This Row],[Register No.]])</f>
        <v>Shining Star-Mobile Clinic-BHA-PHC-68</v>
      </c>
      <c r="N150" s="9" t="s">
        <v>401</v>
      </c>
      <c r="O150" s="183" t="s">
        <v>3272</v>
      </c>
      <c r="P150" s="183">
        <v>56</v>
      </c>
      <c r="Q150" s="183"/>
      <c r="R150" s="183"/>
      <c r="S150" s="186" t="str">
        <f t="shared" si="6"/>
        <v>50 yrs +</v>
      </c>
      <c r="T150" s="183" t="s">
        <v>603</v>
      </c>
      <c r="U150" s="9" t="s">
        <v>2228</v>
      </c>
      <c r="V150" s="183" t="s">
        <v>3276</v>
      </c>
      <c r="W150" s="183" t="s">
        <v>178</v>
      </c>
      <c r="X150" s="183" t="s">
        <v>178</v>
      </c>
      <c r="Y150" s="186" t="str">
        <f>INDEX(info!$Y$2:$Y$192,MATCH(phc_8[[#This Row],[Sub_Category]],info!$X$2:$X$192,0))</f>
        <v>Chronic medical disease</v>
      </c>
      <c r="Z150" s="186" t="str">
        <f t="array" ref="Z150">INDEX(info!$AA$2:$AA$192,MATCH(PHC!$X150&amp;PHC!$Y150,info!$X$2:$X$192&amp;info!$Y$2:$Y$192,0))</f>
        <v>Non-communicable disease</v>
      </c>
      <c r="AA150" s="183" t="s">
        <v>3282</v>
      </c>
      <c r="AB150" s="9" t="s">
        <v>654</v>
      </c>
      <c r="AC150" s="9" t="s">
        <v>654</v>
      </c>
      <c r="AD150" s="9" t="s">
        <v>654</v>
      </c>
      <c r="AE150" s="9" t="s">
        <v>654</v>
      </c>
      <c r="AF150" s="184"/>
      <c r="AG150" s="183"/>
      <c r="AH150" s="183"/>
      <c r="AI150" s="183"/>
      <c r="AJ150" s="183"/>
      <c r="AK150" s="9" t="s">
        <v>654</v>
      </c>
      <c r="AL150" s="183"/>
      <c r="AM150" s="186" t="str">
        <f>IF(AF150="","","Q"&amp;INT((MONTH(AF150)-1)/3)+1&amp;YEAR(AF150)&amp;#REF!&amp;T150)</f>
        <v/>
      </c>
      <c r="AN150" s="186" t="e">
        <f>IF(K150="","","Q"&amp;INT((MONTH(K150)-1)/3)+1&amp;YEAR(K150)&amp;#REF!)</f>
        <v>#REF!</v>
      </c>
    </row>
    <row r="151" spans="1:40" ht="20.100000000000001" customHeight="1" x14ac:dyDescent="0.25">
      <c r="A151" s="8">
        <v>149</v>
      </c>
      <c r="B151" s="8" t="s">
        <v>399</v>
      </c>
      <c r="C151" s="8" t="s">
        <v>1997</v>
      </c>
      <c r="D151" s="8" t="s">
        <v>2416</v>
      </c>
      <c r="E151" s="8" t="s">
        <v>1998</v>
      </c>
      <c r="F151" s="9" t="s">
        <v>2222</v>
      </c>
      <c r="G151" s="183"/>
      <c r="H151" s="9" t="s">
        <v>2228</v>
      </c>
      <c r="I151" s="183" t="s">
        <v>579</v>
      </c>
      <c r="J151" s="183"/>
      <c r="K151" s="10">
        <v>46038</v>
      </c>
      <c r="L151" s="9">
        <v>69</v>
      </c>
      <c r="M151" s="185" t="str">
        <f>IF(phc_8[[#This Row],[Register No.]]="","",C151&amp;"-"&amp;D151&amp;"-"&amp;"BHA-PHC-"&amp;phc_8[[#This Row],[Register No.]])</f>
        <v>Shining Star-Mobile Clinic-BHA-PHC-69</v>
      </c>
      <c r="N151" s="9" t="s">
        <v>401</v>
      </c>
      <c r="O151" s="183" t="s">
        <v>3273</v>
      </c>
      <c r="P151" s="183">
        <v>83</v>
      </c>
      <c r="Q151" s="183"/>
      <c r="R151" s="183"/>
      <c r="S151" s="186" t="str">
        <f t="shared" si="6"/>
        <v>50 yrs +</v>
      </c>
      <c r="T151" s="183" t="s">
        <v>603</v>
      </c>
      <c r="U151" s="9" t="s">
        <v>2228</v>
      </c>
      <c r="V151" s="183" t="s">
        <v>3151</v>
      </c>
      <c r="W151" s="183" t="s">
        <v>294</v>
      </c>
      <c r="X151" s="183" t="s">
        <v>294</v>
      </c>
      <c r="Y151" s="186" t="str">
        <f>INDEX(info!$Y$2:$Y$192,MATCH(phc_8[[#This Row],[Sub_Category]],info!$X$2:$X$192,0))</f>
        <v>Other (non-communicable)</v>
      </c>
      <c r="Z151" s="186" t="str">
        <f t="array" ref="Z151">INDEX(info!$AA$2:$AA$192,MATCH(PHC!$X151&amp;PHC!$Y151,info!$X$2:$X$192&amp;info!$Y$2:$Y$192,0))</f>
        <v>Other</v>
      </c>
      <c r="AA151" s="183" t="s">
        <v>3281</v>
      </c>
      <c r="AB151" s="9" t="s">
        <v>654</v>
      </c>
      <c r="AC151" s="9" t="s">
        <v>654</v>
      </c>
      <c r="AD151" s="9" t="s">
        <v>654</v>
      </c>
      <c r="AE151" s="9" t="s">
        <v>654</v>
      </c>
      <c r="AF151" s="184"/>
      <c r="AG151" s="183"/>
      <c r="AH151" s="183"/>
      <c r="AI151" s="183"/>
      <c r="AJ151" s="183"/>
      <c r="AK151" s="9" t="s">
        <v>654</v>
      </c>
      <c r="AL151" s="183"/>
      <c r="AM151" s="186" t="str">
        <f>IF(AF151="","","Q"&amp;INT((MONTH(AF151)-1)/3)+1&amp;YEAR(AF151)&amp;#REF!&amp;T151)</f>
        <v/>
      </c>
      <c r="AN151" s="186" t="e">
        <f>IF(K151="","","Q"&amp;INT((MONTH(K151)-1)/3)+1&amp;YEAR(K151)&amp;#REF!)</f>
        <v>#REF!</v>
      </c>
    </row>
    <row r="152" spans="1:40" ht="20.100000000000001" customHeight="1" x14ac:dyDescent="0.25">
      <c r="A152" s="8">
        <v>150</v>
      </c>
      <c r="B152" s="8" t="s">
        <v>399</v>
      </c>
      <c r="C152" s="8" t="s">
        <v>1997</v>
      </c>
      <c r="D152" s="8" t="s">
        <v>2416</v>
      </c>
      <c r="E152" s="8" t="s">
        <v>1998</v>
      </c>
      <c r="F152" s="9" t="s">
        <v>2222</v>
      </c>
      <c r="G152" s="183"/>
      <c r="H152" s="9" t="s">
        <v>2228</v>
      </c>
      <c r="I152" s="183" t="s">
        <v>579</v>
      </c>
      <c r="J152" s="183"/>
      <c r="K152" s="10">
        <v>46038</v>
      </c>
      <c r="L152" s="9">
        <v>70</v>
      </c>
      <c r="M152" s="185" t="str">
        <f>IF(phc_8[[#This Row],[Register No.]]="","",C152&amp;"-"&amp;D152&amp;"-"&amp;"BHA-PHC-"&amp;phc_8[[#This Row],[Register No.]])</f>
        <v>Shining Star-Mobile Clinic-BHA-PHC-70</v>
      </c>
      <c r="N152" s="9" t="s">
        <v>401</v>
      </c>
      <c r="O152" s="183" t="s">
        <v>3274</v>
      </c>
      <c r="P152" s="183">
        <v>70</v>
      </c>
      <c r="Q152" s="183"/>
      <c r="R152" s="183"/>
      <c r="S152" s="186" t="str">
        <f t="shared" si="6"/>
        <v>50 yrs +</v>
      </c>
      <c r="T152" s="183" t="s">
        <v>402</v>
      </c>
      <c r="U152" s="9" t="s">
        <v>2228</v>
      </c>
      <c r="V152" s="183" t="s">
        <v>3262</v>
      </c>
      <c r="W152" s="183" t="s">
        <v>3278</v>
      </c>
      <c r="X152" s="183" t="s">
        <v>2014</v>
      </c>
      <c r="Y152" s="186" t="str">
        <f>INDEX(info!$Y$2:$Y$192,MATCH(phc_8[[#This Row],[Sub_Category]],info!$X$2:$X$192,0))</f>
        <v>Other (non-communicable)</v>
      </c>
      <c r="Z152" s="186" t="str">
        <f t="array" ref="Z152">INDEX(info!$AA$2:$AA$192,MATCH(PHC!$X152&amp;PHC!$Y152,info!$X$2:$X$192&amp;info!$Y$2:$Y$192,0))</f>
        <v>Other</v>
      </c>
      <c r="AA152" s="183" t="s">
        <v>3283</v>
      </c>
      <c r="AB152" s="9" t="s">
        <v>654</v>
      </c>
      <c r="AC152" s="9" t="s">
        <v>654</v>
      </c>
      <c r="AD152" s="9" t="s">
        <v>654</v>
      </c>
      <c r="AE152" s="9" t="s">
        <v>654</v>
      </c>
      <c r="AF152" s="184"/>
      <c r="AG152" s="183"/>
      <c r="AH152" s="183"/>
      <c r="AI152" s="183"/>
      <c r="AJ152" s="183"/>
      <c r="AK152" s="9" t="s">
        <v>654</v>
      </c>
      <c r="AL152" s="183"/>
      <c r="AM152" s="186" t="str">
        <f>IF(AF152="","","Q"&amp;INT((MONTH(AF152)-1)/3)+1&amp;YEAR(AF152)&amp;#REF!&amp;T152)</f>
        <v/>
      </c>
      <c r="AN152" s="186" t="e">
        <f>IF(K152="","","Q"&amp;INT((MONTH(K152)-1)/3)+1&amp;YEAR(K152)&amp;#REF!)</f>
        <v>#REF!</v>
      </c>
    </row>
    <row r="153" spans="1:40" ht="20.100000000000001" customHeight="1" x14ac:dyDescent="0.25">
      <c r="A153" s="8">
        <v>151</v>
      </c>
      <c r="B153" s="8" t="s">
        <v>399</v>
      </c>
      <c r="C153" s="8" t="s">
        <v>1997</v>
      </c>
      <c r="D153" s="8" t="s">
        <v>2416</v>
      </c>
      <c r="E153" s="8" t="s">
        <v>1998</v>
      </c>
      <c r="F153" s="9" t="s">
        <v>2222</v>
      </c>
      <c r="G153" s="183"/>
      <c r="H153" s="9" t="s">
        <v>2228</v>
      </c>
      <c r="I153" s="183" t="s">
        <v>579</v>
      </c>
      <c r="J153" s="183"/>
      <c r="K153" s="10">
        <v>46038</v>
      </c>
      <c r="L153" s="183">
        <v>71</v>
      </c>
      <c r="M153" s="185" t="str">
        <f>IF(phc_8[[#This Row],[Register No.]]="","",C153&amp;"-"&amp;D153&amp;"-"&amp;"BHA-PHC-"&amp;phc_8[[#This Row],[Register No.]])</f>
        <v>Shining Star-Mobile Clinic-BHA-PHC-71</v>
      </c>
      <c r="N153" s="9" t="s">
        <v>401</v>
      </c>
      <c r="O153" s="183" t="s">
        <v>3284</v>
      </c>
      <c r="P153" s="183">
        <v>60</v>
      </c>
      <c r="Q153" s="183"/>
      <c r="R153" s="183"/>
      <c r="S153" s="186" t="str">
        <f t="shared" si="6"/>
        <v>50 yrs +</v>
      </c>
      <c r="T153" s="183" t="s">
        <v>603</v>
      </c>
      <c r="U153" s="9" t="s">
        <v>2228</v>
      </c>
      <c r="V153" s="183" t="s">
        <v>3289</v>
      </c>
      <c r="W153" s="183" t="s">
        <v>2003</v>
      </c>
      <c r="X153" s="183" t="s">
        <v>181</v>
      </c>
      <c r="Y153" s="186" t="str">
        <f>INDEX(info!$Y$2:$Y$192,MATCH(phc_8[[#This Row],[Sub_Category]],info!$X$2:$X$192,0))</f>
        <v>Chronic medical disease</v>
      </c>
      <c r="Z153" s="186" t="str">
        <f t="array" ref="Z153">INDEX(info!$AA$2:$AA$192,MATCH(PHC!$X153&amp;PHC!$Y153,info!$X$2:$X$192&amp;info!$Y$2:$Y$192,0))</f>
        <v>Non-communicable disease</v>
      </c>
      <c r="AA153" s="183" t="s">
        <v>3296</v>
      </c>
      <c r="AB153" s="9" t="s">
        <v>654</v>
      </c>
      <c r="AC153" s="9" t="s">
        <v>654</v>
      </c>
      <c r="AD153" s="9" t="s">
        <v>654</v>
      </c>
      <c r="AE153" s="9" t="s">
        <v>654</v>
      </c>
      <c r="AF153" s="184"/>
      <c r="AG153" s="183"/>
      <c r="AH153" s="183"/>
      <c r="AI153" s="183"/>
      <c r="AJ153" s="183"/>
      <c r="AK153" s="9" t="s">
        <v>654</v>
      </c>
      <c r="AL153" s="183"/>
      <c r="AM153" s="186" t="str">
        <f>IF(AF153="","","Q"&amp;INT((MONTH(AF153)-1)/3)+1&amp;YEAR(AF153)&amp;#REF!&amp;T153)</f>
        <v/>
      </c>
      <c r="AN153" s="186" t="e">
        <f>IF(K153="","","Q"&amp;INT((MONTH(K153)-1)/3)+1&amp;YEAR(K153)&amp;#REF!)</f>
        <v>#REF!</v>
      </c>
    </row>
    <row r="154" spans="1:40" ht="20.100000000000001" customHeight="1" x14ac:dyDescent="0.25">
      <c r="A154" s="8">
        <v>152</v>
      </c>
      <c r="B154" s="8" t="s">
        <v>399</v>
      </c>
      <c r="C154" s="8" t="s">
        <v>1997</v>
      </c>
      <c r="D154" s="8" t="s">
        <v>2416</v>
      </c>
      <c r="E154" s="8" t="s">
        <v>1998</v>
      </c>
      <c r="F154" s="9" t="s">
        <v>2222</v>
      </c>
      <c r="G154" s="183"/>
      <c r="H154" s="9" t="s">
        <v>2228</v>
      </c>
      <c r="I154" s="183" t="s">
        <v>579</v>
      </c>
      <c r="J154" s="183"/>
      <c r="K154" s="10">
        <v>46038</v>
      </c>
      <c r="L154" s="9">
        <v>72</v>
      </c>
      <c r="M154" s="185" t="str">
        <f>IF(phc_8[[#This Row],[Register No.]]="","",C154&amp;"-"&amp;D154&amp;"-"&amp;"BHA-PHC-"&amp;phc_8[[#This Row],[Register No.]])</f>
        <v>Shining Star-Mobile Clinic-BHA-PHC-72</v>
      </c>
      <c r="N154" s="9" t="s">
        <v>401</v>
      </c>
      <c r="O154" s="183" t="s">
        <v>3285</v>
      </c>
      <c r="P154" s="183">
        <v>42</v>
      </c>
      <c r="Q154" s="183"/>
      <c r="R154" s="183"/>
      <c r="S154" s="186" t="str">
        <f t="shared" si="6"/>
        <v>19 - 49 yrs</v>
      </c>
      <c r="T154" s="183" t="s">
        <v>603</v>
      </c>
      <c r="U154" s="9" t="s">
        <v>2228</v>
      </c>
      <c r="V154" s="183" t="s">
        <v>3290</v>
      </c>
      <c r="W154" s="183" t="s">
        <v>2215</v>
      </c>
      <c r="X154" s="183"/>
      <c r="Y154" s="186" t="e">
        <f>INDEX(info!$Y$2:$Y$192,MATCH(phc_8[[#This Row],[Sub_Category]],info!$X$2:$X$192,0))</f>
        <v>#N/A</v>
      </c>
      <c r="Z154" s="186" t="e">
        <f t="array" ref="Z154">INDEX(info!$AA$2:$AA$192,MATCH(PHC!$X154&amp;PHC!$Y154,info!$X$2:$X$192&amp;info!$Y$2:$Y$192,0))</f>
        <v>#N/A</v>
      </c>
      <c r="AA154" s="183" t="s">
        <v>3297</v>
      </c>
      <c r="AB154" s="9" t="s">
        <v>654</v>
      </c>
      <c r="AC154" s="9" t="s">
        <v>654</v>
      </c>
      <c r="AD154" s="9" t="s">
        <v>654</v>
      </c>
      <c r="AE154" s="9" t="s">
        <v>654</v>
      </c>
      <c r="AF154" s="184"/>
      <c r="AG154" s="183"/>
      <c r="AH154" s="183"/>
      <c r="AI154" s="183"/>
      <c r="AJ154" s="183"/>
      <c r="AK154" s="9" t="s">
        <v>654</v>
      </c>
      <c r="AL154" s="183"/>
      <c r="AM154" s="186" t="str">
        <f>IF(AF154="","","Q"&amp;INT((MONTH(AF154)-1)/3)+1&amp;YEAR(AF154)&amp;#REF!&amp;T154)</f>
        <v/>
      </c>
      <c r="AN154" s="186" t="e">
        <f>IF(K154="","","Q"&amp;INT((MONTH(K154)-1)/3)+1&amp;YEAR(K154)&amp;#REF!)</f>
        <v>#REF!</v>
      </c>
    </row>
    <row r="155" spans="1:40" ht="20.100000000000001" customHeight="1" x14ac:dyDescent="0.25">
      <c r="A155" s="8">
        <v>153</v>
      </c>
      <c r="B155" s="8" t="s">
        <v>399</v>
      </c>
      <c r="C155" s="8" t="s">
        <v>1997</v>
      </c>
      <c r="D155" s="8" t="s">
        <v>2416</v>
      </c>
      <c r="E155" s="8" t="s">
        <v>1998</v>
      </c>
      <c r="F155" s="9" t="s">
        <v>2222</v>
      </c>
      <c r="G155" s="183"/>
      <c r="H155" s="9" t="s">
        <v>2228</v>
      </c>
      <c r="I155" s="183" t="s">
        <v>579</v>
      </c>
      <c r="J155" s="183"/>
      <c r="K155" s="10">
        <v>46038</v>
      </c>
      <c r="L155" s="9">
        <v>73</v>
      </c>
      <c r="M155" s="185" t="str">
        <f>IF(phc_8[[#This Row],[Register No.]]="","",C155&amp;"-"&amp;D155&amp;"-"&amp;"BHA-PHC-"&amp;phc_8[[#This Row],[Register No.]])</f>
        <v>Shining Star-Mobile Clinic-BHA-PHC-73</v>
      </c>
      <c r="N155" s="9" t="s">
        <v>401</v>
      </c>
      <c r="O155" s="183" t="s">
        <v>3286</v>
      </c>
      <c r="P155" s="183">
        <v>67</v>
      </c>
      <c r="Q155" s="183"/>
      <c r="R155" s="183"/>
      <c r="S155" s="186" t="str">
        <f t="shared" si="6"/>
        <v>50 yrs +</v>
      </c>
      <c r="T155" s="183" t="s">
        <v>603</v>
      </c>
      <c r="U155" s="9" t="s">
        <v>2228</v>
      </c>
      <c r="V155" s="183" t="s">
        <v>3291</v>
      </c>
      <c r="W155" s="183" t="s">
        <v>3294</v>
      </c>
      <c r="X155" s="183" t="s">
        <v>242</v>
      </c>
      <c r="Y155" s="186" t="str">
        <f>INDEX(info!$Y$2:$Y$192,MATCH(phc_8[[#This Row],[Sub_Category]],info!$X$2:$X$192,0))</f>
        <v>Accident/minor sugical and injuries</v>
      </c>
      <c r="Z155" s="186" t="str">
        <f t="array" ref="Z155">INDEX(info!$AA$2:$AA$192,MATCH(PHC!$X155&amp;PHC!$Y155,info!$X$2:$X$192&amp;info!$Y$2:$Y$192,0))</f>
        <v>Injury related</v>
      </c>
      <c r="AA155" s="183" t="s">
        <v>3298</v>
      </c>
      <c r="AB155" s="9" t="s">
        <v>654</v>
      </c>
      <c r="AC155" s="9" t="s">
        <v>654</v>
      </c>
      <c r="AD155" s="9" t="s">
        <v>654</v>
      </c>
      <c r="AE155" s="9" t="s">
        <v>654</v>
      </c>
      <c r="AF155" s="184"/>
      <c r="AG155" s="183"/>
      <c r="AH155" s="183"/>
      <c r="AI155" s="183"/>
      <c r="AJ155" s="183"/>
      <c r="AK155" s="9" t="s">
        <v>654</v>
      </c>
      <c r="AL155" s="183"/>
      <c r="AM155" s="186" t="str">
        <f>IF(AF155="","","Q"&amp;INT((MONTH(AF155)-1)/3)+1&amp;YEAR(AF155)&amp;#REF!&amp;T155)</f>
        <v/>
      </c>
      <c r="AN155" s="186" t="e">
        <f>IF(K155="","","Q"&amp;INT((MONTH(K155)-1)/3)+1&amp;YEAR(K155)&amp;#REF!)</f>
        <v>#REF!</v>
      </c>
    </row>
    <row r="156" spans="1:40" ht="20.100000000000001" customHeight="1" x14ac:dyDescent="0.25">
      <c r="A156" s="8">
        <v>154</v>
      </c>
      <c r="B156" s="8" t="s">
        <v>399</v>
      </c>
      <c r="C156" s="8" t="s">
        <v>1997</v>
      </c>
      <c r="D156" s="8" t="s">
        <v>2416</v>
      </c>
      <c r="E156" s="8" t="s">
        <v>1998</v>
      </c>
      <c r="F156" s="9" t="s">
        <v>2222</v>
      </c>
      <c r="G156" s="183"/>
      <c r="H156" s="9" t="s">
        <v>2228</v>
      </c>
      <c r="I156" s="183" t="s">
        <v>579</v>
      </c>
      <c r="J156" s="183"/>
      <c r="K156" s="10">
        <v>46038</v>
      </c>
      <c r="L156" s="183">
        <v>74</v>
      </c>
      <c r="M156" s="185" t="str">
        <f>IF(phc_8[[#This Row],[Register No.]]="","",C156&amp;"-"&amp;D156&amp;"-"&amp;"BHA-PHC-"&amp;phc_8[[#This Row],[Register No.]])</f>
        <v>Shining Star-Mobile Clinic-BHA-PHC-74</v>
      </c>
      <c r="N156" s="9" t="s">
        <v>401</v>
      </c>
      <c r="O156" s="183" t="s">
        <v>3287</v>
      </c>
      <c r="P156" s="183">
        <v>54</v>
      </c>
      <c r="Q156" s="183"/>
      <c r="R156" s="183"/>
      <c r="S156" s="186" t="str">
        <f t="shared" si="6"/>
        <v>50 yrs +</v>
      </c>
      <c r="T156" s="183" t="s">
        <v>603</v>
      </c>
      <c r="U156" s="9" t="s">
        <v>2228</v>
      </c>
      <c r="V156" s="183" t="s">
        <v>3292</v>
      </c>
      <c r="W156" s="183" t="s">
        <v>2030</v>
      </c>
      <c r="X156" s="183" t="s">
        <v>178</v>
      </c>
      <c r="Y156" s="186" t="str">
        <f>INDEX(info!$Y$2:$Y$192,MATCH(phc_8[[#This Row],[Sub_Category]],info!$X$2:$X$192,0))</f>
        <v>Chronic medical disease</v>
      </c>
      <c r="Z156" s="186" t="str">
        <f t="array" ref="Z156">INDEX(info!$AA$2:$AA$192,MATCH(PHC!$X156&amp;PHC!$Y156,info!$X$2:$X$192&amp;info!$Y$2:$Y$192,0))</f>
        <v>Non-communicable disease</v>
      </c>
      <c r="AA156" s="183" t="s">
        <v>3299</v>
      </c>
      <c r="AB156" s="9" t="s">
        <v>654</v>
      </c>
      <c r="AC156" s="9" t="s">
        <v>654</v>
      </c>
      <c r="AD156" s="9" t="s">
        <v>654</v>
      </c>
      <c r="AE156" s="9" t="s">
        <v>654</v>
      </c>
      <c r="AF156" s="184"/>
      <c r="AG156" s="183"/>
      <c r="AH156" s="183"/>
      <c r="AI156" s="183"/>
      <c r="AJ156" s="183"/>
      <c r="AK156" s="9" t="s">
        <v>654</v>
      </c>
      <c r="AL156" s="183"/>
      <c r="AM156" s="186" t="str">
        <f>IF(AF156="","","Q"&amp;INT((MONTH(AF156)-1)/3)+1&amp;YEAR(AF156)&amp;#REF!&amp;T156)</f>
        <v/>
      </c>
      <c r="AN156" s="186" t="e">
        <f>IF(K156="","","Q"&amp;INT((MONTH(K156)-1)/3)+1&amp;YEAR(K156)&amp;#REF!)</f>
        <v>#REF!</v>
      </c>
    </row>
    <row r="157" spans="1:40" ht="20.100000000000001" customHeight="1" x14ac:dyDescent="0.25">
      <c r="A157" s="8">
        <v>155</v>
      </c>
      <c r="B157" s="8" t="s">
        <v>399</v>
      </c>
      <c r="C157" s="8" t="s">
        <v>1997</v>
      </c>
      <c r="D157" s="8" t="s">
        <v>2416</v>
      </c>
      <c r="E157" s="8" t="s">
        <v>1998</v>
      </c>
      <c r="F157" s="9" t="s">
        <v>2222</v>
      </c>
      <c r="G157" s="183"/>
      <c r="H157" s="9" t="s">
        <v>2228</v>
      </c>
      <c r="I157" s="183" t="s">
        <v>579</v>
      </c>
      <c r="J157" s="183"/>
      <c r="K157" s="10">
        <v>46038</v>
      </c>
      <c r="L157" s="9">
        <v>75</v>
      </c>
      <c r="M157" s="185" t="str">
        <f>IF(phc_8[[#This Row],[Register No.]]="","",C157&amp;"-"&amp;D157&amp;"-"&amp;"BHA-PHC-"&amp;phc_8[[#This Row],[Register No.]])</f>
        <v>Shining Star-Mobile Clinic-BHA-PHC-75</v>
      </c>
      <c r="N157" s="9" t="s">
        <v>401</v>
      </c>
      <c r="O157" s="183" t="s">
        <v>3288</v>
      </c>
      <c r="P157" s="183">
        <v>77</v>
      </c>
      <c r="Q157" s="183"/>
      <c r="R157" s="183"/>
      <c r="S157" s="186" t="str">
        <f t="shared" si="6"/>
        <v>50 yrs +</v>
      </c>
      <c r="T157" s="183" t="s">
        <v>603</v>
      </c>
      <c r="U157" s="9" t="s">
        <v>2228</v>
      </c>
      <c r="V157" s="183" t="s">
        <v>3293</v>
      </c>
      <c r="W157" s="183" t="s">
        <v>3295</v>
      </c>
      <c r="X157" s="183" t="s">
        <v>3078</v>
      </c>
      <c r="Y157" s="186" t="str">
        <f>INDEX(info!$Y$2:$Y$192,MATCH(phc_8[[#This Row],[Sub_Category]],info!$X$2:$X$192,0))</f>
        <v>ARI/RTI</v>
      </c>
      <c r="Z157" s="186" t="str">
        <f t="array" ref="Z157">INDEX(info!$AA$2:$AA$192,MATCH(PHC!$X157&amp;PHC!$Y157,info!$X$2:$X$192&amp;info!$Y$2:$Y$192,0))</f>
        <v>Communicable disease</v>
      </c>
      <c r="AA157" s="183" t="s">
        <v>3300</v>
      </c>
      <c r="AB157" s="9" t="s">
        <v>654</v>
      </c>
      <c r="AC157" s="9" t="s">
        <v>654</v>
      </c>
      <c r="AD157" s="9" t="s">
        <v>654</v>
      </c>
      <c r="AE157" s="9" t="s">
        <v>654</v>
      </c>
      <c r="AF157" s="184"/>
      <c r="AG157" s="183"/>
      <c r="AH157" s="183"/>
      <c r="AI157" s="183"/>
      <c r="AJ157" s="183"/>
      <c r="AK157" s="9" t="s">
        <v>654</v>
      </c>
      <c r="AL157" s="183"/>
      <c r="AM157" s="186" t="str">
        <f>IF(AF157="","","Q"&amp;INT((MONTH(AF157)-1)/3)+1&amp;YEAR(AF157)&amp;#REF!&amp;T157)</f>
        <v/>
      </c>
      <c r="AN157" s="186" t="e">
        <f>IF(K157="","","Q"&amp;INT((MONTH(K157)-1)/3)+1&amp;YEAR(K157)&amp;#REF!)</f>
        <v>#REF!</v>
      </c>
    </row>
    <row r="158" spans="1:40" ht="20.100000000000001" customHeight="1" x14ac:dyDescent="0.25">
      <c r="A158" s="8">
        <v>156</v>
      </c>
      <c r="B158" s="8" t="s">
        <v>399</v>
      </c>
      <c r="C158" s="8" t="s">
        <v>1997</v>
      </c>
      <c r="D158" s="8" t="s">
        <v>2416</v>
      </c>
      <c r="E158" s="8" t="s">
        <v>1998</v>
      </c>
      <c r="F158" s="9" t="s">
        <v>2222</v>
      </c>
      <c r="G158" s="183"/>
      <c r="H158" s="9" t="s">
        <v>2228</v>
      </c>
      <c r="I158" s="183" t="s">
        <v>579</v>
      </c>
      <c r="J158" s="183"/>
      <c r="K158" s="10">
        <v>46038</v>
      </c>
      <c r="L158" s="9">
        <v>76</v>
      </c>
      <c r="M158" s="185" t="str">
        <f>IF(phc_8[[#This Row],[Register No.]]="","",C158&amp;"-"&amp;D158&amp;"-"&amp;"BHA-PHC-"&amp;phc_8[[#This Row],[Register No.]])</f>
        <v>Shining Star-Mobile Clinic-BHA-PHC-76</v>
      </c>
      <c r="N158" s="9" t="s">
        <v>401</v>
      </c>
      <c r="O158" s="183" t="s">
        <v>2223</v>
      </c>
      <c r="P158" s="183"/>
      <c r="Q158" s="183">
        <v>6</v>
      </c>
      <c r="R158" s="183"/>
      <c r="S158" s="186" t="str">
        <f t="shared" si="6"/>
        <v>&lt;5 yrs</v>
      </c>
      <c r="T158" s="183" t="s">
        <v>603</v>
      </c>
      <c r="U158" s="9" t="s">
        <v>2228</v>
      </c>
      <c r="V158" s="183" t="s">
        <v>3303</v>
      </c>
      <c r="W158" s="183" t="s">
        <v>3308</v>
      </c>
      <c r="X158" s="183" t="s">
        <v>113</v>
      </c>
      <c r="Y158" s="186" t="str">
        <f>INDEX(info!$Y$2:$Y$192,MATCH(phc_8[[#This Row],[Sub_Category]],info!$X$2:$X$192,0))</f>
        <v>ARI/RTI</v>
      </c>
      <c r="Z158" s="186" t="str">
        <f t="array" ref="Z158">INDEX(info!$AA$2:$AA$192,MATCH(PHC!$X158&amp;PHC!$Y158,info!$X$2:$X$192&amp;info!$Y$2:$Y$192,0))</f>
        <v>Communicable disease</v>
      </c>
      <c r="AA158" s="183" t="s">
        <v>3310</v>
      </c>
      <c r="AB158" s="9" t="s">
        <v>654</v>
      </c>
      <c r="AC158" s="9" t="s">
        <v>654</v>
      </c>
      <c r="AD158" s="9" t="s">
        <v>654</v>
      </c>
      <c r="AE158" s="9" t="s">
        <v>654</v>
      </c>
      <c r="AF158" s="184"/>
      <c r="AG158" s="183"/>
      <c r="AH158" s="183"/>
      <c r="AI158" s="183"/>
      <c r="AJ158" s="183"/>
      <c r="AK158" s="9" t="s">
        <v>654</v>
      </c>
      <c r="AL158" s="183"/>
      <c r="AM158" s="186" t="str">
        <f>IF(AF158="","","Q"&amp;INT((MONTH(AF158)-1)/3)+1&amp;YEAR(AF158)&amp;#REF!&amp;T158)</f>
        <v/>
      </c>
      <c r="AN158" s="186" t="e">
        <f>IF(K158="","","Q"&amp;INT((MONTH(K158)-1)/3)+1&amp;YEAR(K158)&amp;#REF!)</f>
        <v>#REF!</v>
      </c>
    </row>
    <row r="159" spans="1:40" ht="20.100000000000001" customHeight="1" x14ac:dyDescent="0.25">
      <c r="A159" s="8">
        <v>157</v>
      </c>
      <c r="B159" s="8" t="s">
        <v>399</v>
      </c>
      <c r="C159" s="8" t="s">
        <v>1997</v>
      </c>
      <c r="D159" s="8" t="s">
        <v>2416</v>
      </c>
      <c r="E159" s="8" t="s">
        <v>1998</v>
      </c>
      <c r="F159" s="9" t="s">
        <v>2222</v>
      </c>
      <c r="G159" s="183"/>
      <c r="H159" s="9" t="s">
        <v>2228</v>
      </c>
      <c r="I159" s="183" t="s">
        <v>579</v>
      </c>
      <c r="J159" s="183"/>
      <c r="K159" s="10">
        <v>46038</v>
      </c>
      <c r="L159" s="183">
        <v>77</v>
      </c>
      <c r="M159" s="185" t="str">
        <f>IF(phc_8[[#This Row],[Register No.]]="","",C159&amp;"-"&amp;D159&amp;"-"&amp;"BHA-PHC-"&amp;phc_8[[#This Row],[Register No.]])</f>
        <v>Shining Star-Mobile Clinic-BHA-PHC-77</v>
      </c>
      <c r="N159" s="9" t="s">
        <v>401</v>
      </c>
      <c r="O159" s="183" t="s">
        <v>2394</v>
      </c>
      <c r="P159" s="183">
        <v>25</v>
      </c>
      <c r="Q159" s="183"/>
      <c r="R159" s="183"/>
      <c r="S159" s="186" t="str">
        <f t="shared" si="6"/>
        <v>19 - 49 yrs</v>
      </c>
      <c r="T159" s="183" t="s">
        <v>603</v>
      </c>
      <c r="U159" s="9" t="s">
        <v>2228</v>
      </c>
      <c r="V159" s="183" t="s">
        <v>3304</v>
      </c>
      <c r="W159" s="183" t="s">
        <v>2014</v>
      </c>
      <c r="X159" s="183" t="s">
        <v>2014</v>
      </c>
      <c r="Y159" s="186" t="str">
        <f>INDEX(info!$Y$2:$Y$192,MATCH(phc_8[[#This Row],[Sub_Category]],info!$X$2:$X$192,0))</f>
        <v>Other (non-communicable)</v>
      </c>
      <c r="Z159" s="186" t="str">
        <f t="array" ref="Z159">INDEX(info!$AA$2:$AA$192,MATCH(PHC!$X159&amp;PHC!$Y159,info!$X$2:$X$192&amp;info!$Y$2:$Y$192,0))</f>
        <v>Other</v>
      </c>
      <c r="AA159" s="183" t="s">
        <v>3311</v>
      </c>
      <c r="AB159" s="9" t="s">
        <v>654</v>
      </c>
      <c r="AC159" s="9" t="s">
        <v>654</v>
      </c>
      <c r="AD159" s="9" t="s">
        <v>654</v>
      </c>
      <c r="AE159" s="9" t="s">
        <v>654</v>
      </c>
      <c r="AF159" s="184"/>
      <c r="AG159" s="183"/>
      <c r="AH159" s="183"/>
      <c r="AI159" s="183"/>
      <c r="AJ159" s="183"/>
      <c r="AK159" s="9" t="s">
        <v>654</v>
      </c>
      <c r="AL159" s="183"/>
      <c r="AM159" s="186" t="str">
        <f>IF(AF159="","","Q"&amp;INT((MONTH(AF159)-1)/3)+1&amp;YEAR(AF159)&amp;#REF!&amp;T159)</f>
        <v/>
      </c>
      <c r="AN159" s="186" t="e">
        <f>IF(K159="","","Q"&amp;INT((MONTH(K159)-1)/3)+1&amp;YEAR(K159)&amp;#REF!)</f>
        <v>#REF!</v>
      </c>
    </row>
    <row r="160" spans="1:40" ht="20.100000000000001" customHeight="1" x14ac:dyDescent="0.25">
      <c r="A160" s="8">
        <v>158</v>
      </c>
      <c r="B160" s="8" t="s">
        <v>399</v>
      </c>
      <c r="C160" s="8" t="s">
        <v>1997</v>
      </c>
      <c r="D160" s="8" t="s">
        <v>2416</v>
      </c>
      <c r="E160" s="8" t="s">
        <v>1998</v>
      </c>
      <c r="F160" s="9" t="s">
        <v>2222</v>
      </c>
      <c r="G160" s="183"/>
      <c r="H160" s="9" t="s">
        <v>2228</v>
      </c>
      <c r="I160" s="183" t="s">
        <v>579</v>
      </c>
      <c r="J160" s="183"/>
      <c r="K160" s="10">
        <v>46038</v>
      </c>
      <c r="L160" s="9">
        <v>78</v>
      </c>
      <c r="M160" s="185" t="str">
        <f>IF(phc_8[[#This Row],[Register No.]]="","",C160&amp;"-"&amp;D160&amp;"-"&amp;"BHA-PHC-"&amp;phc_8[[#This Row],[Register No.]])</f>
        <v>Shining Star-Mobile Clinic-BHA-PHC-78</v>
      </c>
      <c r="N160" s="9" t="s">
        <v>401</v>
      </c>
      <c r="O160" s="183" t="s">
        <v>2649</v>
      </c>
      <c r="P160" s="183">
        <v>62</v>
      </c>
      <c r="Q160" s="183"/>
      <c r="R160" s="183"/>
      <c r="S160" s="186" t="str">
        <f t="shared" si="6"/>
        <v>50 yrs +</v>
      </c>
      <c r="T160" s="183" t="s">
        <v>603</v>
      </c>
      <c r="U160" s="9" t="s">
        <v>2228</v>
      </c>
      <c r="V160" s="183" t="s">
        <v>3305</v>
      </c>
      <c r="W160" s="183" t="s">
        <v>2003</v>
      </c>
      <c r="X160" s="183" t="s">
        <v>181</v>
      </c>
      <c r="Y160" s="186" t="str">
        <f>INDEX(info!$Y$2:$Y$192,MATCH(phc_8[[#This Row],[Sub_Category]],info!$X$2:$X$192,0))</f>
        <v>Chronic medical disease</v>
      </c>
      <c r="Z160" s="186" t="str">
        <f t="array" ref="Z160">INDEX(info!$AA$2:$AA$192,MATCH(PHC!$X160&amp;PHC!$Y160,info!$X$2:$X$192&amp;info!$Y$2:$Y$192,0))</f>
        <v>Non-communicable disease</v>
      </c>
      <c r="AA160" s="183" t="s">
        <v>3312</v>
      </c>
      <c r="AB160" s="9" t="s">
        <v>654</v>
      </c>
      <c r="AC160" s="9" t="s">
        <v>654</v>
      </c>
      <c r="AD160" s="9" t="s">
        <v>654</v>
      </c>
      <c r="AE160" s="9" t="s">
        <v>654</v>
      </c>
      <c r="AF160" s="184"/>
      <c r="AG160" s="183"/>
      <c r="AH160" s="183"/>
      <c r="AI160" s="183"/>
      <c r="AJ160" s="183"/>
      <c r="AK160" s="9" t="s">
        <v>654</v>
      </c>
      <c r="AL160" s="183"/>
      <c r="AM160" s="186" t="str">
        <f>IF(AF160="","","Q"&amp;INT((MONTH(AF160)-1)/3)+1&amp;YEAR(AF160)&amp;#REF!&amp;T160)</f>
        <v/>
      </c>
      <c r="AN160" s="186" t="e">
        <f>IF(K160="","","Q"&amp;INT((MONTH(K160)-1)/3)+1&amp;YEAR(K160)&amp;#REF!)</f>
        <v>#REF!</v>
      </c>
    </row>
    <row r="161" spans="1:40" ht="20.100000000000001" customHeight="1" x14ac:dyDescent="0.25">
      <c r="A161" s="8">
        <v>159</v>
      </c>
      <c r="B161" s="8" t="s">
        <v>399</v>
      </c>
      <c r="C161" s="8" t="s">
        <v>1997</v>
      </c>
      <c r="D161" s="8" t="s">
        <v>2416</v>
      </c>
      <c r="E161" s="8" t="s">
        <v>1998</v>
      </c>
      <c r="F161" s="9" t="s">
        <v>2222</v>
      </c>
      <c r="G161" s="183"/>
      <c r="H161" s="9" t="s">
        <v>2228</v>
      </c>
      <c r="I161" s="183" t="s">
        <v>579</v>
      </c>
      <c r="J161" s="183"/>
      <c r="K161" s="10">
        <v>46038</v>
      </c>
      <c r="L161" s="9">
        <v>79</v>
      </c>
      <c r="M161" s="185" t="str">
        <f>IF(phc_8[[#This Row],[Register No.]]="","",C161&amp;"-"&amp;D161&amp;"-"&amp;"BHA-PHC-"&amp;phc_8[[#This Row],[Register No.]])</f>
        <v>Shining Star-Mobile Clinic-BHA-PHC-79</v>
      </c>
      <c r="N161" s="9" t="s">
        <v>401</v>
      </c>
      <c r="O161" s="183" t="s">
        <v>3301</v>
      </c>
      <c r="P161" s="183">
        <v>3</v>
      </c>
      <c r="Q161" s="183"/>
      <c r="R161" s="183"/>
      <c r="S161" s="186" t="str">
        <f t="shared" si="6"/>
        <v>&lt;5 yrs</v>
      </c>
      <c r="T161" s="183" t="s">
        <v>603</v>
      </c>
      <c r="U161" s="9" t="s">
        <v>2228</v>
      </c>
      <c r="V161" s="183" t="s">
        <v>3306</v>
      </c>
      <c r="W161" s="183" t="s">
        <v>3309</v>
      </c>
      <c r="X161" s="183" t="s">
        <v>234</v>
      </c>
      <c r="Y161" s="186" t="str">
        <f>INDEX(info!$Y$2:$Y$192,MATCH(phc_8[[#This Row],[Sub_Category]],info!$X$2:$X$192,0))</f>
        <v>Parasitic disease</v>
      </c>
      <c r="Z161" s="186" t="str">
        <f t="array" ref="Z161">INDEX(info!$AA$2:$AA$192,MATCH(PHC!$X161&amp;PHC!$Y161,info!$X$2:$X$192&amp;info!$Y$2:$Y$192,0))</f>
        <v>Communicable disease</v>
      </c>
      <c r="AA161" s="183" t="s">
        <v>3313</v>
      </c>
      <c r="AB161" s="9" t="s">
        <v>654</v>
      </c>
      <c r="AC161" s="9" t="s">
        <v>654</v>
      </c>
      <c r="AD161" s="9" t="s">
        <v>654</v>
      </c>
      <c r="AE161" s="9" t="s">
        <v>654</v>
      </c>
      <c r="AF161" s="184"/>
      <c r="AG161" s="183"/>
      <c r="AH161" s="183"/>
      <c r="AI161" s="183"/>
      <c r="AJ161" s="183"/>
      <c r="AK161" s="9" t="s">
        <v>654</v>
      </c>
      <c r="AL161" s="183"/>
      <c r="AM161" s="186" t="str">
        <f>IF(AF161="","","Q"&amp;INT((MONTH(AF161)-1)/3)+1&amp;YEAR(AF161)&amp;#REF!&amp;T161)</f>
        <v/>
      </c>
      <c r="AN161" s="186" t="e">
        <f>IF(K161="","","Q"&amp;INT((MONTH(K161)-1)/3)+1&amp;YEAR(K161)&amp;#REF!)</f>
        <v>#REF!</v>
      </c>
    </row>
    <row r="162" spans="1:40" ht="20.100000000000001" customHeight="1" x14ac:dyDescent="0.25">
      <c r="A162" s="8">
        <v>160</v>
      </c>
      <c r="B162" s="8" t="s">
        <v>399</v>
      </c>
      <c r="C162" s="8" t="s">
        <v>1997</v>
      </c>
      <c r="D162" s="8" t="s">
        <v>2416</v>
      </c>
      <c r="E162" s="8" t="s">
        <v>1998</v>
      </c>
      <c r="F162" s="9" t="s">
        <v>2222</v>
      </c>
      <c r="G162" s="183"/>
      <c r="H162" s="9" t="s">
        <v>2228</v>
      </c>
      <c r="I162" s="183" t="s">
        <v>579</v>
      </c>
      <c r="J162" s="183"/>
      <c r="K162" s="10">
        <v>46038</v>
      </c>
      <c r="L162" s="183">
        <v>80</v>
      </c>
      <c r="M162" s="185" t="str">
        <f>IF(phc_8[[#This Row],[Register No.]]="","",C162&amp;"-"&amp;D162&amp;"-"&amp;"BHA-PHC-"&amp;phc_8[[#This Row],[Register No.]])</f>
        <v>Shining Star-Mobile Clinic-BHA-PHC-80</v>
      </c>
      <c r="N162" s="9" t="s">
        <v>401</v>
      </c>
      <c r="O162" s="183" t="s">
        <v>3302</v>
      </c>
      <c r="P162" s="183">
        <v>39</v>
      </c>
      <c r="Q162" s="183"/>
      <c r="R162" s="183"/>
      <c r="S162" s="186" t="str">
        <f t="shared" si="6"/>
        <v>19 - 49 yrs</v>
      </c>
      <c r="T162" s="183" t="s">
        <v>603</v>
      </c>
      <c r="U162" s="9" t="s">
        <v>2228</v>
      </c>
      <c r="V162" s="183" t="s">
        <v>3307</v>
      </c>
      <c r="W162" s="183" t="s">
        <v>2003</v>
      </c>
      <c r="X162" s="183" t="s">
        <v>181</v>
      </c>
      <c r="Y162" s="186" t="str">
        <f>INDEX(info!$Y$2:$Y$192,MATCH(phc_8[[#This Row],[Sub_Category]],info!$X$2:$X$192,0))</f>
        <v>Chronic medical disease</v>
      </c>
      <c r="Z162" s="186" t="str">
        <f t="array" ref="Z162">INDEX(info!$AA$2:$AA$192,MATCH(PHC!$X162&amp;PHC!$Y162,info!$X$2:$X$192&amp;info!$Y$2:$Y$192,0))</f>
        <v>Non-communicable disease</v>
      </c>
      <c r="AA162" s="183" t="s">
        <v>3314</v>
      </c>
      <c r="AB162" s="9" t="s">
        <v>654</v>
      </c>
      <c r="AC162" s="9" t="s">
        <v>654</v>
      </c>
      <c r="AD162" s="9" t="s">
        <v>654</v>
      </c>
      <c r="AE162" s="9" t="s">
        <v>654</v>
      </c>
      <c r="AF162" s="184"/>
      <c r="AG162" s="183"/>
      <c r="AH162" s="183"/>
      <c r="AI162" s="183"/>
      <c r="AJ162" s="183"/>
      <c r="AK162" s="9" t="s">
        <v>654</v>
      </c>
      <c r="AL162" s="183"/>
      <c r="AM162" s="186" t="str">
        <f>IF(AF162="","","Q"&amp;INT((MONTH(AF162)-1)/3)+1&amp;YEAR(AF162)&amp;#REF!&amp;T162)</f>
        <v/>
      </c>
      <c r="AN162" s="186" t="e">
        <f>IF(K162="","","Q"&amp;INT((MONTH(K162)-1)/3)+1&amp;YEAR(K162)&amp;#REF!)</f>
        <v>#REF!</v>
      </c>
    </row>
    <row r="163" spans="1:40" ht="20.100000000000001" customHeight="1" x14ac:dyDescent="0.25">
      <c r="A163" s="8">
        <v>161</v>
      </c>
      <c r="B163" s="8" t="s">
        <v>399</v>
      </c>
      <c r="C163" s="8" t="s">
        <v>1997</v>
      </c>
      <c r="D163" s="8" t="s">
        <v>2416</v>
      </c>
      <c r="E163" s="8" t="s">
        <v>1998</v>
      </c>
      <c r="F163" s="9" t="s">
        <v>2222</v>
      </c>
      <c r="G163" s="183"/>
      <c r="H163" s="9" t="s">
        <v>2228</v>
      </c>
      <c r="I163" s="183" t="s">
        <v>579</v>
      </c>
      <c r="J163" s="183"/>
      <c r="K163" s="10">
        <v>46038</v>
      </c>
      <c r="L163" s="9">
        <v>81</v>
      </c>
      <c r="M163" s="185" t="str">
        <f>IF(phc_8[[#This Row],[Register No.]]="","",C163&amp;"-"&amp;D163&amp;"-"&amp;"BHA-PHC-"&amp;phc_8[[#This Row],[Register No.]])</f>
        <v>Shining Star-Mobile Clinic-BHA-PHC-81</v>
      </c>
      <c r="N163" s="9" t="s">
        <v>401</v>
      </c>
      <c r="O163" s="183" t="s">
        <v>3315</v>
      </c>
      <c r="P163" s="183">
        <v>67</v>
      </c>
      <c r="Q163" s="183"/>
      <c r="R163" s="183"/>
      <c r="S163" s="186" t="str">
        <f t="shared" si="6"/>
        <v>50 yrs +</v>
      </c>
      <c r="T163" s="183" t="s">
        <v>603</v>
      </c>
      <c r="U163" s="9" t="s">
        <v>2228</v>
      </c>
      <c r="V163" s="183" t="s">
        <v>3246</v>
      </c>
      <c r="W163" s="183" t="s">
        <v>3322</v>
      </c>
      <c r="X163" s="183" t="s">
        <v>242</v>
      </c>
      <c r="Y163" s="186" t="str">
        <f>INDEX(info!$Y$2:$Y$192,MATCH(phc_8[[#This Row],[Sub_Category]],info!$X$2:$X$192,0))</f>
        <v>Accident/minor sugical and injuries</v>
      </c>
      <c r="Z163" s="186" t="str">
        <f t="array" ref="Z163">INDEX(info!$AA$2:$AA$192,MATCH(PHC!$X163&amp;PHC!$Y163,info!$X$2:$X$192&amp;info!$Y$2:$Y$192,0))</f>
        <v>Injury related</v>
      </c>
      <c r="AA163" s="183" t="s">
        <v>3323</v>
      </c>
      <c r="AB163" s="9" t="s">
        <v>654</v>
      </c>
      <c r="AC163" s="9" t="s">
        <v>654</v>
      </c>
      <c r="AD163" s="9" t="s">
        <v>654</v>
      </c>
      <c r="AE163" s="9" t="s">
        <v>654</v>
      </c>
      <c r="AF163" s="184"/>
      <c r="AG163" s="183"/>
      <c r="AH163" s="183"/>
      <c r="AI163" s="183"/>
      <c r="AJ163" s="183"/>
      <c r="AK163" s="9" t="s">
        <v>654</v>
      </c>
      <c r="AL163" s="183"/>
      <c r="AM163" s="186" t="str">
        <f>IF(AF163="","","Q"&amp;INT((MONTH(AF163)-1)/3)+1&amp;YEAR(AF163)&amp;#REF!&amp;T163)</f>
        <v/>
      </c>
      <c r="AN163" s="186" t="e">
        <f>IF(K163="","","Q"&amp;INT((MONTH(K163)-1)/3)+1&amp;YEAR(K163)&amp;#REF!)</f>
        <v>#REF!</v>
      </c>
    </row>
    <row r="164" spans="1:40" ht="20.100000000000001" customHeight="1" x14ac:dyDescent="0.25">
      <c r="A164" s="8">
        <v>162</v>
      </c>
      <c r="B164" s="8" t="s">
        <v>399</v>
      </c>
      <c r="C164" s="8" t="s">
        <v>1997</v>
      </c>
      <c r="D164" s="8" t="s">
        <v>2416</v>
      </c>
      <c r="E164" s="8" t="s">
        <v>1998</v>
      </c>
      <c r="F164" s="9" t="s">
        <v>2222</v>
      </c>
      <c r="G164" s="183"/>
      <c r="H164" s="9" t="s">
        <v>2228</v>
      </c>
      <c r="I164" s="183" t="s">
        <v>579</v>
      </c>
      <c r="J164" s="183"/>
      <c r="K164" s="10">
        <v>46038</v>
      </c>
      <c r="L164" s="9">
        <v>82</v>
      </c>
      <c r="M164" s="185" t="str">
        <f>IF(phc_8[[#This Row],[Register No.]]="","",C164&amp;"-"&amp;D164&amp;"-"&amp;"BHA-PHC-"&amp;phc_8[[#This Row],[Register No.]])</f>
        <v>Shining Star-Mobile Clinic-BHA-PHC-82</v>
      </c>
      <c r="N164" s="9" t="s">
        <v>401</v>
      </c>
      <c r="O164" s="183" t="s">
        <v>2229</v>
      </c>
      <c r="P164" s="183">
        <v>36</v>
      </c>
      <c r="Q164" s="183"/>
      <c r="R164" s="183"/>
      <c r="S164" s="186" t="str">
        <f t="shared" si="6"/>
        <v>19 - 49 yrs</v>
      </c>
      <c r="T164" s="183" t="s">
        <v>603</v>
      </c>
      <c r="U164" s="9" t="s">
        <v>2228</v>
      </c>
      <c r="V164" s="183" t="s">
        <v>3319</v>
      </c>
      <c r="W164" s="183" t="s">
        <v>2014</v>
      </c>
      <c r="X164" s="183" t="s">
        <v>2014</v>
      </c>
      <c r="Y164" s="186" t="str">
        <f>INDEX(info!$Y$2:$Y$192,MATCH(phc_8[[#This Row],[Sub_Category]],info!$X$2:$X$192,0))</f>
        <v>Other (non-communicable)</v>
      </c>
      <c r="Z164" s="186" t="str">
        <f t="array" ref="Z164">INDEX(info!$AA$2:$AA$192,MATCH(PHC!$X164&amp;PHC!$Y164,info!$X$2:$X$192&amp;info!$Y$2:$Y$192,0))</f>
        <v>Other</v>
      </c>
      <c r="AA164" s="183" t="s">
        <v>3324</v>
      </c>
      <c r="AB164" s="9" t="s">
        <v>654</v>
      </c>
      <c r="AC164" s="9" t="s">
        <v>654</v>
      </c>
      <c r="AD164" s="9" t="s">
        <v>654</v>
      </c>
      <c r="AE164" s="9" t="s">
        <v>654</v>
      </c>
      <c r="AF164" s="184"/>
      <c r="AG164" s="183"/>
      <c r="AH164" s="183"/>
      <c r="AI164" s="183"/>
      <c r="AJ164" s="183"/>
      <c r="AK164" s="9" t="s">
        <v>654</v>
      </c>
      <c r="AL164" s="183"/>
      <c r="AM164" s="186" t="str">
        <f>IF(AF164="","","Q"&amp;INT((MONTH(AF164)-1)/3)+1&amp;YEAR(AF164)&amp;#REF!&amp;T164)</f>
        <v/>
      </c>
      <c r="AN164" s="186" t="e">
        <f>IF(K164="","","Q"&amp;INT((MONTH(K164)-1)/3)+1&amp;YEAR(K164)&amp;#REF!)</f>
        <v>#REF!</v>
      </c>
    </row>
    <row r="165" spans="1:40" ht="20.100000000000001" customHeight="1" x14ac:dyDescent="0.25">
      <c r="A165" s="8">
        <v>163</v>
      </c>
      <c r="B165" s="8" t="s">
        <v>399</v>
      </c>
      <c r="C165" s="8" t="s">
        <v>1997</v>
      </c>
      <c r="D165" s="8" t="s">
        <v>2416</v>
      </c>
      <c r="E165" s="8" t="s">
        <v>1998</v>
      </c>
      <c r="F165" s="9" t="s">
        <v>2222</v>
      </c>
      <c r="G165" s="183"/>
      <c r="H165" s="9" t="s">
        <v>2228</v>
      </c>
      <c r="I165" s="183" t="s">
        <v>579</v>
      </c>
      <c r="J165" s="183"/>
      <c r="K165" s="10">
        <v>46038</v>
      </c>
      <c r="L165" s="183">
        <v>83</v>
      </c>
      <c r="M165" s="185" t="str">
        <f>IF(phc_8[[#This Row],[Register No.]]="","",C165&amp;"-"&amp;D165&amp;"-"&amp;"BHA-PHC-"&amp;phc_8[[#This Row],[Register No.]])</f>
        <v>Shining Star-Mobile Clinic-BHA-PHC-83</v>
      </c>
      <c r="N165" s="9" t="s">
        <v>401</v>
      </c>
      <c r="O165" s="183" t="s">
        <v>3316</v>
      </c>
      <c r="P165" s="183"/>
      <c r="Q165" s="183">
        <v>3</v>
      </c>
      <c r="R165" s="183"/>
      <c r="S165" s="186" t="str">
        <f t="shared" si="6"/>
        <v>&lt;5 yrs</v>
      </c>
      <c r="T165" s="183" t="s">
        <v>603</v>
      </c>
      <c r="U165" s="9" t="s">
        <v>2228</v>
      </c>
      <c r="V165" s="183" t="s">
        <v>3320</v>
      </c>
      <c r="W165" s="183" t="s">
        <v>3308</v>
      </c>
      <c r="X165" s="183" t="s">
        <v>113</v>
      </c>
      <c r="Y165" s="186" t="str">
        <f>INDEX(info!$Y$2:$Y$192,MATCH(phc_8[[#This Row],[Sub_Category]],info!$X$2:$X$192,0))</f>
        <v>ARI/RTI</v>
      </c>
      <c r="Z165" s="186" t="str">
        <f t="array" ref="Z165">INDEX(info!$AA$2:$AA$192,MATCH(PHC!$X165&amp;PHC!$Y165,info!$X$2:$X$192&amp;info!$Y$2:$Y$192,0))</f>
        <v>Communicable disease</v>
      </c>
      <c r="AA165" s="183" t="s">
        <v>3325</v>
      </c>
      <c r="AB165" s="9" t="s">
        <v>654</v>
      </c>
      <c r="AC165" s="9" t="s">
        <v>654</v>
      </c>
      <c r="AD165" s="9" t="s">
        <v>654</v>
      </c>
      <c r="AE165" s="9" t="s">
        <v>654</v>
      </c>
      <c r="AF165" s="184"/>
      <c r="AG165" s="183"/>
      <c r="AH165" s="183"/>
      <c r="AI165" s="183"/>
      <c r="AJ165" s="183"/>
      <c r="AK165" s="9" t="s">
        <v>654</v>
      </c>
      <c r="AL165" s="183"/>
      <c r="AM165" s="186" t="str">
        <f>IF(AF165="","","Q"&amp;INT((MONTH(AF165)-1)/3)+1&amp;YEAR(AF165)&amp;#REF!&amp;T165)</f>
        <v/>
      </c>
      <c r="AN165" s="186" t="e">
        <f>IF(K165="","","Q"&amp;INT((MONTH(K165)-1)/3)+1&amp;YEAR(K165)&amp;#REF!)</f>
        <v>#REF!</v>
      </c>
    </row>
    <row r="166" spans="1:40" ht="20.100000000000001" customHeight="1" x14ac:dyDescent="0.25">
      <c r="A166" s="8">
        <v>164</v>
      </c>
      <c r="B166" s="8" t="s">
        <v>399</v>
      </c>
      <c r="C166" s="8" t="s">
        <v>1997</v>
      </c>
      <c r="D166" s="8" t="s">
        <v>2416</v>
      </c>
      <c r="E166" s="8" t="s">
        <v>1998</v>
      </c>
      <c r="F166" s="9" t="s">
        <v>2222</v>
      </c>
      <c r="G166" s="183"/>
      <c r="H166" s="9" t="s">
        <v>2228</v>
      </c>
      <c r="I166" s="183" t="s">
        <v>579</v>
      </c>
      <c r="J166" s="183"/>
      <c r="K166" s="10">
        <v>46038</v>
      </c>
      <c r="L166" s="9">
        <v>84</v>
      </c>
      <c r="M166" s="185" t="str">
        <f>IF(phc_8[[#This Row],[Register No.]]="","",C166&amp;"-"&amp;D166&amp;"-"&amp;"BHA-PHC-"&amp;phc_8[[#This Row],[Register No.]])</f>
        <v>Shining Star-Mobile Clinic-BHA-PHC-84</v>
      </c>
      <c r="N166" s="9" t="s">
        <v>401</v>
      </c>
      <c r="O166" s="183" t="s">
        <v>3317</v>
      </c>
      <c r="P166" s="183">
        <v>69</v>
      </c>
      <c r="Q166" s="183"/>
      <c r="R166" s="183"/>
      <c r="S166" s="186" t="str">
        <f t="shared" si="6"/>
        <v>50 yrs +</v>
      </c>
      <c r="T166" s="183" t="s">
        <v>603</v>
      </c>
      <c r="U166" s="9" t="s">
        <v>2228</v>
      </c>
      <c r="V166" s="183" t="s">
        <v>2041</v>
      </c>
      <c r="W166" s="183" t="s">
        <v>294</v>
      </c>
      <c r="X166" s="183" t="s">
        <v>294</v>
      </c>
      <c r="Y166" s="186" t="str">
        <f>INDEX(info!$Y$2:$Y$192,MATCH(phc_8[[#This Row],[Sub_Category]],info!$X$2:$X$192,0))</f>
        <v>Other (non-communicable)</v>
      </c>
      <c r="Z166" s="186" t="str">
        <f t="array" ref="Z166">INDEX(info!$AA$2:$AA$192,MATCH(PHC!$X166&amp;PHC!$Y166,info!$X$2:$X$192&amp;info!$Y$2:$Y$192,0))</f>
        <v>Other</v>
      </c>
      <c r="AA166" s="183" t="s">
        <v>2151</v>
      </c>
      <c r="AB166" s="9" t="s">
        <v>654</v>
      </c>
      <c r="AC166" s="9" t="s">
        <v>654</v>
      </c>
      <c r="AD166" s="9" t="s">
        <v>654</v>
      </c>
      <c r="AE166" s="9" t="s">
        <v>654</v>
      </c>
      <c r="AF166" s="184"/>
      <c r="AG166" s="183"/>
      <c r="AH166" s="183"/>
      <c r="AI166" s="183"/>
      <c r="AJ166" s="183"/>
      <c r="AK166" s="9" t="s">
        <v>654</v>
      </c>
      <c r="AL166" s="183"/>
      <c r="AM166" s="186" t="str">
        <f>IF(AF166="","","Q"&amp;INT((MONTH(AF166)-1)/3)+1&amp;YEAR(AF166)&amp;#REF!&amp;T166)</f>
        <v/>
      </c>
      <c r="AN166" s="186" t="e">
        <f>IF(K166="","","Q"&amp;INT((MONTH(K166)-1)/3)+1&amp;YEAR(K166)&amp;#REF!)</f>
        <v>#REF!</v>
      </c>
    </row>
    <row r="167" spans="1:40" ht="20.100000000000001" customHeight="1" x14ac:dyDescent="0.25">
      <c r="A167" s="8">
        <v>165</v>
      </c>
      <c r="B167" s="8" t="s">
        <v>399</v>
      </c>
      <c r="C167" s="8" t="s">
        <v>1997</v>
      </c>
      <c r="D167" s="8" t="s">
        <v>2416</v>
      </c>
      <c r="E167" s="8" t="s">
        <v>1998</v>
      </c>
      <c r="F167" s="9" t="s">
        <v>2222</v>
      </c>
      <c r="G167" s="183"/>
      <c r="H167" s="9" t="s">
        <v>2228</v>
      </c>
      <c r="I167" s="183" t="s">
        <v>579</v>
      </c>
      <c r="J167" s="183"/>
      <c r="K167" s="10">
        <v>46038</v>
      </c>
      <c r="L167" s="9">
        <v>85</v>
      </c>
      <c r="M167" s="185" t="str">
        <f>IF(phc_8[[#This Row],[Register No.]]="","",C167&amp;"-"&amp;D167&amp;"-"&amp;"BHA-PHC-"&amp;phc_8[[#This Row],[Register No.]])</f>
        <v>Shining Star-Mobile Clinic-BHA-PHC-85</v>
      </c>
      <c r="N167" s="9" t="s">
        <v>401</v>
      </c>
      <c r="O167" s="183" t="s">
        <v>3318</v>
      </c>
      <c r="P167" s="183">
        <v>35</v>
      </c>
      <c r="Q167" s="183"/>
      <c r="R167" s="183"/>
      <c r="S167" s="186" t="str">
        <f t="shared" si="6"/>
        <v>19 - 49 yrs</v>
      </c>
      <c r="T167" s="183" t="s">
        <v>603</v>
      </c>
      <c r="U167" s="9" t="s">
        <v>2228</v>
      </c>
      <c r="V167" s="183" t="s">
        <v>3321</v>
      </c>
      <c r="W167" s="183" t="s">
        <v>3167</v>
      </c>
      <c r="X167" s="183" t="s">
        <v>46</v>
      </c>
      <c r="Y167" s="186" t="str">
        <f>INDEX(info!$Y$2:$Y$192,MATCH(phc_8[[#This Row],[Sub_Category]],info!$X$2:$X$192,0))</f>
        <v>Diarrhoea/ GE</v>
      </c>
      <c r="Z167" s="186" t="str">
        <f t="array" ref="Z167">INDEX(info!$AA$2:$AA$192,MATCH(PHC!$X167&amp;PHC!$Y167,info!$X$2:$X$192&amp;info!$Y$2:$Y$192,0))</f>
        <v>Communicable disease</v>
      </c>
      <c r="AA167" s="183" t="s">
        <v>3326</v>
      </c>
      <c r="AB167" s="9" t="s">
        <v>654</v>
      </c>
      <c r="AC167" s="9" t="s">
        <v>654</v>
      </c>
      <c r="AD167" s="9" t="s">
        <v>654</v>
      </c>
      <c r="AE167" s="9" t="s">
        <v>654</v>
      </c>
      <c r="AF167" s="184"/>
      <c r="AG167" s="183"/>
      <c r="AH167" s="183"/>
      <c r="AI167" s="183"/>
      <c r="AJ167" s="183"/>
      <c r="AK167" s="9" t="s">
        <v>654</v>
      </c>
      <c r="AL167" s="183"/>
      <c r="AM167" s="186" t="str">
        <f>IF(AF167="","","Q"&amp;INT((MONTH(AF167)-1)/3)+1&amp;YEAR(AF167)&amp;#REF!&amp;T167)</f>
        <v/>
      </c>
      <c r="AN167" s="186" t="e">
        <f>IF(K167="","","Q"&amp;INT((MONTH(K167)-1)/3)+1&amp;YEAR(K167)&amp;#REF!)</f>
        <v>#REF!</v>
      </c>
    </row>
    <row r="168" spans="1:40" ht="20.100000000000001" customHeight="1" x14ac:dyDescent="0.25">
      <c r="A168" s="8">
        <v>166</v>
      </c>
      <c r="B168" s="8" t="s">
        <v>399</v>
      </c>
      <c r="C168" s="8" t="s">
        <v>1997</v>
      </c>
      <c r="D168" s="8" t="s">
        <v>2416</v>
      </c>
      <c r="E168" s="8" t="s">
        <v>1998</v>
      </c>
      <c r="F168" s="9" t="s">
        <v>2222</v>
      </c>
      <c r="G168" s="183"/>
      <c r="H168" s="9" t="s">
        <v>2228</v>
      </c>
      <c r="I168" s="183" t="s">
        <v>579</v>
      </c>
      <c r="J168" s="183"/>
      <c r="K168" s="10">
        <v>46038</v>
      </c>
      <c r="L168" s="183">
        <v>86</v>
      </c>
      <c r="M168" s="185" t="str">
        <f>IF(phc_8[[#This Row],[Register No.]]="","",C168&amp;"-"&amp;D168&amp;"-"&amp;"BHA-PHC-"&amp;phc_8[[#This Row],[Register No.]])</f>
        <v>Shining Star-Mobile Clinic-BHA-PHC-86</v>
      </c>
      <c r="N168" s="9" t="s">
        <v>401</v>
      </c>
      <c r="O168" s="183" t="s">
        <v>3319</v>
      </c>
      <c r="P168" s="183">
        <v>67</v>
      </c>
      <c r="Q168" s="183"/>
      <c r="R168" s="183"/>
      <c r="S168" s="186" t="str">
        <f t="shared" si="6"/>
        <v>50 yrs +</v>
      </c>
      <c r="T168" s="183" t="s">
        <v>402</v>
      </c>
      <c r="U168" s="9" t="s">
        <v>2228</v>
      </c>
      <c r="V168" s="183" t="s">
        <v>3275</v>
      </c>
      <c r="W168" s="183" t="s">
        <v>2003</v>
      </c>
      <c r="X168" s="183" t="s">
        <v>181</v>
      </c>
      <c r="Y168" s="186" t="str">
        <f>INDEX(info!$Y$2:$Y$192,MATCH(phc_8[[#This Row],[Sub_Category]],info!$X$2:$X$192,0))</f>
        <v>Chronic medical disease</v>
      </c>
      <c r="Z168" s="186" t="str">
        <f t="array" ref="Z168">INDEX(info!$AA$2:$AA$192,MATCH(PHC!$X168&amp;PHC!$Y168,info!$X$2:$X$192&amp;info!$Y$2:$Y$192,0))</f>
        <v>Non-communicable disease</v>
      </c>
      <c r="AA168" s="183" t="s">
        <v>3334</v>
      </c>
      <c r="AB168" s="9" t="s">
        <v>654</v>
      </c>
      <c r="AC168" s="9" t="s">
        <v>654</v>
      </c>
      <c r="AD168" s="9" t="s">
        <v>654</v>
      </c>
      <c r="AE168" s="9" t="s">
        <v>654</v>
      </c>
      <c r="AF168" s="184"/>
      <c r="AG168" s="183"/>
      <c r="AH168" s="183"/>
      <c r="AI168" s="183"/>
      <c r="AJ168" s="183"/>
      <c r="AK168" s="9" t="s">
        <v>654</v>
      </c>
      <c r="AL168" s="183"/>
      <c r="AM168" s="186" t="str">
        <f>IF(AF168="","","Q"&amp;INT((MONTH(AF168)-1)/3)+1&amp;YEAR(AF168)&amp;#REF!&amp;T168)</f>
        <v/>
      </c>
      <c r="AN168" s="186" t="e">
        <f>IF(K168="","","Q"&amp;INT((MONTH(K168)-1)/3)+1&amp;YEAR(K168)&amp;#REF!)</f>
        <v>#REF!</v>
      </c>
    </row>
    <row r="169" spans="1:40" ht="20.100000000000001" customHeight="1" x14ac:dyDescent="0.25">
      <c r="A169" s="8">
        <v>167</v>
      </c>
      <c r="B169" s="8" t="s">
        <v>399</v>
      </c>
      <c r="C169" s="8" t="s">
        <v>1997</v>
      </c>
      <c r="D169" s="8" t="s">
        <v>2416</v>
      </c>
      <c r="E169" s="8" t="s">
        <v>1998</v>
      </c>
      <c r="F169" s="9" t="s">
        <v>2222</v>
      </c>
      <c r="G169" s="183"/>
      <c r="H169" s="9" t="s">
        <v>2228</v>
      </c>
      <c r="I169" s="183" t="s">
        <v>579</v>
      </c>
      <c r="J169" s="183"/>
      <c r="K169" s="10">
        <v>46038</v>
      </c>
      <c r="L169" s="9">
        <v>87</v>
      </c>
      <c r="M169" s="185" t="str">
        <f>IF(phc_8[[#This Row],[Register No.]]="","",C169&amp;"-"&amp;D169&amp;"-"&amp;"BHA-PHC-"&amp;phc_8[[#This Row],[Register No.]])</f>
        <v>Shining Star-Mobile Clinic-BHA-PHC-87</v>
      </c>
      <c r="N169" s="9" t="s">
        <v>401</v>
      </c>
      <c r="O169" s="183" t="s">
        <v>3327</v>
      </c>
      <c r="P169" s="183">
        <v>54</v>
      </c>
      <c r="Q169" s="183"/>
      <c r="R169" s="183"/>
      <c r="S169" s="186" t="str">
        <f t="shared" si="6"/>
        <v>50 yrs +</v>
      </c>
      <c r="T169" s="183" t="s">
        <v>603</v>
      </c>
      <c r="U169" s="9" t="s">
        <v>2228</v>
      </c>
      <c r="V169" s="183" t="s">
        <v>3331</v>
      </c>
      <c r="W169" s="183" t="s">
        <v>178</v>
      </c>
      <c r="X169" s="183" t="s">
        <v>178</v>
      </c>
      <c r="Y169" s="186" t="str">
        <f>INDEX(info!$Y$2:$Y$192,MATCH(phc_8[[#This Row],[Sub_Category]],info!$X$2:$X$192,0))</f>
        <v>Chronic medical disease</v>
      </c>
      <c r="Z169" s="186" t="str">
        <f t="array" ref="Z169">INDEX(info!$AA$2:$AA$192,MATCH(PHC!$X169&amp;PHC!$Y169,info!$X$2:$X$192&amp;info!$Y$2:$Y$192,0))</f>
        <v>Non-communicable disease</v>
      </c>
      <c r="AA169" s="183" t="s">
        <v>3335</v>
      </c>
      <c r="AB169" s="9" t="s">
        <v>654</v>
      </c>
      <c r="AC169" s="9" t="s">
        <v>654</v>
      </c>
      <c r="AD169" s="9" t="s">
        <v>654</v>
      </c>
      <c r="AE169" s="9" t="s">
        <v>654</v>
      </c>
      <c r="AF169" s="184"/>
      <c r="AG169" s="183"/>
      <c r="AH169" s="183"/>
      <c r="AI169" s="183"/>
      <c r="AJ169" s="183"/>
      <c r="AK169" s="9" t="s">
        <v>654</v>
      </c>
      <c r="AL169" s="183"/>
      <c r="AM169" s="186" t="str">
        <f>IF(AF169="","","Q"&amp;INT((MONTH(AF169)-1)/3)+1&amp;YEAR(AF169)&amp;#REF!&amp;T169)</f>
        <v/>
      </c>
      <c r="AN169" s="186" t="e">
        <f>IF(K169="","","Q"&amp;INT((MONTH(K169)-1)/3)+1&amp;YEAR(K169)&amp;#REF!)</f>
        <v>#REF!</v>
      </c>
    </row>
    <row r="170" spans="1:40" ht="20.100000000000001" customHeight="1" x14ac:dyDescent="0.25">
      <c r="A170" s="8">
        <v>168</v>
      </c>
      <c r="B170" s="8" t="s">
        <v>399</v>
      </c>
      <c r="C170" s="8" t="s">
        <v>1997</v>
      </c>
      <c r="D170" s="8" t="s">
        <v>2416</v>
      </c>
      <c r="E170" s="8" t="s">
        <v>1998</v>
      </c>
      <c r="F170" s="9" t="s">
        <v>2222</v>
      </c>
      <c r="G170" s="183"/>
      <c r="H170" s="9" t="s">
        <v>2228</v>
      </c>
      <c r="I170" s="183" t="s">
        <v>579</v>
      </c>
      <c r="J170" s="183"/>
      <c r="K170" s="10">
        <v>46038</v>
      </c>
      <c r="L170" s="9">
        <v>88</v>
      </c>
      <c r="M170" s="185" t="str">
        <f>IF(phc_8[[#This Row],[Register No.]]="","",C170&amp;"-"&amp;D170&amp;"-"&amp;"BHA-PHC-"&amp;phc_8[[#This Row],[Register No.]])</f>
        <v>Shining Star-Mobile Clinic-BHA-PHC-88</v>
      </c>
      <c r="N170" s="9" t="s">
        <v>401</v>
      </c>
      <c r="O170" s="183" t="s">
        <v>3328</v>
      </c>
      <c r="P170" s="183">
        <v>72</v>
      </c>
      <c r="Q170" s="183"/>
      <c r="R170" s="183"/>
      <c r="S170" s="186" t="str">
        <f t="shared" si="6"/>
        <v>50 yrs +</v>
      </c>
      <c r="T170" s="183" t="s">
        <v>603</v>
      </c>
      <c r="U170" s="9" t="s">
        <v>2228</v>
      </c>
      <c r="V170" s="183" t="s">
        <v>2071</v>
      </c>
      <c r="W170" s="183" t="s">
        <v>3333</v>
      </c>
      <c r="X170" s="183"/>
      <c r="Y170" s="186" t="e">
        <f>INDEX(info!$Y$2:$Y$192,MATCH(phc_8[[#This Row],[Sub_Category]],info!$X$2:$X$192,0))</f>
        <v>#N/A</v>
      </c>
      <c r="Z170" s="186" t="e">
        <f t="array" ref="Z170">INDEX(info!$AA$2:$AA$192,MATCH(PHC!$X170&amp;PHC!$Y170,info!$X$2:$X$192&amp;info!$Y$2:$Y$192,0))</f>
        <v>#N/A</v>
      </c>
      <c r="AA170" s="183" t="s">
        <v>3336</v>
      </c>
      <c r="AB170" s="9" t="s">
        <v>654</v>
      </c>
      <c r="AC170" s="9" t="s">
        <v>654</v>
      </c>
      <c r="AD170" s="9" t="s">
        <v>654</v>
      </c>
      <c r="AE170" s="9" t="s">
        <v>654</v>
      </c>
      <c r="AF170" s="184"/>
      <c r="AG170" s="183"/>
      <c r="AH170" s="183"/>
      <c r="AI170" s="183"/>
      <c r="AJ170" s="183"/>
      <c r="AK170" s="9" t="s">
        <v>654</v>
      </c>
      <c r="AL170" s="183"/>
      <c r="AM170" s="186" t="str">
        <f>IF(AF170="","","Q"&amp;INT((MONTH(AF170)-1)/3)+1&amp;YEAR(AF170)&amp;#REF!&amp;T170)</f>
        <v/>
      </c>
      <c r="AN170" s="186" t="e">
        <f>IF(K170="","","Q"&amp;INT((MONTH(K170)-1)/3)+1&amp;YEAR(K170)&amp;#REF!)</f>
        <v>#REF!</v>
      </c>
    </row>
    <row r="171" spans="1:40" ht="20.100000000000001" customHeight="1" x14ac:dyDescent="0.25">
      <c r="A171" s="8">
        <v>169</v>
      </c>
      <c r="B171" s="8" t="s">
        <v>399</v>
      </c>
      <c r="C171" s="8" t="s">
        <v>1997</v>
      </c>
      <c r="D171" s="8" t="s">
        <v>2416</v>
      </c>
      <c r="E171" s="8" t="s">
        <v>1998</v>
      </c>
      <c r="F171" s="9" t="s">
        <v>2222</v>
      </c>
      <c r="G171" s="183"/>
      <c r="H171" s="9" t="s">
        <v>2228</v>
      </c>
      <c r="I171" s="183" t="s">
        <v>579</v>
      </c>
      <c r="J171" s="183"/>
      <c r="K171" s="10">
        <v>46038</v>
      </c>
      <c r="L171" s="183">
        <v>89</v>
      </c>
      <c r="M171" s="185" t="str">
        <f>IF(phc_8[[#This Row],[Register No.]]="","",C171&amp;"-"&amp;D171&amp;"-"&amp;"BHA-PHC-"&amp;phc_8[[#This Row],[Register No.]])</f>
        <v>Shining Star-Mobile Clinic-BHA-PHC-89</v>
      </c>
      <c r="N171" s="9" t="s">
        <v>401</v>
      </c>
      <c r="O171" s="183" t="s">
        <v>3329</v>
      </c>
      <c r="P171" s="183">
        <v>42</v>
      </c>
      <c r="Q171" s="183"/>
      <c r="R171" s="183"/>
      <c r="S171" s="186" t="str">
        <f t="shared" si="6"/>
        <v>19 - 49 yrs</v>
      </c>
      <c r="T171" s="183" t="s">
        <v>603</v>
      </c>
      <c r="U171" s="9" t="s">
        <v>2228</v>
      </c>
      <c r="V171" s="183" t="s">
        <v>2027</v>
      </c>
      <c r="W171" s="183" t="s">
        <v>2175</v>
      </c>
      <c r="X171" s="183" t="s">
        <v>242</v>
      </c>
      <c r="Y171" s="186" t="str">
        <f>INDEX(info!$Y$2:$Y$192,MATCH(phc_8[[#This Row],[Sub_Category]],info!$X$2:$X$192,0))</f>
        <v>Accident/minor sugical and injuries</v>
      </c>
      <c r="Z171" s="186" t="str">
        <f t="array" ref="Z171">INDEX(info!$AA$2:$AA$192,MATCH(PHC!$X171&amp;PHC!$Y171,info!$X$2:$X$192&amp;info!$Y$2:$Y$192,0))</f>
        <v>Injury related</v>
      </c>
      <c r="AA171" s="183" t="s">
        <v>3337</v>
      </c>
      <c r="AB171" s="9" t="s">
        <v>654</v>
      </c>
      <c r="AC171" s="9" t="s">
        <v>654</v>
      </c>
      <c r="AD171" s="9" t="s">
        <v>654</v>
      </c>
      <c r="AE171" s="9" t="s">
        <v>654</v>
      </c>
      <c r="AF171" s="184"/>
      <c r="AG171" s="183"/>
      <c r="AH171" s="183"/>
      <c r="AI171" s="183"/>
      <c r="AJ171" s="183"/>
      <c r="AK171" s="9" t="s">
        <v>654</v>
      </c>
      <c r="AL171" s="183"/>
      <c r="AM171" s="186" t="str">
        <f>IF(AF171="","","Q"&amp;INT((MONTH(AF171)-1)/3)+1&amp;YEAR(AF171)&amp;#REF!&amp;T171)</f>
        <v/>
      </c>
      <c r="AN171" s="186" t="e">
        <f>IF(K171="","","Q"&amp;INT((MONTH(K171)-1)/3)+1&amp;YEAR(K171)&amp;#REF!)</f>
        <v>#REF!</v>
      </c>
    </row>
    <row r="172" spans="1:40" ht="20.100000000000001" customHeight="1" x14ac:dyDescent="0.25">
      <c r="A172" s="8">
        <v>170</v>
      </c>
      <c r="B172" s="8" t="s">
        <v>399</v>
      </c>
      <c r="C172" s="8" t="s">
        <v>1997</v>
      </c>
      <c r="D172" s="8" t="s">
        <v>2416</v>
      </c>
      <c r="E172" s="8" t="s">
        <v>1998</v>
      </c>
      <c r="F172" s="9" t="s">
        <v>2222</v>
      </c>
      <c r="G172" s="183"/>
      <c r="H172" s="9" t="s">
        <v>2228</v>
      </c>
      <c r="I172" s="183" t="s">
        <v>579</v>
      </c>
      <c r="J172" s="183"/>
      <c r="K172" s="10">
        <v>46038</v>
      </c>
      <c r="L172" s="9">
        <v>90</v>
      </c>
      <c r="M172" s="185" t="str">
        <f>IF(phc_8[[#This Row],[Register No.]]="","",C172&amp;"-"&amp;D172&amp;"-"&amp;"BHA-PHC-"&amp;phc_8[[#This Row],[Register No.]])</f>
        <v>Shining Star-Mobile Clinic-BHA-PHC-90</v>
      </c>
      <c r="N172" s="9" t="s">
        <v>401</v>
      </c>
      <c r="O172" s="183" t="s">
        <v>3330</v>
      </c>
      <c r="P172" s="183">
        <v>45</v>
      </c>
      <c r="Q172" s="183"/>
      <c r="R172" s="183"/>
      <c r="S172" s="186" t="str">
        <f t="shared" si="6"/>
        <v>19 - 49 yrs</v>
      </c>
      <c r="T172" s="183" t="s">
        <v>402</v>
      </c>
      <c r="U172" s="9" t="s">
        <v>2228</v>
      </c>
      <c r="V172" s="183" t="s">
        <v>3332</v>
      </c>
      <c r="W172" s="183" t="s">
        <v>2014</v>
      </c>
      <c r="X172" s="183" t="s">
        <v>2014</v>
      </c>
      <c r="Y172" s="186" t="str">
        <f>INDEX(info!$Y$2:$Y$192,MATCH(phc_8[[#This Row],[Sub_Category]],info!$X$2:$X$192,0))</f>
        <v>Other (non-communicable)</v>
      </c>
      <c r="Z172" s="186" t="str">
        <f t="array" ref="Z172">INDEX(info!$AA$2:$AA$192,MATCH(PHC!$X172&amp;PHC!$Y172,info!$X$2:$X$192&amp;info!$Y$2:$Y$192,0))</f>
        <v>Other</v>
      </c>
      <c r="AA172" s="183" t="s">
        <v>3338</v>
      </c>
      <c r="AB172" s="9" t="s">
        <v>654</v>
      </c>
      <c r="AC172" s="9" t="s">
        <v>654</v>
      </c>
      <c r="AD172" s="9" t="s">
        <v>654</v>
      </c>
      <c r="AE172" s="9" t="s">
        <v>654</v>
      </c>
      <c r="AF172" s="184"/>
      <c r="AG172" s="183"/>
      <c r="AH172" s="183"/>
      <c r="AI172" s="183"/>
      <c r="AJ172" s="183"/>
      <c r="AK172" s="9" t="s">
        <v>654</v>
      </c>
      <c r="AL172" s="183"/>
      <c r="AM172" s="186" t="str">
        <f>IF(AF172="","","Q"&amp;INT((MONTH(AF172)-1)/3)+1&amp;YEAR(AF172)&amp;#REF!&amp;T172)</f>
        <v/>
      </c>
      <c r="AN172" s="186" t="e">
        <f>IF(K172="","","Q"&amp;INT((MONTH(K172)-1)/3)+1&amp;YEAR(K172)&amp;#REF!)</f>
        <v>#REF!</v>
      </c>
    </row>
    <row r="173" spans="1:40" ht="20.100000000000001" customHeight="1" x14ac:dyDescent="0.25">
      <c r="A173" s="8">
        <v>171</v>
      </c>
      <c r="B173" s="8" t="s">
        <v>399</v>
      </c>
      <c r="C173" s="8" t="s">
        <v>1997</v>
      </c>
      <c r="D173" s="8" t="s">
        <v>2416</v>
      </c>
      <c r="E173" s="8" t="s">
        <v>1998</v>
      </c>
      <c r="F173" s="9" t="s">
        <v>2222</v>
      </c>
      <c r="G173" s="183"/>
      <c r="H173" s="9" t="s">
        <v>2228</v>
      </c>
      <c r="I173" s="183" t="s">
        <v>579</v>
      </c>
      <c r="J173" s="183"/>
      <c r="K173" s="10">
        <v>46038</v>
      </c>
      <c r="L173" s="9">
        <v>91</v>
      </c>
      <c r="M173" s="185" t="str">
        <f>IF(phc_8[[#This Row],[Register No.]]="","",C173&amp;"-"&amp;D173&amp;"-"&amp;"BHA-PHC-"&amp;phc_8[[#This Row],[Register No.]])</f>
        <v>Shining Star-Mobile Clinic-BHA-PHC-91</v>
      </c>
      <c r="N173" s="9" t="s">
        <v>401</v>
      </c>
      <c r="O173" s="183" t="s">
        <v>2737</v>
      </c>
      <c r="P173" s="183">
        <v>43</v>
      </c>
      <c r="Q173" s="183"/>
      <c r="R173" s="183"/>
      <c r="S173" s="186" t="str">
        <f t="shared" si="6"/>
        <v>19 - 49 yrs</v>
      </c>
      <c r="T173" s="183" t="s">
        <v>603</v>
      </c>
      <c r="U173" s="9" t="s">
        <v>2228</v>
      </c>
      <c r="V173" s="183" t="s">
        <v>3342</v>
      </c>
      <c r="W173" s="183" t="s">
        <v>3249</v>
      </c>
      <c r="X173" s="183" t="s">
        <v>196</v>
      </c>
      <c r="Y173" s="186" t="str">
        <f>INDEX(info!$Y$2:$Y$192,MATCH(phc_8[[#This Row],[Sub_Category]],info!$X$2:$X$192,0))</f>
        <v>Skin infection/disease</v>
      </c>
      <c r="Z173" s="186" t="str">
        <f t="array" ref="Z173">INDEX(info!$AA$2:$AA$192,MATCH(PHC!$X173&amp;PHC!$Y173,info!$X$2:$X$192&amp;info!$Y$2:$Y$192,0))</f>
        <v>Non-communicable disease</v>
      </c>
      <c r="AA173" s="183" t="s">
        <v>3350</v>
      </c>
      <c r="AB173" s="9" t="s">
        <v>654</v>
      </c>
      <c r="AC173" s="9" t="s">
        <v>654</v>
      </c>
      <c r="AD173" s="9" t="s">
        <v>654</v>
      </c>
      <c r="AE173" s="9" t="s">
        <v>654</v>
      </c>
      <c r="AF173" s="184"/>
      <c r="AG173" s="183"/>
      <c r="AH173" s="183"/>
      <c r="AI173" s="183"/>
      <c r="AJ173" s="183"/>
      <c r="AK173" s="9" t="s">
        <v>654</v>
      </c>
      <c r="AL173" s="183"/>
      <c r="AM173" s="186" t="str">
        <f>IF(AF173="","","Q"&amp;INT((MONTH(AF173)-1)/3)+1&amp;YEAR(AF173)&amp;#REF!&amp;T173)</f>
        <v/>
      </c>
      <c r="AN173" s="186" t="e">
        <f>IF(K173="","","Q"&amp;INT((MONTH(K173)-1)/3)+1&amp;YEAR(K173)&amp;#REF!)</f>
        <v>#REF!</v>
      </c>
    </row>
    <row r="174" spans="1:40" ht="20.100000000000001" customHeight="1" x14ac:dyDescent="0.25">
      <c r="A174" s="8">
        <v>172</v>
      </c>
      <c r="B174" s="8" t="s">
        <v>399</v>
      </c>
      <c r="C174" s="8" t="s">
        <v>1997</v>
      </c>
      <c r="D174" s="8" t="s">
        <v>2416</v>
      </c>
      <c r="E174" s="8" t="s">
        <v>1998</v>
      </c>
      <c r="F174" s="9" t="s">
        <v>2222</v>
      </c>
      <c r="G174" s="183"/>
      <c r="H174" s="9" t="s">
        <v>2228</v>
      </c>
      <c r="I174" s="183" t="s">
        <v>579</v>
      </c>
      <c r="J174" s="183"/>
      <c r="K174" s="10">
        <v>46038</v>
      </c>
      <c r="L174" s="183">
        <v>92</v>
      </c>
      <c r="M174" s="185" t="str">
        <f>IF(phc_8[[#This Row],[Register No.]]="","",C174&amp;"-"&amp;D174&amp;"-"&amp;"BHA-PHC-"&amp;phc_8[[#This Row],[Register No.]])</f>
        <v>Shining Star-Mobile Clinic-BHA-PHC-92</v>
      </c>
      <c r="N174" s="9" t="s">
        <v>401</v>
      </c>
      <c r="O174" s="183" t="s">
        <v>3339</v>
      </c>
      <c r="P174" s="183">
        <v>63</v>
      </c>
      <c r="Q174" s="183"/>
      <c r="R174" s="183"/>
      <c r="S174" s="186" t="str">
        <f t="shared" ref="S174:S186" si="7">IF(AND(ISBLANK(P174),ISBLANK(Q174),ISBLANK(R174))," ",
IF(OR(P174&lt;5,AND(P174=" ",Q174&lt;&gt;" ",R174&lt;&gt;" ")),"&lt;5 yrs",
IF(AND(P174&gt;=5,P174&lt;=14),"5 - 14 yrs",
IF(AND(P174&gt;=15,P174&lt;=18),"15 - 18 yrs",
IF(AND(P174&gt;=19,P174&lt;=49),"19 - 49 yrs","50 yrs +")))))</f>
        <v>50 yrs +</v>
      </c>
      <c r="T174" s="183" t="s">
        <v>603</v>
      </c>
      <c r="U174" s="9" t="s">
        <v>2228</v>
      </c>
      <c r="V174" s="183" t="s">
        <v>3343</v>
      </c>
      <c r="W174" s="183" t="s">
        <v>2059</v>
      </c>
      <c r="X174" s="183" t="s">
        <v>242</v>
      </c>
      <c r="Y174" s="186" t="str">
        <f>INDEX(info!$Y$2:$Y$192,MATCH(phc_8[[#This Row],[Sub_Category]],info!$X$2:$X$192,0))</f>
        <v>Accident/minor sugical and injuries</v>
      </c>
      <c r="Z174" s="186" t="str">
        <f t="array" ref="Z174">INDEX(info!$AA$2:$AA$192,MATCH(PHC!$X174&amp;PHC!$Y174,info!$X$2:$X$192&amp;info!$Y$2:$Y$192,0))</f>
        <v>Injury related</v>
      </c>
      <c r="AA174" s="183" t="s">
        <v>3237</v>
      </c>
      <c r="AB174" s="9" t="s">
        <v>654</v>
      </c>
      <c r="AC174" s="9" t="s">
        <v>654</v>
      </c>
      <c r="AD174" s="9" t="s">
        <v>654</v>
      </c>
      <c r="AE174" s="9" t="s">
        <v>654</v>
      </c>
      <c r="AF174" s="184"/>
      <c r="AG174" s="183"/>
      <c r="AH174" s="183"/>
      <c r="AI174" s="183"/>
      <c r="AJ174" s="183"/>
      <c r="AK174" s="9" t="s">
        <v>654</v>
      </c>
      <c r="AL174" s="183"/>
      <c r="AM174" s="186" t="str">
        <f>IF(AF174="","","Q"&amp;INT((MONTH(AF174)-1)/3)+1&amp;YEAR(AF174)&amp;#REF!&amp;T174)</f>
        <v/>
      </c>
      <c r="AN174" s="186" t="e">
        <f>IF(K174="","","Q"&amp;INT((MONTH(K174)-1)/3)+1&amp;YEAR(K174)&amp;#REF!)</f>
        <v>#REF!</v>
      </c>
    </row>
    <row r="175" spans="1:40" ht="20.100000000000001" customHeight="1" x14ac:dyDescent="0.25">
      <c r="A175" s="8">
        <v>173</v>
      </c>
      <c r="B175" s="8" t="s">
        <v>399</v>
      </c>
      <c r="C175" s="8" t="s">
        <v>1997</v>
      </c>
      <c r="D175" s="8" t="s">
        <v>2416</v>
      </c>
      <c r="E175" s="8" t="s">
        <v>1998</v>
      </c>
      <c r="F175" s="9" t="s">
        <v>2222</v>
      </c>
      <c r="G175" s="183"/>
      <c r="H175" s="9" t="s">
        <v>2228</v>
      </c>
      <c r="I175" s="183" t="s">
        <v>579</v>
      </c>
      <c r="J175" s="183"/>
      <c r="K175" s="10">
        <v>46038</v>
      </c>
      <c r="L175" s="9">
        <v>93</v>
      </c>
      <c r="M175" s="185" t="str">
        <f>IF(phc_8[[#This Row],[Register No.]]="","",C175&amp;"-"&amp;D175&amp;"-"&amp;"BHA-PHC-"&amp;phc_8[[#This Row],[Register No.]])</f>
        <v>Shining Star-Mobile Clinic-BHA-PHC-93</v>
      </c>
      <c r="N175" s="9" t="s">
        <v>401</v>
      </c>
      <c r="O175" s="183" t="s">
        <v>3340</v>
      </c>
      <c r="P175" s="183">
        <v>65</v>
      </c>
      <c r="Q175" s="183"/>
      <c r="R175" s="183"/>
      <c r="S175" s="186" t="str">
        <f t="shared" si="7"/>
        <v>50 yrs +</v>
      </c>
      <c r="T175" s="183" t="s">
        <v>603</v>
      </c>
      <c r="U175" s="9" t="s">
        <v>2228</v>
      </c>
      <c r="V175" s="183" t="s">
        <v>3344</v>
      </c>
      <c r="W175" s="183" t="s">
        <v>2003</v>
      </c>
      <c r="X175" s="183" t="s">
        <v>181</v>
      </c>
      <c r="Y175" s="186" t="str">
        <f>INDEX(info!$Y$2:$Y$192,MATCH(phc_8[[#This Row],[Sub_Category]],info!$X$2:$X$192,0))</f>
        <v>Chronic medical disease</v>
      </c>
      <c r="Z175" s="186" t="str">
        <f t="array" ref="Z175">INDEX(info!$AA$2:$AA$192,MATCH(PHC!$X175&amp;PHC!$Y175,info!$X$2:$X$192&amp;info!$Y$2:$Y$192,0))</f>
        <v>Non-communicable disease</v>
      </c>
      <c r="AA175" s="183" t="s">
        <v>3349</v>
      </c>
      <c r="AB175" s="9" t="s">
        <v>654</v>
      </c>
      <c r="AC175" s="9" t="s">
        <v>654</v>
      </c>
      <c r="AD175" s="9" t="s">
        <v>654</v>
      </c>
      <c r="AE175" s="9" t="s">
        <v>654</v>
      </c>
      <c r="AF175" s="184"/>
      <c r="AG175" s="183"/>
      <c r="AH175" s="183"/>
      <c r="AI175" s="183"/>
      <c r="AJ175" s="183"/>
      <c r="AK175" s="9" t="s">
        <v>654</v>
      </c>
      <c r="AL175" s="183"/>
      <c r="AM175" s="186" t="str">
        <f>IF(AF175="","","Q"&amp;INT((MONTH(AF175)-1)/3)+1&amp;YEAR(AF175)&amp;#REF!&amp;T175)</f>
        <v/>
      </c>
      <c r="AN175" s="186" t="e">
        <f>IF(K175="","","Q"&amp;INT((MONTH(K175)-1)/3)+1&amp;YEAR(K175)&amp;#REF!)</f>
        <v>#REF!</v>
      </c>
    </row>
    <row r="176" spans="1:40" ht="20.100000000000001" customHeight="1" x14ac:dyDescent="0.25">
      <c r="A176" s="8">
        <v>174</v>
      </c>
      <c r="B176" s="8" t="s">
        <v>399</v>
      </c>
      <c r="C176" s="8" t="s">
        <v>1997</v>
      </c>
      <c r="D176" s="8" t="s">
        <v>2416</v>
      </c>
      <c r="E176" s="8" t="s">
        <v>1998</v>
      </c>
      <c r="F176" s="9" t="s">
        <v>2222</v>
      </c>
      <c r="G176" s="183"/>
      <c r="H176" s="9" t="s">
        <v>2228</v>
      </c>
      <c r="I176" s="183" t="s">
        <v>579</v>
      </c>
      <c r="J176" s="183"/>
      <c r="K176" s="10">
        <v>46038</v>
      </c>
      <c r="L176" s="9">
        <v>94</v>
      </c>
      <c r="M176" s="185" t="str">
        <f>IF(phc_8[[#This Row],[Register No.]]="","",C176&amp;"-"&amp;D176&amp;"-"&amp;"BHA-PHC-"&amp;phc_8[[#This Row],[Register No.]])</f>
        <v>Shining Star-Mobile Clinic-BHA-PHC-94</v>
      </c>
      <c r="N176" s="9" t="s">
        <v>401</v>
      </c>
      <c r="O176" s="183" t="s">
        <v>2391</v>
      </c>
      <c r="P176" s="183">
        <v>4</v>
      </c>
      <c r="Q176" s="183"/>
      <c r="R176" s="183"/>
      <c r="S176" s="186" t="str">
        <f t="shared" si="7"/>
        <v>&lt;5 yrs</v>
      </c>
      <c r="T176" s="183" t="s">
        <v>603</v>
      </c>
      <c r="U176" s="9" t="s">
        <v>2228</v>
      </c>
      <c r="V176" s="183" t="s">
        <v>3345</v>
      </c>
      <c r="W176" s="183" t="s">
        <v>3308</v>
      </c>
      <c r="X176" s="183" t="s">
        <v>113</v>
      </c>
      <c r="Y176" s="186" t="str">
        <f>INDEX(info!$Y$2:$Y$192,MATCH(phc_8[[#This Row],[Sub_Category]],info!$X$2:$X$192,0))</f>
        <v>ARI/RTI</v>
      </c>
      <c r="Z176" s="186" t="str">
        <f t="array" ref="Z176">INDEX(info!$AA$2:$AA$192,MATCH(PHC!$X176&amp;PHC!$Y176,info!$X$2:$X$192&amp;info!$Y$2:$Y$192,0))</f>
        <v>Communicable disease</v>
      </c>
      <c r="AA176" s="183" t="s">
        <v>3348</v>
      </c>
      <c r="AB176" s="9" t="s">
        <v>654</v>
      </c>
      <c r="AC176" s="9" t="s">
        <v>654</v>
      </c>
      <c r="AD176" s="9" t="s">
        <v>654</v>
      </c>
      <c r="AE176" s="9" t="s">
        <v>654</v>
      </c>
      <c r="AF176" s="184"/>
      <c r="AG176" s="183"/>
      <c r="AH176" s="183"/>
      <c r="AI176" s="183"/>
      <c r="AJ176" s="183"/>
      <c r="AK176" s="9" t="s">
        <v>654</v>
      </c>
      <c r="AL176" s="183"/>
      <c r="AM176" s="186" t="str">
        <f>IF(AF176="","","Q"&amp;INT((MONTH(AF176)-1)/3)+1&amp;YEAR(AF176)&amp;#REF!&amp;T176)</f>
        <v/>
      </c>
      <c r="AN176" s="186" t="e">
        <f>IF(K176="","","Q"&amp;INT((MONTH(K176)-1)/3)+1&amp;YEAR(K176)&amp;#REF!)</f>
        <v>#REF!</v>
      </c>
    </row>
    <row r="177" spans="1:40" ht="20.100000000000001" customHeight="1" x14ac:dyDescent="0.25">
      <c r="A177" s="8">
        <v>175</v>
      </c>
      <c r="B177" s="8" t="s">
        <v>399</v>
      </c>
      <c r="C177" s="8" t="s">
        <v>1997</v>
      </c>
      <c r="D177" s="8" t="s">
        <v>2416</v>
      </c>
      <c r="E177" s="8" t="s">
        <v>1998</v>
      </c>
      <c r="F177" s="9" t="s">
        <v>2222</v>
      </c>
      <c r="G177" s="183"/>
      <c r="H177" s="9" t="s">
        <v>2228</v>
      </c>
      <c r="I177" s="183" t="s">
        <v>579</v>
      </c>
      <c r="J177" s="183"/>
      <c r="K177" s="10">
        <v>46038</v>
      </c>
      <c r="L177" s="183">
        <v>95</v>
      </c>
      <c r="M177" s="185" t="str">
        <f>IF(phc_8[[#This Row],[Register No.]]="","",C177&amp;"-"&amp;D177&amp;"-"&amp;"BHA-PHC-"&amp;phc_8[[#This Row],[Register No.]])</f>
        <v>Shining Star-Mobile Clinic-BHA-PHC-95</v>
      </c>
      <c r="N177" s="9" t="s">
        <v>401</v>
      </c>
      <c r="O177" s="183" t="s">
        <v>3341</v>
      </c>
      <c r="P177" s="183">
        <v>39</v>
      </c>
      <c r="Q177" s="183"/>
      <c r="R177" s="183"/>
      <c r="S177" s="186" t="str">
        <f t="shared" si="7"/>
        <v>19 - 49 yrs</v>
      </c>
      <c r="T177" s="183" t="s">
        <v>603</v>
      </c>
      <c r="U177" s="9" t="s">
        <v>2228</v>
      </c>
      <c r="V177" s="183" t="s">
        <v>3346</v>
      </c>
      <c r="W177" s="183" t="s">
        <v>3236</v>
      </c>
      <c r="X177" s="183" t="s">
        <v>225</v>
      </c>
      <c r="Y177" s="186" t="str">
        <f>INDEX(info!$Y$2:$Y$192,MATCH(phc_8[[#This Row],[Sub_Category]],info!$X$2:$X$192,0))</f>
        <v>GI problem</v>
      </c>
      <c r="Z177" s="186" t="str">
        <f t="array" ref="Z177">INDEX(info!$AA$2:$AA$192,MATCH(PHC!$X177&amp;PHC!$Y177,info!$X$2:$X$192&amp;info!$Y$2:$Y$192,0))</f>
        <v>Non-communicable disease</v>
      </c>
      <c r="AA177" s="183" t="s">
        <v>3347</v>
      </c>
      <c r="AB177" s="9" t="s">
        <v>654</v>
      </c>
      <c r="AC177" s="9" t="s">
        <v>654</v>
      </c>
      <c r="AD177" s="9" t="s">
        <v>654</v>
      </c>
      <c r="AE177" s="9" t="s">
        <v>654</v>
      </c>
      <c r="AF177" s="184"/>
      <c r="AG177" s="183"/>
      <c r="AH177" s="183"/>
      <c r="AI177" s="183"/>
      <c r="AJ177" s="183"/>
      <c r="AK177" s="9" t="s">
        <v>654</v>
      </c>
      <c r="AL177" s="183"/>
      <c r="AM177" s="186" t="str">
        <f>IF(AF177="","","Q"&amp;INT((MONTH(AF177)-1)/3)+1&amp;YEAR(AF177)&amp;#REF!&amp;T177)</f>
        <v/>
      </c>
      <c r="AN177" s="186" t="e">
        <f>IF(K177="","","Q"&amp;INT((MONTH(K177)-1)/3)+1&amp;YEAR(K177)&amp;#REF!)</f>
        <v>#REF!</v>
      </c>
    </row>
    <row r="178" spans="1:40" ht="20.100000000000001" customHeight="1" x14ac:dyDescent="0.25">
      <c r="A178" s="8">
        <v>176</v>
      </c>
      <c r="B178" s="8" t="s">
        <v>399</v>
      </c>
      <c r="C178" s="8" t="s">
        <v>1997</v>
      </c>
      <c r="D178" s="8" t="s">
        <v>2416</v>
      </c>
      <c r="E178" s="8" t="s">
        <v>1998</v>
      </c>
      <c r="F178" s="9" t="s">
        <v>2222</v>
      </c>
      <c r="G178" s="183"/>
      <c r="H178" s="9" t="s">
        <v>2228</v>
      </c>
      <c r="I178" s="183" t="s">
        <v>579</v>
      </c>
      <c r="J178" s="183"/>
      <c r="K178" s="10">
        <v>46038</v>
      </c>
      <c r="L178" s="9">
        <v>96</v>
      </c>
      <c r="M178" s="185" t="str">
        <f>IF(phc_8[[#This Row],[Register No.]]="","",C178&amp;"-"&amp;D178&amp;"-"&amp;"BHA-PHC-"&amp;phc_8[[#This Row],[Register No.]])</f>
        <v>Shining Star-Mobile Clinic-BHA-PHC-96</v>
      </c>
      <c r="N178" s="9" t="s">
        <v>401</v>
      </c>
      <c r="O178" s="183" t="s">
        <v>3351</v>
      </c>
      <c r="P178" s="183">
        <v>63</v>
      </c>
      <c r="Q178" s="183"/>
      <c r="R178" s="183"/>
      <c r="S178" s="186" t="str">
        <f t="shared" si="7"/>
        <v>50 yrs +</v>
      </c>
      <c r="T178" s="183" t="s">
        <v>603</v>
      </c>
      <c r="U178" s="9" t="s">
        <v>2228</v>
      </c>
      <c r="V178" s="183" t="s">
        <v>3355</v>
      </c>
      <c r="W178" s="183" t="s">
        <v>3322</v>
      </c>
      <c r="X178" s="183" t="s">
        <v>242</v>
      </c>
      <c r="Y178" s="186" t="str">
        <f>INDEX(info!$Y$2:$Y$192,MATCH(phc_8[[#This Row],[Sub_Category]],info!$X$2:$X$192,0))</f>
        <v>Accident/minor sugical and injuries</v>
      </c>
      <c r="Z178" s="186" t="str">
        <f t="array" ref="Z178">INDEX(info!$AA$2:$AA$192,MATCH(PHC!$X178&amp;PHC!$Y178,info!$X$2:$X$192&amp;info!$Y$2:$Y$192,0))</f>
        <v>Injury related</v>
      </c>
      <c r="AA178" s="183" t="s">
        <v>3358</v>
      </c>
      <c r="AB178" s="9" t="s">
        <v>654</v>
      </c>
      <c r="AC178" s="9" t="s">
        <v>654</v>
      </c>
      <c r="AD178" s="9" t="s">
        <v>654</v>
      </c>
      <c r="AE178" s="9" t="s">
        <v>654</v>
      </c>
      <c r="AF178" s="184"/>
      <c r="AG178" s="183"/>
      <c r="AH178" s="183"/>
      <c r="AI178" s="183"/>
      <c r="AJ178" s="183"/>
      <c r="AK178" s="9" t="s">
        <v>654</v>
      </c>
      <c r="AL178" s="183"/>
      <c r="AM178" s="186" t="str">
        <f>IF(AF178="","","Q"&amp;INT((MONTH(AF178)-1)/3)+1&amp;YEAR(AF178)&amp;#REF!&amp;T178)</f>
        <v/>
      </c>
      <c r="AN178" s="186" t="e">
        <f>IF(K178="","","Q"&amp;INT((MONTH(K178)-1)/3)+1&amp;YEAR(K178)&amp;#REF!)</f>
        <v>#REF!</v>
      </c>
    </row>
    <row r="179" spans="1:40" ht="20.100000000000001" customHeight="1" x14ac:dyDescent="0.25">
      <c r="A179" s="8">
        <v>177</v>
      </c>
      <c r="B179" s="8" t="s">
        <v>399</v>
      </c>
      <c r="C179" s="8" t="s">
        <v>1997</v>
      </c>
      <c r="D179" s="8" t="s">
        <v>2416</v>
      </c>
      <c r="E179" s="8" t="s">
        <v>1998</v>
      </c>
      <c r="F179" s="9" t="s">
        <v>2222</v>
      </c>
      <c r="G179" s="183"/>
      <c r="H179" s="9" t="s">
        <v>2228</v>
      </c>
      <c r="I179" s="183" t="s">
        <v>579</v>
      </c>
      <c r="J179" s="183"/>
      <c r="K179" s="10">
        <v>46038</v>
      </c>
      <c r="L179" s="9">
        <v>97</v>
      </c>
      <c r="M179" s="185" t="str">
        <f>IF(phc_8[[#This Row],[Register No.]]="","",C179&amp;"-"&amp;D179&amp;"-"&amp;"BHA-PHC-"&amp;phc_8[[#This Row],[Register No.]])</f>
        <v>Shining Star-Mobile Clinic-BHA-PHC-97</v>
      </c>
      <c r="N179" s="9" t="s">
        <v>401</v>
      </c>
      <c r="O179" s="183" t="s">
        <v>2126</v>
      </c>
      <c r="P179" s="183">
        <v>82</v>
      </c>
      <c r="Q179" s="183"/>
      <c r="R179" s="183"/>
      <c r="S179" s="186" t="str">
        <f t="shared" si="7"/>
        <v>50 yrs +</v>
      </c>
      <c r="T179" s="183" t="s">
        <v>603</v>
      </c>
      <c r="U179" s="9" t="s">
        <v>2228</v>
      </c>
      <c r="V179" s="183" t="s">
        <v>3289</v>
      </c>
      <c r="W179" s="183" t="s">
        <v>2003</v>
      </c>
      <c r="X179" s="183" t="s">
        <v>181</v>
      </c>
      <c r="Y179" s="186" t="str">
        <f>INDEX(info!$Y$2:$Y$192,MATCH(phc_8[[#This Row],[Sub_Category]],info!$X$2:$X$192,0))</f>
        <v>Chronic medical disease</v>
      </c>
      <c r="Z179" s="186" t="str">
        <f t="array" ref="Z179">INDEX(info!$AA$2:$AA$192,MATCH(PHC!$X179&amp;PHC!$Y179,info!$X$2:$X$192&amp;info!$Y$2:$Y$192,0))</f>
        <v>Non-communicable disease</v>
      </c>
      <c r="AA179" s="183" t="s">
        <v>3359</v>
      </c>
      <c r="AB179" s="9" t="s">
        <v>654</v>
      </c>
      <c r="AC179" s="9" t="s">
        <v>654</v>
      </c>
      <c r="AD179" s="9" t="s">
        <v>654</v>
      </c>
      <c r="AE179" s="9" t="s">
        <v>654</v>
      </c>
      <c r="AF179" s="184"/>
      <c r="AG179" s="183"/>
      <c r="AH179" s="183"/>
      <c r="AI179" s="183"/>
      <c r="AJ179" s="183"/>
      <c r="AK179" s="9" t="s">
        <v>654</v>
      </c>
      <c r="AL179" s="183"/>
      <c r="AM179" s="186" t="str">
        <f>IF(AF179="","","Q"&amp;INT((MONTH(AF179)-1)/3)+1&amp;YEAR(AF179)&amp;#REF!&amp;T179)</f>
        <v/>
      </c>
      <c r="AN179" s="186" t="e">
        <f>IF(K179="","","Q"&amp;INT((MONTH(K179)-1)/3)+1&amp;YEAR(K179)&amp;#REF!)</f>
        <v>#REF!</v>
      </c>
    </row>
    <row r="180" spans="1:40" ht="20.100000000000001" customHeight="1" x14ac:dyDescent="0.25">
      <c r="A180" s="8">
        <v>178</v>
      </c>
      <c r="B180" s="8" t="s">
        <v>399</v>
      </c>
      <c r="C180" s="8" t="s">
        <v>1997</v>
      </c>
      <c r="D180" s="8" t="s">
        <v>2416</v>
      </c>
      <c r="E180" s="8" t="s">
        <v>1998</v>
      </c>
      <c r="F180" s="9" t="s">
        <v>2222</v>
      </c>
      <c r="G180" s="183"/>
      <c r="H180" s="9" t="s">
        <v>2228</v>
      </c>
      <c r="I180" s="183" t="s">
        <v>579</v>
      </c>
      <c r="J180" s="183"/>
      <c r="K180" s="10">
        <v>46038</v>
      </c>
      <c r="L180" s="183">
        <v>98</v>
      </c>
      <c r="M180" s="185" t="str">
        <f>IF(phc_8[[#This Row],[Register No.]]="","",C180&amp;"-"&amp;D180&amp;"-"&amp;"BHA-PHC-"&amp;phc_8[[#This Row],[Register No.]])</f>
        <v>Shining Star-Mobile Clinic-BHA-PHC-98</v>
      </c>
      <c r="N180" s="9" t="s">
        <v>401</v>
      </c>
      <c r="O180" s="183" t="s">
        <v>3352</v>
      </c>
      <c r="P180" s="183">
        <v>55</v>
      </c>
      <c r="Q180" s="183"/>
      <c r="R180" s="183"/>
      <c r="S180" s="186" t="str">
        <f t="shared" si="7"/>
        <v>50 yrs +</v>
      </c>
      <c r="T180" s="183" t="s">
        <v>603</v>
      </c>
      <c r="U180" s="9" t="s">
        <v>2228</v>
      </c>
      <c r="V180" s="183" t="s">
        <v>3356</v>
      </c>
      <c r="W180" s="183" t="s">
        <v>2003</v>
      </c>
      <c r="X180" s="183" t="s">
        <v>181</v>
      </c>
      <c r="Y180" s="186" t="str">
        <f>INDEX(info!$Y$2:$Y$192,MATCH(phc_8[[#This Row],[Sub_Category]],info!$X$2:$X$192,0))</f>
        <v>Chronic medical disease</v>
      </c>
      <c r="Z180" s="186" t="str">
        <f t="array" ref="Z180">INDEX(info!$AA$2:$AA$192,MATCH(PHC!$X180&amp;PHC!$Y180,info!$X$2:$X$192&amp;info!$Y$2:$Y$192,0))</f>
        <v>Non-communicable disease</v>
      </c>
      <c r="AA180" s="183" t="s">
        <v>3360</v>
      </c>
      <c r="AB180" s="9" t="s">
        <v>654</v>
      </c>
      <c r="AC180" s="9" t="s">
        <v>654</v>
      </c>
      <c r="AD180" s="9" t="s">
        <v>654</v>
      </c>
      <c r="AE180" s="9" t="s">
        <v>654</v>
      </c>
      <c r="AF180" s="184"/>
      <c r="AG180" s="183"/>
      <c r="AH180" s="183"/>
      <c r="AI180" s="183"/>
      <c r="AJ180" s="183"/>
      <c r="AK180" s="9" t="s">
        <v>654</v>
      </c>
      <c r="AL180" s="183"/>
      <c r="AM180" s="186" t="str">
        <f>IF(AF180="","","Q"&amp;INT((MONTH(AF180)-1)/3)+1&amp;YEAR(AF180)&amp;#REF!&amp;T180)</f>
        <v/>
      </c>
      <c r="AN180" s="186" t="e">
        <f>IF(K180="","","Q"&amp;INT((MONTH(K180)-1)/3)+1&amp;YEAR(K180)&amp;#REF!)</f>
        <v>#REF!</v>
      </c>
    </row>
    <row r="181" spans="1:40" ht="20.100000000000001" customHeight="1" x14ac:dyDescent="0.25">
      <c r="A181" s="8">
        <v>179</v>
      </c>
      <c r="B181" s="8" t="s">
        <v>399</v>
      </c>
      <c r="C181" s="8" t="s">
        <v>1997</v>
      </c>
      <c r="D181" s="8" t="s">
        <v>2416</v>
      </c>
      <c r="E181" s="8" t="s">
        <v>1998</v>
      </c>
      <c r="F181" s="9" t="s">
        <v>2222</v>
      </c>
      <c r="G181" s="183"/>
      <c r="H181" s="9" t="s">
        <v>2228</v>
      </c>
      <c r="I181" s="183" t="s">
        <v>579</v>
      </c>
      <c r="J181" s="183"/>
      <c r="K181" s="10">
        <v>46038</v>
      </c>
      <c r="L181" s="9">
        <v>99</v>
      </c>
      <c r="M181" s="185" t="str">
        <f>IF(phc_8[[#This Row],[Register No.]]="","",C181&amp;"-"&amp;D181&amp;"-"&amp;"BHA-PHC-"&amp;phc_8[[#This Row],[Register No.]])</f>
        <v>Shining Star-Mobile Clinic-BHA-PHC-99</v>
      </c>
      <c r="N181" s="9" t="s">
        <v>401</v>
      </c>
      <c r="O181" s="183" t="s">
        <v>3353</v>
      </c>
      <c r="P181" s="183">
        <v>76</v>
      </c>
      <c r="Q181" s="183"/>
      <c r="R181" s="183"/>
      <c r="S181" s="186" t="str">
        <f t="shared" si="7"/>
        <v>50 yrs +</v>
      </c>
      <c r="T181" s="183" t="s">
        <v>603</v>
      </c>
      <c r="U181" s="9" t="s">
        <v>2228</v>
      </c>
      <c r="V181" s="183" t="s">
        <v>3357</v>
      </c>
      <c r="W181" s="183" t="s">
        <v>294</v>
      </c>
      <c r="X181" s="183" t="s">
        <v>294</v>
      </c>
      <c r="Y181" s="186" t="str">
        <f>INDEX(info!$Y$2:$Y$192,MATCH(phc_8[[#This Row],[Sub_Category]],info!$X$2:$X$192,0))</f>
        <v>Other (non-communicable)</v>
      </c>
      <c r="Z181" s="186" t="str">
        <f t="array" ref="Z181">INDEX(info!$AA$2:$AA$192,MATCH(PHC!$X181&amp;PHC!$Y181,info!$X$2:$X$192&amp;info!$Y$2:$Y$192,0))</f>
        <v>Other</v>
      </c>
      <c r="AA181" s="183" t="s">
        <v>3361</v>
      </c>
      <c r="AB181" s="9" t="s">
        <v>654</v>
      </c>
      <c r="AC181" s="9" t="s">
        <v>654</v>
      </c>
      <c r="AD181" s="9" t="s">
        <v>654</v>
      </c>
      <c r="AE181" s="9" t="s">
        <v>654</v>
      </c>
      <c r="AF181" s="184"/>
      <c r="AG181" s="183"/>
      <c r="AH181" s="183"/>
      <c r="AI181" s="183"/>
      <c r="AJ181" s="183"/>
      <c r="AK181" s="9" t="s">
        <v>654</v>
      </c>
      <c r="AL181" s="183"/>
      <c r="AM181" s="186" t="str">
        <f>IF(AF181="","","Q"&amp;INT((MONTH(AF181)-1)/3)+1&amp;YEAR(AF181)&amp;#REF!&amp;T181)</f>
        <v/>
      </c>
      <c r="AN181" s="186" t="e">
        <f>IF(K181="","","Q"&amp;INT((MONTH(K181)-1)/3)+1&amp;YEAR(K181)&amp;#REF!)</f>
        <v>#REF!</v>
      </c>
    </row>
    <row r="182" spans="1:40" ht="20.100000000000001" customHeight="1" x14ac:dyDescent="0.25">
      <c r="A182" s="8">
        <v>180</v>
      </c>
      <c r="B182" s="8" t="s">
        <v>399</v>
      </c>
      <c r="C182" s="8" t="s">
        <v>1997</v>
      </c>
      <c r="D182" s="8" t="s">
        <v>2416</v>
      </c>
      <c r="E182" s="8" t="s">
        <v>1998</v>
      </c>
      <c r="F182" s="9" t="s">
        <v>2222</v>
      </c>
      <c r="G182" s="183"/>
      <c r="H182" s="9" t="s">
        <v>2228</v>
      </c>
      <c r="I182" s="183" t="s">
        <v>579</v>
      </c>
      <c r="J182" s="183"/>
      <c r="K182" s="10">
        <v>46038</v>
      </c>
      <c r="L182" s="9">
        <v>100</v>
      </c>
      <c r="M182" s="185" t="str">
        <f>IF(phc_8[[#This Row],[Register No.]]="","",C182&amp;"-"&amp;D182&amp;"-"&amp;"BHA-PHC-"&amp;phc_8[[#This Row],[Register No.]])</f>
        <v>Shining Star-Mobile Clinic-BHA-PHC-100</v>
      </c>
      <c r="N182" s="9" t="s">
        <v>401</v>
      </c>
      <c r="O182" s="183" t="s">
        <v>3354</v>
      </c>
      <c r="P182" s="183">
        <v>67</v>
      </c>
      <c r="Q182" s="183"/>
      <c r="R182" s="183"/>
      <c r="S182" s="186" t="str">
        <f t="shared" si="7"/>
        <v>50 yrs +</v>
      </c>
      <c r="T182" s="183" t="s">
        <v>603</v>
      </c>
      <c r="U182" s="9" t="s">
        <v>2228</v>
      </c>
      <c r="V182" s="183" t="s">
        <v>2041</v>
      </c>
      <c r="W182" s="183" t="s">
        <v>2003</v>
      </c>
      <c r="X182" s="183" t="s">
        <v>181</v>
      </c>
      <c r="Y182" s="186" t="str">
        <f>INDEX(info!$Y$2:$Y$192,MATCH(phc_8[[#This Row],[Sub_Category]],info!$X$2:$X$192,0))</f>
        <v>Chronic medical disease</v>
      </c>
      <c r="Z182" s="186" t="str">
        <f t="array" ref="Z182">INDEX(info!$AA$2:$AA$192,MATCH(PHC!$X182&amp;PHC!$Y182,info!$X$2:$X$192&amp;info!$Y$2:$Y$192,0))</f>
        <v>Non-communicable disease</v>
      </c>
      <c r="AA182" s="183" t="s">
        <v>3110</v>
      </c>
      <c r="AB182" s="9" t="s">
        <v>654</v>
      </c>
      <c r="AC182" s="9" t="s">
        <v>654</v>
      </c>
      <c r="AD182" s="9" t="s">
        <v>654</v>
      </c>
      <c r="AE182" s="9" t="s">
        <v>654</v>
      </c>
      <c r="AF182" s="184"/>
      <c r="AG182" s="183"/>
      <c r="AH182" s="183"/>
      <c r="AI182" s="183"/>
      <c r="AJ182" s="183"/>
      <c r="AK182" s="9" t="s">
        <v>654</v>
      </c>
      <c r="AL182" s="183"/>
      <c r="AM182" s="186" t="str">
        <f>IF(AF182="","","Q"&amp;INT((MONTH(AF182)-1)/3)+1&amp;YEAR(AF182)&amp;#REF!&amp;T182)</f>
        <v/>
      </c>
      <c r="AN182" s="186" t="e">
        <f>IF(K182="","","Q"&amp;INT((MONTH(K182)-1)/3)+1&amp;YEAR(K182)&amp;#REF!)</f>
        <v>#REF!</v>
      </c>
    </row>
    <row r="183" spans="1:40" ht="20.100000000000001" customHeight="1" x14ac:dyDescent="0.25">
      <c r="A183" s="8">
        <v>181</v>
      </c>
      <c r="B183" s="8" t="s">
        <v>399</v>
      </c>
      <c r="C183" s="8" t="s">
        <v>1997</v>
      </c>
      <c r="D183" s="8" t="s">
        <v>2416</v>
      </c>
      <c r="E183" s="8" t="s">
        <v>1998</v>
      </c>
      <c r="F183" s="9" t="s">
        <v>2222</v>
      </c>
      <c r="G183" s="183"/>
      <c r="H183" s="9" t="s">
        <v>2228</v>
      </c>
      <c r="I183" s="183" t="s">
        <v>579</v>
      </c>
      <c r="J183" s="183"/>
      <c r="K183" s="10">
        <v>46038</v>
      </c>
      <c r="L183" s="183">
        <v>101</v>
      </c>
      <c r="M183" s="185" t="str">
        <f>IF(phc_8[[#This Row],[Register No.]]="","",C183&amp;"-"&amp;D183&amp;"-"&amp;"BHA-PHC-"&amp;phc_8[[#This Row],[Register No.]])</f>
        <v>Shining Star-Mobile Clinic-BHA-PHC-101</v>
      </c>
      <c r="N183" s="9" t="s">
        <v>401</v>
      </c>
      <c r="O183" s="183" t="s">
        <v>3362</v>
      </c>
      <c r="P183" s="183">
        <v>67</v>
      </c>
      <c r="Q183" s="183"/>
      <c r="R183" s="183"/>
      <c r="S183" s="186" t="str">
        <f t="shared" si="7"/>
        <v>50 yrs +</v>
      </c>
      <c r="T183" s="183" t="s">
        <v>603</v>
      </c>
      <c r="U183" s="9" t="s">
        <v>2228</v>
      </c>
      <c r="V183" s="183" t="s">
        <v>3366</v>
      </c>
      <c r="W183" s="183" t="s">
        <v>3182</v>
      </c>
      <c r="X183" s="183" t="s">
        <v>242</v>
      </c>
      <c r="Y183" s="186" t="str">
        <f>INDEX(info!$Y$2:$Y$192,MATCH(phc_8[[#This Row],[Sub_Category]],info!$X$2:$X$192,0))</f>
        <v>Accident/minor sugical and injuries</v>
      </c>
      <c r="Z183" s="186" t="str">
        <f t="array" ref="Z183">INDEX(info!$AA$2:$AA$192,MATCH(PHC!$X183&amp;PHC!$Y183,info!$X$2:$X$192&amp;info!$Y$2:$Y$192,0))</f>
        <v>Injury related</v>
      </c>
      <c r="AA183" s="183" t="s">
        <v>3373</v>
      </c>
      <c r="AB183" s="9" t="s">
        <v>654</v>
      </c>
      <c r="AC183" s="9" t="s">
        <v>654</v>
      </c>
      <c r="AD183" s="9" t="s">
        <v>654</v>
      </c>
      <c r="AE183" s="9" t="s">
        <v>654</v>
      </c>
      <c r="AF183" s="184"/>
      <c r="AG183" s="183"/>
      <c r="AH183" s="183"/>
      <c r="AI183" s="183"/>
      <c r="AJ183" s="183"/>
      <c r="AK183" s="9" t="s">
        <v>654</v>
      </c>
      <c r="AL183" s="183"/>
      <c r="AM183" s="186" t="str">
        <f>IF(AF183="","","Q"&amp;INT((MONTH(AF183)-1)/3)+1&amp;YEAR(AF183)&amp;#REF!&amp;T183)</f>
        <v/>
      </c>
      <c r="AN183" s="186" t="e">
        <f>IF(K183="","","Q"&amp;INT((MONTH(K183)-1)/3)+1&amp;YEAR(K183)&amp;#REF!)</f>
        <v>#REF!</v>
      </c>
    </row>
    <row r="184" spans="1:40" ht="20.100000000000001" customHeight="1" x14ac:dyDescent="0.25">
      <c r="A184" s="8">
        <v>182</v>
      </c>
      <c r="B184" s="8" t="s">
        <v>399</v>
      </c>
      <c r="C184" s="8" t="s">
        <v>1997</v>
      </c>
      <c r="D184" s="8" t="s">
        <v>2416</v>
      </c>
      <c r="E184" s="8" t="s">
        <v>1998</v>
      </c>
      <c r="F184" s="9" t="s">
        <v>2222</v>
      </c>
      <c r="G184" s="183"/>
      <c r="H184" s="9" t="s">
        <v>2228</v>
      </c>
      <c r="I184" s="183" t="s">
        <v>579</v>
      </c>
      <c r="J184" s="183"/>
      <c r="K184" s="10">
        <v>46038</v>
      </c>
      <c r="L184" s="9">
        <v>102</v>
      </c>
      <c r="M184" s="185" t="str">
        <f>IF(phc_8[[#This Row],[Register No.]]="","",C184&amp;"-"&amp;D184&amp;"-"&amp;"BHA-PHC-"&amp;phc_8[[#This Row],[Register No.]])</f>
        <v>Shining Star-Mobile Clinic-BHA-PHC-102</v>
      </c>
      <c r="N184" s="9" t="s">
        <v>401</v>
      </c>
      <c r="O184" s="183" t="s">
        <v>3363</v>
      </c>
      <c r="P184" s="183">
        <v>91</v>
      </c>
      <c r="Q184" s="183"/>
      <c r="R184" s="183"/>
      <c r="S184" s="186" t="str">
        <f t="shared" si="7"/>
        <v>50 yrs +</v>
      </c>
      <c r="T184" s="183" t="s">
        <v>603</v>
      </c>
      <c r="U184" s="9" t="s">
        <v>2228</v>
      </c>
      <c r="V184" s="183" t="s">
        <v>3367</v>
      </c>
      <c r="W184" s="183" t="s">
        <v>2059</v>
      </c>
      <c r="X184" s="183" t="s">
        <v>242</v>
      </c>
      <c r="Y184" s="186" t="str">
        <f>INDEX(info!$Y$2:$Y$192,MATCH(phc_8[[#This Row],[Sub_Category]],info!$X$2:$X$192,0))</f>
        <v>Accident/minor sugical and injuries</v>
      </c>
      <c r="Z184" s="186" t="str">
        <f t="array" ref="Z184">INDEX(info!$AA$2:$AA$192,MATCH(PHC!$X184&amp;PHC!$Y184,info!$X$2:$X$192&amp;info!$Y$2:$Y$192,0))</f>
        <v>Injury related</v>
      </c>
      <c r="AA184" s="183" t="s">
        <v>3374</v>
      </c>
      <c r="AB184" s="9" t="s">
        <v>654</v>
      </c>
      <c r="AC184" s="9" t="s">
        <v>654</v>
      </c>
      <c r="AD184" s="9" t="s">
        <v>654</v>
      </c>
      <c r="AE184" s="9" t="s">
        <v>654</v>
      </c>
      <c r="AF184" s="184"/>
      <c r="AG184" s="183"/>
      <c r="AH184" s="183"/>
      <c r="AI184" s="183"/>
      <c r="AJ184" s="183"/>
      <c r="AK184" s="9" t="s">
        <v>654</v>
      </c>
      <c r="AL184" s="183"/>
      <c r="AM184" s="186" t="str">
        <f>IF(AF184="","","Q"&amp;INT((MONTH(AF184)-1)/3)+1&amp;YEAR(AF184)&amp;#REF!&amp;T184)</f>
        <v/>
      </c>
      <c r="AN184" s="186" t="e">
        <f>IF(K184="","","Q"&amp;INT((MONTH(K184)-1)/3)+1&amp;YEAR(K184)&amp;#REF!)</f>
        <v>#REF!</v>
      </c>
    </row>
    <row r="185" spans="1:40" ht="20.100000000000001" customHeight="1" x14ac:dyDescent="0.25">
      <c r="A185" s="8">
        <v>183</v>
      </c>
      <c r="B185" s="8" t="s">
        <v>399</v>
      </c>
      <c r="C185" s="8" t="s">
        <v>1997</v>
      </c>
      <c r="D185" s="8" t="s">
        <v>2416</v>
      </c>
      <c r="E185" s="8" t="s">
        <v>1998</v>
      </c>
      <c r="F185" s="9" t="s">
        <v>2222</v>
      </c>
      <c r="G185" s="183"/>
      <c r="H185" s="9" t="s">
        <v>2228</v>
      </c>
      <c r="I185" s="183" t="s">
        <v>579</v>
      </c>
      <c r="J185" s="183"/>
      <c r="K185" s="10">
        <v>46038</v>
      </c>
      <c r="L185" s="9">
        <v>103</v>
      </c>
      <c r="M185" s="185" t="str">
        <f>IF(phc_8[[#This Row],[Register No.]]="","",C185&amp;"-"&amp;D185&amp;"-"&amp;"BHA-PHC-"&amp;phc_8[[#This Row],[Register No.]])</f>
        <v>Shining Star-Mobile Clinic-BHA-PHC-103</v>
      </c>
      <c r="N185" s="9" t="s">
        <v>401</v>
      </c>
      <c r="O185" s="183" t="s">
        <v>3364</v>
      </c>
      <c r="P185" s="183">
        <v>76</v>
      </c>
      <c r="Q185" s="183"/>
      <c r="R185" s="183"/>
      <c r="S185" s="186" t="str">
        <f t="shared" si="7"/>
        <v>50 yrs +</v>
      </c>
      <c r="T185" s="183" t="s">
        <v>603</v>
      </c>
      <c r="U185" s="9" t="s">
        <v>2228</v>
      </c>
      <c r="V185" s="183" t="s">
        <v>3368</v>
      </c>
      <c r="W185" s="183" t="s">
        <v>3371</v>
      </c>
      <c r="X185" s="183" t="s">
        <v>202</v>
      </c>
      <c r="Y185" s="186" t="str">
        <f>INDEX(info!$Y$2:$Y$192,MATCH(phc_8[[#This Row],[Sub_Category]],info!$X$2:$X$192,0))</f>
        <v>Other (non-communicable)</v>
      </c>
      <c r="Z185" s="186" t="str">
        <f t="array" ref="Z185">INDEX(info!$AA$2:$AA$192,MATCH(PHC!$X185&amp;PHC!$Y185,info!$X$2:$X$192&amp;info!$Y$2:$Y$192,0))</f>
        <v>Non-communicable disease</v>
      </c>
      <c r="AA185" s="183" t="s">
        <v>3187</v>
      </c>
      <c r="AB185" s="9" t="s">
        <v>654</v>
      </c>
      <c r="AC185" s="9" t="s">
        <v>654</v>
      </c>
      <c r="AD185" s="9" t="s">
        <v>654</v>
      </c>
      <c r="AE185" s="9" t="s">
        <v>654</v>
      </c>
      <c r="AF185" s="184"/>
      <c r="AG185" s="183"/>
      <c r="AH185" s="183"/>
      <c r="AI185" s="183"/>
      <c r="AJ185" s="183"/>
      <c r="AK185" s="9" t="s">
        <v>654</v>
      </c>
      <c r="AL185" s="183"/>
      <c r="AM185" s="186" t="str">
        <f>IF(AF185="","","Q"&amp;INT((MONTH(AF185)-1)/3)+1&amp;YEAR(AF185)&amp;#REF!&amp;T185)</f>
        <v/>
      </c>
      <c r="AN185" s="186" t="e">
        <f>IF(K185="","","Q"&amp;INT((MONTH(K185)-1)/3)+1&amp;YEAR(K185)&amp;#REF!)</f>
        <v>#REF!</v>
      </c>
    </row>
    <row r="186" spans="1:40" ht="20.100000000000001" customHeight="1" x14ac:dyDescent="0.25">
      <c r="A186" s="8">
        <v>184</v>
      </c>
      <c r="B186" s="8" t="s">
        <v>399</v>
      </c>
      <c r="C186" s="8" t="s">
        <v>1997</v>
      </c>
      <c r="D186" s="8" t="s">
        <v>2416</v>
      </c>
      <c r="E186" s="8" t="s">
        <v>1998</v>
      </c>
      <c r="F186" s="9" t="s">
        <v>2222</v>
      </c>
      <c r="G186" s="183"/>
      <c r="H186" s="9" t="s">
        <v>2228</v>
      </c>
      <c r="I186" s="183" t="s">
        <v>579</v>
      </c>
      <c r="J186" s="183"/>
      <c r="K186" s="10">
        <v>46038</v>
      </c>
      <c r="L186" s="183">
        <v>104</v>
      </c>
      <c r="M186" s="185" t="str">
        <f>IF(phc_8[[#This Row],[Register No.]]="","",C186&amp;"-"&amp;D186&amp;"-"&amp;"BHA-PHC-"&amp;phc_8[[#This Row],[Register No.]])</f>
        <v>Shining Star-Mobile Clinic-BHA-PHC-104</v>
      </c>
      <c r="N186" s="9" t="s">
        <v>401</v>
      </c>
      <c r="O186" s="183" t="s">
        <v>3365</v>
      </c>
      <c r="P186" s="183">
        <v>51</v>
      </c>
      <c r="Q186" s="183"/>
      <c r="R186" s="183"/>
      <c r="S186" s="186" t="str">
        <f t="shared" si="7"/>
        <v>50 yrs +</v>
      </c>
      <c r="T186" s="183" t="s">
        <v>603</v>
      </c>
      <c r="U186" s="9" t="s">
        <v>2228</v>
      </c>
      <c r="V186" s="183" t="s">
        <v>3369</v>
      </c>
      <c r="W186" s="183" t="s">
        <v>2003</v>
      </c>
      <c r="X186" s="183" t="s">
        <v>181</v>
      </c>
      <c r="Y186" s="186" t="str">
        <f>INDEX(info!$Y$2:$Y$192,MATCH(phc_8[[#This Row],[Sub_Category]],info!$X$2:$X$192,0))</f>
        <v>Chronic medical disease</v>
      </c>
      <c r="Z186" s="186" t="str">
        <f t="array" ref="Z186">INDEX(info!$AA$2:$AA$192,MATCH(PHC!$X186&amp;PHC!$Y186,info!$X$2:$X$192&amp;info!$Y$2:$Y$192,0))</f>
        <v>Non-communicable disease</v>
      </c>
      <c r="AA186" s="183" t="s">
        <v>3375</v>
      </c>
      <c r="AB186" s="9" t="s">
        <v>654</v>
      </c>
      <c r="AC186" s="9" t="s">
        <v>654</v>
      </c>
      <c r="AD186" s="9" t="s">
        <v>654</v>
      </c>
      <c r="AE186" s="9" t="s">
        <v>654</v>
      </c>
      <c r="AF186" s="184"/>
      <c r="AG186" s="183"/>
      <c r="AH186" s="183"/>
      <c r="AI186" s="183"/>
      <c r="AJ186" s="183"/>
      <c r="AK186" s="9" t="s">
        <v>654</v>
      </c>
      <c r="AL186" s="183"/>
      <c r="AM186" s="186" t="str">
        <f>IF(AF186="","","Q"&amp;INT((MONTH(AF186)-1)/3)+1&amp;YEAR(AF186)&amp;#REF!&amp;T186)</f>
        <v/>
      </c>
      <c r="AN186" s="186" t="e">
        <f>IF(K186="","","Q"&amp;INT((MONTH(K186)-1)/3)+1&amp;YEAR(K186)&amp;#REF!)</f>
        <v>#REF!</v>
      </c>
    </row>
    <row r="187" spans="1:40" ht="20.100000000000001" customHeight="1" x14ac:dyDescent="0.25">
      <c r="A187" s="8">
        <v>185</v>
      </c>
      <c r="B187" s="8" t="s">
        <v>399</v>
      </c>
      <c r="C187" s="8" t="s">
        <v>1997</v>
      </c>
      <c r="D187" s="8" t="s">
        <v>2416</v>
      </c>
      <c r="E187" s="8" t="s">
        <v>1998</v>
      </c>
      <c r="F187" s="9" t="s">
        <v>2222</v>
      </c>
      <c r="G187" s="183"/>
      <c r="H187" s="9" t="s">
        <v>2228</v>
      </c>
      <c r="I187" s="183" t="s">
        <v>579</v>
      </c>
      <c r="J187" s="183"/>
      <c r="K187" s="10">
        <v>46038</v>
      </c>
      <c r="L187" s="9">
        <v>105</v>
      </c>
      <c r="M187" s="185" t="str">
        <f>IF(phc_8[[#This Row],[Register No.]]="","",C187&amp;"-"&amp;D187&amp;"-"&amp;"BHA-PHC-"&amp;phc_8[[#This Row],[Register No.]])</f>
        <v>Shining Star-Mobile Clinic-BHA-PHC-105</v>
      </c>
      <c r="N187" s="9" t="s">
        <v>401</v>
      </c>
      <c r="O187" s="183" t="s">
        <v>2037</v>
      </c>
      <c r="P187" s="183">
        <v>60</v>
      </c>
      <c r="Q187" s="183"/>
      <c r="R187" s="183"/>
      <c r="S187" s="186" t="str">
        <f t="shared" ref="S187:S215" si="8">IF(AND(ISBLANK(P187),ISBLANK(Q187),ISBLANK(R187))," ",
IF(OR(P187&lt;5,AND(P187=" ",Q187&lt;&gt;" ",R187&lt;&gt;" ")),"&lt;5 yrs",
IF(AND(P187&gt;=5,P187&lt;=14),"5 - 14 yrs",
IF(AND(P187&gt;=15,P187&lt;=18),"15 - 18 yrs",
IF(AND(P187&gt;=19,P187&lt;=49),"19 - 49 yrs","50 yrs +")))))</f>
        <v>50 yrs +</v>
      </c>
      <c r="T187" s="183" t="s">
        <v>603</v>
      </c>
      <c r="U187" s="9" t="s">
        <v>2228</v>
      </c>
      <c r="V187" s="183" t="s">
        <v>3370</v>
      </c>
      <c r="W187" s="183" t="s">
        <v>3372</v>
      </c>
      <c r="X187" s="183" t="s">
        <v>2014</v>
      </c>
      <c r="Y187" s="186" t="str">
        <f>INDEX(info!$Y$2:$Y$192,MATCH(phc_8[[#This Row],[Sub_Category]],info!$X$2:$X$192,0))</f>
        <v>Other (non-communicable)</v>
      </c>
      <c r="Z187" s="186" t="str">
        <f t="array" ref="Z187">INDEX(info!$AA$2:$AA$192,MATCH(PHC!$X187&amp;PHC!$Y187,info!$X$2:$X$192&amp;info!$Y$2:$Y$192,0))</f>
        <v>Other</v>
      </c>
      <c r="AA187" s="183" t="s">
        <v>3093</v>
      </c>
      <c r="AB187" s="9" t="s">
        <v>654</v>
      </c>
      <c r="AC187" s="9" t="s">
        <v>654</v>
      </c>
      <c r="AD187" s="9" t="s">
        <v>654</v>
      </c>
      <c r="AE187" s="9" t="s">
        <v>654</v>
      </c>
      <c r="AF187" s="184"/>
      <c r="AG187" s="183"/>
      <c r="AH187" s="183"/>
      <c r="AI187" s="183"/>
      <c r="AJ187" s="183"/>
      <c r="AK187" s="9" t="s">
        <v>654</v>
      </c>
      <c r="AL187" s="183"/>
      <c r="AM187" s="186" t="str">
        <f>IF(AF187="","","Q"&amp;INT((MONTH(AF187)-1)/3)+1&amp;YEAR(AF187)&amp;#REF!&amp;T187)</f>
        <v/>
      </c>
      <c r="AN187" s="186" t="e">
        <f>IF(K187="","","Q"&amp;INT((MONTH(K187)-1)/3)+1&amp;YEAR(K187)&amp;#REF!)</f>
        <v>#REF!</v>
      </c>
    </row>
    <row r="188" spans="1:40" ht="20.100000000000001" customHeight="1" x14ac:dyDescent="0.25">
      <c r="A188" s="8">
        <v>186</v>
      </c>
      <c r="B188" s="8" t="s">
        <v>399</v>
      </c>
      <c r="C188" s="8" t="s">
        <v>1997</v>
      </c>
      <c r="D188" s="8" t="s">
        <v>2416</v>
      </c>
      <c r="E188" s="8" t="s">
        <v>1998</v>
      </c>
      <c r="F188" s="9" t="s">
        <v>2222</v>
      </c>
      <c r="G188" s="183"/>
      <c r="H188" s="9" t="s">
        <v>2228</v>
      </c>
      <c r="I188" s="183" t="s">
        <v>579</v>
      </c>
      <c r="J188" s="183"/>
      <c r="K188" s="10">
        <v>46038</v>
      </c>
      <c r="L188" s="183">
        <v>106</v>
      </c>
      <c r="M188" s="185" t="str">
        <f>IF(phc_8[[#This Row],[Register No.]]="","",C188&amp;"-"&amp;D188&amp;"-"&amp;"BHA-PHC-"&amp;phc_8[[#This Row],[Register No.]])</f>
        <v>Shining Star-Mobile Clinic-BHA-PHC-106</v>
      </c>
      <c r="N188" s="9" t="s">
        <v>401</v>
      </c>
      <c r="O188" s="183" t="s">
        <v>3376</v>
      </c>
      <c r="P188" s="183">
        <v>44</v>
      </c>
      <c r="Q188" s="183"/>
      <c r="R188" s="183"/>
      <c r="S188" s="186" t="str">
        <f t="shared" si="8"/>
        <v>19 - 49 yrs</v>
      </c>
      <c r="T188" s="183" t="s">
        <v>603</v>
      </c>
      <c r="U188" s="9" t="s">
        <v>2228</v>
      </c>
      <c r="V188" s="183" t="s">
        <v>3209</v>
      </c>
      <c r="W188" s="183" t="s">
        <v>2028</v>
      </c>
      <c r="X188" s="183" t="s">
        <v>108</v>
      </c>
      <c r="Y188" s="186" t="str">
        <f>INDEX(info!$Y$2:$Y$192,MATCH(phc_8[[#This Row],[Sub_Category]],info!$X$2:$X$192,0))</f>
        <v>ARI/RTI</v>
      </c>
      <c r="Z188" s="186" t="str">
        <f t="array" ref="Z188">INDEX(info!$AA$2:$AA$192,MATCH(PHC!$X188&amp;PHC!$Y188,info!$X$2:$X$192&amp;info!$Y$2:$Y$192,0))</f>
        <v>Communicable disease</v>
      </c>
      <c r="AA188" s="183" t="s">
        <v>3384</v>
      </c>
      <c r="AB188" s="9" t="s">
        <v>654</v>
      </c>
      <c r="AC188" s="9" t="s">
        <v>654</v>
      </c>
      <c r="AD188" s="9" t="s">
        <v>654</v>
      </c>
      <c r="AE188" s="9" t="s">
        <v>654</v>
      </c>
      <c r="AF188" s="184"/>
      <c r="AG188" s="183"/>
      <c r="AH188" s="183"/>
      <c r="AI188" s="183"/>
      <c r="AJ188" s="183"/>
      <c r="AK188" s="9" t="s">
        <v>654</v>
      </c>
      <c r="AL188" s="183"/>
      <c r="AM188" s="186" t="str">
        <f>IF(AF188="","","Q"&amp;INT((MONTH(AF188)-1)/3)+1&amp;YEAR(AF188)&amp;#REF!&amp;T188)</f>
        <v/>
      </c>
      <c r="AN188" s="186" t="e">
        <f>IF(K188="","","Q"&amp;INT((MONTH(K188)-1)/3)+1&amp;YEAR(K188)&amp;#REF!)</f>
        <v>#REF!</v>
      </c>
    </row>
    <row r="189" spans="1:40" ht="20.100000000000001" customHeight="1" x14ac:dyDescent="0.25">
      <c r="A189" s="8">
        <v>187</v>
      </c>
      <c r="B189" s="8" t="s">
        <v>399</v>
      </c>
      <c r="C189" s="8" t="s">
        <v>1997</v>
      </c>
      <c r="D189" s="8" t="s">
        <v>2416</v>
      </c>
      <c r="E189" s="8" t="s">
        <v>1998</v>
      </c>
      <c r="F189" s="9" t="s">
        <v>2222</v>
      </c>
      <c r="G189" s="183"/>
      <c r="H189" s="9" t="s">
        <v>2228</v>
      </c>
      <c r="I189" s="183" t="s">
        <v>579</v>
      </c>
      <c r="J189" s="183"/>
      <c r="K189" s="10">
        <v>46038</v>
      </c>
      <c r="L189" s="9">
        <v>107</v>
      </c>
      <c r="M189" s="185" t="str">
        <f>IF(phc_8[[#This Row],[Register No.]]="","",C189&amp;"-"&amp;D189&amp;"-"&amp;"BHA-PHC-"&amp;phc_8[[#This Row],[Register No.]])</f>
        <v>Shining Star-Mobile Clinic-BHA-PHC-107</v>
      </c>
      <c r="N189" s="9" t="s">
        <v>401</v>
      </c>
      <c r="O189" s="183" t="s">
        <v>3377</v>
      </c>
      <c r="P189" s="183">
        <v>46</v>
      </c>
      <c r="Q189" s="183"/>
      <c r="R189" s="183"/>
      <c r="S189" s="186" t="str">
        <f t="shared" si="8"/>
        <v>19 - 49 yrs</v>
      </c>
      <c r="T189" s="183" t="s">
        <v>603</v>
      </c>
      <c r="U189" s="9" t="s">
        <v>2228</v>
      </c>
      <c r="V189" s="183" t="s">
        <v>2574</v>
      </c>
      <c r="W189" s="183" t="s">
        <v>242</v>
      </c>
      <c r="X189" s="183" t="s">
        <v>242</v>
      </c>
      <c r="Y189" s="186" t="str">
        <f>INDEX(info!$Y$2:$Y$192,MATCH(phc_8[[#This Row],[Sub_Category]],info!$X$2:$X$192,0))</f>
        <v>Accident/minor sugical and injuries</v>
      </c>
      <c r="Z189" s="186" t="str">
        <f t="array" ref="Z189">INDEX(info!$AA$2:$AA$192,MATCH(PHC!$X189&amp;PHC!$Y189,info!$X$2:$X$192&amp;info!$Y$2:$Y$192,0))</f>
        <v>Injury related</v>
      </c>
      <c r="AA189" s="183" t="s">
        <v>3386</v>
      </c>
      <c r="AB189" s="9" t="s">
        <v>654</v>
      </c>
      <c r="AC189" s="9" t="s">
        <v>654</v>
      </c>
      <c r="AD189" s="9" t="s">
        <v>654</v>
      </c>
      <c r="AE189" s="9" t="s">
        <v>654</v>
      </c>
      <c r="AF189" s="184"/>
      <c r="AG189" s="183"/>
      <c r="AH189" s="183"/>
      <c r="AI189" s="183"/>
      <c r="AJ189" s="183"/>
      <c r="AK189" s="9" t="s">
        <v>654</v>
      </c>
      <c r="AL189" s="183"/>
      <c r="AM189" s="186" t="str">
        <f>IF(AF189="","","Q"&amp;INT((MONTH(AF189)-1)/3)+1&amp;YEAR(AF189)&amp;#REF!&amp;T189)</f>
        <v/>
      </c>
      <c r="AN189" s="186" t="e">
        <f>IF(K189="","","Q"&amp;INT((MONTH(K189)-1)/3)+1&amp;YEAR(K189)&amp;#REF!)</f>
        <v>#REF!</v>
      </c>
    </row>
    <row r="190" spans="1:40" ht="20.100000000000001" customHeight="1" x14ac:dyDescent="0.25">
      <c r="A190" s="8">
        <v>188</v>
      </c>
      <c r="B190" s="8" t="s">
        <v>399</v>
      </c>
      <c r="C190" s="8" t="s">
        <v>1997</v>
      </c>
      <c r="D190" s="8" t="s">
        <v>2416</v>
      </c>
      <c r="E190" s="8" t="s">
        <v>1998</v>
      </c>
      <c r="F190" s="9" t="s">
        <v>2222</v>
      </c>
      <c r="G190" s="183"/>
      <c r="H190" s="9" t="s">
        <v>2228</v>
      </c>
      <c r="I190" s="183" t="s">
        <v>579</v>
      </c>
      <c r="J190" s="183"/>
      <c r="K190" s="10">
        <v>46038</v>
      </c>
      <c r="L190" s="183">
        <v>108</v>
      </c>
      <c r="M190" s="185" t="str">
        <f>IF(phc_8[[#This Row],[Register No.]]="","",C190&amp;"-"&amp;D190&amp;"-"&amp;"BHA-PHC-"&amp;phc_8[[#This Row],[Register No.]])</f>
        <v>Shining Star-Mobile Clinic-BHA-PHC-108</v>
      </c>
      <c r="N190" s="9" t="s">
        <v>401</v>
      </c>
      <c r="O190" s="183" t="s">
        <v>3378</v>
      </c>
      <c r="P190" s="183">
        <v>45</v>
      </c>
      <c r="Q190" s="183"/>
      <c r="R190" s="183"/>
      <c r="S190" s="186" t="str">
        <f t="shared" si="8"/>
        <v>19 - 49 yrs</v>
      </c>
      <c r="T190" s="183" t="s">
        <v>603</v>
      </c>
      <c r="U190" s="9" t="s">
        <v>2228</v>
      </c>
      <c r="V190" s="183" t="s">
        <v>3381</v>
      </c>
      <c r="W190" s="183" t="s">
        <v>3385</v>
      </c>
      <c r="X190" s="183" t="s">
        <v>239</v>
      </c>
      <c r="Y190" s="186" t="str">
        <f>INDEX(info!$Y$2:$Y$192,MATCH(phc_8[[#This Row],[Sub_Category]],info!$X$2:$X$192,0))</f>
        <v>Hepatic Problem</v>
      </c>
      <c r="Z190" s="186" t="str">
        <f t="array" ref="Z190">INDEX(info!$AA$2:$AA$192,MATCH(PHC!$X190&amp;PHC!$Y190,info!$X$2:$X$192&amp;info!$Y$2:$Y$192,0))</f>
        <v>Communicable disease</v>
      </c>
      <c r="AA190" s="183" t="s">
        <v>3387</v>
      </c>
      <c r="AB190" s="9" t="s">
        <v>654</v>
      </c>
      <c r="AC190" s="9" t="s">
        <v>654</v>
      </c>
      <c r="AD190" s="9" t="s">
        <v>654</v>
      </c>
      <c r="AE190" s="9" t="s">
        <v>654</v>
      </c>
      <c r="AF190" s="184"/>
      <c r="AG190" s="183"/>
      <c r="AH190" s="183"/>
      <c r="AI190" s="183"/>
      <c r="AJ190" s="183"/>
      <c r="AK190" s="9" t="s">
        <v>654</v>
      </c>
      <c r="AL190" s="183"/>
      <c r="AM190" s="186" t="str">
        <f>IF(AF190="","","Q"&amp;INT((MONTH(AF190)-1)/3)+1&amp;YEAR(AF190)&amp;#REF!&amp;T190)</f>
        <v/>
      </c>
      <c r="AN190" s="186" t="e">
        <f>IF(K190="","","Q"&amp;INT((MONTH(K190)-1)/3)+1&amp;YEAR(K190)&amp;#REF!)</f>
        <v>#REF!</v>
      </c>
    </row>
    <row r="191" spans="1:40" ht="20.100000000000001" customHeight="1" x14ac:dyDescent="0.25">
      <c r="A191" s="8">
        <v>189</v>
      </c>
      <c r="B191" s="8" t="s">
        <v>399</v>
      </c>
      <c r="C191" s="8" t="s">
        <v>1997</v>
      </c>
      <c r="D191" s="8" t="s">
        <v>2416</v>
      </c>
      <c r="E191" s="8" t="s">
        <v>1998</v>
      </c>
      <c r="F191" s="9" t="s">
        <v>2222</v>
      </c>
      <c r="G191" s="183"/>
      <c r="H191" s="9" t="s">
        <v>2228</v>
      </c>
      <c r="I191" s="183" t="s">
        <v>579</v>
      </c>
      <c r="J191" s="183"/>
      <c r="K191" s="10">
        <v>46038</v>
      </c>
      <c r="L191" s="9">
        <v>109</v>
      </c>
      <c r="M191" s="185" t="str">
        <f>IF(phc_8[[#This Row],[Register No.]]="","",C191&amp;"-"&amp;D191&amp;"-"&amp;"BHA-PHC-"&amp;phc_8[[#This Row],[Register No.]])</f>
        <v>Shining Star-Mobile Clinic-BHA-PHC-109</v>
      </c>
      <c r="N191" s="9" t="s">
        <v>401</v>
      </c>
      <c r="O191" s="183" t="s">
        <v>3379</v>
      </c>
      <c r="P191" s="183">
        <v>60</v>
      </c>
      <c r="Q191" s="183"/>
      <c r="R191" s="183"/>
      <c r="S191" s="186" t="str">
        <f t="shared" si="8"/>
        <v>50 yrs +</v>
      </c>
      <c r="T191" s="183" t="s">
        <v>603</v>
      </c>
      <c r="U191" s="9" t="s">
        <v>2228</v>
      </c>
      <c r="V191" s="183" t="s">
        <v>3382</v>
      </c>
      <c r="W191" s="183" t="s">
        <v>294</v>
      </c>
      <c r="X191" s="183" t="s">
        <v>294</v>
      </c>
      <c r="Y191" s="186" t="str">
        <f>INDEX(info!$Y$2:$Y$192,MATCH(phc_8[[#This Row],[Sub_Category]],info!$X$2:$X$192,0))</f>
        <v>Other (non-communicable)</v>
      </c>
      <c r="Z191" s="186" t="str">
        <f t="array" ref="Z191">INDEX(info!$AA$2:$AA$192,MATCH(PHC!$X191&amp;PHC!$Y191,info!$X$2:$X$192&amp;info!$Y$2:$Y$192,0))</f>
        <v>Other</v>
      </c>
      <c r="AA191" s="183" t="s">
        <v>3388</v>
      </c>
      <c r="AB191" s="9" t="s">
        <v>654</v>
      </c>
      <c r="AC191" s="9" t="s">
        <v>654</v>
      </c>
      <c r="AD191" s="9" t="s">
        <v>654</v>
      </c>
      <c r="AE191" s="9" t="s">
        <v>654</v>
      </c>
      <c r="AF191" s="184"/>
      <c r="AG191" s="183"/>
      <c r="AH191" s="183"/>
      <c r="AI191" s="183"/>
      <c r="AJ191" s="183"/>
      <c r="AK191" s="9" t="s">
        <v>654</v>
      </c>
      <c r="AL191" s="183"/>
      <c r="AM191" s="186" t="str">
        <f>IF(AF191="","","Q"&amp;INT((MONTH(AF191)-1)/3)+1&amp;YEAR(AF191)&amp;#REF!&amp;T191)</f>
        <v/>
      </c>
      <c r="AN191" s="186" t="e">
        <f>IF(K191="","","Q"&amp;INT((MONTH(K191)-1)/3)+1&amp;YEAR(K191)&amp;#REF!)</f>
        <v>#REF!</v>
      </c>
    </row>
    <row r="192" spans="1:40" ht="20.100000000000001" customHeight="1" x14ac:dyDescent="0.25">
      <c r="A192" s="8">
        <v>190</v>
      </c>
      <c r="B192" s="8" t="s">
        <v>399</v>
      </c>
      <c r="C192" s="8" t="s">
        <v>1997</v>
      </c>
      <c r="D192" s="8" t="s">
        <v>2416</v>
      </c>
      <c r="E192" s="8" t="s">
        <v>1998</v>
      </c>
      <c r="F192" s="9" t="s">
        <v>2222</v>
      </c>
      <c r="G192" s="183"/>
      <c r="H192" s="9" t="s">
        <v>2228</v>
      </c>
      <c r="I192" s="183" t="s">
        <v>579</v>
      </c>
      <c r="J192" s="183"/>
      <c r="K192" s="10">
        <v>46038</v>
      </c>
      <c r="L192" s="183">
        <v>110</v>
      </c>
      <c r="M192" s="185" t="str">
        <f>IF(phc_8[[#This Row],[Register No.]]="","",C192&amp;"-"&amp;D192&amp;"-"&amp;"BHA-PHC-"&amp;phc_8[[#This Row],[Register No.]])</f>
        <v>Shining Star-Mobile Clinic-BHA-PHC-110</v>
      </c>
      <c r="N192" s="9" t="s">
        <v>401</v>
      </c>
      <c r="O192" s="183" t="s">
        <v>3380</v>
      </c>
      <c r="P192" s="183">
        <v>53</v>
      </c>
      <c r="Q192" s="183"/>
      <c r="R192" s="183"/>
      <c r="S192" s="186" t="str">
        <f t="shared" si="8"/>
        <v>50 yrs +</v>
      </c>
      <c r="T192" s="183" t="s">
        <v>603</v>
      </c>
      <c r="U192" s="9" t="s">
        <v>2228</v>
      </c>
      <c r="V192" s="183" t="s">
        <v>3383</v>
      </c>
      <c r="W192" s="183" t="s">
        <v>2003</v>
      </c>
      <c r="X192" s="183" t="s">
        <v>181</v>
      </c>
      <c r="Y192" s="186" t="str">
        <f>INDEX(info!$Y$2:$Y$192,MATCH(phc_8[[#This Row],[Sub_Category]],info!$X$2:$X$192,0))</f>
        <v>Chronic medical disease</v>
      </c>
      <c r="Z192" s="186" t="str">
        <f t="array" ref="Z192">INDEX(info!$AA$2:$AA$192,MATCH(PHC!$X192&amp;PHC!$Y192,info!$X$2:$X$192&amp;info!$Y$2:$Y$192,0))</f>
        <v>Non-communicable disease</v>
      </c>
      <c r="AA192" s="183" t="s">
        <v>3389</v>
      </c>
      <c r="AB192" s="9" t="s">
        <v>654</v>
      </c>
      <c r="AC192" s="9" t="s">
        <v>654</v>
      </c>
      <c r="AD192" s="9" t="s">
        <v>654</v>
      </c>
      <c r="AE192" s="9" t="s">
        <v>654</v>
      </c>
      <c r="AF192" s="184"/>
      <c r="AG192" s="183"/>
      <c r="AH192" s="183"/>
      <c r="AI192" s="183"/>
      <c r="AJ192" s="183"/>
      <c r="AK192" s="9" t="s">
        <v>654</v>
      </c>
      <c r="AL192" s="183"/>
      <c r="AM192" s="186" t="str">
        <f>IF(AF192="","","Q"&amp;INT((MONTH(AF192)-1)/3)+1&amp;YEAR(AF192)&amp;#REF!&amp;T192)</f>
        <v/>
      </c>
      <c r="AN192" s="186" t="e">
        <f>IF(K192="","","Q"&amp;INT((MONTH(K192)-1)/3)+1&amp;YEAR(K192)&amp;#REF!)</f>
        <v>#REF!</v>
      </c>
    </row>
    <row r="193" spans="1:40" ht="20.100000000000001" customHeight="1" x14ac:dyDescent="0.25">
      <c r="A193" s="8">
        <v>191</v>
      </c>
      <c r="B193" s="8" t="s">
        <v>399</v>
      </c>
      <c r="C193" s="8" t="s">
        <v>1997</v>
      </c>
      <c r="D193" s="8" t="s">
        <v>2416</v>
      </c>
      <c r="E193" s="8" t="s">
        <v>1998</v>
      </c>
      <c r="F193" s="9" t="s">
        <v>2222</v>
      </c>
      <c r="G193" s="183"/>
      <c r="H193" s="9" t="s">
        <v>2228</v>
      </c>
      <c r="I193" s="183" t="s">
        <v>579</v>
      </c>
      <c r="J193" s="183"/>
      <c r="K193" s="10">
        <v>46038</v>
      </c>
      <c r="L193" s="9">
        <v>111</v>
      </c>
      <c r="M193" s="185" t="str">
        <f>IF(phc_8[[#This Row],[Register No.]]="","",C193&amp;"-"&amp;D193&amp;"-"&amp;"BHA-PHC-"&amp;phc_8[[#This Row],[Register No.]])</f>
        <v>Shining Star-Mobile Clinic-BHA-PHC-111</v>
      </c>
      <c r="N193" s="9" t="s">
        <v>401</v>
      </c>
      <c r="O193" s="183" t="s">
        <v>2234</v>
      </c>
      <c r="P193" s="183">
        <v>27</v>
      </c>
      <c r="Q193" s="183"/>
      <c r="R193" s="183"/>
      <c r="S193" s="186" t="str">
        <f t="shared" si="8"/>
        <v>19 - 49 yrs</v>
      </c>
      <c r="T193" s="183" t="s">
        <v>402</v>
      </c>
      <c r="U193" s="9" t="s">
        <v>2228</v>
      </c>
      <c r="V193" s="183" t="s">
        <v>3392</v>
      </c>
      <c r="W193" s="183" t="s">
        <v>242</v>
      </c>
      <c r="X193" s="183" t="s">
        <v>242</v>
      </c>
      <c r="Y193" s="186" t="str">
        <f>INDEX(info!$Y$2:$Y$192,MATCH(phc_8[[#This Row],[Sub_Category]],info!$X$2:$X$192,0))</f>
        <v>Accident/minor sugical and injuries</v>
      </c>
      <c r="Z193" s="186" t="str">
        <f t="array" ref="Z193">INDEX(info!$AA$2:$AA$192,MATCH(PHC!$X193&amp;PHC!$Y193,info!$X$2:$X$192&amp;info!$Y$2:$Y$192,0))</f>
        <v>Injury related</v>
      </c>
      <c r="AA193" s="183" t="s">
        <v>3393</v>
      </c>
      <c r="AB193" s="9" t="s">
        <v>654</v>
      </c>
      <c r="AC193" s="9" t="s">
        <v>654</v>
      </c>
      <c r="AD193" s="9" t="s">
        <v>654</v>
      </c>
      <c r="AE193" s="9" t="s">
        <v>654</v>
      </c>
      <c r="AF193" s="184"/>
      <c r="AG193" s="183"/>
      <c r="AH193" s="183"/>
      <c r="AI193" s="183"/>
      <c r="AJ193" s="183"/>
      <c r="AK193" s="9" t="s">
        <v>654</v>
      </c>
      <c r="AL193" s="183"/>
      <c r="AM193" s="186" t="str">
        <f>IF(AF193="","","Q"&amp;INT((MONTH(AF193)-1)/3)+1&amp;YEAR(AF193)&amp;#REF!&amp;T193)</f>
        <v/>
      </c>
      <c r="AN193" s="186" t="e">
        <f>IF(K193="","","Q"&amp;INT((MONTH(K193)-1)/3)+1&amp;YEAR(K193)&amp;#REF!)</f>
        <v>#REF!</v>
      </c>
    </row>
    <row r="194" spans="1:40" ht="20.100000000000001" customHeight="1" x14ac:dyDescent="0.25">
      <c r="A194" s="8">
        <v>192</v>
      </c>
      <c r="B194" s="8" t="s">
        <v>399</v>
      </c>
      <c r="C194" s="8" t="s">
        <v>1997</v>
      </c>
      <c r="D194" s="8" t="s">
        <v>2416</v>
      </c>
      <c r="E194" s="8" t="s">
        <v>1998</v>
      </c>
      <c r="F194" s="9" t="s">
        <v>2222</v>
      </c>
      <c r="G194" s="183"/>
      <c r="H194" s="9" t="s">
        <v>2228</v>
      </c>
      <c r="I194" s="183" t="s">
        <v>579</v>
      </c>
      <c r="J194" s="183"/>
      <c r="K194" s="10">
        <v>46038</v>
      </c>
      <c r="L194" s="183">
        <v>112</v>
      </c>
      <c r="M194" s="185" t="str">
        <f>IF(phc_8[[#This Row],[Register No.]]="","",C194&amp;"-"&amp;D194&amp;"-"&amp;"BHA-PHC-"&amp;phc_8[[#This Row],[Register No.]])</f>
        <v>Shining Star-Mobile Clinic-BHA-PHC-112</v>
      </c>
      <c r="N194" s="9" t="s">
        <v>401</v>
      </c>
      <c r="O194" s="183" t="s">
        <v>3390</v>
      </c>
      <c r="P194" s="183">
        <v>23</v>
      </c>
      <c r="Q194" s="183"/>
      <c r="R194" s="183"/>
      <c r="S194" s="186" t="str">
        <f t="shared" si="8"/>
        <v>19 - 49 yrs</v>
      </c>
      <c r="T194" s="183" t="s">
        <v>603</v>
      </c>
      <c r="U194" s="9" t="s">
        <v>2228</v>
      </c>
      <c r="V194" s="183"/>
      <c r="W194" s="183" t="s">
        <v>3195</v>
      </c>
      <c r="X194" s="183"/>
      <c r="Y194" s="186" t="e">
        <f>INDEX(info!$Y$2:$Y$192,MATCH(phc_8[[#This Row],[Sub_Category]],info!$X$2:$X$192,0))</f>
        <v>#N/A</v>
      </c>
      <c r="Z194" s="186" t="e">
        <f t="array" ref="Z194">INDEX(info!$AA$2:$AA$192,MATCH(PHC!$X194&amp;PHC!$Y194,info!$X$2:$X$192&amp;info!$Y$2:$Y$192,0))</f>
        <v>#N/A</v>
      </c>
      <c r="AA194" s="183" t="s">
        <v>3199</v>
      </c>
      <c r="AB194" s="9" t="s">
        <v>654</v>
      </c>
      <c r="AC194" s="9" t="s">
        <v>654</v>
      </c>
      <c r="AD194" s="9" t="s">
        <v>654</v>
      </c>
      <c r="AE194" s="9" t="s">
        <v>654</v>
      </c>
      <c r="AF194" s="184"/>
      <c r="AG194" s="183"/>
      <c r="AH194" s="183"/>
      <c r="AI194" s="183"/>
      <c r="AJ194" s="183"/>
      <c r="AK194" s="9" t="s">
        <v>654</v>
      </c>
      <c r="AL194" s="183"/>
      <c r="AM194" s="186" t="str">
        <f>IF(AF194="","","Q"&amp;INT((MONTH(AF194)-1)/3)+1&amp;YEAR(AF194)&amp;#REF!&amp;T194)</f>
        <v/>
      </c>
      <c r="AN194" s="186" t="e">
        <f>IF(K194="","","Q"&amp;INT((MONTH(K194)-1)/3)+1&amp;YEAR(K194)&amp;#REF!)</f>
        <v>#REF!</v>
      </c>
    </row>
    <row r="195" spans="1:40" ht="20.100000000000001" customHeight="1" x14ac:dyDescent="0.25">
      <c r="A195" s="8">
        <v>193</v>
      </c>
      <c r="B195" s="8" t="s">
        <v>399</v>
      </c>
      <c r="C195" s="8" t="s">
        <v>1997</v>
      </c>
      <c r="D195" s="8" t="s">
        <v>2416</v>
      </c>
      <c r="E195" s="8" t="s">
        <v>1998</v>
      </c>
      <c r="F195" s="9" t="s">
        <v>2222</v>
      </c>
      <c r="G195" s="183"/>
      <c r="H195" s="9" t="s">
        <v>2228</v>
      </c>
      <c r="I195" s="183" t="s">
        <v>579</v>
      </c>
      <c r="J195" s="183"/>
      <c r="K195" s="10">
        <v>46038</v>
      </c>
      <c r="L195" s="9">
        <v>113</v>
      </c>
      <c r="M195" s="185" t="str">
        <f>IF(phc_8[[#This Row],[Register No.]]="","",C195&amp;"-"&amp;D195&amp;"-"&amp;"BHA-PHC-"&amp;phc_8[[#This Row],[Register No.]])</f>
        <v>Shining Star-Mobile Clinic-BHA-PHC-113</v>
      </c>
      <c r="N195" s="9" t="s">
        <v>401</v>
      </c>
      <c r="O195" s="183" t="s">
        <v>3391</v>
      </c>
      <c r="P195" s="183">
        <v>28</v>
      </c>
      <c r="Q195" s="183"/>
      <c r="R195" s="183"/>
      <c r="S195" s="186" t="str">
        <f t="shared" si="8"/>
        <v>19 - 49 yrs</v>
      </c>
      <c r="T195" s="183" t="s">
        <v>603</v>
      </c>
      <c r="U195" s="9" t="s">
        <v>2228</v>
      </c>
      <c r="V195" s="183"/>
      <c r="W195" s="183" t="s">
        <v>3195</v>
      </c>
      <c r="X195" s="183"/>
      <c r="Y195" s="186" t="e">
        <f>INDEX(info!$Y$2:$Y$192,MATCH(phc_8[[#This Row],[Sub_Category]],info!$X$2:$X$192,0))</f>
        <v>#N/A</v>
      </c>
      <c r="Z195" s="186" t="e">
        <f t="array" ref="Z195">INDEX(info!$AA$2:$AA$192,MATCH(PHC!$X195&amp;PHC!$Y195,info!$X$2:$X$192&amp;info!$Y$2:$Y$192,0))</f>
        <v>#N/A</v>
      </c>
      <c r="AA195" s="183" t="s">
        <v>3199</v>
      </c>
      <c r="AB195" s="9" t="s">
        <v>654</v>
      </c>
      <c r="AC195" s="9" t="s">
        <v>654</v>
      </c>
      <c r="AD195" s="9" t="s">
        <v>654</v>
      </c>
      <c r="AE195" s="9" t="s">
        <v>654</v>
      </c>
      <c r="AF195" s="184"/>
      <c r="AG195" s="183"/>
      <c r="AH195" s="183"/>
      <c r="AI195" s="183"/>
      <c r="AJ195" s="183"/>
      <c r="AK195" s="9" t="s">
        <v>654</v>
      </c>
      <c r="AL195" s="183"/>
      <c r="AM195" s="186" t="str">
        <f>IF(AF195="","","Q"&amp;INT((MONTH(AF195)-1)/3)+1&amp;YEAR(AF195)&amp;#REF!&amp;T195)</f>
        <v/>
      </c>
      <c r="AN195" s="186" t="e">
        <f>IF(K195="","","Q"&amp;INT((MONTH(K195)-1)/3)+1&amp;YEAR(K195)&amp;#REF!)</f>
        <v>#REF!</v>
      </c>
    </row>
    <row r="196" spans="1:40" ht="20.100000000000001" customHeight="1" x14ac:dyDescent="0.25">
      <c r="A196" s="8">
        <v>194</v>
      </c>
      <c r="B196" s="8" t="s">
        <v>399</v>
      </c>
      <c r="C196" s="8" t="s">
        <v>1997</v>
      </c>
      <c r="D196" s="8" t="s">
        <v>2416</v>
      </c>
      <c r="E196" s="8" t="s">
        <v>1998</v>
      </c>
      <c r="F196" s="183" t="s">
        <v>2222</v>
      </c>
      <c r="G196" s="183"/>
      <c r="H196" s="183" t="s">
        <v>2424</v>
      </c>
      <c r="I196" s="183" t="s">
        <v>579</v>
      </c>
      <c r="J196" s="183"/>
      <c r="K196" s="184">
        <v>46041</v>
      </c>
      <c r="L196" s="183">
        <v>1</v>
      </c>
      <c r="M196" s="185" t="str">
        <f>IF(phc_8[[#This Row],[Register No.]]="","",C196&amp;"-"&amp;D196&amp;"-"&amp;"BHA-PHC-"&amp;phc_8[[#This Row],[Register No.]])</f>
        <v>Shining Star-Mobile Clinic-BHA-PHC-1</v>
      </c>
      <c r="N196" s="9" t="s">
        <v>401</v>
      </c>
      <c r="O196" s="183" t="s">
        <v>3394</v>
      </c>
      <c r="P196" s="183">
        <v>53</v>
      </c>
      <c r="Q196" s="183"/>
      <c r="R196" s="183"/>
      <c r="S196" s="186" t="str">
        <f t="shared" si="8"/>
        <v>50 yrs +</v>
      </c>
      <c r="T196" s="183" t="s">
        <v>402</v>
      </c>
      <c r="U196" s="183" t="s">
        <v>3398</v>
      </c>
      <c r="V196" s="183" t="s">
        <v>3399</v>
      </c>
      <c r="W196" s="183" t="s">
        <v>2003</v>
      </c>
      <c r="X196" s="183" t="s">
        <v>181</v>
      </c>
      <c r="Y196" s="186" t="str">
        <f>INDEX(info!$Y$2:$Y$192,MATCH(phc_8[[#This Row],[Sub_Category]],info!$X$2:$X$192,0))</f>
        <v>Chronic medical disease</v>
      </c>
      <c r="Z196" s="186" t="str">
        <f t="array" ref="Z196">INDEX(info!$AA$2:$AA$192,MATCH(PHC!$X196&amp;PHC!$Y196,info!$X$2:$X$192&amp;info!$Y$2:$Y$192,0))</f>
        <v>Non-communicable disease</v>
      </c>
      <c r="AA196" s="183" t="s">
        <v>3402</v>
      </c>
      <c r="AB196" s="9" t="s">
        <v>654</v>
      </c>
      <c r="AC196" s="9" t="s">
        <v>654</v>
      </c>
      <c r="AD196" s="9" t="s">
        <v>654</v>
      </c>
      <c r="AE196" s="9" t="s">
        <v>654</v>
      </c>
      <c r="AF196" s="184"/>
      <c r="AG196" s="183"/>
      <c r="AH196" s="183"/>
      <c r="AI196" s="183"/>
      <c r="AJ196" s="183"/>
      <c r="AK196" s="9" t="s">
        <v>654</v>
      </c>
      <c r="AL196" s="183"/>
      <c r="AM196" s="186" t="str">
        <f>IF(AF196="","","Q"&amp;INT((MONTH(AF196)-1)/3)+1&amp;YEAR(AF196)&amp;#REF!&amp;T196)</f>
        <v/>
      </c>
      <c r="AN196" s="186" t="e">
        <f>IF(K196="","","Q"&amp;INT((MONTH(K196)-1)/3)+1&amp;YEAR(K196)&amp;#REF!)</f>
        <v>#REF!</v>
      </c>
    </row>
    <row r="197" spans="1:40" ht="20.100000000000001" customHeight="1" x14ac:dyDescent="0.25">
      <c r="A197" s="8">
        <v>195</v>
      </c>
      <c r="B197" s="8" t="s">
        <v>399</v>
      </c>
      <c r="C197" s="8" t="s">
        <v>1997</v>
      </c>
      <c r="D197" s="8" t="s">
        <v>2416</v>
      </c>
      <c r="E197" s="8" t="s">
        <v>1998</v>
      </c>
      <c r="F197" s="183" t="s">
        <v>2222</v>
      </c>
      <c r="G197" s="183"/>
      <c r="H197" s="183" t="s">
        <v>2424</v>
      </c>
      <c r="I197" s="183" t="s">
        <v>579</v>
      </c>
      <c r="J197" s="183"/>
      <c r="K197" s="184">
        <v>46041</v>
      </c>
      <c r="L197" s="183">
        <v>2</v>
      </c>
      <c r="M197" s="185" t="str">
        <f>IF(phc_8[[#This Row],[Register No.]]="","",C197&amp;"-"&amp;D197&amp;"-"&amp;"BHA-PHC-"&amp;phc_8[[#This Row],[Register No.]])</f>
        <v>Shining Star-Mobile Clinic-BHA-PHC-2</v>
      </c>
      <c r="N197" s="9" t="s">
        <v>401</v>
      </c>
      <c r="O197" s="183" t="s">
        <v>2054</v>
      </c>
      <c r="P197" s="183">
        <v>60</v>
      </c>
      <c r="Q197" s="183"/>
      <c r="R197" s="183"/>
      <c r="S197" s="186" t="str">
        <f t="shared" si="8"/>
        <v>50 yrs +</v>
      </c>
      <c r="T197" s="183" t="s">
        <v>603</v>
      </c>
      <c r="U197" s="183" t="s">
        <v>3398</v>
      </c>
      <c r="V197" s="183" t="s">
        <v>3181</v>
      </c>
      <c r="W197" s="183" t="s">
        <v>178</v>
      </c>
      <c r="X197" s="183" t="s">
        <v>178</v>
      </c>
      <c r="Y197" s="186" t="str">
        <f>INDEX(info!$Y$2:$Y$192,MATCH(phc_8[[#This Row],[Sub_Category]],info!$X$2:$X$192,0))</f>
        <v>Chronic medical disease</v>
      </c>
      <c r="Z197" s="186" t="str">
        <f t="array" ref="Z197">INDEX(info!$AA$2:$AA$192,MATCH(PHC!$X197&amp;PHC!$Y197,info!$X$2:$X$192&amp;info!$Y$2:$Y$192,0))</f>
        <v>Non-communicable disease</v>
      </c>
      <c r="AA197" s="183" t="s">
        <v>3403</v>
      </c>
      <c r="AB197" s="9" t="s">
        <v>654</v>
      </c>
      <c r="AC197" s="9" t="s">
        <v>654</v>
      </c>
      <c r="AD197" s="9" t="s">
        <v>654</v>
      </c>
      <c r="AE197" s="9" t="s">
        <v>654</v>
      </c>
      <c r="AF197" s="184"/>
      <c r="AG197" s="183"/>
      <c r="AH197" s="183"/>
      <c r="AI197" s="183"/>
      <c r="AJ197" s="183"/>
      <c r="AK197" s="9" t="s">
        <v>654</v>
      </c>
      <c r="AL197" s="183"/>
      <c r="AM197" s="186" t="str">
        <f>IF(AF197="","","Q"&amp;INT((MONTH(AF197)-1)/3)+1&amp;YEAR(AF197)&amp;#REF!&amp;T197)</f>
        <v/>
      </c>
      <c r="AN197" s="186" t="e">
        <f>IF(K197="","","Q"&amp;INT((MONTH(K197)-1)/3)+1&amp;YEAR(K197)&amp;#REF!)</f>
        <v>#REF!</v>
      </c>
    </row>
    <row r="198" spans="1:40" ht="20.100000000000001" customHeight="1" x14ac:dyDescent="0.25">
      <c r="A198" s="8">
        <v>196</v>
      </c>
      <c r="B198" s="8" t="s">
        <v>399</v>
      </c>
      <c r="C198" s="8" t="s">
        <v>1997</v>
      </c>
      <c r="D198" s="8" t="s">
        <v>2416</v>
      </c>
      <c r="E198" s="8" t="s">
        <v>1998</v>
      </c>
      <c r="F198" s="183" t="s">
        <v>2222</v>
      </c>
      <c r="G198" s="183"/>
      <c r="H198" s="183" t="s">
        <v>2424</v>
      </c>
      <c r="I198" s="183" t="s">
        <v>579</v>
      </c>
      <c r="J198" s="183"/>
      <c r="K198" s="184">
        <v>46041</v>
      </c>
      <c r="L198" s="183">
        <v>3</v>
      </c>
      <c r="M198" s="185" t="str">
        <f>IF(phc_8[[#This Row],[Register No.]]="","",C198&amp;"-"&amp;D198&amp;"-"&amp;"BHA-PHC-"&amp;phc_8[[#This Row],[Register No.]])</f>
        <v>Shining Star-Mobile Clinic-BHA-PHC-3</v>
      </c>
      <c r="N198" s="9" t="s">
        <v>401</v>
      </c>
      <c r="O198" s="183" t="s">
        <v>3395</v>
      </c>
      <c r="P198" s="183">
        <v>49</v>
      </c>
      <c r="Q198" s="183"/>
      <c r="R198" s="183"/>
      <c r="S198" s="186" t="str">
        <f t="shared" si="8"/>
        <v>19 - 49 yrs</v>
      </c>
      <c r="T198" s="183" t="s">
        <v>603</v>
      </c>
      <c r="U198" s="183" t="s">
        <v>3398</v>
      </c>
      <c r="V198" s="183" t="s">
        <v>3400</v>
      </c>
      <c r="W198" s="183" t="s">
        <v>294</v>
      </c>
      <c r="X198" s="183" t="s">
        <v>294</v>
      </c>
      <c r="Y198" s="186" t="str">
        <f>INDEX(info!$Y$2:$Y$192,MATCH(phc_8[[#This Row],[Sub_Category]],info!$X$2:$X$192,0))</f>
        <v>Other (non-communicable)</v>
      </c>
      <c r="Z198" s="186" t="str">
        <f t="array" ref="Z198">INDEX(info!$AA$2:$AA$192,MATCH(PHC!$X198&amp;PHC!$Y198,info!$X$2:$X$192&amp;info!$Y$2:$Y$192,0))</f>
        <v>Other</v>
      </c>
      <c r="AA198" s="183" t="s">
        <v>3404</v>
      </c>
      <c r="AB198" s="9" t="s">
        <v>654</v>
      </c>
      <c r="AC198" s="9" t="s">
        <v>654</v>
      </c>
      <c r="AD198" s="9" t="s">
        <v>654</v>
      </c>
      <c r="AE198" s="9" t="s">
        <v>654</v>
      </c>
      <c r="AF198" s="184"/>
      <c r="AG198" s="183"/>
      <c r="AH198" s="183"/>
      <c r="AI198" s="183"/>
      <c r="AJ198" s="183"/>
      <c r="AK198" s="9" t="s">
        <v>654</v>
      </c>
      <c r="AL198" s="183"/>
      <c r="AM198" s="186" t="str">
        <f>IF(AF198="","","Q"&amp;INT((MONTH(AF198)-1)/3)+1&amp;YEAR(AF198)&amp;#REF!&amp;T198)</f>
        <v/>
      </c>
      <c r="AN198" s="186" t="e">
        <f>IF(K198="","","Q"&amp;INT((MONTH(K198)-1)/3)+1&amp;YEAR(K198)&amp;#REF!)</f>
        <v>#REF!</v>
      </c>
    </row>
    <row r="199" spans="1:40" ht="20.100000000000001" customHeight="1" x14ac:dyDescent="0.25">
      <c r="A199" s="8">
        <v>197</v>
      </c>
      <c r="B199" s="8" t="s">
        <v>399</v>
      </c>
      <c r="C199" s="8" t="s">
        <v>1997</v>
      </c>
      <c r="D199" s="8" t="s">
        <v>2416</v>
      </c>
      <c r="E199" s="8" t="s">
        <v>1998</v>
      </c>
      <c r="F199" s="183" t="s">
        <v>2222</v>
      </c>
      <c r="G199" s="183"/>
      <c r="H199" s="183" t="s">
        <v>2424</v>
      </c>
      <c r="I199" s="183" t="s">
        <v>579</v>
      </c>
      <c r="J199" s="183"/>
      <c r="K199" s="184">
        <v>46041</v>
      </c>
      <c r="L199" s="183">
        <v>4</v>
      </c>
      <c r="M199" s="185" t="str">
        <f>IF(phc_8[[#This Row],[Register No.]]="","",C199&amp;"-"&amp;D199&amp;"-"&amp;"BHA-PHC-"&amp;phc_8[[#This Row],[Register No.]])</f>
        <v>Shining Star-Mobile Clinic-BHA-PHC-4</v>
      </c>
      <c r="N199" s="9" t="s">
        <v>401</v>
      </c>
      <c r="O199" s="183" t="s">
        <v>3396</v>
      </c>
      <c r="P199" s="183">
        <v>53</v>
      </c>
      <c r="Q199" s="183"/>
      <c r="R199" s="183"/>
      <c r="S199" s="186" t="str">
        <f t="shared" si="8"/>
        <v>50 yrs +</v>
      </c>
      <c r="T199" s="183" t="s">
        <v>402</v>
      </c>
      <c r="U199" s="183" t="s">
        <v>3398</v>
      </c>
      <c r="V199" s="183" t="s">
        <v>3401</v>
      </c>
      <c r="W199" s="183" t="s">
        <v>2003</v>
      </c>
      <c r="X199" s="183" t="s">
        <v>181</v>
      </c>
      <c r="Y199" s="186" t="str">
        <f>INDEX(info!$Y$2:$Y$192,MATCH(phc_8[[#This Row],[Sub_Category]],info!$X$2:$X$192,0))</f>
        <v>Chronic medical disease</v>
      </c>
      <c r="Z199" s="186" t="str">
        <f t="array" ref="Z199">INDEX(info!$AA$2:$AA$192,MATCH(PHC!$X199&amp;PHC!$Y199,info!$X$2:$X$192&amp;info!$Y$2:$Y$192,0))</f>
        <v>Non-communicable disease</v>
      </c>
      <c r="AA199" s="183" t="s">
        <v>3405</v>
      </c>
      <c r="AB199" s="9" t="s">
        <v>654</v>
      </c>
      <c r="AC199" s="9" t="s">
        <v>654</v>
      </c>
      <c r="AD199" s="9" t="s">
        <v>654</v>
      </c>
      <c r="AE199" s="9" t="s">
        <v>654</v>
      </c>
      <c r="AF199" s="184"/>
      <c r="AG199" s="183"/>
      <c r="AH199" s="183"/>
      <c r="AI199" s="183"/>
      <c r="AJ199" s="183"/>
      <c r="AK199" s="9" t="s">
        <v>654</v>
      </c>
      <c r="AL199" s="183"/>
      <c r="AM199" s="186" t="str">
        <f>IF(AF199="","","Q"&amp;INT((MONTH(AF199)-1)/3)+1&amp;YEAR(AF199)&amp;#REF!&amp;T199)</f>
        <v/>
      </c>
      <c r="AN199" s="186" t="e">
        <f>IF(K199="","","Q"&amp;INT((MONTH(K199)-1)/3)+1&amp;YEAR(K199)&amp;#REF!)</f>
        <v>#REF!</v>
      </c>
    </row>
    <row r="200" spans="1:40" ht="20.100000000000001" customHeight="1" x14ac:dyDescent="0.25">
      <c r="A200" s="8">
        <v>198</v>
      </c>
      <c r="B200" s="8" t="s">
        <v>399</v>
      </c>
      <c r="C200" s="8" t="s">
        <v>1997</v>
      </c>
      <c r="D200" s="8" t="s">
        <v>2416</v>
      </c>
      <c r="E200" s="8" t="s">
        <v>1998</v>
      </c>
      <c r="F200" s="183" t="s">
        <v>2222</v>
      </c>
      <c r="G200" s="183"/>
      <c r="H200" s="183" t="s">
        <v>2424</v>
      </c>
      <c r="I200" s="183" t="s">
        <v>579</v>
      </c>
      <c r="J200" s="183"/>
      <c r="K200" s="184">
        <v>46041</v>
      </c>
      <c r="L200" s="183">
        <v>5</v>
      </c>
      <c r="M200" s="185" t="str">
        <f>IF(phc_8[[#This Row],[Register No.]]="","",C200&amp;"-"&amp;D200&amp;"-"&amp;"BHA-PHC-"&amp;phc_8[[#This Row],[Register No.]])</f>
        <v>Shining Star-Mobile Clinic-BHA-PHC-5</v>
      </c>
      <c r="N200" s="9" t="s">
        <v>401</v>
      </c>
      <c r="O200" s="183" t="s">
        <v>3397</v>
      </c>
      <c r="P200" s="183">
        <v>47</v>
      </c>
      <c r="Q200" s="183"/>
      <c r="R200" s="183"/>
      <c r="S200" s="186" t="str">
        <f t="shared" si="8"/>
        <v>19 - 49 yrs</v>
      </c>
      <c r="T200" s="183" t="s">
        <v>603</v>
      </c>
      <c r="U200" s="183" t="s">
        <v>3398</v>
      </c>
      <c r="V200" s="183" t="s">
        <v>3292</v>
      </c>
      <c r="W200" s="183" t="s">
        <v>2003</v>
      </c>
      <c r="X200" s="183" t="s">
        <v>181</v>
      </c>
      <c r="Y200" s="186" t="str">
        <f>INDEX(info!$Y$2:$Y$192,MATCH(phc_8[[#This Row],[Sub_Category]],info!$X$2:$X$192,0))</f>
        <v>Chronic medical disease</v>
      </c>
      <c r="Z200" s="186" t="str">
        <f t="array" ref="Z200">INDEX(info!$AA$2:$AA$192,MATCH(PHC!$X200&amp;PHC!$Y200,info!$X$2:$X$192&amp;info!$Y$2:$Y$192,0))</f>
        <v>Non-communicable disease</v>
      </c>
      <c r="AA200" s="183" t="s">
        <v>3406</v>
      </c>
      <c r="AB200" s="9" t="s">
        <v>654</v>
      </c>
      <c r="AC200" s="9" t="s">
        <v>654</v>
      </c>
      <c r="AD200" s="9" t="s">
        <v>654</v>
      </c>
      <c r="AE200" s="9" t="s">
        <v>654</v>
      </c>
      <c r="AF200" s="184"/>
      <c r="AG200" s="183"/>
      <c r="AH200" s="183"/>
      <c r="AI200" s="183"/>
      <c r="AJ200" s="183"/>
      <c r="AK200" s="9" t="s">
        <v>654</v>
      </c>
      <c r="AL200" s="183"/>
      <c r="AM200" s="186" t="str">
        <f>IF(AF200="","","Q"&amp;INT((MONTH(AF200)-1)/3)+1&amp;YEAR(AF200)&amp;#REF!&amp;T200)</f>
        <v/>
      </c>
      <c r="AN200" s="186" t="e">
        <f>IF(K200="","","Q"&amp;INT((MONTH(K200)-1)/3)+1&amp;YEAR(K200)&amp;#REF!)</f>
        <v>#REF!</v>
      </c>
    </row>
    <row r="201" spans="1:40" ht="20.100000000000001" customHeight="1" x14ac:dyDescent="0.25">
      <c r="A201" s="8">
        <v>199</v>
      </c>
      <c r="B201" s="8" t="s">
        <v>399</v>
      </c>
      <c r="C201" s="8" t="s">
        <v>1997</v>
      </c>
      <c r="D201" s="8" t="s">
        <v>2416</v>
      </c>
      <c r="E201" s="8" t="s">
        <v>1998</v>
      </c>
      <c r="F201" s="183" t="s">
        <v>2222</v>
      </c>
      <c r="G201" s="183"/>
      <c r="H201" s="183" t="s">
        <v>2424</v>
      </c>
      <c r="I201" s="183" t="s">
        <v>579</v>
      </c>
      <c r="J201" s="183"/>
      <c r="K201" s="184">
        <v>46041</v>
      </c>
      <c r="L201" s="183">
        <v>6</v>
      </c>
      <c r="M201" s="185" t="str">
        <f>IF(phc_8[[#This Row],[Register No.]]="","",C201&amp;"-"&amp;D201&amp;"-"&amp;"BHA-PHC-"&amp;phc_8[[#This Row],[Register No.]])</f>
        <v>Shining Star-Mobile Clinic-BHA-PHC-6</v>
      </c>
      <c r="N201" s="9" t="s">
        <v>401</v>
      </c>
      <c r="O201" s="183" t="s">
        <v>3407</v>
      </c>
      <c r="P201" s="183">
        <v>33</v>
      </c>
      <c r="Q201" s="183"/>
      <c r="R201" s="183"/>
      <c r="S201" s="186" t="str">
        <f t="shared" si="8"/>
        <v>19 - 49 yrs</v>
      </c>
      <c r="T201" s="183" t="s">
        <v>402</v>
      </c>
      <c r="U201" s="183" t="s">
        <v>3398</v>
      </c>
      <c r="V201" s="183" t="s">
        <v>3319</v>
      </c>
      <c r="W201" s="183" t="s">
        <v>294</v>
      </c>
      <c r="X201" s="183" t="s">
        <v>294</v>
      </c>
      <c r="Y201" s="186" t="str">
        <f>INDEX(info!$Y$2:$Y$192,MATCH(phc_8[[#This Row],[Sub_Category]],info!$X$2:$X$192,0))</f>
        <v>Other (non-communicable)</v>
      </c>
      <c r="Z201" s="186" t="str">
        <f t="array" ref="Z201">INDEX(info!$AA$2:$AA$192,MATCH(PHC!$X201&amp;PHC!$Y201,info!$X$2:$X$192&amp;info!$Y$2:$Y$192,0))</f>
        <v>Other</v>
      </c>
      <c r="AA201" s="183" t="s">
        <v>3417</v>
      </c>
      <c r="AB201" s="9" t="s">
        <v>654</v>
      </c>
      <c r="AC201" s="9" t="s">
        <v>654</v>
      </c>
      <c r="AD201" s="9" t="s">
        <v>654</v>
      </c>
      <c r="AE201" s="9" t="s">
        <v>654</v>
      </c>
      <c r="AF201" s="184"/>
      <c r="AG201" s="183"/>
      <c r="AH201" s="183"/>
      <c r="AI201" s="183"/>
      <c r="AJ201" s="183"/>
      <c r="AK201" s="9" t="s">
        <v>654</v>
      </c>
      <c r="AL201" s="183"/>
      <c r="AM201" s="186" t="str">
        <f>IF(AF201="","","Q"&amp;INT((MONTH(AF201)-1)/3)+1&amp;YEAR(AF201)&amp;#REF!&amp;T201)</f>
        <v/>
      </c>
      <c r="AN201" s="186" t="e">
        <f>IF(K201="","","Q"&amp;INT((MONTH(K201)-1)/3)+1&amp;YEAR(K201)&amp;#REF!)</f>
        <v>#REF!</v>
      </c>
    </row>
    <row r="202" spans="1:40" ht="20.100000000000001" customHeight="1" x14ac:dyDescent="0.25">
      <c r="A202" s="8">
        <v>200</v>
      </c>
      <c r="B202" s="8" t="s">
        <v>399</v>
      </c>
      <c r="C202" s="8" t="s">
        <v>1997</v>
      </c>
      <c r="D202" s="8" t="s">
        <v>2416</v>
      </c>
      <c r="E202" s="8" t="s">
        <v>1998</v>
      </c>
      <c r="F202" s="183" t="s">
        <v>2222</v>
      </c>
      <c r="G202" s="183"/>
      <c r="H202" s="183" t="s">
        <v>2424</v>
      </c>
      <c r="I202" s="183" t="s">
        <v>579</v>
      </c>
      <c r="J202" s="183"/>
      <c r="K202" s="184">
        <v>46041</v>
      </c>
      <c r="L202" s="183">
        <v>7</v>
      </c>
      <c r="M202" s="185" t="str">
        <f>IF(phc_8[[#This Row],[Register No.]]="","",C202&amp;"-"&amp;D202&amp;"-"&amp;"BHA-PHC-"&amp;phc_8[[#This Row],[Register No.]])</f>
        <v>Shining Star-Mobile Clinic-BHA-PHC-7</v>
      </c>
      <c r="N202" s="9" t="s">
        <v>401</v>
      </c>
      <c r="O202" s="183" t="s">
        <v>3408</v>
      </c>
      <c r="P202" s="183">
        <v>38</v>
      </c>
      <c r="Q202" s="183"/>
      <c r="R202" s="183"/>
      <c r="S202" s="186" t="str">
        <f t="shared" si="8"/>
        <v>19 - 49 yrs</v>
      </c>
      <c r="T202" s="183" t="s">
        <v>603</v>
      </c>
      <c r="U202" s="183" t="s">
        <v>3398</v>
      </c>
      <c r="V202" s="183" t="s">
        <v>3412</v>
      </c>
      <c r="W202" s="183" t="s">
        <v>2003</v>
      </c>
      <c r="X202" s="183" t="s">
        <v>181</v>
      </c>
      <c r="Y202" s="186" t="str">
        <f>INDEX(info!$Y$2:$Y$192,MATCH(phc_8[[#This Row],[Sub_Category]],info!$X$2:$X$192,0))</f>
        <v>Chronic medical disease</v>
      </c>
      <c r="Z202" s="186" t="str">
        <f t="array" ref="Z202">INDEX(info!$AA$2:$AA$192,MATCH(PHC!$X202&amp;PHC!$Y202,info!$X$2:$X$192&amp;info!$Y$2:$Y$192,0))</f>
        <v>Non-communicable disease</v>
      </c>
      <c r="AA202" s="183" t="s">
        <v>3418</v>
      </c>
      <c r="AB202" s="9" t="s">
        <v>654</v>
      </c>
      <c r="AC202" s="9" t="s">
        <v>654</v>
      </c>
      <c r="AD202" s="9" t="s">
        <v>654</v>
      </c>
      <c r="AE202" s="9" t="s">
        <v>654</v>
      </c>
      <c r="AF202" s="184"/>
      <c r="AG202" s="183"/>
      <c r="AH202" s="183"/>
      <c r="AI202" s="183"/>
      <c r="AJ202" s="183"/>
      <c r="AK202" s="9" t="s">
        <v>654</v>
      </c>
      <c r="AL202" s="183"/>
      <c r="AM202" s="186" t="str">
        <f>IF(AF202="","","Q"&amp;INT((MONTH(AF202)-1)/3)+1&amp;YEAR(AF202)&amp;#REF!&amp;T202)</f>
        <v/>
      </c>
      <c r="AN202" s="186" t="e">
        <f>IF(K202="","","Q"&amp;INT((MONTH(K202)-1)/3)+1&amp;YEAR(K202)&amp;#REF!)</f>
        <v>#REF!</v>
      </c>
    </row>
    <row r="203" spans="1:40" ht="20.100000000000001" customHeight="1" x14ac:dyDescent="0.25">
      <c r="A203" s="8">
        <v>201</v>
      </c>
      <c r="B203" s="8" t="s">
        <v>399</v>
      </c>
      <c r="C203" s="8" t="s">
        <v>1997</v>
      </c>
      <c r="D203" s="8" t="s">
        <v>2416</v>
      </c>
      <c r="E203" s="8" t="s">
        <v>1998</v>
      </c>
      <c r="F203" s="183" t="s">
        <v>2222</v>
      </c>
      <c r="G203" s="183"/>
      <c r="H203" s="183" t="s">
        <v>2424</v>
      </c>
      <c r="I203" s="183" t="s">
        <v>579</v>
      </c>
      <c r="J203" s="183"/>
      <c r="K203" s="184">
        <v>46041</v>
      </c>
      <c r="L203" s="183">
        <v>8</v>
      </c>
      <c r="M203" s="185" t="str">
        <f>IF(phc_8[[#This Row],[Register No.]]="","",C203&amp;"-"&amp;D203&amp;"-"&amp;"BHA-PHC-"&amp;phc_8[[#This Row],[Register No.]])</f>
        <v>Shining Star-Mobile Clinic-BHA-PHC-8</v>
      </c>
      <c r="N203" s="9" t="s">
        <v>401</v>
      </c>
      <c r="O203" s="183" t="s">
        <v>3409</v>
      </c>
      <c r="P203" s="183">
        <v>41</v>
      </c>
      <c r="Q203" s="183"/>
      <c r="R203" s="183"/>
      <c r="S203" s="186" t="str">
        <f t="shared" si="8"/>
        <v>19 - 49 yrs</v>
      </c>
      <c r="T203" s="183" t="s">
        <v>603</v>
      </c>
      <c r="U203" s="183" t="s">
        <v>3398</v>
      </c>
      <c r="V203" s="183" t="s">
        <v>3413</v>
      </c>
      <c r="W203" s="183" t="s">
        <v>2014</v>
      </c>
      <c r="X203" s="183" t="s">
        <v>2014</v>
      </c>
      <c r="Y203" s="186" t="str">
        <f>INDEX(info!$Y$2:$Y$192,MATCH(phc_8[[#This Row],[Sub_Category]],info!$X$2:$X$192,0))</f>
        <v>Other (non-communicable)</v>
      </c>
      <c r="Z203" s="186" t="str">
        <f t="array" ref="Z203">INDEX(info!$AA$2:$AA$192,MATCH(PHC!$X203&amp;PHC!$Y203,info!$X$2:$X$192&amp;info!$Y$2:$Y$192,0))</f>
        <v>Other</v>
      </c>
      <c r="AA203" s="183" t="s">
        <v>3419</v>
      </c>
      <c r="AB203" s="9" t="s">
        <v>654</v>
      </c>
      <c r="AC203" s="9" t="s">
        <v>654</v>
      </c>
      <c r="AD203" s="9" t="s">
        <v>654</v>
      </c>
      <c r="AE203" s="9" t="s">
        <v>654</v>
      </c>
      <c r="AF203" s="184"/>
      <c r="AG203" s="183"/>
      <c r="AH203" s="183"/>
      <c r="AI203" s="183"/>
      <c r="AJ203" s="183"/>
      <c r="AK203" s="9" t="s">
        <v>654</v>
      </c>
      <c r="AL203" s="183"/>
      <c r="AM203" s="186" t="str">
        <f>IF(AF203="","","Q"&amp;INT((MONTH(AF203)-1)/3)+1&amp;YEAR(AF203)&amp;#REF!&amp;T203)</f>
        <v/>
      </c>
      <c r="AN203" s="186" t="e">
        <f>IF(K203="","","Q"&amp;INT((MONTH(K203)-1)/3)+1&amp;YEAR(K203)&amp;#REF!)</f>
        <v>#REF!</v>
      </c>
    </row>
    <row r="204" spans="1:40" ht="20.100000000000001" customHeight="1" x14ac:dyDescent="0.25">
      <c r="A204" s="8">
        <v>202</v>
      </c>
      <c r="B204" s="8" t="s">
        <v>399</v>
      </c>
      <c r="C204" s="8" t="s">
        <v>1997</v>
      </c>
      <c r="D204" s="8" t="s">
        <v>2416</v>
      </c>
      <c r="E204" s="8" t="s">
        <v>1998</v>
      </c>
      <c r="F204" s="183" t="s">
        <v>2222</v>
      </c>
      <c r="G204" s="183"/>
      <c r="H204" s="183" t="s">
        <v>2424</v>
      </c>
      <c r="I204" s="183" t="s">
        <v>579</v>
      </c>
      <c r="J204" s="183"/>
      <c r="K204" s="184">
        <v>46041</v>
      </c>
      <c r="L204" s="183">
        <v>9</v>
      </c>
      <c r="M204" s="185" t="str">
        <f>IF(phc_8[[#This Row],[Register No.]]="","",C204&amp;"-"&amp;D204&amp;"-"&amp;"BHA-PHC-"&amp;phc_8[[#This Row],[Register No.]])</f>
        <v>Shining Star-Mobile Clinic-BHA-PHC-9</v>
      </c>
      <c r="N204" s="9" t="s">
        <v>401</v>
      </c>
      <c r="O204" s="183" t="s">
        <v>3410</v>
      </c>
      <c r="P204" s="183">
        <v>34</v>
      </c>
      <c r="Q204" s="183"/>
      <c r="R204" s="183"/>
      <c r="S204" s="186" t="str">
        <f t="shared" si="8"/>
        <v>19 - 49 yrs</v>
      </c>
      <c r="T204" s="183" t="s">
        <v>402</v>
      </c>
      <c r="U204" s="183" t="s">
        <v>3398</v>
      </c>
      <c r="V204" s="183" t="s">
        <v>3414</v>
      </c>
      <c r="W204" s="183" t="s">
        <v>3416</v>
      </c>
      <c r="X204" s="183" t="s">
        <v>103</v>
      </c>
      <c r="Y204" s="186" t="str">
        <f>INDEX(info!$Y$2:$Y$192,MATCH(phc_8[[#This Row],[Sub_Category]],info!$X$2:$X$192,0))</f>
        <v>ARI/RTI</v>
      </c>
      <c r="Z204" s="186" t="str">
        <f t="array" ref="Z204">INDEX(info!$AA$2:$AA$192,MATCH(PHC!$X204&amp;PHC!$Y204,info!$X$2:$X$192&amp;info!$Y$2:$Y$192,0))</f>
        <v>Communicable disease</v>
      </c>
      <c r="AA204" s="183" t="s">
        <v>3420</v>
      </c>
      <c r="AB204" s="9" t="s">
        <v>654</v>
      </c>
      <c r="AC204" s="9" t="s">
        <v>654</v>
      </c>
      <c r="AD204" s="9" t="s">
        <v>654</v>
      </c>
      <c r="AE204" s="9" t="s">
        <v>654</v>
      </c>
      <c r="AF204" s="184"/>
      <c r="AG204" s="183"/>
      <c r="AH204" s="183"/>
      <c r="AI204" s="183"/>
      <c r="AJ204" s="183"/>
      <c r="AK204" s="9" t="s">
        <v>654</v>
      </c>
      <c r="AL204" s="183"/>
      <c r="AM204" s="186" t="str">
        <f>IF(AF204="","","Q"&amp;INT((MONTH(AF204)-1)/3)+1&amp;YEAR(AF204)&amp;#REF!&amp;T204)</f>
        <v/>
      </c>
      <c r="AN204" s="186" t="e">
        <f>IF(K204="","","Q"&amp;INT((MONTH(K204)-1)/3)+1&amp;YEAR(K204)&amp;#REF!)</f>
        <v>#REF!</v>
      </c>
    </row>
    <row r="205" spans="1:40" ht="20.100000000000001" customHeight="1" x14ac:dyDescent="0.25">
      <c r="A205" s="8">
        <v>203</v>
      </c>
      <c r="B205" s="8" t="s">
        <v>399</v>
      </c>
      <c r="C205" s="8" t="s">
        <v>1997</v>
      </c>
      <c r="D205" s="8" t="s">
        <v>2416</v>
      </c>
      <c r="E205" s="8" t="s">
        <v>1998</v>
      </c>
      <c r="F205" s="183" t="s">
        <v>2222</v>
      </c>
      <c r="G205" s="183"/>
      <c r="H205" s="183" t="s">
        <v>2424</v>
      </c>
      <c r="I205" s="183" t="s">
        <v>579</v>
      </c>
      <c r="J205" s="183"/>
      <c r="K205" s="184">
        <v>46041</v>
      </c>
      <c r="L205" s="183">
        <v>10</v>
      </c>
      <c r="M205" s="185" t="str">
        <f>IF(phc_8[[#This Row],[Register No.]]="","",C205&amp;"-"&amp;D205&amp;"-"&amp;"BHA-PHC-"&amp;phc_8[[#This Row],[Register No.]])</f>
        <v>Shining Star-Mobile Clinic-BHA-PHC-10</v>
      </c>
      <c r="N205" s="9" t="s">
        <v>401</v>
      </c>
      <c r="O205" s="183" t="s">
        <v>3411</v>
      </c>
      <c r="P205" s="183">
        <v>44</v>
      </c>
      <c r="Q205" s="183"/>
      <c r="R205" s="183"/>
      <c r="S205" s="186" t="str">
        <f t="shared" si="8"/>
        <v>19 - 49 yrs</v>
      </c>
      <c r="T205" s="183" t="s">
        <v>402</v>
      </c>
      <c r="U205" s="183" t="s">
        <v>3398</v>
      </c>
      <c r="V205" s="183" t="s">
        <v>3415</v>
      </c>
      <c r="W205" s="183" t="s">
        <v>3322</v>
      </c>
      <c r="X205" s="183" t="s">
        <v>242</v>
      </c>
      <c r="Y205" s="186" t="str">
        <f>INDEX(info!$Y$2:$Y$192,MATCH(phc_8[[#This Row],[Sub_Category]],info!$X$2:$X$192,0))</f>
        <v>Accident/minor sugical and injuries</v>
      </c>
      <c r="Z205" s="186" t="str">
        <f t="array" ref="Z205">INDEX(info!$AA$2:$AA$192,MATCH(PHC!$X205&amp;PHC!$Y205,info!$X$2:$X$192&amp;info!$Y$2:$Y$192,0))</f>
        <v>Injury related</v>
      </c>
      <c r="AA205" s="183" t="s">
        <v>3421</v>
      </c>
      <c r="AB205" s="9" t="s">
        <v>654</v>
      </c>
      <c r="AC205" s="9" t="s">
        <v>654</v>
      </c>
      <c r="AD205" s="9" t="s">
        <v>654</v>
      </c>
      <c r="AE205" s="9" t="s">
        <v>654</v>
      </c>
      <c r="AF205" s="184"/>
      <c r="AG205" s="183"/>
      <c r="AH205" s="183"/>
      <c r="AI205" s="183"/>
      <c r="AJ205" s="183"/>
      <c r="AK205" s="9" t="s">
        <v>654</v>
      </c>
      <c r="AL205" s="183"/>
      <c r="AM205" s="186" t="str">
        <f>IF(AF205="","","Q"&amp;INT((MONTH(AF205)-1)/3)+1&amp;YEAR(AF205)&amp;#REF!&amp;T205)</f>
        <v/>
      </c>
      <c r="AN205" s="186" t="e">
        <f>IF(K205="","","Q"&amp;INT((MONTH(K205)-1)/3)+1&amp;YEAR(K205)&amp;#REF!)</f>
        <v>#REF!</v>
      </c>
    </row>
    <row r="206" spans="1:40" ht="20.100000000000001" customHeight="1" x14ac:dyDescent="0.25">
      <c r="A206" s="8">
        <v>204</v>
      </c>
      <c r="B206" s="8" t="s">
        <v>399</v>
      </c>
      <c r="C206" s="8" t="s">
        <v>1997</v>
      </c>
      <c r="D206" s="8" t="s">
        <v>2416</v>
      </c>
      <c r="E206" s="8" t="s">
        <v>1998</v>
      </c>
      <c r="F206" s="183" t="s">
        <v>2222</v>
      </c>
      <c r="G206" s="183"/>
      <c r="H206" s="183" t="s">
        <v>2424</v>
      </c>
      <c r="I206" s="183" t="s">
        <v>579</v>
      </c>
      <c r="J206" s="183"/>
      <c r="K206" s="184">
        <v>46041</v>
      </c>
      <c r="L206" s="183">
        <v>11</v>
      </c>
      <c r="M206" s="185" t="str">
        <f>IF(phc_8[[#This Row],[Register No.]]="","",C206&amp;"-"&amp;D206&amp;"-"&amp;"BHA-PHC-"&amp;phc_8[[#This Row],[Register No.]])</f>
        <v>Shining Star-Mobile Clinic-BHA-PHC-11</v>
      </c>
      <c r="N206" s="9" t="s">
        <v>401</v>
      </c>
      <c r="O206" s="183" t="s">
        <v>3422</v>
      </c>
      <c r="P206" s="183">
        <v>50</v>
      </c>
      <c r="Q206" s="183"/>
      <c r="R206" s="183"/>
      <c r="S206" s="186" t="str">
        <f t="shared" si="8"/>
        <v>50 yrs +</v>
      </c>
      <c r="T206" s="183" t="s">
        <v>603</v>
      </c>
      <c r="U206" s="183" t="s">
        <v>3398</v>
      </c>
      <c r="V206" s="183" t="s">
        <v>3426</v>
      </c>
      <c r="W206" s="183" t="s">
        <v>2014</v>
      </c>
      <c r="X206" s="183" t="s">
        <v>2014</v>
      </c>
      <c r="Y206" s="186" t="str">
        <f>INDEX(info!$Y$2:$Y$192,MATCH(phc_8[[#This Row],[Sub_Category]],info!$X$2:$X$192,0))</f>
        <v>Other (non-communicable)</v>
      </c>
      <c r="Z206" s="186" t="str">
        <f t="array" ref="Z206">INDEX(info!$AA$2:$AA$192,MATCH(PHC!$X206&amp;PHC!$Y206,info!$X$2:$X$192&amp;info!$Y$2:$Y$192,0))</f>
        <v>Other</v>
      </c>
      <c r="AA206" s="183" t="s">
        <v>3429</v>
      </c>
      <c r="AB206" s="9" t="s">
        <v>654</v>
      </c>
      <c r="AC206" s="9" t="s">
        <v>654</v>
      </c>
      <c r="AD206" s="9" t="s">
        <v>654</v>
      </c>
      <c r="AE206" s="9" t="s">
        <v>654</v>
      </c>
      <c r="AF206" s="184"/>
      <c r="AG206" s="183"/>
      <c r="AH206" s="183"/>
      <c r="AI206" s="183"/>
      <c r="AJ206" s="183"/>
      <c r="AK206" s="9" t="s">
        <v>654</v>
      </c>
      <c r="AL206" s="183"/>
      <c r="AM206" s="186" t="str">
        <f>IF(AF206="","","Q"&amp;INT((MONTH(AF206)-1)/3)+1&amp;YEAR(AF206)&amp;#REF!&amp;T206)</f>
        <v/>
      </c>
      <c r="AN206" s="186" t="e">
        <f>IF(K206="","","Q"&amp;INT((MONTH(K206)-1)/3)+1&amp;YEAR(K206)&amp;#REF!)</f>
        <v>#REF!</v>
      </c>
    </row>
    <row r="207" spans="1:40" ht="20.100000000000001" customHeight="1" x14ac:dyDescent="0.25">
      <c r="A207" s="8">
        <v>205</v>
      </c>
      <c r="B207" s="8" t="s">
        <v>399</v>
      </c>
      <c r="C207" s="8" t="s">
        <v>1997</v>
      </c>
      <c r="D207" s="8" t="s">
        <v>2416</v>
      </c>
      <c r="E207" s="8" t="s">
        <v>1998</v>
      </c>
      <c r="F207" s="183" t="s">
        <v>2222</v>
      </c>
      <c r="G207" s="183"/>
      <c r="H207" s="183" t="s">
        <v>2424</v>
      </c>
      <c r="I207" s="183" t="s">
        <v>579</v>
      </c>
      <c r="J207" s="183"/>
      <c r="K207" s="184">
        <v>46041</v>
      </c>
      <c r="L207" s="183">
        <v>12</v>
      </c>
      <c r="M207" s="185" t="str">
        <f>IF(phc_8[[#This Row],[Register No.]]="","",C207&amp;"-"&amp;D207&amp;"-"&amp;"BHA-PHC-"&amp;phc_8[[#This Row],[Register No.]])</f>
        <v>Shining Star-Mobile Clinic-BHA-PHC-12</v>
      </c>
      <c r="N207" s="9" t="s">
        <v>401</v>
      </c>
      <c r="O207" s="183" t="s">
        <v>3423</v>
      </c>
      <c r="P207" s="183">
        <v>72</v>
      </c>
      <c r="Q207" s="183"/>
      <c r="R207" s="183"/>
      <c r="S207" s="186" t="str">
        <f t="shared" si="8"/>
        <v>50 yrs +</v>
      </c>
      <c r="T207" s="183" t="s">
        <v>603</v>
      </c>
      <c r="U207" s="183" t="s">
        <v>3398</v>
      </c>
      <c r="V207" s="183" t="s">
        <v>3262</v>
      </c>
      <c r="W207" s="183" t="s">
        <v>2003</v>
      </c>
      <c r="X207" s="183" t="s">
        <v>181</v>
      </c>
      <c r="Y207" s="186" t="str">
        <f>INDEX(info!$Y$2:$Y$192,MATCH(phc_8[[#This Row],[Sub_Category]],info!$X$2:$X$192,0))</f>
        <v>Chronic medical disease</v>
      </c>
      <c r="Z207" s="186" t="str">
        <f t="array" ref="Z207">INDEX(info!$AA$2:$AA$192,MATCH(PHC!$X207&amp;PHC!$Y207,info!$X$2:$X$192&amp;info!$Y$2:$Y$192,0))</f>
        <v>Non-communicable disease</v>
      </c>
      <c r="AA207" s="183" t="s">
        <v>3430</v>
      </c>
      <c r="AB207" s="9" t="s">
        <v>654</v>
      </c>
      <c r="AC207" s="9" t="s">
        <v>654</v>
      </c>
      <c r="AD207" s="9" t="s">
        <v>654</v>
      </c>
      <c r="AE207" s="9" t="s">
        <v>654</v>
      </c>
      <c r="AF207" s="184"/>
      <c r="AG207" s="183"/>
      <c r="AH207" s="183"/>
      <c r="AI207" s="183"/>
      <c r="AJ207" s="183"/>
      <c r="AK207" s="9" t="s">
        <v>654</v>
      </c>
      <c r="AL207" s="183"/>
      <c r="AM207" s="186" t="str">
        <f>IF(AF207="","","Q"&amp;INT((MONTH(AF207)-1)/3)+1&amp;YEAR(AF207)&amp;#REF!&amp;T207)</f>
        <v/>
      </c>
      <c r="AN207" s="186" t="e">
        <f>IF(K207="","","Q"&amp;INT((MONTH(K207)-1)/3)+1&amp;YEAR(K207)&amp;#REF!)</f>
        <v>#REF!</v>
      </c>
    </row>
    <row r="208" spans="1:40" ht="20.100000000000001" customHeight="1" x14ac:dyDescent="0.25">
      <c r="A208" s="8">
        <v>206</v>
      </c>
      <c r="B208" s="8" t="s">
        <v>399</v>
      </c>
      <c r="C208" s="8" t="s">
        <v>1997</v>
      </c>
      <c r="D208" s="8" t="s">
        <v>2416</v>
      </c>
      <c r="E208" s="8" t="s">
        <v>1998</v>
      </c>
      <c r="F208" s="183" t="s">
        <v>2222</v>
      </c>
      <c r="G208" s="183"/>
      <c r="H208" s="183" t="s">
        <v>2424</v>
      </c>
      <c r="I208" s="183" t="s">
        <v>579</v>
      </c>
      <c r="J208" s="183"/>
      <c r="K208" s="184">
        <v>46041</v>
      </c>
      <c r="L208" s="183">
        <v>13</v>
      </c>
      <c r="M208" s="185" t="str">
        <f>IF(phc_8[[#This Row],[Register No.]]="","",C208&amp;"-"&amp;D208&amp;"-"&amp;"BHA-PHC-"&amp;phc_8[[#This Row],[Register No.]])</f>
        <v>Shining Star-Mobile Clinic-BHA-PHC-13</v>
      </c>
      <c r="N208" s="9" t="s">
        <v>401</v>
      </c>
      <c r="O208" s="183" t="s">
        <v>3415</v>
      </c>
      <c r="P208" s="183">
        <v>64</v>
      </c>
      <c r="Q208" s="183"/>
      <c r="R208" s="183"/>
      <c r="S208" s="186" t="str">
        <f t="shared" si="8"/>
        <v>50 yrs +</v>
      </c>
      <c r="T208" s="183" t="s">
        <v>402</v>
      </c>
      <c r="U208" s="183" t="s">
        <v>3398</v>
      </c>
      <c r="V208" s="183" t="s">
        <v>3179</v>
      </c>
      <c r="W208" s="183" t="s">
        <v>3416</v>
      </c>
      <c r="X208" s="183" t="s">
        <v>103</v>
      </c>
      <c r="Y208" s="186" t="str">
        <f>INDEX(info!$Y$2:$Y$192,MATCH(phc_8[[#This Row],[Sub_Category]],info!$X$2:$X$192,0))</f>
        <v>ARI/RTI</v>
      </c>
      <c r="Z208" s="186" t="str">
        <f t="array" ref="Z208">INDEX(info!$AA$2:$AA$192,MATCH(PHC!$X208&amp;PHC!$Y208,info!$X$2:$X$192&amp;info!$Y$2:$Y$192,0))</f>
        <v>Communicable disease</v>
      </c>
      <c r="AA208" s="183" t="s">
        <v>3431</v>
      </c>
      <c r="AB208" s="9" t="s">
        <v>654</v>
      </c>
      <c r="AC208" s="9" t="s">
        <v>654</v>
      </c>
      <c r="AD208" s="9" t="s">
        <v>654</v>
      </c>
      <c r="AE208" s="9" t="s">
        <v>654</v>
      </c>
      <c r="AF208" s="184"/>
      <c r="AG208" s="183"/>
      <c r="AH208" s="183"/>
      <c r="AI208" s="183"/>
      <c r="AJ208" s="183"/>
      <c r="AK208" s="9" t="s">
        <v>654</v>
      </c>
      <c r="AL208" s="183"/>
      <c r="AM208" s="186" t="str">
        <f>IF(AF208="","","Q"&amp;INT((MONTH(AF208)-1)/3)+1&amp;YEAR(AF208)&amp;#REF!&amp;T208)</f>
        <v/>
      </c>
      <c r="AN208" s="186" t="e">
        <f>IF(K208="","","Q"&amp;INT((MONTH(K208)-1)/3)+1&amp;YEAR(K208)&amp;#REF!)</f>
        <v>#REF!</v>
      </c>
    </row>
    <row r="209" spans="1:40" ht="20.100000000000001" customHeight="1" x14ac:dyDescent="0.25">
      <c r="A209" s="8">
        <v>207</v>
      </c>
      <c r="B209" s="8" t="s">
        <v>399</v>
      </c>
      <c r="C209" s="8" t="s">
        <v>1997</v>
      </c>
      <c r="D209" s="8" t="s">
        <v>2416</v>
      </c>
      <c r="E209" s="8" t="s">
        <v>1998</v>
      </c>
      <c r="F209" s="183" t="s">
        <v>2222</v>
      </c>
      <c r="G209" s="183"/>
      <c r="H209" s="183" t="s">
        <v>2424</v>
      </c>
      <c r="I209" s="183" t="s">
        <v>579</v>
      </c>
      <c r="J209" s="183"/>
      <c r="K209" s="184">
        <v>46041</v>
      </c>
      <c r="L209" s="183">
        <v>14</v>
      </c>
      <c r="M209" s="185" t="str">
        <f>IF(phc_8[[#This Row],[Register No.]]="","",C209&amp;"-"&amp;D209&amp;"-"&amp;"BHA-PHC-"&amp;phc_8[[#This Row],[Register No.]])</f>
        <v>Shining Star-Mobile Clinic-BHA-PHC-14</v>
      </c>
      <c r="N209" s="9" t="s">
        <v>401</v>
      </c>
      <c r="O209" s="183" t="s">
        <v>3424</v>
      </c>
      <c r="P209" s="183">
        <v>76</v>
      </c>
      <c r="Q209" s="183"/>
      <c r="R209" s="183"/>
      <c r="S209" s="186" t="str">
        <f t="shared" si="8"/>
        <v>50 yrs +</v>
      </c>
      <c r="T209" s="183" t="s">
        <v>402</v>
      </c>
      <c r="U209" s="183" t="s">
        <v>3398</v>
      </c>
      <c r="V209" s="183" t="s">
        <v>3427</v>
      </c>
      <c r="W209" s="183" t="s">
        <v>2003</v>
      </c>
      <c r="X209" s="183" t="s">
        <v>181</v>
      </c>
      <c r="Y209" s="186" t="str">
        <f>INDEX(info!$Y$2:$Y$192,MATCH(phc_8[[#This Row],[Sub_Category]],info!$X$2:$X$192,0))</f>
        <v>Chronic medical disease</v>
      </c>
      <c r="Z209" s="186" t="str">
        <f t="array" ref="Z209">INDEX(info!$AA$2:$AA$192,MATCH(PHC!$X209&amp;PHC!$Y209,info!$X$2:$X$192&amp;info!$Y$2:$Y$192,0))</f>
        <v>Non-communicable disease</v>
      </c>
      <c r="AA209" s="183" t="s">
        <v>3432</v>
      </c>
      <c r="AB209" s="9" t="s">
        <v>654</v>
      </c>
      <c r="AC209" s="9" t="s">
        <v>654</v>
      </c>
      <c r="AD209" s="9" t="s">
        <v>654</v>
      </c>
      <c r="AE209" s="9" t="s">
        <v>654</v>
      </c>
      <c r="AF209" s="184"/>
      <c r="AG209" s="183"/>
      <c r="AH209" s="183"/>
      <c r="AI209" s="183"/>
      <c r="AJ209" s="183"/>
      <c r="AK209" s="9" t="s">
        <v>654</v>
      </c>
      <c r="AL209" s="183"/>
      <c r="AM209" s="186" t="str">
        <f>IF(AF209="","","Q"&amp;INT((MONTH(AF209)-1)/3)+1&amp;YEAR(AF209)&amp;#REF!&amp;T209)</f>
        <v/>
      </c>
      <c r="AN209" s="186" t="e">
        <f>IF(K209="","","Q"&amp;INT((MONTH(K209)-1)/3)+1&amp;YEAR(K209)&amp;#REF!)</f>
        <v>#REF!</v>
      </c>
    </row>
    <row r="210" spans="1:40" ht="20.100000000000001" customHeight="1" x14ac:dyDescent="0.25">
      <c r="A210" s="8">
        <v>208</v>
      </c>
      <c r="B210" s="8" t="s">
        <v>399</v>
      </c>
      <c r="C210" s="8" t="s">
        <v>1997</v>
      </c>
      <c r="D210" s="8" t="s">
        <v>2416</v>
      </c>
      <c r="E210" s="8" t="s">
        <v>1998</v>
      </c>
      <c r="F210" s="183" t="s">
        <v>2222</v>
      </c>
      <c r="G210" s="183"/>
      <c r="H210" s="183" t="s">
        <v>2424</v>
      </c>
      <c r="I210" s="183" t="s">
        <v>579</v>
      </c>
      <c r="J210" s="183"/>
      <c r="K210" s="184">
        <v>46041</v>
      </c>
      <c r="L210" s="183">
        <v>15</v>
      </c>
      <c r="M210" s="185" t="str">
        <f>IF(phc_8[[#This Row],[Register No.]]="","",C210&amp;"-"&amp;D210&amp;"-"&amp;"BHA-PHC-"&amp;phc_8[[#This Row],[Register No.]])</f>
        <v>Shining Star-Mobile Clinic-BHA-PHC-15</v>
      </c>
      <c r="N210" s="9" t="s">
        <v>401</v>
      </c>
      <c r="O210" s="183" t="s">
        <v>3425</v>
      </c>
      <c r="P210" s="183">
        <v>23</v>
      </c>
      <c r="Q210" s="183"/>
      <c r="R210" s="183"/>
      <c r="S210" s="186" t="str">
        <f t="shared" si="8"/>
        <v>19 - 49 yrs</v>
      </c>
      <c r="T210" s="183" t="s">
        <v>402</v>
      </c>
      <c r="U210" s="183" t="s">
        <v>3398</v>
      </c>
      <c r="V210" s="183" t="s">
        <v>3428</v>
      </c>
      <c r="W210" s="183" t="s">
        <v>2003</v>
      </c>
      <c r="X210" s="183" t="s">
        <v>181</v>
      </c>
      <c r="Y210" s="186" t="str">
        <f>INDEX(info!$Y$2:$Y$192,MATCH(phc_8[[#This Row],[Sub_Category]],info!$X$2:$X$192,0))</f>
        <v>Chronic medical disease</v>
      </c>
      <c r="Z210" s="186" t="str">
        <f t="array" ref="Z210">INDEX(info!$AA$2:$AA$192,MATCH(PHC!$X210&amp;PHC!$Y210,info!$X$2:$X$192&amp;info!$Y$2:$Y$192,0))</f>
        <v>Non-communicable disease</v>
      </c>
      <c r="AA210" s="183" t="s">
        <v>3433</v>
      </c>
      <c r="AB210" s="9" t="s">
        <v>654</v>
      </c>
      <c r="AC210" s="9" t="s">
        <v>654</v>
      </c>
      <c r="AD210" s="9" t="s">
        <v>654</v>
      </c>
      <c r="AE210" s="9" t="s">
        <v>654</v>
      </c>
      <c r="AF210" s="184"/>
      <c r="AG210" s="183"/>
      <c r="AH210" s="183"/>
      <c r="AI210" s="183"/>
      <c r="AJ210" s="183"/>
      <c r="AK210" s="9" t="s">
        <v>654</v>
      </c>
      <c r="AL210" s="183"/>
      <c r="AM210" s="186" t="str">
        <f>IF(AF210="","","Q"&amp;INT((MONTH(AF210)-1)/3)+1&amp;YEAR(AF210)&amp;#REF!&amp;T210)</f>
        <v/>
      </c>
      <c r="AN210" s="186" t="e">
        <f>IF(K210="","","Q"&amp;INT((MONTH(K210)-1)/3)+1&amp;YEAR(K210)&amp;#REF!)</f>
        <v>#REF!</v>
      </c>
    </row>
    <row r="211" spans="1:40" ht="20.100000000000001" customHeight="1" x14ac:dyDescent="0.25">
      <c r="A211" s="8">
        <v>209</v>
      </c>
      <c r="B211" s="8" t="s">
        <v>399</v>
      </c>
      <c r="C211" s="8" t="s">
        <v>1997</v>
      </c>
      <c r="D211" s="8" t="s">
        <v>2416</v>
      </c>
      <c r="E211" s="8" t="s">
        <v>1998</v>
      </c>
      <c r="F211" s="183" t="s">
        <v>2222</v>
      </c>
      <c r="G211" s="183"/>
      <c r="H211" s="183" t="s">
        <v>2424</v>
      </c>
      <c r="I211" s="183" t="s">
        <v>579</v>
      </c>
      <c r="J211" s="183"/>
      <c r="K211" s="184">
        <v>46041</v>
      </c>
      <c r="L211" s="183">
        <v>16</v>
      </c>
      <c r="M211" s="185" t="str">
        <f>IF(phc_8[[#This Row],[Register No.]]="","",C211&amp;"-"&amp;D211&amp;"-"&amp;"BHA-PHC-"&amp;phc_8[[#This Row],[Register No.]])</f>
        <v>Shining Star-Mobile Clinic-BHA-PHC-16</v>
      </c>
      <c r="N211" s="9" t="s">
        <v>401</v>
      </c>
      <c r="O211" s="183" t="s">
        <v>3434</v>
      </c>
      <c r="P211" s="183">
        <v>56</v>
      </c>
      <c r="Q211" s="183"/>
      <c r="R211" s="183"/>
      <c r="S211" s="186" t="str">
        <f t="shared" si="8"/>
        <v>50 yrs +</v>
      </c>
      <c r="T211" s="183" t="s">
        <v>402</v>
      </c>
      <c r="U211" s="183" t="s">
        <v>3398</v>
      </c>
      <c r="V211" s="183" t="s">
        <v>3439</v>
      </c>
      <c r="W211" s="183" t="s">
        <v>1805</v>
      </c>
      <c r="X211" s="183" t="s">
        <v>122</v>
      </c>
      <c r="Y211" s="186" t="str">
        <f>INDEX(info!$Y$2:$Y$192,MATCH(phc_8[[#This Row],[Sub_Category]],info!$X$2:$X$192,0))</f>
        <v>ARI/RTI</v>
      </c>
      <c r="Z211" s="186" t="str">
        <f t="array" ref="Z211">INDEX(info!$AA$2:$AA$192,MATCH(PHC!$X211&amp;PHC!$Y211,info!$X$2:$X$192&amp;info!$Y$2:$Y$192,0))</f>
        <v>Communicable disease</v>
      </c>
      <c r="AA211" s="183" t="s">
        <v>2192</v>
      </c>
      <c r="AB211" s="9" t="s">
        <v>654</v>
      </c>
      <c r="AC211" s="9" t="s">
        <v>654</v>
      </c>
      <c r="AD211" s="9" t="s">
        <v>654</v>
      </c>
      <c r="AE211" s="9" t="s">
        <v>654</v>
      </c>
      <c r="AF211" s="184"/>
      <c r="AG211" s="183"/>
      <c r="AH211" s="183"/>
      <c r="AI211" s="183"/>
      <c r="AJ211" s="183"/>
      <c r="AK211" s="9" t="s">
        <v>654</v>
      </c>
      <c r="AL211" s="183"/>
      <c r="AM211" s="186" t="str">
        <f>IF(AF211="","","Q"&amp;INT((MONTH(AF211)-1)/3)+1&amp;YEAR(AF211)&amp;#REF!&amp;T211)</f>
        <v/>
      </c>
      <c r="AN211" s="186" t="e">
        <f>IF(K211="","","Q"&amp;INT((MONTH(K211)-1)/3)+1&amp;YEAR(K211)&amp;#REF!)</f>
        <v>#REF!</v>
      </c>
    </row>
    <row r="212" spans="1:40" ht="20.100000000000001" customHeight="1" x14ac:dyDescent="0.25">
      <c r="A212" s="8">
        <v>210</v>
      </c>
      <c r="B212" s="8" t="s">
        <v>399</v>
      </c>
      <c r="C212" s="8" t="s">
        <v>1997</v>
      </c>
      <c r="D212" s="8" t="s">
        <v>2416</v>
      </c>
      <c r="E212" s="8" t="s">
        <v>1998</v>
      </c>
      <c r="F212" s="183" t="s">
        <v>2222</v>
      </c>
      <c r="G212" s="183"/>
      <c r="H212" s="183" t="s">
        <v>2424</v>
      </c>
      <c r="I212" s="183" t="s">
        <v>579</v>
      </c>
      <c r="J212" s="183"/>
      <c r="K212" s="184">
        <v>46041</v>
      </c>
      <c r="L212" s="183">
        <v>17</v>
      </c>
      <c r="M212" s="185" t="str">
        <f>IF(phc_8[[#This Row],[Register No.]]="","",C212&amp;"-"&amp;D212&amp;"-"&amp;"BHA-PHC-"&amp;phc_8[[#This Row],[Register No.]])</f>
        <v>Shining Star-Mobile Clinic-BHA-PHC-17</v>
      </c>
      <c r="N212" s="9" t="s">
        <v>401</v>
      </c>
      <c r="O212" s="183" t="s">
        <v>3435</v>
      </c>
      <c r="P212" s="183">
        <v>50</v>
      </c>
      <c r="Q212" s="183"/>
      <c r="R212" s="183"/>
      <c r="S212" s="186" t="str">
        <f t="shared" si="8"/>
        <v>50 yrs +</v>
      </c>
      <c r="T212" s="183" t="s">
        <v>402</v>
      </c>
      <c r="U212" s="183" t="s">
        <v>3398</v>
      </c>
      <c r="V212" s="183" t="s">
        <v>2051</v>
      </c>
      <c r="W212" s="183" t="s">
        <v>2003</v>
      </c>
      <c r="X212" s="183" t="s">
        <v>181</v>
      </c>
      <c r="Y212" s="186" t="str">
        <f>INDEX(info!$Y$2:$Y$192,MATCH(phc_8[[#This Row],[Sub_Category]],info!$X$2:$X$192,0))</f>
        <v>Chronic medical disease</v>
      </c>
      <c r="Z212" s="186" t="str">
        <f t="array" ref="Z212">INDEX(info!$AA$2:$AA$192,MATCH(PHC!$X212&amp;PHC!$Y212,info!$X$2:$X$192&amp;info!$Y$2:$Y$192,0))</f>
        <v>Non-communicable disease</v>
      </c>
      <c r="AA212" s="183" t="s">
        <v>3443</v>
      </c>
      <c r="AB212" s="9" t="s">
        <v>654</v>
      </c>
      <c r="AC212" s="9" t="s">
        <v>654</v>
      </c>
      <c r="AD212" s="9" t="s">
        <v>654</v>
      </c>
      <c r="AE212" s="9" t="s">
        <v>654</v>
      </c>
      <c r="AF212" s="184"/>
      <c r="AG212" s="183"/>
      <c r="AH212" s="183"/>
      <c r="AI212" s="183"/>
      <c r="AJ212" s="183"/>
      <c r="AK212" s="9" t="s">
        <v>654</v>
      </c>
      <c r="AL212" s="183"/>
      <c r="AM212" s="186" t="str">
        <f>IF(AF212="","","Q"&amp;INT((MONTH(AF212)-1)/3)+1&amp;YEAR(AF212)&amp;#REF!&amp;T212)</f>
        <v/>
      </c>
      <c r="AN212" s="186" t="e">
        <f>IF(K212="","","Q"&amp;INT((MONTH(K212)-1)/3)+1&amp;YEAR(K212)&amp;#REF!)</f>
        <v>#REF!</v>
      </c>
    </row>
    <row r="213" spans="1:40" ht="20.100000000000001" customHeight="1" x14ac:dyDescent="0.25">
      <c r="A213" s="8">
        <v>211</v>
      </c>
      <c r="B213" s="8" t="s">
        <v>399</v>
      </c>
      <c r="C213" s="8" t="s">
        <v>1997</v>
      </c>
      <c r="D213" s="8" t="s">
        <v>2416</v>
      </c>
      <c r="E213" s="8" t="s">
        <v>1998</v>
      </c>
      <c r="F213" s="183" t="s">
        <v>2222</v>
      </c>
      <c r="G213" s="183"/>
      <c r="H213" s="183" t="s">
        <v>2424</v>
      </c>
      <c r="I213" s="183" t="s">
        <v>579</v>
      </c>
      <c r="J213" s="183"/>
      <c r="K213" s="184">
        <v>46041</v>
      </c>
      <c r="L213" s="183">
        <v>18</v>
      </c>
      <c r="M213" s="185" t="str">
        <f>IF(phc_8[[#This Row],[Register No.]]="","",C213&amp;"-"&amp;D213&amp;"-"&amp;"BHA-PHC-"&amp;phc_8[[#This Row],[Register No.]])</f>
        <v>Shining Star-Mobile Clinic-BHA-PHC-18</v>
      </c>
      <c r="N213" s="9" t="s">
        <v>401</v>
      </c>
      <c r="O213" s="183" t="s">
        <v>3436</v>
      </c>
      <c r="P213" s="183">
        <v>38</v>
      </c>
      <c r="Q213" s="183"/>
      <c r="R213" s="183"/>
      <c r="S213" s="186" t="str">
        <f t="shared" si="8"/>
        <v>19 - 49 yrs</v>
      </c>
      <c r="T213" s="183" t="s">
        <v>603</v>
      </c>
      <c r="U213" s="183" t="s">
        <v>3398</v>
      </c>
      <c r="V213" s="183" t="s">
        <v>3440</v>
      </c>
      <c r="W213" s="183" t="s">
        <v>3441</v>
      </c>
      <c r="X213" s="183" t="s">
        <v>225</v>
      </c>
      <c r="Y213" s="186" t="str">
        <f>INDEX(info!$Y$2:$Y$192,MATCH(phc_8[[#This Row],[Sub_Category]],info!$X$2:$X$192,0))</f>
        <v>GI problem</v>
      </c>
      <c r="Z213" s="186" t="str">
        <f t="array" ref="Z213">INDEX(info!$AA$2:$AA$192,MATCH(PHC!$X213&amp;PHC!$Y213,info!$X$2:$X$192&amp;info!$Y$2:$Y$192,0))</f>
        <v>Non-communicable disease</v>
      </c>
      <c r="AA213" s="183" t="s">
        <v>3444</v>
      </c>
      <c r="AB213" s="9" t="s">
        <v>654</v>
      </c>
      <c r="AC213" s="9" t="s">
        <v>654</v>
      </c>
      <c r="AD213" s="9" t="s">
        <v>654</v>
      </c>
      <c r="AE213" s="9" t="s">
        <v>654</v>
      </c>
      <c r="AF213" s="184"/>
      <c r="AG213" s="183"/>
      <c r="AH213" s="183"/>
      <c r="AI213" s="183"/>
      <c r="AJ213" s="183"/>
      <c r="AK213" s="9" t="s">
        <v>654</v>
      </c>
      <c r="AL213" s="183"/>
      <c r="AM213" s="186" t="str">
        <f>IF(AF213="","","Q"&amp;INT((MONTH(AF213)-1)/3)+1&amp;YEAR(AF213)&amp;#REF!&amp;T213)</f>
        <v/>
      </c>
      <c r="AN213" s="186" t="e">
        <f>IF(K213="","","Q"&amp;INT((MONTH(K213)-1)/3)+1&amp;YEAR(K213)&amp;#REF!)</f>
        <v>#REF!</v>
      </c>
    </row>
    <row r="214" spans="1:40" ht="20.100000000000001" customHeight="1" x14ac:dyDescent="0.25">
      <c r="A214" s="8">
        <v>212</v>
      </c>
      <c r="B214" s="8" t="s">
        <v>399</v>
      </c>
      <c r="C214" s="8" t="s">
        <v>1997</v>
      </c>
      <c r="D214" s="8" t="s">
        <v>2416</v>
      </c>
      <c r="E214" s="8" t="s">
        <v>1998</v>
      </c>
      <c r="F214" s="183" t="s">
        <v>2222</v>
      </c>
      <c r="G214" s="183"/>
      <c r="H214" s="183" t="s">
        <v>2424</v>
      </c>
      <c r="I214" s="183" t="s">
        <v>579</v>
      </c>
      <c r="J214" s="183"/>
      <c r="K214" s="184">
        <v>46041</v>
      </c>
      <c r="L214" s="183">
        <v>19</v>
      </c>
      <c r="M214" s="185" t="str">
        <f>IF(phc_8[[#This Row],[Register No.]]="","",C214&amp;"-"&amp;D214&amp;"-"&amp;"BHA-PHC-"&amp;phc_8[[#This Row],[Register No.]])</f>
        <v>Shining Star-Mobile Clinic-BHA-PHC-19</v>
      </c>
      <c r="N214" s="9" t="s">
        <v>401</v>
      </c>
      <c r="O214" s="183" t="s">
        <v>3437</v>
      </c>
      <c r="P214" s="183">
        <v>50</v>
      </c>
      <c r="Q214" s="183"/>
      <c r="R214" s="183"/>
      <c r="S214" s="186" t="str">
        <f t="shared" si="8"/>
        <v>50 yrs +</v>
      </c>
      <c r="T214" s="183" t="s">
        <v>603</v>
      </c>
      <c r="U214" s="183" t="s">
        <v>3398</v>
      </c>
      <c r="V214" s="183" t="s">
        <v>3440</v>
      </c>
      <c r="W214" s="183" t="s">
        <v>2059</v>
      </c>
      <c r="X214" s="183" t="s">
        <v>242</v>
      </c>
      <c r="Y214" s="186" t="str">
        <f>INDEX(info!$Y$2:$Y$192,MATCH(phc_8[[#This Row],[Sub_Category]],info!$X$2:$X$192,0))</f>
        <v>Accident/minor sugical and injuries</v>
      </c>
      <c r="Z214" s="186" t="str">
        <f t="array" ref="Z214">INDEX(info!$AA$2:$AA$192,MATCH(PHC!$X214&amp;PHC!$Y214,info!$X$2:$X$192&amp;info!$Y$2:$Y$192,0))</f>
        <v>Injury related</v>
      </c>
      <c r="AA214" s="183" t="s">
        <v>3445</v>
      </c>
      <c r="AB214" s="9" t="s">
        <v>654</v>
      </c>
      <c r="AC214" s="9" t="s">
        <v>654</v>
      </c>
      <c r="AD214" s="9" t="s">
        <v>654</v>
      </c>
      <c r="AE214" s="9" t="s">
        <v>654</v>
      </c>
      <c r="AF214" s="184"/>
      <c r="AG214" s="183"/>
      <c r="AH214" s="183"/>
      <c r="AI214" s="183"/>
      <c r="AJ214" s="183"/>
      <c r="AK214" s="9" t="s">
        <v>654</v>
      </c>
      <c r="AL214" s="183"/>
      <c r="AM214" s="186" t="str">
        <f>IF(AF214="","","Q"&amp;INT((MONTH(AF214)-1)/3)+1&amp;YEAR(AF214)&amp;#REF!&amp;T214)</f>
        <v/>
      </c>
      <c r="AN214" s="186" t="e">
        <f>IF(K214="","","Q"&amp;INT((MONTH(K214)-1)/3)+1&amp;YEAR(K214)&amp;#REF!)</f>
        <v>#REF!</v>
      </c>
    </row>
    <row r="215" spans="1:40" ht="20.100000000000001" customHeight="1" x14ac:dyDescent="0.25">
      <c r="A215" s="8">
        <v>213</v>
      </c>
      <c r="B215" s="8" t="s">
        <v>399</v>
      </c>
      <c r="C215" s="8" t="s">
        <v>1997</v>
      </c>
      <c r="D215" s="8" t="s">
        <v>2416</v>
      </c>
      <c r="E215" s="8" t="s">
        <v>1998</v>
      </c>
      <c r="F215" s="183" t="s">
        <v>2222</v>
      </c>
      <c r="G215" s="183"/>
      <c r="H215" s="183" t="s">
        <v>2424</v>
      </c>
      <c r="I215" s="183" t="s">
        <v>579</v>
      </c>
      <c r="J215" s="183"/>
      <c r="K215" s="184">
        <v>46041</v>
      </c>
      <c r="L215" s="183">
        <v>20</v>
      </c>
      <c r="M215" s="185" t="str">
        <f>IF(phc_8[[#This Row],[Register No.]]="","",C215&amp;"-"&amp;D215&amp;"-"&amp;"BHA-PHC-"&amp;phc_8[[#This Row],[Register No.]])</f>
        <v>Shining Star-Mobile Clinic-BHA-PHC-20</v>
      </c>
      <c r="N215" s="9" t="s">
        <v>401</v>
      </c>
      <c r="O215" s="183" t="s">
        <v>3438</v>
      </c>
      <c r="P215" s="183">
        <v>56</v>
      </c>
      <c r="Q215" s="183"/>
      <c r="R215" s="183"/>
      <c r="S215" s="186" t="str">
        <f t="shared" si="8"/>
        <v>50 yrs +</v>
      </c>
      <c r="T215" s="183" t="s">
        <v>402</v>
      </c>
      <c r="U215" s="183" t="s">
        <v>3398</v>
      </c>
      <c r="V215" s="183" t="s">
        <v>3091</v>
      </c>
      <c r="W215" s="183" t="s">
        <v>3442</v>
      </c>
      <c r="X215" s="183"/>
      <c r="Y215" s="186" t="e">
        <f>INDEX(info!$Y$2:$Y$192,MATCH(phc_8[[#This Row],[Sub_Category]],info!$X$2:$X$192,0))</f>
        <v>#N/A</v>
      </c>
      <c r="Z215" s="186" t="e">
        <f t="array" ref="Z215">INDEX(info!$AA$2:$AA$192,MATCH(PHC!$X215&amp;PHC!$Y215,info!$X$2:$X$192&amp;info!$Y$2:$Y$192,0))</f>
        <v>#N/A</v>
      </c>
      <c r="AA215" s="183" t="s">
        <v>3446</v>
      </c>
      <c r="AB215" s="9" t="s">
        <v>654</v>
      </c>
      <c r="AC215" s="9" t="s">
        <v>654</v>
      </c>
      <c r="AD215" s="9" t="s">
        <v>654</v>
      </c>
      <c r="AE215" s="9" t="s">
        <v>654</v>
      </c>
      <c r="AF215" s="184"/>
      <c r="AG215" s="183"/>
      <c r="AH215" s="183"/>
      <c r="AI215" s="183"/>
      <c r="AJ215" s="183"/>
      <c r="AK215" s="9" t="s">
        <v>654</v>
      </c>
      <c r="AL215" s="183"/>
      <c r="AM215" s="186" t="str">
        <f>IF(AF215="","","Q"&amp;INT((MONTH(AF215)-1)/3)+1&amp;YEAR(AF215)&amp;#REF!&amp;T215)</f>
        <v/>
      </c>
      <c r="AN215" s="186" t="e">
        <f>IF(K215="","","Q"&amp;INT((MONTH(K215)-1)/3)+1&amp;YEAR(K215)&amp;#REF!)</f>
        <v>#REF!</v>
      </c>
    </row>
    <row r="216" spans="1:40" ht="20.100000000000001" customHeight="1" x14ac:dyDescent="0.25">
      <c r="A216" s="8">
        <v>214</v>
      </c>
      <c r="B216" s="8" t="s">
        <v>399</v>
      </c>
      <c r="C216" s="8" t="s">
        <v>1997</v>
      </c>
      <c r="D216" s="8" t="s">
        <v>2416</v>
      </c>
      <c r="E216" s="8" t="s">
        <v>1998</v>
      </c>
      <c r="F216" s="183" t="s">
        <v>2222</v>
      </c>
      <c r="G216" s="183"/>
      <c r="H216" s="183" t="s">
        <v>2424</v>
      </c>
      <c r="I216" s="183" t="s">
        <v>579</v>
      </c>
      <c r="J216" s="183"/>
      <c r="K216" s="184">
        <v>46041</v>
      </c>
      <c r="L216" s="183">
        <v>21</v>
      </c>
      <c r="M216" s="185" t="str">
        <f>IF(phc_8[[#This Row],[Register No.]]="","",C216&amp;"-"&amp;D216&amp;"-"&amp;"BHA-PHC-"&amp;phc_8[[#This Row],[Register No.]])</f>
        <v>Shining Star-Mobile Clinic-BHA-PHC-21</v>
      </c>
      <c r="N216" s="9" t="s">
        <v>401</v>
      </c>
      <c r="O216" s="183" t="s">
        <v>3346</v>
      </c>
      <c r="P216" s="183">
        <v>55</v>
      </c>
      <c r="Q216" s="183"/>
      <c r="R216" s="183"/>
      <c r="S216" s="186" t="str">
        <f t="shared" ref="S216:S244" si="9">IF(AND(ISBLANK(P216),ISBLANK(Q216),ISBLANK(R216))," ",
IF(OR(P216&lt;5,AND(P216=" ",Q216&lt;&gt;" ",R216&lt;&gt;" ")),"&lt;5 yrs",
IF(AND(P216&gt;=5,P216&lt;=14),"5 - 14 yrs",
IF(AND(P216&gt;=15,P216&lt;=18),"15 - 18 yrs",
IF(AND(P216&gt;=19,P216&lt;=49),"19 - 49 yrs","50 yrs +")))))</f>
        <v>50 yrs +</v>
      </c>
      <c r="T216" s="183" t="s">
        <v>402</v>
      </c>
      <c r="U216" s="183" t="s">
        <v>3398</v>
      </c>
      <c r="V216" s="183" t="s">
        <v>3451</v>
      </c>
      <c r="W216" s="183" t="s">
        <v>2059</v>
      </c>
      <c r="X216" s="183" t="s">
        <v>242</v>
      </c>
      <c r="Y216" s="186" t="str">
        <f>INDEX(info!$Y$2:$Y$192,MATCH(phc_8[[#This Row],[Sub_Category]],info!$X$2:$X$192,0))</f>
        <v>Accident/minor sugical and injuries</v>
      </c>
      <c r="Z216" s="186" t="str">
        <f t="array" ref="Z216">INDEX(info!$AA$2:$AA$192,MATCH(PHC!$X216&amp;PHC!$Y216,info!$X$2:$X$192&amp;info!$Y$2:$Y$192,0))</f>
        <v>Injury related</v>
      </c>
      <c r="AA216" s="183" t="s">
        <v>3453</v>
      </c>
      <c r="AB216" s="9" t="s">
        <v>654</v>
      </c>
      <c r="AC216" s="9" t="s">
        <v>654</v>
      </c>
      <c r="AD216" s="9" t="s">
        <v>654</v>
      </c>
      <c r="AE216" s="9" t="s">
        <v>654</v>
      </c>
      <c r="AF216" s="184"/>
      <c r="AG216" s="183"/>
      <c r="AH216" s="183"/>
      <c r="AI216" s="183"/>
      <c r="AJ216" s="183"/>
      <c r="AK216" s="9" t="s">
        <v>654</v>
      </c>
      <c r="AL216" s="183"/>
      <c r="AM216" s="186" t="str">
        <f>IF(AF216="","","Q"&amp;INT((MONTH(AF216)-1)/3)+1&amp;YEAR(AF216)&amp;#REF!&amp;T216)</f>
        <v/>
      </c>
      <c r="AN216" s="186" t="e">
        <f>IF(K216="","","Q"&amp;INT((MONTH(K216)-1)/3)+1&amp;YEAR(K216)&amp;#REF!)</f>
        <v>#REF!</v>
      </c>
    </row>
    <row r="217" spans="1:40" ht="20.100000000000001" customHeight="1" x14ac:dyDescent="0.25">
      <c r="A217" s="8">
        <v>215</v>
      </c>
      <c r="B217" s="8" t="s">
        <v>399</v>
      </c>
      <c r="C217" s="8" t="s">
        <v>1997</v>
      </c>
      <c r="D217" s="8" t="s">
        <v>2416</v>
      </c>
      <c r="E217" s="8" t="s">
        <v>1998</v>
      </c>
      <c r="F217" s="183" t="s">
        <v>2222</v>
      </c>
      <c r="G217" s="183"/>
      <c r="H217" s="183" t="s">
        <v>2424</v>
      </c>
      <c r="I217" s="183" t="s">
        <v>579</v>
      </c>
      <c r="J217" s="183"/>
      <c r="K217" s="184">
        <v>46041</v>
      </c>
      <c r="L217" s="183">
        <v>22</v>
      </c>
      <c r="M217" s="185" t="str">
        <f>IF(phc_8[[#This Row],[Register No.]]="","",C217&amp;"-"&amp;D217&amp;"-"&amp;"BHA-PHC-"&amp;phc_8[[#This Row],[Register No.]])</f>
        <v>Shining Star-Mobile Clinic-BHA-PHC-22</v>
      </c>
      <c r="N217" s="9" t="s">
        <v>401</v>
      </c>
      <c r="O217" s="183" t="s">
        <v>3149</v>
      </c>
      <c r="P217" s="183">
        <v>41</v>
      </c>
      <c r="Q217" s="183"/>
      <c r="R217" s="183"/>
      <c r="S217" s="186" t="str">
        <f t="shared" si="9"/>
        <v>19 - 49 yrs</v>
      </c>
      <c r="T217" s="183" t="s">
        <v>402</v>
      </c>
      <c r="U217" s="183" t="s">
        <v>3398</v>
      </c>
      <c r="V217" s="183" t="s">
        <v>3102</v>
      </c>
      <c r="W217" s="183" t="s">
        <v>3452</v>
      </c>
      <c r="X217" s="183" t="s">
        <v>233</v>
      </c>
      <c r="Y217" s="186" t="str">
        <f>INDEX(info!$Y$2:$Y$192,MATCH(phc_8[[#This Row],[Sub_Category]],info!$X$2:$X$192,0))</f>
        <v>Other (non-communicable)</v>
      </c>
      <c r="Z217" s="186" t="str">
        <f t="array" ref="Z217">INDEX(info!$AA$2:$AA$192,MATCH(PHC!$X217&amp;PHC!$Y217,info!$X$2:$X$192&amp;info!$Y$2:$Y$192,0))</f>
        <v>Other</v>
      </c>
      <c r="AA217" s="183" t="s">
        <v>3454</v>
      </c>
      <c r="AB217" s="9" t="s">
        <v>654</v>
      </c>
      <c r="AC217" s="9" t="s">
        <v>654</v>
      </c>
      <c r="AD217" s="9" t="s">
        <v>654</v>
      </c>
      <c r="AE217" s="9" t="s">
        <v>654</v>
      </c>
      <c r="AF217" s="184"/>
      <c r="AG217" s="183"/>
      <c r="AH217" s="183"/>
      <c r="AI217" s="183"/>
      <c r="AJ217" s="183"/>
      <c r="AK217" s="9" t="s">
        <v>654</v>
      </c>
      <c r="AL217" s="183"/>
      <c r="AM217" s="186" t="str">
        <f>IF(AF217="","","Q"&amp;INT((MONTH(AF217)-1)/3)+1&amp;YEAR(AF217)&amp;#REF!&amp;T217)</f>
        <v/>
      </c>
      <c r="AN217" s="186" t="e">
        <f>IF(K217="","","Q"&amp;INT((MONTH(K217)-1)/3)+1&amp;YEAR(K217)&amp;#REF!)</f>
        <v>#REF!</v>
      </c>
    </row>
    <row r="218" spans="1:40" ht="20.100000000000001" customHeight="1" x14ac:dyDescent="0.25">
      <c r="A218" s="8">
        <v>216</v>
      </c>
      <c r="B218" s="8" t="s">
        <v>399</v>
      </c>
      <c r="C218" s="8" t="s">
        <v>1997</v>
      </c>
      <c r="D218" s="8" t="s">
        <v>2416</v>
      </c>
      <c r="E218" s="8" t="s">
        <v>1998</v>
      </c>
      <c r="F218" s="183" t="s">
        <v>2222</v>
      </c>
      <c r="G218" s="183"/>
      <c r="H218" s="183" t="s">
        <v>2424</v>
      </c>
      <c r="I218" s="183" t="s">
        <v>579</v>
      </c>
      <c r="J218" s="183"/>
      <c r="K218" s="184">
        <v>46041</v>
      </c>
      <c r="L218" s="183">
        <v>23</v>
      </c>
      <c r="M218" s="185" t="str">
        <f>IF(phc_8[[#This Row],[Register No.]]="","",C218&amp;"-"&amp;D218&amp;"-"&amp;"BHA-PHC-"&amp;phc_8[[#This Row],[Register No.]])</f>
        <v>Shining Star-Mobile Clinic-BHA-PHC-23</v>
      </c>
      <c r="N218" s="9" t="s">
        <v>401</v>
      </c>
      <c r="O218" s="183" t="s">
        <v>3447</v>
      </c>
      <c r="P218" s="183">
        <v>52</v>
      </c>
      <c r="Q218" s="183"/>
      <c r="R218" s="183"/>
      <c r="S218" s="186" t="str">
        <f t="shared" si="9"/>
        <v>50 yrs +</v>
      </c>
      <c r="T218" s="183" t="s">
        <v>402</v>
      </c>
      <c r="U218" s="183" t="s">
        <v>3398</v>
      </c>
      <c r="V218" s="183" t="s">
        <v>3450</v>
      </c>
      <c r="W218" s="183" t="s">
        <v>2003</v>
      </c>
      <c r="X218" s="183" t="s">
        <v>181</v>
      </c>
      <c r="Y218" s="186" t="str">
        <f>INDEX(info!$Y$2:$Y$192,MATCH(phc_8[[#This Row],[Sub_Category]],info!$X$2:$X$192,0))</f>
        <v>Chronic medical disease</v>
      </c>
      <c r="Z218" s="186" t="str">
        <f t="array" ref="Z218">INDEX(info!$AA$2:$AA$192,MATCH(PHC!$X218&amp;PHC!$Y218,info!$X$2:$X$192&amp;info!$Y$2:$Y$192,0))</f>
        <v>Non-communicable disease</v>
      </c>
      <c r="AA218" s="183" t="s">
        <v>3455</v>
      </c>
      <c r="AB218" s="9" t="s">
        <v>654</v>
      </c>
      <c r="AC218" s="9" t="s">
        <v>654</v>
      </c>
      <c r="AD218" s="9" t="s">
        <v>654</v>
      </c>
      <c r="AE218" s="9" t="s">
        <v>654</v>
      </c>
      <c r="AF218" s="184"/>
      <c r="AG218" s="183"/>
      <c r="AH218" s="183"/>
      <c r="AI218" s="183"/>
      <c r="AJ218" s="183"/>
      <c r="AK218" s="9" t="s">
        <v>654</v>
      </c>
      <c r="AL218" s="183"/>
      <c r="AM218" s="186" t="str">
        <f>IF(AF218="","","Q"&amp;INT((MONTH(AF218)-1)/3)+1&amp;YEAR(AF218)&amp;#REF!&amp;T218)</f>
        <v/>
      </c>
      <c r="AN218" s="186" t="e">
        <f>IF(K218="","","Q"&amp;INT((MONTH(K218)-1)/3)+1&amp;YEAR(K218)&amp;#REF!)</f>
        <v>#REF!</v>
      </c>
    </row>
    <row r="219" spans="1:40" ht="20.100000000000001" customHeight="1" x14ac:dyDescent="0.25">
      <c r="A219" s="8">
        <v>217</v>
      </c>
      <c r="B219" s="8" t="s">
        <v>399</v>
      </c>
      <c r="C219" s="8" t="s">
        <v>1997</v>
      </c>
      <c r="D219" s="8" t="s">
        <v>2416</v>
      </c>
      <c r="E219" s="8" t="s">
        <v>1998</v>
      </c>
      <c r="F219" s="183" t="s">
        <v>2222</v>
      </c>
      <c r="G219" s="183"/>
      <c r="H219" s="183" t="s">
        <v>2424</v>
      </c>
      <c r="I219" s="183" t="s">
        <v>579</v>
      </c>
      <c r="J219" s="183"/>
      <c r="K219" s="184">
        <v>46041</v>
      </c>
      <c r="L219" s="183">
        <v>24</v>
      </c>
      <c r="M219" s="185" t="str">
        <f>IF(phc_8[[#This Row],[Register No.]]="","",C219&amp;"-"&amp;D219&amp;"-"&amp;"BHA-PHC-"&amp;phc_8[[#This Row],[Register No.]])</f>
        <v>Shining Star-Mobile Clinic-BHA-PHC-24</v>
      </c>
      <c r="N219" s="9" t="s">
        <v>401</v>
      </c>
      <c r="O219" s="183" t="s">
        <v>3448</v>
      </c>
      <c r="P219" s="183">
        <v>44</v>
      </c>
      <c r="Q219" s="183"/>
      <c r="R219" s="183"/>
      <c r="S219" s="186" t="str">
        <f t="shared" si="9"/>
        <v>19 - 49 yrs</v>
      </c>
      <c r="T219" s="183" t="s">
        <v>603</v>
      </c>
      <c r="U219" s="183" t="s">
        <v>3398</v>
      </c>
      <c r="V219" s="183" t="s">
        <v>3346</v>
      </c>
      <c r="W219" s="183" t="s">
        <v>178</v>
      </c>
      <c r="X219" s="183" t="s">
        <v>178</v>
      </c>
      <c r="Y219" s="186" t="str">
        <f>INDEX(info!$Y$2:$Y$192,MATCH(phc_8[[#This Row],[Sub_Category]],info!$X$2:$X$192,0))</f>
        <v>Chronic medical disease</v>
      </c>
      <c r="Z219" s="186" t="str">
        <f t="array" ref="Z219">INDEX(info!$AA$2:$AA$192,MATCH(PHC!$X219&amp;PHC!$Y219,info!$X$2:$X$192&amp;info!$Y$2:$Y$192,0))</f>
        <v>Non-communicable disease</v>
      </c>
      <c r="AA219" s="183" t="s">
        <v>3456</v>
      </c>
      <c r="AB219" s="9" t="s">
        <v>654</v>
      </c>
      <c r="AC219" s="9" t="s">
        <v>654</v>
      </c>
      <c r="AD219" s="9" t="s">
        <v>654</v>
      </c>
      <c r="AE219" s="9" t="s">
        <v>654</v>
      </c>
      <c r="AF219" s="184"/>
      <c r="AG219" s="183"/>
      <c r="AH219" s="183"/>
      <c r="AI219" s="183"/>
      <c r="AJ219" s="183"/>
      <c r="AK219" s="9" t="s">
        <v>654</v>
      </c>
      <c r="AL219" s="183"/>
      <c r="AM219" s="186" t="str">
        <f>IF(AF219="","","Q"&amp;INT((MONTH(AF219)-1)/3)+1&amp;YEAR(AF219)&amp;#REF!&amp;T219)</f>
        <v/>
      </c>
      <c r="AN219" s="186" t="e">
        <f>IF(K219="","","Q"&amp;INT((MONTH(K219)-1)/3)+1&amp;YEAR(K219)&amp;#REF!)</f>
        <v>#REF!</v>
      </c>
    </row>
    <row r="220" spans="1:40" ht="20.100000000000001" customHeight="1" x14ac:dyDescent="0.25">
      <c r="A220" s="8">
        <v>218</v>
      </c>
      <c r="B220" s="8" t="s">
        <v>399</v>
      </c>
      <c r="C220" s="8" t="s">
        <v>1997</v>
      </c>
      <c r="D220" s="8" t="s">
        <v>2416</v>
      </c>
      <c r="E220" s="8" t="s">
        <v>1998</v>
      </c>
      <c r="F220" s="183" t="s">
        <v>2222</v>
      </c>
      <c r="G220" s="183"/>
      <c r="H220" s="183" t="s">
        <v>2424</v>
      </c>
      <c r="I220" s="183" t="s">
        <v>579</v>
      </c>
      <c r="J220" s="183"/>
      <c r="K220" s="184">
        <v>46041</v>
      </c>
      <c r="L220" s="183">
        <v>25</v>
      </c>
      <c r="M220" s="185" t="str">
        <f>IF(phc_8[[#This Row],[Register No.]]="","",C220&amp;"-"&amp;D220&amp;"-"&amp;"BHA-PHC-"&amp;phc_8[[#This Row],[Register No.]])</f>
        <v>Shining Star-Mobile Clinic-BHA-PHC-25</v>
      </c>
      <c r="N220" s="9" t="s">
        <v>401</v>
      </c>
      <c r="O220" s="183" t="s">
        <v>3449</v>
      </c>
      <c r="P220" s="183">
        <v>42</v>
      </c>
      <c r="Q220" s="183"/>
      <c r="R220" s="183"/>
      <c r="S220" s="186" t="str">
        <f t="shared" si="9"/>
        <v>19 - 49 yrs</v>
      </c>
      <c r="T220" s="183" t="s">
        <v>402</v>
      </c>
      <c r="U220" s="183" t="s">
        <v>3398</v>
      </c>
      <c r="V220" s="183" t="s">
        <v>3346</v>
      </c>
      <c r="W220" s="183" t="s">
        <v>225</v>
      </c>
      <c r="X220" s="183" t="s">
        <v>225</v>
      </c>
      <c r="Y220" s="186" t="str">
        <f>INDEX(info!$Y$2:$Y$192,MATCH(phc_8[[#This Row],[Sub_Category]],info!$X$2:$X$192,0))</f>
        <v>GI problem</v>
      </c>
      <c r="Z220" s="186" t="str">
        <f t="array" ref="Z220">INDEX(info!$AA$2:$AA$192,MATCH(PHC!$X220&amp;PHC!$Y220,info!$X$2:$X$192&amp;info!$Y$2:$Y$192,0))</f>
        <v>Non-communicable disease</v>
      </c>
      <c r="AA220" s="183" t="s">
        <v>3457</v>
      </c>
      <c r="AB220" s="9" t="s">
        <v>654</v>
      </c>
      <c r="AC220" s="9" t="s">
        <v>654</v>
      </c>
      <c r="AD220" s="9" t="s">
        <v>654</v>
      </c>
      <c r="AE220" s="9" t="s">
        <v>654</v>
      </c>
      <c r="AF220" s="184"/>
      <c r="AG220" s="183"/>
      <c r="AH220" s="183"/>
      <c r="AI220" s="183"/>
      <c r="AJ220" s="183"/>
      <c r="AK220" s="9" t="s">
        <v>654</v>
      </c>
      <c r="AL220" s="183"/>
      <c r="AM220" s="186" t="str">
        <f>IF(AF220="","","Q"&amp;INT((MONTH(AF220)-1)/3)+1&amp;YEAR(AF220)&amp;#REF!&amp;T220)</f>
        <v/>
      </c>
      <c r="AN220" s="186" t="e">
        <f>IF(K220="","","Q"&amp;INT((MONTH(K220)-1)/3)+1&amp;YEAR(K220)&amp;#REF!)</f>
        <v>#REF!</v>
      </c>
    </row>
    <row r="221" spans="1:40" ht="20.100000000000001" customHeight="1" x14ac:dyDescent="0.25">
      <c r="A221" s="8">
        <v>219</v>
      </c>
      <c r="B221" s="8" t="s">
        <v>399</v>
      </c>
      <c r="C221" s="8" t="s">
        <v>1997</v>
      </c>
      <c r="D221" s="8" t="s">
        <v>2416</v>
      </c>
      <c r="E221" s="8" t="s">
        <v>1998</v>
      </c>
      <c r="F221" s="183" t="s">
        <v>2222</v>
      </c>
      <c r="G221" s="183"/>
      <c r="H221" s="183" t="s">
        <v>2424</v>
      </c>
      <c r="I221" s="183" t="s">
        <v>579</v>
      </c>
      <c r="J221" s="183"/>
      <c r="K221" s="184">
        <v>46041</v>
      </c>
      <c r="L221" s="183">
        <v>26</v>
      </c>
      <c r="M221" s="185" t="str">
        <f>IF(phc_8[[#This Row],[Register No.]]="","",C221&amp;"-"&amp;D221&amp;"-"&amp;"BHA-PHC-"&amp;phc_8[[#This Row],[Register No.]])</f>
        <v>Shining Star-Mobile Clinic-BHA-PHC-26</v>
      </c>
      <c r="N221" s="9" t="s">
        <v>401</v>
      </c>
      <c r="O221" s="183" t="s">
        <v>3458</v>
      </c>
      <c r="P221" s="183">
        <v>49</v>
      </c>
      <c r="Q221" s="183"/>
      <c r="R221" s="183"/>
      <c r="S221" s="186" t="str">
        <f t="shared" si="9"/>
        <v>19 - 49 yrs</v>
      </c>
      <c r="T221" s="183" t="s">
        <v>603</v>
      </c>
      <c r="U221" s="183" t="s">
        <v>3398</v>
      </c>
      <c r="V221" s="183" t="s">
        <v>3463</v>
      </c>
      <c r="W221" s="183" t="s">
        <v>294</v>
      </c>
      <c r="X221" s="183" t="s">
        <v>294</v>
      </c>
      <c r="Y221" s="186" t="str">
        <f>INDEX(info!$Y$2:$Y$192,MATCH(phc_8[[#This Row],[Sub_Category]],info!$X$2:$X$192,0))</f>
        <v>Other (non-communicable)</v>
      </c>
      <c r="Z221" s="186" t="str">
        <f t="array" ref="Z221">INDEX(info!$AA$2:$AA$192,MATCH(PHC!$X221&amp;PHC!$Y221,info!$X$2:$X$192&amp;info!$Y$2:$Y$192,0))</f>
        <v>Other</v>
      </c>
      <c r="AA221" s="183" t="s">
        <v>3469</v>
      </c>
      <c r="AB221" s="9" t="s">
        <v>654</v>
      </c>
      <c r="AC221" s="9" t="s">
        <v>654</v>
      </c>
      <c r="AD221" s="9" t="s">
        <v>654</v>
      </c>
      <c r="AE221" s="9" t="s">
        <v>654</v>
      </c>
      <c r="AF221" s="184"/>
      <c r="AG221" s="183"/>
      <c r="AH221" s="183"/>
      <c r="AI221" s="183"/>
      <c r="AJ221" s="183"/>
      <c r="AK221" s="9" t="s">
        <v>654</v>
      </c>
      <c r="AL221" s="183"/>
      <c r="AM221" s="186" t="str">
        <f>IF(AF221="","","Q"&amp;INT((MONTH(AF221)-1)/3)+1&amp;YEAR(AF221)&amp;#REF!&amp;T221)</f>
        <v/>
      </c>
      <c r="AN221" s="186" t="e">
        <f>IF(K221="","","Q"&amp;INT((MONTH(K221)-1)/3)+1&amp;YEAR(K221)&amp;#REF!)</f>
        <v>#REF!</v>
      </c>
    </row>
    <row r="222" spans="1:40" s="91" customFormat="1" ht="20.100000000000001" customHeight="1" x14ac:dyDescent="0.25">
      <c r="A222" s="187">
        <v>220</v>
      </c>
      <c r="B222" s="187" t="s">
        <v>399</v>
      </c>
      <c r="C222" s="187" t="s">
        <v>1997</v>
      </c>
      <c r="D222" s="187" t="s">
        <v>2416</v>
      </c>
      <c r="E222" s="187" t="s">
        <v>1998</v>
      </c>
      <c r="F222" s="188" t="s">
        <v>2222</v>
      </c>
      <c r="G222" s="188"/>
      <c r="H222" s="188" t="s">
        <v>2424</v>
      </c>
      <c r="I222" s="188" t="s">
        <v>579</v>
      </c>
      <c r="J222" s="188"/>
      <c r="K222" s="189">
        <v>46041</v>
      </c>
      <c r="L222" s="188">
        <v>27</v>
      </c>
      <c r="M222" s="190" t="str">
        <f>IF(phc_8[[#This Row],[Register No.]]="","",C222&amp;"-"&amp;D222&amp;"-"&amp;"BHA-PHC-"&amp;phc_8[[#This Row],[Register No.]])</f>
        <v>Shining Star-Mobile Clinic-BHA-PHC-27</v>
      </c>
      <c r="N222" s="188" t="s">
        <v>401</v>
      </c>
      <c r="O222" s="188" t="s">
        <v>3459</v>
      </c>
      <c r="P222" s="188">
        <v>33</v>
      </c>
      <c r="Q222" s="188"/>
      <c r="R222" s="188"/>
      <c r="S222" s="190" t="str">
        <f t="shared" si="9"/>
        <v>19 - 49 yrs</v>
      </c>
      <c r="T222" s="183" t="s">
        <v>603</v>
      </c>
      <c r="U222" s="188" t="s">
        <v>3398</v>
      </c>
      <c r="V222" s="188" t="s">
        <v>3464</v>
      </c>
      <c r="W222" s="188" t="s">
        <v>3197</v>
      </c>
      <c r="X222" s="188"/>
      <c r="Y222" s="190" t="e">
        <f>INDEX(info!$Y$2:$Y$192,MATCH(phc_8[[#This Row],[Sub_Category]],info!$X$2:$X$192,0))</f>
        <v>#N/A</v>
      </c>
      <c r="Z222" s="190" t="e">
        <f t="array" ref="Z222">INDEX(info!$AA$2:$AA$192,MATCH(PHC!$X222&amp;PHC!$Y222,info!$X$2:$X$192&amp;info!$Y$2:$Y$192,0))</f>
        <v>#N/A</v>
      </c>
      <c r="AA222" s="188" t="s">
        <v>3468</v>
      </c>
      <c r="AB222" s="9" t="s">
        <v>654</v>
      </c>
      <c r="AC222" s="9" t="s">
        <v>654</v>
      </c>
      <c r="AD222" s="9" t="s">
        <v>654</v>
      </c>
      <c r="AE222" s="9" t="s">
        <v>654</v>
      </c>
      <c r="AF222" s="189"/>
      <c r="AG222" s="188"/>
      <c r="AH222" s="188"/>
      <c r="AI222" s="188"/>
      <c r="AJ222" s="188"/>
      <c r="AK222" s="9" t="s">
        <v>654</v>
      </c>
      <c r="AL222" s="188"/>
      <c r="AM222" s="190" t="str">
        <f>IF(AF222="","","Q"&amp;INT((MONTH(AF222)-1)/3)+1&amp;YEAR(AF222)&amp;#REF!&amp;T222)</f>
        <v/>
      </c>
      <c r="AN222" s="190" t="e">
        <f>IF(K222="","","Q"&amp;INT((MONTH(K222)-1)/3)+1&amp;YEAR(K222)&amp;#REF!)</f>
        <v>#REF!</v>
      </c>
    </row>
    <row r="223" spans="1:40" ht="20.100000000000001" customHeight="1" x14ac:dyDescent="0.25">
      <c r="A223" s="8">
        <v>221</v>
      </c>
      <c r="B223" s="8" t="s">
        <v>399</v>
      </c>
      <c r="C223" s="8" t="s">
        <v>1997</v>
      </c>
      <c r="D223" s="8" t="s">
        <v>2416</v>
      </c>
      <c r="E223" s="8" t="s">
        <v>1998</v>
      </c>
      <c r="F223" s="183" t="s">
        <v>2222</v>
      </c>
      <c r="G223" s="183"/>
      <c r="H223" s="183" t="s">
        <v>2424</v>
      </c>
      <c r="I223" s="183" t="s">
        <v>579</v>
      </c>
      <c r="J223" s="183"/>
      <c r="K223" s="184">
        <v>46041</v>
      </c>
      <c r="L223" s="183">
        <v>28</v>
      </c>
      <c r="M223" s="185" t="str">
        <f>IF(phc_8[[#This Row],[Register No.]]="","",C223&amp;"-"&amp;D223&amp;"-"&amp;"BHA-PHC-"&amp;phc_8[[#This Row],[Register No.]])</f>
        <v>Shining Star-Mobile Clinic-BHA-PHC-28</v>
      </c>
      <c r="N223" s="9" t="s">
        <v>401</v>
      </c>
      <c r="O223" s="183" t="s">
        <v>3460</v>
      </c>
      <c r="P223" s="183">
        <v>57</v>
      </c>
      <c r="Q223" s="183"/>
      <c r="R223" s="183"/>
      <c r="S223" s="186" t="str">
        <f t="shared" si="9"/>
        <v>50 yrs +</v>
      </c>
      <c r="T223" s="183" t="s">
        <v>402</v>
      </c>
      <c r="U223" s="183" t="s">
        <v>3398</v>
      </c>
      <c r="V223" s="183" t="s">
        <v>3465</v>
      </c>
      <c r="W223" s="183" t="s">
        <v>2003</v>
      </c>
      <c r="X223" s="183" t="s">
        <v>181</v>
      </c>
      <c r="Y223" s="186" t="str">
        <f>INDEX(info!$Y$2:$Y$192,MATCH(phc_8[[#This Row],[Sub_Category]],info!$X$2:$X$192,0))</f>
        <v>Chronic medical disease</v>
      </c>
      <c r="Z223" s="186" t="str">
        <f t="array" ref="Z223">INDEX(info!$AA$2:$AA$192,MATCH(PHC!$X223&amp;PHC!$Y223,info!$X$2:$X$192&amp;info!$Y$2:$Y$192,0))</f>
        <v>Non-communicable disease</v>
      </c>
      <c r="AA223" s="183" t="s">
        <v>3470</v>
      </c>
      <c r="AB223" s="9" t="s">
        <v>654</v>
      </c>
      <c r="AC223" s="9" t="s">
        <v>654</v>
      </c>
      <c r="AD223" s="9" t="s">
        <v>654</v>
      </c>
      <c r="AE223" s="9" t="s">
        <v>654</v>
      </c>
      <c r="AF223" s="184"/>
      <c r="AG223" s="183"/>
      <c r="AH223" s="183"/>
      <c r="AI223" s="183"/>
      <c r="AJ223" s="183"/>
      <c r="AK223" s="9" t="s">
        <v>654</v>
      </c>
      <c r="AL223" s="183"/>
      <c r="AM223" s="186" t="str">
        <f>IF(AF223="","","Q"&amp;INT((MONTH(AF223)-1)/3)+1&amp;YEAR(AF223)&amp;#REF!&amp;T223)</f>
        <v/>
      </c>
      <c r="AN223" s="186" t="e">
        <f>IF(K223="","","Q"&amp;INT((MONTH(K223)-1)/3)+1&amp;YEAR(K223)&amp;#REF!)</f>
        <v>#REF!</v>
      </c>
    </row>
    <row r="224" spans="1:40" ht="20.100000000000001" customHeight="1" x14ac:dyDescent="0.25">
      <c r="A224" s="8">
        <v>222</v>
      </c>
      <c r="B224" s="8" t="s">
        <v>399</v>
      </c>
      <c r="C224" s="8" t="s">
        <v>1997</v>
      </c>
      <c r="D224" s="8" t="s">
        <v>2416</v>
      </c>
      <c r="E224" s="8" t="s">
        <v>1998</v>
      </c>
      <c r="F224" s="183" t="s">
        <v>2222</v>
      </c>
      <c r="G224" s="183"/>
      <c r="H224" s="183" t="s">
        <v>2424</v>
      </c>
      <c r="I224" s="183" t="s">
        <v>579</v>
      </c>
      <c r="J224" s="183"/>
      <c r="K224" s="184">
        <v>46041</v>
      </c>
      <c r="L224" s="183">
        <v>29</v>
      </c>
      <c r="M224" s="185" t="str">
        <f>IF(phc_8[[#This Row],[Register No.]]="","",C224&amp;"-"&amp;D224&amp;"-"&amp;"BHA-PHC-"&amp;phc_8[[#This Row],[Register No.]])</f>
        <v>Shining Star-Mobile Clinic-BHA-PHC-29</v>
      </c>
      <c r="N224" s="9" t="s">
        <v>401</v>
      </c>
      <c r="O224" s="183" t="s">
        <v>3461</v>
      </c>
      <c r="P224" s="183">
        <v>60</v>
      </c>
      <c r="Q224" s="183"/>
      <c r="R224" s="183"/>
      <c r="S224" s="186" t="str">
        <f t="shared" si="9"/>
        <v>50 yrs +</v>
      </c>
      <c r="T224" s="183" t="s">
        <v>402</v>
      </c>
      <c r="U224" s="183" t="s">
        <v>3398</v>
      </c>
      <c r="V224" s="183" t="s">
        <v>3466</v>
      </c>
      <c r="W224" s="183" t="s">
        <v>242</v>
      </c>
      <c r="X224" s="183" t="s">
        <v>242</v>
      </c>
      <c r="Y224" s="186" t="str">
        <f>INDEX(info!$Y$2:$Y$192,MATCH(phc_8[[#This Row],[Sub_Category]],info!$X$2:$X$192,0))</f>
        <v>Accident/minor sugical and injuries</v>
      </c>
      <c r="Z224" s="186" t="str">
        <f t="array" ref="Z224">INDEX(info!$AA$2:$AA$192,MATCH(PHC!$X224&amp;PHC!$Y224,info!$X$2:$X$192&amp;info!$Y$2:$Y$192,0))</f>
        <v>Injury related</v>
      </c>
      <c r="AA224" s="183" t="s">
        <v>3471</v>
      </c>
      <c r="AB224" s="9" t="s">
        <v>654</v>
      </c>
      <c r="AC224" s="9" t="s">
        <v>654</v>
      </c>
      <c r="AD224" s="9" t="s">
        <v>654</v>
      </c>
      <c r="AE224" s="9" t="s">
        <v>654</v>
      </c>
      <c r="AF224" s="184"/>
      <c r="AG224" s="183"/>
      <c r="AH224" s="183"/>
      <c r="AI224" s="183"/>
      <c r="AJ224" s="183"/>
      <c r="AK224" s="9" t="s">
        <v>654</v>
      </c>
      <c r="AL224" s="183"/>
      <c r="AM224" s="186" t="str">
        <f>IF(AF224="","","Q"&amp;INT((MONTH(AF224)-1)/3)+1&amp;YEAR(AF224)&amp;#REF!&amp;T224)</f>
        <v/>
      </c>
      <c r="AN224" s="186" t="e">
        <f>IF(K224="","","Q"&amp;INT((MONTH(K224)-1)/3)+1&amp;YEAR(K224)&amp;#REF!)</f>
        <v>#REF!</v>
      </c>
    </row>
    <row r="225" spans="1:40" ht="20.100000000000001" customHeight="1" x14ac:dyDescent="0.25">
      <c r="A225" s="8">
        <v>223</v>
      </c>
      <c r="B225" s="8" t="s">
        <v>399</v>
      </c>
      <c r="C225" s="8" t="s">
        <v>1997</v>
      </c>
      <c r="D225" s="8" t="s">
        <v>2416</v>
      </c>
      <c r="E225" s="8" t="s">
        <v>1998</v>
      </c>
      <c r="F225" s="183" t="s">
        <v>2222</v>
      </c>
      <c r="G225" s="183"/>
      <c r="H225" s="183" t="s">
        <v>2424</v>
      </c>
      <c r="I225" s="183" t="s">
        <v>579</v>
      </c>
      <c r="J225" s="183"/>
      <c r="K225" s="184">
        <v>46041</v>
      </c>
      <c r="L225" s="183">
        <v>30</v>
      </c>
      <c r="M225" s="185" t="str">
        <f>IF(phc_8[[#This Row],[Register No.]]="","",C225&amp;"-"&amp;D225&amp;"-"&amp;"BHA-PHC-"&amp;phc_8[[#This Row],[Register No.]])</f>
        <v>Shining Star-Mobile Clinic-BHA-PHC-30</v>
      </c>
      <c r="N225" s="9" t="s">
        <v>401</v>
      </c>
      <c r="O225" s="183" t="s">
        <v>3462</v>
      </c>
      <c r="P225" s="183">
        <v>28</v>
      </c>
      <c r="Q225" s="183"/>
      <c r="R225" s="183"/>
      <c r="S225" s="186" t="str">
        <f t="shared" si="9"/>
        <v>19 - 49 yrs</v>
      </c>
      <c r="T225" s="183" t="s">
        <v>603</v>
      </c>
      <c r="U225" s="183" t="s">
        <v>3398</v>
      </c>
      <c r="V225" s="183" t="s">
        <v>3221</v>
      </c>
      <c r="W225" s="183" t="s">
        <v>3467</v>
      </c>
      <c r="X225" s="183" t="s">
        <v>193</v>
      </c>
      <c r="Y225" s="186" t="str">
        <f>INDEX(info!$Y$2:$Y$192,MATCH(phc_8[[#This Row],[Sub_Category]],info!$X$2:$X$192,0))</f>
        <v>Skin infection/disease</v>
      </c>
      <c r="Z225" s="186" t="str">
        <f t="array" ref="Z225">INDEX(info!$AA$2:$AA$192,MATCH(PHC!$X225&amp;PHC!$Y225,info!$X$2:$X$192&amp;info!$Y$2:$Y$192,0))</f>
        <v>Communicable disease</v>
      </c>
      <c r="AA225" s="183" t="s">
        <v>3472</v>
      </c>
      <c r="AB225" s="9" t="s">
        <v>654</v>
      </c>
      <c r="AC225" s="9" t="s">
        <v>654</v>
      </c>
      <c r="AD225" s="9" t="s">
        <v>654</v>
      </c>
      <c r="AE225" s="9" t="s">
        <v>654</v>
      </c>
      <c r="AF225" s="184"/>
      <c r="AG225" s="183"/>
      <c r="AH225" s="183"/>
      <c r="AI225" s="183"/>
      <c r="AJ225" s="183"/>
      <c r="AK225" s="9" t="s">
        <v>654</v>
      </c>
      <c r="AL225" s="183"/>
      <c r="AM225" s="186" t="str">
        <f>IF(AF225="","","Q"&amp;INT((MONTH(AF225)-1)/3)+1&amp;YEAR(AF225)&amp;#REF!&amp;T225)</f>
        <v/>
      </c>
      <c r="AN225" s="186" t="e">
        <f>IF(K225="","","Q"&amp;INT((MONTH(K225)-1)/3)+1&amp;YEAR(K225)&amp;#REF!)</f>
        <v>#REF!</v>
      </c>
    </row>
    <row r="226" spans="1:40" ht="20.100000000000001" customHeight="1" x14ac:dyDescent="0.25">
      <c r="A226" s="8">
        <v>224</v>
      </c>
      <c r="B226" s="8" t="s">
        <v>399</v>
      </c>
      <c r="C226" s="8" t="s">
        <v>1997</v>
      </c>
      <c r="D226" s="8" t="s">
        <v>2416</v>
      </c>
      <c r="E226" s="8" t="s">
        <v>1998</v>
      </c>
      <c r="F226" s="183" t="s">
        <v>2222</v>
      </c>
      <c r="G226" s="183"/>
      <c r="H226" s="183" t="s">
        <v>2424</v>
      </c>
      <c r="I226" s="183" t="s">
        <v>579</v>
      </c>
      <c r="J226" s="183"/>
      <c r="K226" s="184">
        <v>46041</v>
      </c>
      <c r="L226" s="183">
        <v>31</v>
      </c>
      <c r="M226" s="185" t="str">
        <f>IF(phc_8[[#This Row],[Register No.]]="","",C226&amp;"-"&amp;D226&amp;"-"&amp;"BHA-PHC-"&amp;phc_8[[#This Row],[Register No.]])</f>
        <v>Shining Star-Mobile Clinic-BHA-PHC-31</v>
      </c>
      <c r="N226" s="9" t="s">
        <v>401</v>
      </c>
      <c r="O226" s="183" t="s">
        <v>3473</v>
      </c>
      <c r="P226" s="183">
        <v>67</v>
      </c>
      <c r="Q226" s="183"/>
      <c r="R226" s="183"/>
      <c r="S226" s="186" t="str">
        <f t="shared" si="9"/>
        <v>50 yrs +</v>
      </c>
      <c r="T226" s="183" t="s">
        <v>402</v>
      </c>
      <c r="U226" s="183" t="s">
        <v>3398</v>
      </c>
      <c r="V226" s="183" t="s">
        <v>3289</v>
      </c>
      <c r="W226" s="183" t="s">
        <v>3480</v>
      </c>
      <c r="X226" s="183" t="s">
        <v>272</v>
      </c>
      <c r="Y226" s="186" t="str">
        <f>INDEX(info!$Y$2:$Y$192,MATCH(phc_8[[#This Row],[Sub_Category]],info!$X$2:$X$192,0))</f>
        <v>Surgical Disease</v>
      </c>
      <c r="Z226" s="186" t="str">
        <f t="array" ref="Z226">INDEX(info!$AA$2:$AA$192,MATCH(PHC!$X226&amp;PHC!$Y226,info!$X$2:$X$192&amp;info!$Y$2:$Y$192,0))</f>
        <v>Non-communicable disease</v>
      </c>
      <c r="AA226" s="183" t="s">
        <v>3481</v>
      </c>
      <c r="AB226" s="9" t="s">
        <v>654</v>
      </c>
      <c r="AC226" s="9" t="s">
        <v>654</v>
      </c>
      <c r="AD226" s="9" t="s">
        <v>654</v>
      </c>
      <c r="AE226" s="9" t="s">
        <v>654</v>
      </c>
      <c r="AF226" s="184"/>
      <c r="AG226" s="183"/>
      <c r="AH226" s="183"/>
      <c r="AI226" s="183"/>
      <c r="AJ226" s="183"/>
      <c r="AK226" s="9" t="s">
        <v>654</v>
      </c>
      <c r="AL226" s="183"/>
      <c r="AM226" s="186" t="str">
        <f>IF(AF226="","","Q"&amp;INT((MONTH(AF226)-1)/3)+1&amp;YEAR(AF226)&amp;#REF!&amp;T226)</f>
        <v/>
      </c>
      <c r="AN226" s="186" t="e">
        <f>IF(K226="","","Q"&amp;INT((MONTH(K226)-1)/3)+1&amp;YEAR(K226)&amp;#REF!)</f>
        <v>#REF!</v>
      </c>
    </row>
    <row r="227" spans="1:40" ht="20.100000000000001" customHeight="1" x14ac:dyDescent="0.25">
      <c r="A227" s="8">
        <v>225</v>
      </c>
      <c r="B227" s="8" t="s">
        <v>399</v>
      </c>
      <c r="C227" s="8" t="s">
        <v>1997</v>
      </c>
      <c r="D227" s="8" t="s">
        <v>2416</v>
      </c>
      <c r="E227" s="8" t="s">
        <v>1998</v>
      </c>
      <c r="F227" s="183" t="s">
        <v>2222</v>
      </c>
      <c r="G227" s="183"/>
      <c r="H227" s="183" t="s">
        <v>2424</v>
      </c>
      <c r="I227" s="183" t="s">
        <v>579</v>
      </c>
      <c r="J227" s="183"/>
      <c r="K227" s="184">
        <v>46041</v>
      </c>
      <c r="L227" s="183">
        <v>32</v>
      </c>
      <c r="M227" s="185" t="str">
        <f>IF(phc_8[[#This Row],[Register No.]]="","",C227&amp;"-"&amp;D227&amp;"-"&amp;"BHA-PHC-"&amp;phc_8[[#This Row],[Register No.]])</f>
        <v>Shining Star-Mobile Clinic-BHA-PHC-32</v>
      </c>
      <c r="N227" s="9" t="s">
        <v>401</v>
      </c>
      <c r="O227" s="183" t="s">
        <v>3474</v>
      </c>
      <c r="P227" s="183">
        <v>66</v>
      </c>
      <c r="Q227" s="183"/>
      <c r="R227" s="183"/>
      <c r="S227" s="186" t="str">
        <f t="shared" si="9"/>
        <v>50 yrs +</v>
      </c>
      <c r="T227" s="183" t="s">
        <v>603</v>
      </c>
      <c r="U227" s="183" t="s">
        <v>3398</v>
      </c>
      <c r="V227" s="183" t="s">
        <v>3477</v>
      </c>
      <c r="W227" s="183" t="s">
        <v>178</v>
      </c>
      <c r="X227" s="183" t="s">
        <v>178</v>
      </c>
      <c r="Y227" s="186" t="str">
        <f>INDEX(info!$Y$2:$Y$192,MATCH(phc_8[[#This Row],[Sub_Category]],info!$X$2:$X$192,0))</f>
        <v>Chronic medical disease</v>
      </c>
      <c r="Z227" s="186" t="str">
        <f t="array" ref="Z227">INDEX(info!$AA$2:$AA$192,MATCH(PHC!$X227&amp;PHC!$Y227,info!$X$2:$X$192&amp;info!$Y$2:$Y$192,0))</f>
        <v>Non-communicable disease</v>
      </c>
      <c r="AA227" s="183" t="s">
        <v>3482</v>
      </c>
      <c r="AB227" s="9" t="s">
        <v>654</v>
      </c>
      <c r="AC227" s="9" t="s">
        <v>654</v>
      </c>
      <c r="AD227" s="9" t="s">
        <v>654</v>
      </c>
      <c r="AE227" s="9" t="s">
        <v>654</v>
      </c>
      <c r="AF227" s="184"/>
      <c r="AG227" s="183"/>
      <c r="AH227" s="183"/>
      <c r="AI227" s="183"/>
      <c r="AJ227" s="183"/>
      <c r="AK227" s="9" t="s">
        <v>654</v>
      </c>
      <c r="AL227" s="183"/>
      <c r="AM227" s="186" t="str">
        <f>IF(AF227="","","Q"&amp;INT((MONTH(AF227)-1)/3)+1&amp;YEAR(AF227)&amp;#REF!&amp;T227)</f>
        <v/>
      </c>
      <c r="AN227" s="186" t="e">
        <f>IF(K227="","","Q"&amp;INT((MONTH(K227)-1)/3)+1&amp;YEAR(K227)&amp;#REF!)</f>
        <v>#REF!</v>
      </c>
    </row>
    <row r="228" spans="1:40" ht="20.100000000000001" customHeight="1" x14ac:dyDescent="0.25">
      <c r="A228" s="8">
        <v>226</v>
      </c>
      <c r="B228" s="8" t="s">
        <v>399</v>
      </c>
      <c r="C228" s="8" t="s">
        <v>1997</v>
      </c>
      <c r="D228" s="8" t="s">
        <v>2416</v>
      </c>
      <c r="E228" s="8" t="s">
        <v>1998</v>
      </c>
      <c r="F228" s="183" t="s">
        <v>2222</v>
      </c>
      <c r="G228" s="183"/>
      <c r="H228" s="183" t="s">
        <v>2424</v>
      </c>
      <c r="I228" s="183" t="s">
        <v>579</v>
      </c>
      <c r="J228" s="183"/>
      <c r="K228" s="184">
        <v>46041</v>
      </c>
      <c r="L228" s="183">
        <v>33</v>
      </c>
      <c r="M228" s="185" t="str">
        <f>IF(phc_8[[#This Row],[Register No.]]="","",C228&amp;"-"&amp;D228&amp;"-"&amp;"BHA-PHC-"&amp;phc_8[[#This Row],[Register No.]])</f>
        <v>Shining Star-Mobile Clinic-BHA-PHC-33</v>
      </c>
      <c r="N228" s="9" t="s">
        <v>401</v>
      </c>
      <c r="O228" s="183" t="s">
        <v>3046</v>
      </c>
      <c r="P228" s="183">
        <v>70</v>
      </c>
      <c r="Q228" s="183"/>
      <c r="R228" s="183"/>
      <c r="S228" s="186" t="str">
        <f t="shared" si="9"/>
        <v>50 yrs +</v>
      </c>
      <c r="T228" s="183" t="s">
        <v>603</v>
      </c>
      <c r="U228" s="183" t="s">
        <v>3398</v>
      </c>
      <c r="V228" s="183" t="s">
        <v>3478</v>
      </c>
      <c r="W228" s="183" t="s">
        <v>2059</v>
      </c>
      <c r="X228" s="183" t="s">
        <v>242</v>
      </c>
      <c r="Y228" s="186" t="str">
        <f>INDEX(info!$Y$2:$Y$192,MATCH(phc_8[[#This Row],[Sub_Category]],info!$X$2:$X$192,0))</f>
        <v>Accident/minor sugical and injuries</v>
      </c>
      <c r="Z228" s="186" t="str">
        <f t="array" ref="Z228">INDEX(info!$AA$2:$AA$192,MATCH(PHC!$X228&amp;PHC!$Y228,info!$X$2:$X$192&amp;info!$Y$2:$Y$192,0))</f>
        <v>Injury related</v>
      </c>
      <c r="AA228" s="183" t="s">
        <v>3483</v>
      </c>
      <c r="AB228" s="9" t="s">
        <v>654</v>
      </c>
      <c r="AC228" s="9" t="s">
        <v>654</v>
      </c>
      <c r="AD228" s="9" t="s">
        <v>654</v>
      </c>
      <c r="AE228" s="9" t="s">
        <v>654</v>
      </c>
      <c r="AF228" s="184"/>
      <c r="AG228" s="183"/>
      <c r="AH228" s="183"/>
      <c r="AI228" s="183"/>
      <c r="AJ228" s="183"/>
      <c r="AK228" s="9" t="s">
        <v>654</v>
      </c>
      <c r="AL228" s="183"/>
      <c r="AM228" s="186" t="str">
        <f>IF(AF228="","","Q"&amp;INT((MONTH(AF228)-1)/3)+1&amp;YEAR(AF228)&amp;#REF!&amp;T228)</f>
        <v/>
      </c>
      <c r="AN228" s="186" t="e">
        <f>IF(K228="","","Q"&amp;INT((MONTH(K228)-1)/3)+1&amp;YEAR(K228)&amp;#REF!)</f>
        <v>#REF!</v>
      </c>
    </row>
    <row r="229" spans="1:40" ht="20.100000000000001" customHeight="1" x14ac:dyDescent="0.25">
      <c r="A229" s="8">
        <v>227</v>
      </c>
      <c r="B229" s="8" t="s">
        <v>399</v>
      </c>
      <c r="C229" s="8" t="s">
        <v>1997</v>
      </c>
      <c r="D229" s="8" t="s">
        <v>2416</v>
      </c>
      <c r="E229" s="8" t="s">
        <v>1998</v>
      </c>
      <c r="F229" s="183" t="s">
        <v>2222</v>
      </c>
      <c r="G229" s="183"/>
      <c r="H229" s="183" t="s">
        <v>2424</v>
      </c>
      <c r="I229" s="183" t="s">
        <v>579</v>
      </c>
      <c r="J229" s="183"/>
      <c r="K229" s="184">
        <v>46041</v>
      </c>
      <c r="L229" s="183">
        <v>34</v>
      </c>
      <c r="M229" s="185" t="str">
        <f>IF(phc_8[[#This Row],[Register No.]]="","",C229&amp;"-"&amp;D229&amp;"-"&amp;"BHA-PHC-"&amp;phc_8[[#This Row],[Register No.]])</f>
        <v>Shining Star-Mobile Clinic-BHA-PHC-34</v>
      </c>
      <c r="N229" s="9" t="s">
        <v>401</v>
      </c>
      <c r="O229" s="183" t="s">
        <v>3475</v>
      </c>
      <c r="P229" s="183">
        <v>53</v>
      </c>
      <c r="Q229" s="183"/>
      <c r="R229" s="183"/>
      <c r="S229" s="186" t="str">
        <f t="shared" si="9"/>
        <v>50 yrs +</v>
      </c>
      <c r="T229" s="183" t="s">
        <v>603</v>
      </c>
      <c r="U229" s="183" t="s">
        <v>3398</v>
      </c>
      <c r="V229" s="183" t="s">
        <v>3479</v>
      </c>
      <c r="W229" s="183" t="s">
        <v>3105</v>
      </c>
      <c r="X229" s="183" t="s">
        <v>3105</v>
      </c>
      <c r="Y229" s="186" t="str">
        <f>INDEX(info!$Y$2:$Y$192,MATCH(phc_8[[#This Row],[Sub_Category]],info!$X$2:$X$192,0))</f>
        <v>Chronic medical disease</v>
      </c>
      <c r="Z229" s="186" t="str">
        <f t="array" ref="Z229">INDEX(info!$AA$2:$AA$192,MATCH(PHC!$X229&amp;PHC!$Y229,info!$X$2:$X$192&amp;info!$Y$2:$Y$192,0))</f>
        <v>Non-communicable disease</v>
      </c>
      <c r="AA229" s="183" t="s">
        <v>3484</v>
      </c>
      <c r="AB229" s="9" t="s">
        <v>654</v>
      </c>
      <c r="AC229" s="9" t="s">
        <v>654</v>
      </c>
      <c r="AD229" s="9" t="s">
        <v>654</v>
      </c>
      <c r="AE229" s="9" t="s">
        <v>654</v>
      </c>
      <c r="AF229" s="184"/>
      <c r="AG229" s="183"/>
      <c r="AH229" s="183"/>
      <c r="AI229" s="183"/>
      <c r="AJ229" s="183"/>
      <c r="AK229" s="9" t="s">
        <v>654</v>
      </c>
      <c r="AL229" s="183"/>
      <c r="AM229" s="186" t="str">
        <f>IF(AF229="","","Q"&amp;INT((MONTH(AF229)-1)/3)+1&amp;YEAR(AF229)&amp;#REF!&amp;T229)</f>
        <v/>
      </c>
      <c r="AN229" s="186" t="e">
        <f>IF(K229="","","Q"&amp;INT((MONTH(K229)-1)/3)+1&amp;YEAR(K229)&amp;#REF!)</f>
        <v>#REF!</v>
      </c>
    </row>
    <row r="230" spans="1:40" ht="20.100000000000001" customHeight="1" x14ac:dyDescent="0.25">
      <c r="A230" s="8">
        <v>228</v>
      </c>
      <c r="B230" s="8" t="s">
        <v>399</v>
      </c>
      <c r="C230" s="8" t="s">
        <v>1997</v>
      </c>
      <c r="D230" s="8" t="s">
        <v>2416</v>
      </c>
      <c r="E230" s="8" t="s">
        <v>1998</v>
      </c>
      <c r="F230" s="183" t="s">
        <v>2222</v>
      </c>
      <c r="G230" s="183"/>
      <c r="H230" s="183" t="s">
        <v>2424</v>
      </c>
      <c r="I230" s="183" t="s">
        <v>579</v>
      </c>
      <c r="J230" s="183"/>
      <c r="K230" s="184">
        <v>46041</v>
      </c>
      <c r="L230" s="183">
        <v>35</v>
      </c>
      <c r="M230" s="185" t="str">
        <f>IF(phc_8[[#This Row],[Register No.]]="","",C230&amp;"-"&amp;D230&amp;"-"&amp;"BHA-PHC-"&amp;phc_8[[#This Row],[Register No.]])</f>
        <v>Shining Star-Mobile Clinic-BHA-PHC-35</v>
      </c>
      <c r="N230" s="9" t="s">
        <v>401</v>
      </c>
      <c r="O230" s="183" t="s">
        <v>3476</v>
      </c>
      <c r="P230" s="183">
        <v>64</v>
      </c>
      <c r="Q230" s="183"/>
      <c r="R230" s="183"/>
      <c r="S230" s="186" t="str">
        <f t="shared" si="9"/>
        <v>50 yrs +</v>
      </c>
      <c r="T230" s="183" t="s">
        <v>603</v>
      </c>
      <c r="U230" s="183" t="s">
        <v>3398</v>
      </c>
      <c r="V230" s="183" t="s">
        <v>3262</v>
      </c>
      <c r="W230" s="183" t="s">
        <v>3105</v>
      </c>
      <c r="X230" s="183" t="s">
        <v>3105</v>
      </c>
      <c r="Y230" s="186" t="str">
        <f>INDEX(info!$Y$2:$Y$192,MATCH(phc_8[[#This Row],[Sub_Category]],info!$X$2:$X$192,0))</f>
        <v>Chronic medical disease</v>
      </c>
      <c r="Z230" s="186" t="str">
        <f t="array" ref="Z230">INDEX(info!$AA$2:$AA$192,MATCH(PHC!$X230&amp;PHC!$Y230,info!$X$2:$X$192&amp;info!$Y$2:$Y$192,0))</f>
        <v>Non-communicable disease</v>
      </c>
      <c r="AA230" s="183" t="s">
        <v>3485</v>
      </c>
      <c r="AB230" s="9" t="s">
        <v>654</v>
      </c>
      <c r="AC230" s="9" t="s">
        <v>654</v>
      </c>
      <c r="AD230" s="9" t="s">
        <v>654</v>
      </c>
      <c r="AE230" s="9" t="s">
        <v>654</v>
      </c>
      <c r="AF230" s="184"/>
      <c r="AG230" s="183"/>
      <c r="AH230" s="183"/>
      <c r="AI230" s="183"/>
      <c r="AJ230" s="183"/>
      <c r="AK230" s="9" t="s">
        <v>654</v>
      </c>
      <c r="AL230" s="183"/>
      <c r="AM230" s="186" t="str">
        <f>IF(AF230="","","Q"&amp;INT((MONTH(AF230)-1)/3)+1&amp;YEAR(AF230)&amp;#REF!&amp;T230)</f>
        <v/>
      </c>
      <c r="AN230" s="186" t="e">
        <f>IF(K230="","","Q"&amp;INT((MONTH(K230)-1)/3)+1&amp;YEAR(K230)&amp;#REF!)</f>
        <v>#REF!</v>
      </c>
    </row>
    <row r="231" spans="1:40" ht="20.100000000000001" customHeight="1" x14ac:dyDescent="0.25">
      <c r="A231" s="8">
        <v>229</v>
      </c>
      <c r="B231" s="8" t="s">
        <v>399</v>
      </c>
      <c r="C231" s="8" t="s">
        <v>1997</v>
      </c>
      <c r="D231" s="8" t="s">
        <v>2416</v>
      </c>
      <c r="E231" s="8" t="s">
        <v>1998</v>
      </c>
      <c r="F231" s="183" t="s">
        <v>2222</v>
      </c>
      <c r="G231" s="183"/>
      <c r="H231" s="183" t="s">
        <v>2424</v>
      </c>
      <c r="I231" s="183" t="s">
        <v>579</v>
      </c>
      <c r="J231" s="183"/>
      <c r="K231" s="184">
        <v>46041</v>
      </c>
      <c r="L231" s="183">
        <v>36</v>
      </c>
      <c r="M231" s="185" t="str">
        <f>IF(phc_8[[#This Row],[Register No.]]="","",C231&amp;"-"&amp;D231&amp;"-"&amp;"BHA-PHC-"&amp;phc_8[[#This Row],[Register No.]])</f>
        <v>Shining Star-Mobile Clinic-BHA-PHC-36</v>
      </c>
      <c r="N231" s="9" t="s">
        <v>401</v>
      </c>
      <c r="O231" s="183" t="s">
        <v>3486</v>
      </c>
      <c r="P231" s="183">
        <v>67</v>
      </c>
      <c r="Q231" s="183"/>
      <c r="R231" s="183"/>
      <c r="S231" s="186" t="str">
        <f t="shared" si="9"/>
        <v>50 yrs +</v>
      </c>
      <c r="T231" s="183" t="s">
        <v>603</v>
      </c>
      <c r="U231" s="183" t="s">
        <v>3398</v>
      </c>
      <c r="V231" s="183" t="s">
        <v>3289</v>
      </c>
      <c r="W231" s="183" t="s">
        <v>178</v>
      </c>
      <c r="X231" s="183" t="s">
        <v>178</v>
      </c>
      <c r="Y231" s="186" t="str">
        <f>INDEX(info!$Y$2:$Y$192,MATCH(phc_8[[#This Row],[Sub_Category]],info!$X$2:$X$192,0))</f>
        <v>Chronic medical disease</v>
      </c>
      <c r="Z231" s="186" t="str">
        <f t="array" ref="Z231">INDEX(info!$AA$2:$AA$192,MATCH(PHC!$X231&amp;PHC!$Y231,info!$X$2:$X$192&amp;info!$Y$2:$Y$192,0))</f>
        <v>Non-communicable disease</v>
      </c>
      <c r="AA231" s="183" t="s">
        <v>3491</v>
      </c>
      <c r="AB231" s="9" t="s">
        <v>654</v>
      </c>
      <c r="AC231" s="9" t="s">
        <v>654</v>
      </c>
      <c r="AD231" s="9" t="s">
        <v>654</v>
      </c>
      <c r="AE231" s="9" t="s">
        <v>654</v>
      </c>
      <c r="AF231" s="184"/>
      <c r="AG231" s="183"/>
      <c r="AH231" s="183"/>
      <c r="AI231" s="183"/>
      <c r="AJ231" s="183"/>
      <c r="AK231" s="9" t="s">
        <v>654</v>
      </c>
      <c r="AL231" s="183"/>
      <c r="AM231" s="186" t="str">
        <f>IF(AF231="","","Q"&amp;INT((MONTH(AF231)-1)/3)+1&amp;YEAR(AF231)&amp;#REF!&amp;T231)</f>
        <v/>
      </c>
      <c r="AN231" s="186" t="e">
        <f>IF(K231="","","Q"&amp;INT((MONTH(K231)-1)/3)+1&amp;YEAR(K231)&amp;#REF!)</f>
        <v>#REF!</v>
      </c>
    </row>
    <row r="232" spans="1:40" ht="20.100000000000001" customHeight="1" x14ac:dyDescent="0.25">
      <c r="A232" s="8">
        <v>230</v>
      </c>
      <c r="B232" s="8" t="s">
        <v>399</v>
      </c>
      <c r="C232" s="8" t="s">
        <v>1997</v>
      </c>
      <c r="D232" s="8" t="s">
        <v>2416</v>
      </c>
      <c r="E232" s="8" t="s">
        <v>1998</v>
      </c>
      <c r="F232" s="183" t="s">
        <v>2222</v>
      </c>
      <c r="G232" s="183"/>
      <c r="H232" s="183" t="s">
        <v>2424</v>
      </c>
      <c r="I232" s="183" t="s">
        <v>579</v>
      </c>
      <c r="J232" s="183"/>
      <c r="K232" s="184">
        <v>46041</v>
      </c>
      <c r="L232" s="183">
        <v>37</v>
      </c>
      <c r="M232" s="185" t="str">
        <f>IF(phc_8[[#This Row],[Register No.]]="","",C232&amp;"-"&amp;D232&amp;"-"&amp;"BHA-PHC-"&amp;phc_8[[#This Row],[Register No.]])</f>
        <v>Shining Star-Mobile Clinic-BHA-PHC-37</v>
      </c>
      <c r="N232" s="9" t="s">
        <v>401</v>
      </c>
      <c r="O232" s="183" t="s">
        <v>2389</v>
      </c>
      <c r="P232" s="183">
        <v>3</v>
      </c>
      <c r="Q232" s="183"/>
      <c r="R232" s="183"/>
      <c r="S232" s="186" t="str">
        <f t="shared" si="9"/>
        <v>&lt;5 yrs</v>
      </c>
      <c r="T232" s="183" t="s">
        <v>603</v>
      </c>
      <c r="U232" s="183" t="s">
        <v>3398</v>
      </c>
      <c r="V232" s="183" t="s">
        <v>2404</v>
      </c>
      <c r="W232" s="183" t="s">
        <v>3210</v>
      </c>
      <c r="X232" s="183" t="s">
        <v>216</v>
      </c>
      <c r="Y232" s="186" t="str">
        <f>INDEX(info!$Y$2:$Y$192,MATCH(phc_8[[#This Row],[Sub_Category]],info!$X$2:$X$192,0))</f>
        <v>Eye problem/disease</v>
      </c>
      <c r="Z232" s="186" t="str">
        <f t="array" ref="Z232">INDEX(info!$AA$2:$AA$192,MATCH(PHC!$X232&amp;PHC!$Y232,info!$X$2:$X$192&amp;info!$Y$2:$Y$192,0))</f>
        <v>Non-communicable disease</v>
      </c>
      <c r="AA232" s="183" t="s">
        <v>3492</v>
      </c>
      <c r="AB232" s="9" t="s">
        <v>654</v>
      </c>
      <c r="AC232" s="9" t="s">
        <v>654</v>
      </c>
      <c r="AD232" s="9" t="s">
        <v>654</v>
      </c>
      <c r="AE232" s="9" t="s">
        <v>654</v>
      </c>
      <c r="AF232" s="184"/>
      <c r="AG232" s="183"/>
      <c r="AH232" s="183"/>
      <c r="AI232" s="183"/>
      <c r="AJ232" s="183"/>
      <c r="AK232" s="9" t="s">
        <v>654</v>
      </c>
      <c r="AL232" s="183"/>
      <c r="AM232" s="186" t="str">
        <f>IF(AF232="","","Q"&amp;INT((MONTH(AF232)-1)/3)+1&amp;YEAR(AF232)&amp;#REF!&amp;T232)</f>
        <v/>
      </c>
      <c r="AN232" s="186" t="e">
        <f>IF(K232="","","Q"&amp;INT((MONTH(K232)-1)/3)+1&amp;YEAR(K232)&amp;#REF!)</f>
        <v>#REF!</v>
      </c>
    </row>
    <row r="233" spans="1:40" ht="20.100000000000001" customHeight="1" x14ac:dyDescent="0.25">
      <c r="A233" s="8">
        <v>231</v>
      </c>
      <c r="B233" s="8" t="s">
        <v>399</v>
      </c>
      <c r="C233" s="8" t="s">
        <v>1997</v>
      </c>
      <c r="D233" s="8" t="s">
        <v>2416</v>
      </c>
      <c r="E233" s="8" t="s">
        <v>1998</v>
      </c>
      <c r="F233" s="183" t="s">
        <v>2222</v>
      </c>
      <c r="G233" s="183"/>
      <c r="H233" s="183" t="s">
        <v>2424</v>
      </c>
      <c r="I233" s="183" t="s">
        <v>579</v>
      </c>
      <c r="J233" s="183"/>
      <c r="K233" s="184">
        <v>46041</v>
      </c>
      <c r="L233" s="183">
        <v>38</v>
      </c>
      <c r="M233" s="185" t="str">
        <f>IF(phc_8[[#This Row],[Register No.]]="","",C233&amp;"-"&amp;D233&amp;"-"&amp;"BHA-PHC-"&amp;phc_8[[#This Row],[Register No.]])</f>
        <v>Shining Star-Mobile Clinic-BHA-PHC-38</v>
      </c>
      <c r="N233" s="9" t="s">
        <v>401</v>
      </c>
      <c r="O233" s="183" t="s">
        <v>3487</v>
      </c>
      <c r="P233" s="183">
        <v>39</v>
      </c>
      <c r="Q233" s="183"/>
      <c r="R233" s="183"/>
      <c r="S233" s="186" t="str">
        <f t="shared" si="9"/>
        <v>19 - 49 yrs</v>
      </c>
      <c r="T233" s="183" t="s">
        <v>402</v>
      </c>
      <c r="U233" s="183" t="s">
        <v>3398</v>
      </c>
      <c r="V233" s="183" t="s">
        <v>3173</v>
      </c>
      <c r="W233" s="183" t="s">
        <v>242</v>
      </c>
      <c r="X233" s="183" t="s">
        <v>242</v>
      </c>
      <c r="Y233" s="186" t="str">
        <f>INDEX(info!$Y$2:$Y$192,MATCH(phc_8[[#This Row],[Sub_Category]],info!$X$2:$X$192,0))</f>
        <v>Accident/minor sugical and injuries</v>
      </c>
      <c r="Z233" s="186" t="str">
        <f t="array" ref="Z233">INDEX(info!$AA$2:$AA$192,MATCH(PHC!$X233&amp;PHC!$Y233,info!$X$2:$X$192&amp;info!$Y$2:$Y$192,0))</f>
        <v>Injury related</v>
      </c>
      <c r="AA233" s="183" t="s">
        <v>2108</v>
      </c>
      <c r="AB233" s="9" t="s">
        <v>654</v>
      </c>
      <c r="AC233" s="9" t="s">
        <v>654</v>
      </c>
      <c r="AD233" s="9" t="s">
        <v>654</v>
      </c>
      <c r="AE233" s="9" t="s">
        <v>654</v>
      </c>
      <c r="AF233" s="184"/>
      <c r="AG233" s="183"/>
      <c r="AH233" s="183"/>
      <c r="AI233" s="183"/>
      <c r="AJ233" s="183"/>
      <c r="AK233" s="9" t="s">
        <v>654</v>
      </c>
      <c r="AL233" s="183"/>
      <c r="AM233" s="186" t="str">
        <f>IF(AF233="","","Q"&amp;INT((MONTH(AF233)-1)/3)+1&amp;YEAR(AF233)&amp;#REF!&amp;T233)</f>
        <v/>
      </c>
      <c r="AN233" s="186" t="e">
        <f>IF(K233="","","Q"&amp;INT((MONTH(K233)-1)/3)+1&amp;YEAR(K233)&amp;#REF!)</f>
        <v>#REF!</v>
      </c>
    </row>
    <row r="234" spans="1:40" ht="20.100000000000001" customHeight="1" x14ac:dyDescent="0.25">
      <c r="A234" s="8">
        <v>232</v>
      </c>
      <c r="B234" s="8" t="s">
        <v>399</v>
      </c>
      <c r="C234" s="8" t="s">
        <v>1997</v>
      </c>
      <c r="D234" s="8" t="s">
        <v>2416</v>
      </c>
      <c r="E234" s="8" t="s">
        <v>1998</v>
      </c>
      <c r="F234" s="183" t="s">
        <v>2222</v>
      </c>
      <c r="G234" s="183"/>
      <c r="H234" s="183" t="s">
        <v>2424</v>
      </c>
      <c r="I234" s="183" t="s">
        <v>579</v>
      </c>
      <c r="J234" s="183"/>
      <c r="K234" s="184">
        <v>46041</v>
      </c>
      <c r="L234" s="183">
        <v>39</v>
      </c>
      <c r="M234" s="185" t="str">
        <f>IF(phc_8[[#This Row],[Register No.]]="","",C234&amp;"-"&amp;D234&amp;"-"&amp;"BHA-PHC-"&amp;phc_8[[#This Row],[Register No.]])</f>
        <v>Shining Star-Mobile Clinic-BHA-PHC-39</v>
      </c>
      <c r="N234" s="9" t="s">
        <v>401</v>
      </c>
      <c r="O234" s="183" t="s">
        <v>2232</v>
      </c>
      <c r="P234" s="183">
        <v>11</v>
      </c>
      <c r="Q234" s="183"/>
      <c r="R234" s="183"/>
      <c r="S234" s="186" t="str">
        <f t="shared" si="9"/>
        <v>5 - 14 yrs</v>
      </c>
      <c r="T234" s="183" t="s">
        <v>603</v>
      </c>
      <c r="U234" s="183" t="s">
        <v>3398</v>
      </c>
      <c r="V234" s="183" t="s">
        <v>3489</v>
      </c>
      <c r="W234" s="183" t="s">
        <v>294</v>
      </c>
      <c r="X234" s="183" t="s">
        <v>294</v>
      </c>
      <c r="Y234" s="186" t="str">
        <f>INDEX(info!$Y$2:$Y$192,MATCH(phc_8[[#This Row],[Sub_Category]],info!$X$2:$X$192,0))</f>
        <v>Other (non-communicable)</v>
      </c>
      <c r="Z234" s="186" t="str">
        <f t="array" ref="Z234">INDEX(info!$AA$2:$AA$192,MATCH(PHC!$X234&amp;PHC!$Y234,info!$X$2:$X$192&amp;info!$Y$2:$Y$192,0))</f>
        <v>Other</v>
      </c>
      <c r="AA234" s="183" t="s">
        <v>3493</v>
      </c>
      <c r="AB234" s="9" t="s">
        <v>654</v>
      </c>
      <c r="AC234" s="9" t="s">
        <v>654</v>
      </c>
      <c r="AD234" s="9" t="s">
        <v>654</v>
      </c>
      <c r="AE234" s="9" t="s">
        <v>654</v>
      </c>
      <c r="AF234" s="184"/>
      <c r="AG234" s="183"/>
      <c r="AH234" s="183"/>
      <c r="AI234" s="183"/>
      <c r="AJ234" s="183"/>
      <c r="AK234" s="9" t="s">
        <v>654</v>
      </c>
      <c r="AL234" s="183"/>
      <c r="AM234" s="186" t="str">
        <f>IF(AF234="","","Q"&amp;INT((MONTH(AF234)-1)/3)+1&amp;YEAR(AF234)&amp;#REF!&amp;T234)</f>
        <v/>
      </c>
      <c r="AN234" s="186" t="e">
        <f>IF(K234="","","Q"&amp;INT((MONTH(K234)-1)/3)+1&amp;YEAR(K234)&amp;#REF!)</f>
        <v>#REF!</v>
      </c>
    </row>
    <row r="235" spans="1:40" ht="20.100000000000001" customHeight="1" x14ac:dyDescent="0.25">
      <c r="A235" s="8">
        <v>233</v>
      </c>
      <c r="B235" s="8" t="s">
        <v>399</v>
      </c>
      <c r="C235" s="8" t="s">
        <v>1997</v>
      </c>
      <c r="D235" s="8" t="s">
        <v>2416</v>
      </c>
      <c r="E235" s="8" t="s">
        <v>1998</v>
      </c>
      <c r="F235" s="183" t="s">
        <v>2222</v>
      </c>
      <c r="G235" s="183"/>
      <c r="H235" s="183" t="s">
        <v>2424</v>
      </c>
      <c r="I235" s="183" t="s">
        <v>579</v>
      </c>
      <c r="J235" s="183"/>
      <c r="K235" s="184">
        <v>46041</v>
      </c>
      <c r="L235" s="183">
        <v>40</v>
      </c>
      <c r="M235" s="185" t="str">
        <f>IF(phc_8[[#This Row],[Register No.]]="","",C235&amp;"-"&amp;D235&amp;"-"&amp;"BHA-PHC-"&amp;phc_8[[#This Row],[Register No.]])</f>
        <v>Shining Star-Mobile Clinic-BHA-PHC-40</v>
      </c>
      <c r="N235" s="9" t="s">
        <v>401</v>
      </c>
      <c r="O235" s="183" t="s">
        <v>3488</v>
      </c>
      <c r="P235" s="183">
        <v>55</v>
      </c>
      <c r="Q235" s="183"/>
      <c r="R235" s="183"/>
      <c r="S235" s="186" t="str">
        <f t="shared" si="9"/>
        <v>50 yrs +</v>
      </c>
      <c r="T235" s="183" t="s">
        <v>603</v>
      </c>
      <c r="U235" s="183" t="s">
        <v>3398</v>
      </c>
      <c r="V235" s="183" t="s">
        <v>3490</v>
      </c>
      <c r="W235" s="183" t="s">
        <v>2003</v>
      </c>
      <c r="X235" s="183" t="s">
        <v>181</v>
      </c>
      <c r="Y235" s="186" t="str">
        <f>INDEX(info!$Y$2:$Y$192,MATCH(phc_8[[#This Row],[Sub_Category]],info!$X$2:$X$192,0))</f>
        <v>Chronic medical disease</v>
      </c>
      <c r="Z235" s="186" t="str">
        <f t="array" ref="Z235">INDEX(info!$AA$2:$AA$192,MATCH(PHC!$X235&amp;PHC!$Y235,info!$X$2:$X$192&amp;info!$Y$2:$Y$192,0))</f>
        <v>Non-communicable disease</v>
      </c>
      <c r="AA235" s="183" t="s">
        <v>3494</v>
      </c>
      <c r="AB235" s="9" t="s">
        <v>654</v>
      </c>
      <c r="AC235" s="9" t="s">
        <v>654</v>
      </c>
      <c r="AD235" s="9" t="s">
        <v>654</v>
      </c>
      <c r="AE235" s="9" t="s">
        <v>654</v>
      </c>
      <c r="AF235" s="184"/>
      <c r="AG235" s="183"/>
      <c r="AH235" s="183"/>
      <c r="AI235" s="183"/>
      <c r="AJ235" s="183"/>
      <c r="AK235" s="9" t="s">
        <v>654</v>
      </c>
      <c r="AL235" s="183"/>
      <c r="AM235" s="186" t="str">
        <f>IF(AF235="","","Q"&amp;INT((MONTH(AF235)-1)/3)+1&amp;YEAR(AF235)&amp;#REF!&amp;T235)</f>
        <v/>
      </c>
      <c r="AN235" s="186" t="e">
        <f>IF(K235="","","Q"&amp;INT((MONTH(K235)-1)/3)+1&amp;YEAR(K235)&amp;#REF!)</f>
        <v>#REF!</v>
      </c>
    </row>
    <row r="236" spans="1:40" ht="20.100000000000001" customHeight="1" x14ac:dyDescent="0.25">
      <c r="A236" s="8">
        <v>234</v>
      </c>
      <c r="B236" s="8" t="s">
        <v>399</v>
      </c>
      <c r="C236" s="8" t="s">
        <v>1997</v>
      </c>
      <c r="D236" s="8" t="s">
        <v>2416</v>
      </c>
      <c r="E236" s="8" t="s">
        <v>1998</v>
      </c>
      <c r="F236" s="183" t="s">
        <v>2222</v>
      </c>
      <c r="G236" s="183"/>
      <c r="H236" s="183" t="s">
        <v>2424</v>
      </c>
      <c r="I236" s="183" t="s">
        <v>579</v>
      </c>
      <c r="J236" s="183"/>
      <c r="K236" s="184">
        <v>46041</v>
      </c>
      <c r="L236" s="183">
        <v>41</v>
      </c>
      <c r="M236" s="185" t="str">
        <f>IF(phc_8[[#This Row],[Register No.]]="","",C236&amp;"-"&amp;D236&amp;"-"&amp;"BHA-PHC-"&amp;phc_8[[#This Row],[Register No.]])</f>
        <v>Shining Star-Mobile Clinic-BHA-PHC-41</v>
      </c>
      <c r="N236" s="9" t="s">
        <v>401</v>
      </c>
      <c r="O236" s="183" t="s">
        <v>3495</v>
      </c>
      <c r="P236" s="183">
        <v>68</v>
      </c>
      <c r="Q236" s="183"/>
      <c r="R236" s="183"/>
      <c r="S236" s="186" t="str">
        <f t="shared" si="9"/>
        <v>50 yrs +</v>
      </c>
      <c r="T236" s="183" t="s">
        <v>603</v>
      </c>
      <c r="U236" s="183" t="s">
        <v>3398</v>
      </c>
      <c r="V236" s="183" t="s">
        <v>2201</v>
      </c>
      <c r="W236" s="183" t="s">
        <v>2059</v>
      </c>
      <c r="X236" s="183" t="s">
        <v>242</v>
      </c>
      <c r="Y236" s="186" t="str">
        <f>INDEX(info!$Y$2:$Y$192,MATCH(phc_8[[#This Row],[Sub_Category]],info!$X$2:$X$192,0))</f>
        <v>Accident/minor sugical and injuries</v>
      </c>
      <c r="Z236" s="186" t="str">
        <f t="array" ref="Z236">INDEX(info!$AA$2:$AA$192,MATCH(PHC!$X236&amp;PHC!$Y236,info!$X$2:$X$192&amp;info!$Y$2:$Y$192,0))</f>
        <v>Injury related</v>
      </c>
      <c r="AA236" s="183" t="s">
        <v>3502</v>
      </c>
      <c r="AB236" s="9" t="s">
        <v>654</v>
      </c>
      <c r="AC236" s="9" t="s">
        <v>654</v>
      </c>
      <c r="AD236" s="9" t="s">
        <v>654</v>
      </c>
      <c r="AE236" s="9" t="s">
        <v>654</v>
      </c>
      <c r="AF236" s="184"/>
      <c r="AG236" s="183"/>
      <c r="AH236" s="183"/>
      <c r="AI236" s="183"/>
      <c r="AJ236" s="183"/>
      <c r="AK236" s="9" t="s">
        <v>654</v>
      </c>
      <c r="AL236" s="183"/>
      <c r="AM236" s="186" t="str">
        <f>IF(AF236="","","Q"&amp;INT((MONTH(AF236)-1)/3)+1&amp;YEAR(AF236)&amp;#REF!&amp;T236)</f>
        <v/>
      </c>
      <c r="AN236" s="186" t="e">
        <f>IF(K236="","","Q"&amp;INT((MONTH(K236)-1)/3)+1&amp;YEAR(K236)&amp;#REF!)</f>
        <v>#REF!</v>
      </c>
    </row>
    <row r="237" spans="1:40" ht="20.100000000000001" customHeight="1" x14ac:dyDescent="0.25">
      <c r="A237" s="8">
        <v>235</v>
      </c>
      <c r="B237" s="8" t="s">
        <v>399</v>
      </c>
      <c r="C237" s="8" t="s">
        <v>1997</v>
      </c>
      <c r="D237" s="8" t="s">
        <v>2416</v>
      </c>
      <c r="E237" s="8" t="s">
        <v>1998</v>
      </c>
      <c r="F237" s="183" t="s">
        <v>2222</v>
      </c>
      <c r="G237" s="183"/>
      <c r="H237" s="183" t="s">
        <v>2424</v>
      </c>
      <c r="I237" s="183" t="s">
        <v>579</v>
      </c>
      <c r="J237" s="183"/>
      <c r="K237" s="184">
        <v>46041</v>
      </c>
      <c r="L237" s="183">
        <v>42</v>
      </c>
      <c r="M237" s="185" t="str">
        <f>IF(phc_8[[#This Row],[Register No.]]="","",C237&amp;"-"&amp;D237&amp;"-"&amp;"BHA-PHC-"&amp;phc_8[[#This Row],[Register No.]])</f>
        <v>Shining Star-Mobile Clinic-BHA-PHC-42</v>
      </c>
      <c r="N237" s="9" t="s">
        <v>401</v>
      </c>
      <c r="O237" s="183" t="s">
        <v>3496</v>
      </c>
      <c r="P237" s="183">
        <v>56</v>
      </c>
      <c r="Q237" s="183"/>
      <c r="R237" s="183"/>
      <c r="S237" s="186" t="str">
        <f t="shared" si="9"/>
        <v>50 yrs +</v>
      </c>
      <c r="T237" s="183" t="s">
        <v>603</v>
      </c>
      <c r="U237" s="183" t="s">
        <v>3398</v>
      </c>
      <c r="V237" s="183" t="s">
        <v>2147</v>
      </c>
      <c r="W237" s="183" t="s">
        <v>294</v>
      </c>
      <c r="X237" s="183" t="s">
        <v>294</v>
      </c>
      <c r="Y237" s="186" t="str">
        <f>INDEX(info!$Y$2:$Y$192,MATCH(phc_8[[#This Row],[Sub_Category]],info!$X$2:$X$192,0))</f>
        <v>Other (non-communicable)</v>
      </c>
      <c r="Z237" s="186" t="str">
        <f t="array" ref="Z237">INDEX(info!$AA$2:$AA$192,MATCH(PHC!$X237&amp;PHC!$Y237,info!$X$2:$X$192&amp;info!$Y$2:$Y$192,0))</f>
        <v>Other</v>
      </c>
      <c r="AA237" s="183" t="s">
        <v>3503</v>
      </c>
      <c r="AB237" s="9" t="s">
        <v>654</v>
      </c>
      <c r="AC237" s="9" t="s">
        <v>654</v>
      </c>
      <c r="AD237" s="9" t="s">
        <v>654</v>
      </c>
      <c r="AE237" s="9" t="s">
        <v>654</v>
      </c>
      <c r="AF237" s="184"/>
      <c r="AG237" s="183"/>
      <c r="AH237" s="183"/>
      <c r="AI237" s="183"/>
      <c r="AJ237" s="183"/>
      <c r="AK237" s="9" t="s">
        <v>654</v>
      </c>
      <c r="AL237" s="183"/>
      <c r="AM237" s="186" t="str">
        <f>IF(AF237="","","Q"&amp;INT((MONTH(AF237)-1)/3)+1&amp;YEAR(AF237)&amp;#REF!&amp;T237)</f>
        <v/>
      </c>
      <c r="AN237" s="186" t="e">
        <f>IF(K237="","","Q"&amp;INT((MONTH(K237)-1)/3)+1&amp;YEAR(K237)&amp;#REF!)</f>
        <v>#REF!</v>
      </c>
    </row>
    <row r="238" spans="1:40" ht="20.100000000000001" customHeight="1" x14ac:dyDescent="0.25">
      <c r="A238" s="8">
        <v>236</v>
      </c>
      <c r="B238" s="8" t="s">
        <v>399</v>
      </c>
      <c r="C238" s="8" t="s">
        <v>1997</v>
      </c>
      <c r="D238" s="8" t="s">
        <v>2416</v>
      </c>
      <c r="E238" s="8" t="s">
        <v>1998</v>
      </c>
      <c r="F238" s="183" t="s">
        <v>2222</v>
      </c>
      <c r="G238" s="183"/>
      <c r="H238" s="183" t="s">
        <v>2424</v>
      </c>
      <c r="I238" s="183" t="s">
        <v>579</v>
      </c>
      <c r="J238" s="183"/>
      <c r="K238" s="184">
        <v>46041</v>
      </c>
      <c r="L238" s="183">
        <v>43</v>
      </c>
      <c r="M238" s="185" t="str">
        <f>IF(phc_8[[#This Row],[Register No.]]="","",C238&amp;"-"&amp;D238&amp;"-"&amp;"BHA-PHC-"&amp;phc_8[[#This Row],[Register No.]])</f>
        <v>Shining Star-Mobile Clinic-BHA-PHC-43</v>
      </c>
      <c r="N238" s="9" t="s">
        <v>401</v>
      </c>
      <c r="O238" s="183" t="s">
        <v>3497</v>
      </c>
      <c r="P238" s="183">
        <v>54</v>
      </c>
      <c r="Q238" s="183"/>
      <c r="R238" s="183"/>
      <c r="S238" s="186" t="str">
        <f t="shared" si="9"/>
        <v>50 yrs +</v>
      </c>
      <c r="T238" s="183" t="s">
        <v>603</v>
      </c>
      <c r="U238" s="183" t="s">
        <v>3398</v>
      </c>
      <c r="V238" s="183" t="s">
        <v>3498</v>
      </c>
      <c r="W238" s="183" t="s">
        <v>242</v>
      </c>
      <c r="X238" s="183" t="s">
        <v>242</v>
      </c>
      <c r="Y238" s="186" t="str">
        <f>INDEX(info!$Y$2:$Y$192,MATCH(phc_8[[#This Row],[Sub_Category]],info!$X$2:$X$192,0))</f>
        <v>Accident/minor sugical and injuries</v>
      </c>
      <c r="Z238" s="186" t="str">
        <f t="array" ref="Z238">INDEX(info!$AA$2:$AA$192,MATCH(PHC!$X238&amp;PHC!$Y238,info!$X$2:$X$192&amp;info!$Y$2:$Y$192,0))</f>
        <v>Injury related</v>
      </c>
      <c r="AA238" s="183" t="s">
        <v>3504</v>
      </c>
      <c r="AB238" s="9" t="s">
        <v>654</v>
      </c>
      <c r="AC238" s="9" t="s">
        <v>654</v>
      </c>
      <c r="AD238" s="9" t="s">
        <v>654</v>
      </c>
      <c r="AE238" s="9" t="s">
        <v>654</v>
      </c>
      <c r="AF238" s="184"/>
      <c r="AG238" s="183"/>
      <c r="AH238" s="183"/>
      <c r="AI238" s="183"/>
      <c r="AJ238" s="183"/>
      <c r="AK238" s="9" t="s">
        <v>654</v>
      </c>
      <c r="AL238" s="183"/>
      <c r="AM238" s="186" t="str">
        <f>IF(AF238="","","Q"&amp;INT((MONTH(AF238)-1)/3)+1&amp;YEAR(AF238)&amp;#REF!&amp;T238)</f>
        <v/>
      </c>
      <c r="AN238" s="186" t="e">
        <f>IF(K238="","","Q"&amp;INT((MONTH(K238)-1)/3)+1&amp;YEAR(K238)&amp;#REF!)</f>
        <v>#REF!</v>
      </c>
    </row>
    <row r="239" spans="1:40" ht="20.100000000000001" customHeight="1" x14ac:dyDescent="0.25">
      <c r="A239" s="8">
        <v>237</v>
      </c>
      <c r="B239" s="8" t="s">
        <v>399</v>
      </c>
      <c r="C239" s="8" t="s">
        <v>1997</v>
      </c>
      <c r="D239" s="8" t="s">
        <v>2416</v>
      </c>
      <c r="E239" s="8" t="s">
        <v>1998</v>
      </c>
      <c r="F239" s="183" t="s">
        <v>2222</v>
      </c>
      <c r="G239" s="183"/>
      <c r="H239" s="183" t="s">
        <v>2424</v>
      </c>
      <c r="I239" s="183" t="s">
        <v>579</v>
      </c>
      <c r="J239" s="183"/>
      <c r="K239" s="184">
        <v>46041</v>
      </c>
      <c r="L239" s="183">
        <v>44</v>
      </c>
      <c r="M239" s="185" t="str">
        <f>IF(phc_8[[#This Row],[Register No.]]="","",C239&amp;"-"&amp;D239&amp;"-"&amp;"BHA-PHC-"&amp;phc_8[[#This Row],[Register No.]])</f>
        <v>Shining Star-Mobile Clinic-BHA-PHC-44</v>
      </c>
      <c r="N239" s="9" t="s">
        <v>401</v>
      </c>
      <c r="O239" s="183" t="s">
        <v>3499</v>
      </c>
      <c r="P239" s="183">
        <v>63</v>
      </c>
      <c r="Q239" s="183"/>
      <c r="R239" s="183"/>
      <c r="S239" s="186" t="str">
        <f t="shared" si="9"/>
        <v>50 yrs +</v>
      </c>
      <c r="T239" s="183" t="s">
        <v>603</v>
      </c>
      <c r="U239" s="183" t="s">
        <v>3398</v>
      </c>
      <c r="V239" s="183" t="s">
        <v>2041</v>
      </c>
      <c r="W239" s="183" t="s">
        <v>178</v>
      </c>
      <c r="X239" s="183" t="s">
        <v>178</v>
      </c>
      <c r="Y239" s="186" t="str">
        <f>INDEX(info!$Y$2:$Y$192,MATCH(phc_8[[#This Row],[Sub_Category]],info!$X$2:$X$192,0))</f>
        <v>Chronic medical disease</v>
      </c>
      <c r="Z239" s="186" t="str">
        <f t="array" ref="Z239">INDEX(info!$AA$2:$AA$192,MATCH(PHC!$X239&amp;PHC!$Y239,info!$X$2:$X$192&amp;info!$Y$2:$Y$192,0))</f>
        <v>Non-communicable disease</v>
      </c>
      <c r="AA239" s="183" t="s">
        <v>3505</v>
      </c>
      <c r="AB239" s="9" t="s">
        <v>654</v>
      </c>
      <c r="AC239" s="9" t="s">
        <v>654</v>
      </c>
      <c r="AD239" s="9" t="s">
        <v>654</v>
      </c>
      <c r="AE239" s="9" t="s">
        <v>654</v>
      </c>
      <c r="AF239" s="184"/>
      <c r="AG239" s="183"/>
      <c r="AH239" s="183"/>
      <c r="AI239" s="183"/>
      <c r="AJ239" s="183"/>
      <c r="AK239" s="9" t="s">
        <v>654</v>
      </c>
      <c r="AL239" s="183"/>
      <c r="AM239" s="186" t="str">
        <f>IF(AF239="","","Q"&amp;INT((MONTH(AF239)-1)/3)+1&amp;YEAR(AF239)&amp;#REF!&amp;T239)</f>
        <v/>
      </c>
      <c r="AN239" s="186" t="e">
        <f>IF(K239="","","Q"&amp;INT((MONTH(K239)-1)/3)+1&amp;YEAR(K239)&amp;#REF!)</f>
        <v>#REF!</v>
      </c>
    </row>
    <row r="240" spans="1:40" ht="20.100000000000001" customHeight="1" x14ac:dyDescent="0.25">
      <c r="A240" s="8">
        <v>238</v>
      </c>
      <c r="B240" s="8" t="s">
        <v>399</v>
      </c>
      <c r="C240" s="8" t="s">
        <v>1997</v>
      </c>
      <c r="D240" s="8" t="s">
        <v>2416</v>
      </c>
      <c r="E240" s="8" t="s">
        <v>1998</v>
      </c>
      <c r="F240" s="183" t="s">
        <v>2222</v>
      </c>
      <c r="G240" s="183"/>
      <c r="H240" s="183" t="s">
        <v>2424</v>
      </c>
      <c r="I240" s="183" t="s">
        <v>579</v>
      </c>
      <c r="J240" s="183"/>
      <c r="K240" s="184">
        <v>46041</v>
      </c>
      <c r="L240" s="183">
        <v>45</v>
      </c>
      <c r="M240" s="185" t="str">
        <f>IF(phc_8[[#This Row],[Register No.]]="","",C240&amp;"-"&amp;D240&amp;"-"&amp;"BHA-PHC-"&amp;phc_8[[#This Row],[Register No.]])</f>
        <v>Shining Star-Mobile Clinic-BHA-PHC-45</v>
      </c>
      <c r="N240" s="9" t="s">
        <v>401</v>
      </c>
      <c r="O240" s="183" t="s">
        <v>3500</v>
      </c>
      <c r="P240" s="183">
        <v>61</v>
      </c>
      <c r="Q240" s="183"/>
      <c r="R240" s="183"/>
      <c r="S240" s="186" t="str">
        <f t="shared" si="9"/>
        <v>50 yrs +</v>
      </c>
      <c r="T240" s="183" t="s">
        <v>603</v>
      </c>
      <c r="U240" s="183" t="s">
        <v>3398</v>
      </c>
      <c r="V240" s="183" t="s">
        <v>3501</v>
      </c>
      <c r="W240" s="183" t="s">
        <v>3182</v>
      </c>
      <c r="X240" s="183" t="s">
        <v>242</v>
      </c>
      <c r="Y240" s="186" t="str">
        <f>INDEX(info!$Y$2:$Y$192,MATCH(phc_8[[#This Row],[Sub_Category]],info!$X$2:$X$192,0))</f>
        <v>Accident/minor sugical and injuries</v>
      </c>
      <c r="Z240" s="186" t="str">
        <f t="array" ref="Z240">INDEX(info!$AA$2:$AA$192,MATCH(PHC!$X240&amp;PHC!$Y240,info!$X$2:$X$192&amp;info!$Y$2:$Y$192,0))</f>
        <v>Injury related</v>
      </c>
      <c r="AA240" s="183" t="s">
        <v>3506</v>
      </c>
      <c r="AB240" s="9" t="s">
        <v>654</v>
      </c>
      <c r="AC240" s="9" t="s">
        <v>654</v>
      </c>
      <c r="AD240" s="9" t="s">
        <v>654</v>
      </c>
      <c r="AE240" s="9" t="s">
        <v>654</v>
      </c>
      <c r="AF240" s="184"/>
      <c r="AG240" s="183"/>
      <c r="AH240" s="183"/>
      <c r="AI240" s="183"/>
      <c r="AJ240" s="183"/>
      <c r="AK240" s="9" t="s">
        <v>654</v>
      </c>
      <c r="AL240" s="183"/>
      <c r="AM240" s="186" t="str">
        <f>IF(AF240="","","Q"&amp;INT((MONTH(AF240)-1)/3)+1&amp;YEAR(AF240)&amp;#REF!&amp;T240)</f>
        <v/>
      </c>
      <c r="AN240" s="186" t="e">
        <f>IF(K240="","","Q"&amp;INT((MONTH(K240)-1)/3)+1&amp;YEAR(K240)&amp;#REF!)</f>
        <v>#REF!</v>
      </c>
    </row>
    <row r="241" spans="1:40" ht="20.100000000000001" customHeight="1" x14ac:dyDescent="0.25">
      <c r="A241" s="8">
        <v>239</v>
      </c>
      <c r="B241" s="8" t="s">
        <v>399</v>
      </c>
      <c r="C241" s="8" t="s">
        <v>1997</v>
      </c>
      <c r="D241" s="8" t="s">
        <v>2416</v>
      </c>
      <c r="E241" s="8" t="s">
        <v>1998</v>
      </c>
      <c r="F241" s="183" t="s">
        <v>2222</v>
      </c>
      <c r="G241" s="183"/>
      <c r="H241" s="183" t="s">
        <v>2424</v>
      </c>
      <c r="I241" s="183" t="s">
        <v>579</v>
      </c>
      <c r="J241" s="183"/>
      <c r="K241" s="184">
        <v>46041</v>
      </c>
      <c r="L241" s="183">
        <v>46</v>
      </c>
      <c r="M241" s="185" t="str">
        <f>IF(phc_8[[#This Row],[Register No.]]="","",C241&amp;"-"&amp;D241&amp;"-"&amp;"BHA-PHC-"&amp;phc_8[[#This Row],[Register No.]])</f>
        <v>Shining Star-Mobile Clinic-BHA-PHC-46</v>
      </c>
      <c r="N241" s="9" t="s">
        <v>401</v>
      </c>
      <c r="O241" s="183" t="s">
        <v>3507</v>
      </c>
      <c r="P241" s="183">
        <v>61</v>
      </c>
      <c r="Q241" s="183"/>
      <c r="R241" s="183"/>
      <c r="S241" s="186" t="str">
        <f t="shared" si="9"/>
        <v>50 yrs +</v>
      </c>
      <c r="T241" s="183" t="s">
        <v>603</v>
      </c>
      <c r="U241" s="183" t="s">
        <v>3398</v>
      </c>
      <c r="V241" s="278" t="s">
        <v>3331</v>
      </c>
      <c r="W241" s="183" t="s">
        <v>3513</v>
      </c>
      <c r="X241" s="183" t="s">
        <v>2014</v>
      </c>
      <c r="Y241" s="186" t="str">
        <f>INDEX(info!$Y$2:$Y$192,MATCH(phc_8[[#This Row],[Sub_Category]],info!$X$2:$X$192,0))</f>
        <v>Other (non-communicable)</v>
      </c>
      <c r="Z241" s="186" t="str">
        <f t="array" ref="Z241">INDEX(info!$AA$2:$AA$192,MATCH(PHC!$X241&amp;PHC!$Y241,info!$X$2:$X$192&amp;info!$Y$2:$Y$192,0))</f>
        <v>Other</v>
      </c>
      <c r="AA241" s="183" t="s">
        <v>3514</v>
      </c>
      <c r="AB241" s="9" t="s">
        <v>654</v>
      </c>
      <c r="AC241" s="9" t="s">
        <v>654</v>
      </c>
      <c r="AD241" s="9" t="s">
        <v>654</v>
      </c>
      <c r="AE241" s="9" t="s">
        <v>654</v>
      </c>
      <c r="AF241" s="184"/>
      <c r="AG241" s="183"/>
      <c r="AH241" s="183"/>
      <c r="AI241" s="183"/>
      <c r="AJ241" s="183"/>
      <c r="AK241" s="9" t="s">
        <v>654</v>
      </c>
      <c r="AL241" s="183"/>
      <c r="AM241" s="186" t="str">
        <f>IF(AF241="","","Q"&amp;INT((MONTH(AF241)-1)/3)+1&amp;YEAR(AF241)&amp;#REF!&amp;T241)</f>
        <v/>
      </c>
      <c r="AN241" s="186" t="e">
        <f>IF(K241="","","Q"&amp;INT((MONTH(K241)-1)/3)+1&amp;YEAR(K241)&amp;#REF!)</f>
        <v>#REF!</v>
      </c>
    </row>
    <row r="242" spans="1:40" ht="20.100000000000001" customHeight="1" x14ac:dyDescent="0.25">
      <c r="A242" s="8">
        <v>240</v>
      </c>
      <c r="B242" s="8" t="s">
        <v>399</v>
      </c>
      <c r="C242" s="8" t="s">
        <v>1997</v>
      </c>
      <c r="D242" s="8" t="s">
        <v>2416</v>
      </c>
      <c r="E242" s="8" t="s">
        <v>1998</v>
      </c>
      <c r="F242" s="183" t="s">
        <v>2222</v>
      </c>
      <c r="G242" s="183"/>
      <c r="H242" s="183" t="s">
        <v>2424</v>
      </c>
      <c r="I242" s="183" t="s">
        <v>579</v>
      </c>
      <c r="J242" s="183"/>
      <c r="K242" s="184">
        <v>46041</v>
      </c>
      <c r="L242" s="183">
        <v>47</v>
      </c>
      <c r="M242" s="185" t="str">
        <f>IF(phc_8[[#This Row],[Register No.]]="","",C242&amp;"-"&amp;D242&amp;"-"&amp;"BHA-PHC-"&amp;phc_8[[#This Row],[Register No.]])</f>
        <v>Shining Star-Mobile Clinic-BHA-PHC-47</v>
      </c>
      <c r="N242" s="9" t="s">
        <v>401</v>
      </c>
      <c r="O242" s="183" t="s">
        <v>3508</v>
      </c>
      <c r="P242" s="183">
        <v>65</v>
      </c>
      <c r="Q242" s="183"/>
      <c r="R242" s="183"/>
      <c r="S242" s="186" t="str">
        <f t="shared" si="9"/>
        <v>50 yrs +</v>
      </c>
      <c r="T242" s="183" t="s">
        <v>402</v>
      </c>
      <c r="U242" s="183" t="s">
        <v>3398</v>
      </c>
      <c r="V242" s="183" t="s">
        <v>3344</v>
      </c>
      <c r="W242" s="183" t="s">
        <v>2003</v>
      </c>
      <c r="X242" s="183" t="s">
        <v>181</v>
      </c>
      <c r="Y242" s="186" t="str">
        <f>INDEX(info!$Y$2:$Y$192,MATCH(phc_8[[#This Row],[Sub_Category]],info!$X$2:$X$192,0))</f>
        <v>Chronic medical disease</v>
      </c>
      <c r="Z242" s="186" t="str">
        <f t="array" ref="Z242">INDEX(info!$AA$2:$AA$192,MATCH(PHC!$X242&amp;PHC!$Y242,info!$X$2:$X$192&amp;info!$Y$2:$Y$192,0))</f>
        <v>Non-communicable disease</v>
      </c>
      <c r="AA242" s="183" t="s">
        <v>3515</v>
      </c>
      <c r="AB242" s="9" t="s">
        <v>654</v>
      </c>
      <c r="AC242" s="9" t="s">
        <v>654</v>
      </c>
      <c r="AD242" s="9" t="s">
        <v>654</v>
      </c>
      <c r="AE242" s="9" t="s">
        <v>654</v>
      </c>
      <c r="AF242" s="184"/>
      <c r="AG242" s="183"/>
      <c r="AH242" s="183"/>
      <c r="AI242" s="183"/>
      <c r="AJ242" s="183"/>
      <c r="AK242" s="9" t="s">
        <v>654</v>
      </c>
      <c r="AL242" s="183"/>
      <c r="AM242" s="186" t="str">
        <f>IF(AF242="","","Q"&amp;INT((MONTH(AF242)-1)/3)+1&amp;YEAR(AF242)&amp;#REF!&amp;T242)</f>
        <v/>
      </c>
      <c r="AN242" s="186" t="e">
        <f>IF(K242="","","Q"&amp;INT((MONTH(K242)-1)/3)+1&amp;YEAR(K242)&amp;#REF!)</f>
        <v>#REF!</v>
      </c>
    </row>
    <row r="243" spans="1:40" ht="20.100000000000001" customHeight="1" x14ac:dyDescent="0.25">
      <c r="A243" s="8">
        <v>241</v>
      </c>
      <c r="B243" s="8" t="s">
        <v>399</v>
      </c>
      <c r="C243" s="8" t="s">
        <v>1997</v>
      </c>
      <c r="D243" s="8" t="s">
        <v>2416</v>
      </c>
      <c r="E243" s="8" t="s">
        <v>1998</v>
      </c>
      <c r="F243" s="183" t="s">
        <v>2222</v>
      </c>
      <c r="G243" s="183"/>
      <c r="H243" s="183" t="s">
        <v>2424</v>
      </c>
      <c r="I243" s="183" t="s">
        <v>579</v>
      </c>
      <c r="J243" s="183"/>
      <c r="K243" s="184">
        <v>46041</v>
      </c>
      <c r="L243" s="183">
        <v>48</v>
      </c>
      <c r="M243" s="185" t="str">
        <f>IF(phc_8[[#This Row],[Register No.]]="","",C243&amp;"-"&amp;D243&amp;"-"&amp;"BHA-PHC-"&amp;phc_8[[#This Row],[Register No.]])</f>
        <v>Shining Star-Mobile Clinic-BHA-PHC-48</v>
      </c>
      <c r="N243" s="9" t="s">
        <v>401</v>
      </c>
      <c r="O243" s="183" t="s">
        <v>3509</v>
      </c>
      <c r="P243" s="183">
        <v>72</v>
      </c>
      <c r="Q243" s="183"/>
      <c r="R243" s="183"/>
      <c r="S243" s="186" t="str">
        <f t="shared" si="9"/>
        <v>50 yrs +</v>
      </c>
      <c r="T243" s="183" t="s">
        <v>402</v>
      </c>
      <c r="U243" s="183" t="s">
        <v>3398</v>
      </c>
      <c r="V243" s="183" t="s">
        <v>3510</v>
      </c>
      <c r="W243" s="183" t="s">
        <v>294</v>
      </c>
      <c r="X243" s="183" t="s">
        <v>294</v>
      </c>
      <c r="Y243" s="186" t="str">
        <f>INDEX(info!$Y$2:$Y$192,MATCH(phc_8[[#This Row],[Sub_Category]],info!$X$2:$X$192,0))</f>
        <v>Other (non-communicable)</v>
      </c>
      <c r="Z243" s="186" t="str">
        <f t="array" ref="Z243">INDEX(info!$AA$2:$AA$192,MATCH(PHC!$X243&amp;PHC!$Y243,info!$X$2:$X$192&amp;info!$Y$2:$Y$192,0))</f>
        <v>Other</v>
      </c>
      <c r="AA243" s="183" t="s">
        <v>3516</v>
      </c>
      <c r="AB243" s="9" t="s">
        <v>654</v>
      </c>
      <c r="AC243" s="9" t="s">
        <v>654</v>
      </c>
      <c r="AD243" s="9" t="s">
        <v>654</v>
      </c>
      <c r="AE243" s="9" t="s">
        <v>654</v>
      </c>
      <c r="AF243" s="184"/>
      <c r="AG243" s="183"/>
      <c r="AH243" s="183"/>
      <c r="AI243" s="183"/>
      <c r="AJ243" s="183"/>
      <c r="AK243" s="9" t="s">
        <v>654</v>
      </c>
      <c r="AL243" s="183"/>
      <c r="AM243" s="186" t="str">
        <f>IF(AF243="","","Q"&amp;INT((MONTH(AF243)-1)/3)+1&amp;YEAR(AF243)&amp;#REF!&amp;T243)</f>
        <v/>
      </c>
      <c r="AN243" s="186" t="e">
        <f>IF(K243="","","Q"&amp;INT((MONTH(K243)-1)/3)+1&amp;YEAR(K243)&amp;#REF!)</f>
        <v>#REF!</v>
      </c>
    </row>
    <row r="244" spans="1:40" ht="20.100000000000001" customHeight="1" x14ac:dyDescent="0.25">
      <c r="A244" s="8">
        <v>242</v>
      </c>
      <c r="B244" s="8" t="s">
        <v>399</v>
      </c>
      <c r="C244" s="8" t="s">
        <v>1997</v>
      </c>
      <c r="D244" s="8" t="s">
        <v>2416</v>
      </c>
      <c r="E244" s="8" t="s">
        <v>1998</v>
      </c>
      <c r="F244" s="183" t="s">
        <v>2222</v>
      </c>
      <c r="G244" s="183"/>
      <c r="H244" s="183" t="s">
        <v>2424</v>
      </c>
      <c r="I244" s="183" t="s">
        <v>579</v>
      </c>
      <c r="J244" s="183"/>
      <c r="K244" s="184">
        <v>46041</v>
      </c>
      <c r="L244" s="183">
        <v>49</v>
      </c>
      <c r="M244" s="185" t="str">
        <f>IF(phc_8[[#This Row],[Register No.]]="","",C244&amp;"-"&amp;D244&amp;"-"&amp;"BHA-PHC-"&amp;phc_8[[#This Row],[Register No.]])</f>
        <v>Shining Star-Mobile Clinic-BHA-PHC-49</v>
      </c>
      <c r="N244" s="9" t="s">
        <v>401</v>
      </c>
      <c r="O244" s="183" t="s">
        <v>3511</v>
      </c>
      <c r="P244" s="183">
        <v>74</v>
      </c>
      <c r="Q244" s="183"/>
      <c r="R244" s="183"/>
      <c r="S244" s="186" t="str">
        <f t="shared" si="9"/>
        <v>50 yrs +</v>
      </c>
      <c r="T244" s="183" t="s">
        <v>603</v>
      </c>
      <c r="U244" s="183" t="s">
        <v>3398</v>
      </c>
      <c r="V244" s="183" t="s">
        <v>3289</v>
      </c>
      <c r="W244" s="183" t="s">
        <v>3182</v>
      </c>
      <c r="X244" s="183" t="s">
        <v>242</v>
      </c>
      <c r="Y244" s="186" t="str">
        <f>INDEX(info!$Y$2:$Y$192,MATCH(phc_8[[#This Row],[Sub_Category]],info!$X$2:$X$192,0))</f>
        <v>Accident/minor sugical and injuries</v>
      </c>
      <c r="Z244" s="186" t="str">
        <f t="array" ref="Z244">INDEX(info!$AA$2:$AA$192,MATCH(PHC!$X244&amp;PHC!$Y244,info!$X$2:$X$192&amp;info!$Y$2:$Y$192,0))</f>
        <v>Injury related</v>
      </c>
      <c r="AA244" s="183" t="s">
        <v>3517</v>
      </c>
      <c r="AB244" s="9" t="s">
        <v>654</v>
      </c>
      <c r="AC244" s="9" t="s">
        <v>654</v>
      </c>
      <c r="AD244" s="9" t="s">
        <v>654</v>
      </c>
      <c r="AE244" s="9" t="s">
        <v>654</v>
      </c>
      <c r="AF244" s="184"/>
      <c r="AG244" s="183"/>
      <c r="AH244" s="183"/>
      <c r="AI244" s="183"/>
      <c r="AJ244" s="183"/>
      <c r="AK244" s="9" t="s">
        <v>654</v>
      </c>
      <c r="AL244" s="183"/>
      <c r="AM244" s="186" t="str">
        <f>IF(AF244="","","Q"&amp;INT((MONTH(AF244)-1)/3)+1&amp;YEAR(AF244)&amp;#REF!&amp;T244)</f>
        <v/>
      </c>
      <c r="AN244" s="186" t="e">
        <f>IF(K244="","","Q"&amp;INT((MONTH(K244)-1)/3)+1&amp;YEAR(K244)&amp;#REF!)</f>
        <v>#REF!</v>
      </c>
    </row>
    <row r="245" spans="1:40" ht="20.100000000000001" customHeight="1" x14ac:dyDescent="0.25">
      <c r="A245" s="8">
        <v>243</v>
      </c>
      <c r="B245" s="8" t="s">
        <v>399</v>
      </c>
      <c r="C245" s="8" t="s">
        <v>1997</v>
      </c>
      <c r="D245" s="8" t="s">
        <v>2416</v>
      </c>
      <c r="E245" s="8" t="s">
        <v>1998</v>
      </c>
      <c r="F245" s="183" t="s">
        <v>2222</v>
      </c>
      <c r="G245" s="183"/>
      <c r="H245" s="183" t="s">
        <v>2424</v>
      </c>
      <c r="I245" s="183" t="s">
        <v>579</v>
      </c>
      <c r="J245" s="183"/>
      <c r="K245" s="184">
        <v>46041</v>
      </c>
      <c r="L245" s="183">
        <v>50</v>
      </c>
      <c r="M245" s="185" t="str">
        <f>IF(phc_8[[#This Row],[Register No.]]="","",C245&amp;"-"&amp;D245&amp;"-"&amp;"BHA-PHC-"&amp;phc_8[[#This Row],[Register No.]])</f>
        <v>Shining Star-Mobile Clinic-BHA-PHC-50</v>
      </c>
      <c r="N245" s="9" t="s">
        <v>401</v>
      </c>
      <c r="O245" s="183" t="s">
        <v>3512</v>
      </c>
      <c r="P245" s="183">
        <v>18</v>
      </c>
      <c r="Q245" s="183"/>
      <c r="R245" s="183"/>
      <c r="S245" s="186" t="str">
        <f t="shared" ref="S245:S276" si="10">IF(AND(ISBLANK(P245),ISBLANK(Q245),ISBLANK(R245))," ",
IF(OR(P245&lt;5,AND(P245=" ",Q245&lt;&gt;" ",R245&lt;&gt;" ")),"&lt;5 yrs",
IF(AND(P245&gt;=5,P245&lt;=14),"5 - 14 yrs",
IF(AND(P245&gt;=15,P245&lt;=18),"15 - 18 yrs",
IF(AND(P245&gt;=19,P245&lt;=49),"19 - 49 yrs","50 yrs +")))))</f>
        <v>15 - 18 yrs</v>
      </c>
      <c r="T245" s="183" t="s">
        <v>603</v>
      </c>
      <c r="U245" s="183" t="s">
        <v>3398</v>
      </c>
      <c r="V245" s="183" t="s">
        <v>2212</v>
      </c>
      <c r="W245" s="183" t="s">
        <v>112</v>
      </c>
      <c r="X245" s="183" t="s">
        <v>112</v>
      </c>
      <c r="Y245" s="186" t="str">
        <f>INDEX(info!$Y$2:$Y$192,MATCH(phc_8[[#This Row],[Sub_Category]],info!$X$2:$X$192,0))</f>
        <v>Asthma</v>
      </c>
      <c r="Z245" s="186" t="str">
        <f t="array" ref="Z245">INDEX(info!$AA$2:$AA$192,MATCH(PHC!$X245&amp;PHC!$Y245,info!$X$2:$X$192&amp;info!$Y$2:$Y$192,0))</f>
        <v>Non-communicable disease</v>
      </c>
      <c r="AA245" s="183" t="s">
        <v>3518</v>
      </c>
      <c r="AB245" s="9" t="s">
        <v>654</v>
      </c>
      <c r="AC245" s="9" t="s">
        <v>654</v>
      </c>
      <c r="AD245" s="9" t="s">
        <v>654</v>
      </c>
      <c r="AE245" s="9" t="s">
        <v>654</v>
      </c>
      <c r="AF245" s="184"/>
      <c r="AG245" s="183"/>
      <c r="AH245" s="183"/>
      <c r="AI245" s="183"/>
      <c r="AJ245" s="183"/>
      <c r="AK245" s="9" t="s">
        <v>654</v>
      </c>
      <c r="AL245" s="183"/>
      <c r="AM245" s="186" t="str">
        <f>IF(AF245="","","Q"&amp;INT((MONTH(AF245)-1)/3)+1&amp;YEAR(AF245)&amp;#REF!&amp;T245)</f>
        <v/>
      </c>
      <c r="AN245" s="186" t="e">
        <f>IF(K245="","","Q"&amp;INT((MONTH(K245)-1)/3)+1&amp;YEAR(K245)&amp;#REF!)</f>
        <v>#REF!</v>
      </c>
    </row>
    <row r="246" spans="1:40" ht="20.100000000000001" customHeight="1" x14ac:dyDescent="0.25">
      <c r="A246" s="8">
        <v>244</v>
      </c>
      <c r="B246" s="8" t="s">
        <v>399</v>
      </c>
      <c r="C246" s="8" t="s">
        <v>1997</v>
      </c>
      <c r="D246" s="8" t="s">
        <v>2416</v>
      </c>
      <c r="E246" s="8" t="s">
        <v>1998</v>
      </c>
      <c r="F246" s="183" t="s">
        <v>2222</v>
      </c>
      <c r="G246" s="183"/>
      <c r="H246" s="183" t="s">
        <v>2424</v>
      </c>
      <c r="I246" s="183" t="s">
        <v>579</v>
      </c>
      <c r="J246" s="183"/>
      <c r="K246" s="184">
        <v>46041</v>
      </c>
      <c r="L246" s="183">
        <v>51</v>
      </c>
      <c r="M246" s="185" t="str">
        <f>IF(phc_8[[#This Row],[Register No.]]="","",C246&amp;"-"&amp;D246&amp;"-"&amp;"BHA-PHC-"&amp;phc_8[[#This Row],[Register No.]])</f>
        <v>Shining Star-Mobile Clinic-BHA-PHC-51</v>
      </c>
      <c r="N246" s="9" t="s">
        <v>401</v>
      </c>
      <c r="O246" s="183" t="s">
        <v>2386</v>
      </c>
      <c r="P246" s="183">
        <v>2</v>
      </c>
      <c r="Q246" s="183">
        <v>8</v>
      </c>
      <c r="R246" s="183"/>
      <c r="S246" s="186" t="str">
        <f t="shared" si="10"/>
        <v>&lt;5 yrs</v>
      </c>
      <c r="T246" s="183" t="s">
        <v>603</v>
      </c>
      <c r="U246" s="183" t="s">
        <v>3398</v>
      </c>
      <c r="V246" s="183" t="s">
        <v>2212</v>
      </c>
      <c r="W246" s="183" t="s">
        <v>294</v>
      </c>
      <c r="X246" s="183" t="s">
        <v>294</v>
      </c>
      <c r="Y246" s="186" t="str">
        <f>INDEX(info!$Y$2:$Y$192,MATCH(phc_8[[#This Row],[Sub_Category]],info!$X$2:$X$192,0))</f>
        <v>Other (non-communicable)</v>
      </c>
      <c r="Z246" s="186" t="str">
        <f t="array" ref="Z246">INDEX(info!$AA$2:$AA$192,MATCH(PHC!$X246&amp;PHC!$Y246,info!$X$2:$X$192&amp;info!$Y$2:$Y$192,0))</f>
        <v>Other</v>
      </c>
      <c r="AA246" s="183" t="s">
        <v>2176</v>
      </c>
      <c r="AB246" s="9" t="s">
        <v>654</v>
      </c>
      <c r="AC246" s="9" t="s">
        <v>654</v>
      </c>
      <c r="AD246" s="9" t="s">
        <v>654</v>
      </c>
      <c r="AE246" s="9" t="s">
        <v>654</v>
      </c>
      <c r="AF246" s="184"/>
      <c r="AG246" s="183"/>
      <c r="AH246" s="183"/>
      <c r="AI246" s="183"/>
      <c r="AJ246" s="183"/>
      <c r="AK246" s="9" t="s">
        <v>654</v>
      </c>
      <c r="AL246" s="183"/>
      <c r="AM246" s="186" t="str">
        <f>IF(AF246="","","Q"&amp;INT((MONTH(AF246)-1)/3)+1&amp;YEAR(AF246)&amp;#REF!&amp;T246)</f>
        <v/>
      </c>
      <c r="AN246" s="186" t="e">
        <f>IF(K246="","","Q"&amp;INT((MONTH(K246)-1)/3)+1&amp;YEAR(K246)&amp;#REF!)</f>
        <v>#REF!</v>
      </c>
    </row>
    <row r="247" spans="1:40" ht="20.100000000000001" customHeight="1" x14ac:dyDescent="0.25">
      <c r="A247" s="8">
        <v>245</v>
      </c>
      <c r="B247" s="8" t="s">
        <v>399</v>
      </c>
      <c r="C247" s="8" t="s">
        <v>1997</v>
      </c>
      <c r="D247" s="8" t="s">
        <v>2416</v>
      </c>
      <c r="E247" s="8" t="s">
        <v>1998</v>
      </c>
      <c r="F247" s="183" t="s">
        <v>2222</v>
      </c>
      <c r="G247" s="183"/>
      <c r="H247" s="183" t="s">
        <v>2424</v>
      </c>
      <c r="I247" s="183" t="s">
        <v>579</v>
      </c>
      <c r="J247" s="183"/>
      <c r="K247" s="184">
        <v>46041</v>
      </c>
      <c r="L247" s="183">
        <v>52</v>
      </c>
      <c r="M247" s="185" t="str">
        <f>IF(phc_8[[#This Row],[Register No.]]="","",C247&amp;"-"&amp;D247&amp;"-"&amp;"BHA-PHC-"&amp;phc_8[[#This Row],[Register No.]])</f>
        <v>Shining Star-Mobile Clinic-BHA-PHC-52</v>
      </c>
      <c r="N247" s="9" t="s">
        <v>401</v>
      </c>
      <c r="O247" s="183" t="s">
        <v>2143</v>
      </c>
      <c r="P247" s="183">
        <v>68</v>
      </c>
      <c r="Q247" s="183"/>
      <c r="R247" s="183"/>
      <c r="S247" s="186" t="str">
        <f t="shared" si="10"/>
        <v>50 yrs +</v>
      </c>
      <c r="T247" s="183" t="s">
        <v>402</v>
      </c>
      <c r="U247" s="183" t="s">
        <v>3398</v>
      </c>
      <c r="V247" s="183" t="s">
        <v>3519</v>
      </c>
      <c r="W247" s="183" t="s">
        <v>3322</v>
      </c>
      <c r="X247" s="183" t="s">
        <v>242</v>
      </c>
      <c r="Y247" s="186" t="str">
        <f>INDEX(info!$Y$2:$Y$192,MATCH(phc_8[[#This Row],[Sub_Category]],info!$X$2:$X$192,0))</f>
        <v>Accident/minor sugical and injuries</v>
      </c>
      <c r="Z247" s="186" t="str">
        <f t="array" ref="Z247">INDEX(info!$AA$2:$AA$192,MATCH(PHC!$X247&amp;PHC!$Y247,info!$X$2:$X$192&amp;info!$Y$2:$Y$192,0))</f>
        <v>Injury related</v>
      </c>
      <c r="AA247" s="183" t="s">
        <v>3526</v>
      </c>
      <c r="AB247" s="9" t="s">
        <v>654</v>
      </c>
      <c r="AC247" s="9" t="s">
        <v>654</v>
      </c>
      <c r="AD247" s="9" t="s">
        <v>654</v>
      </c>
      <c r="AE247" s="9" t="s">
        <v>654</v>
      </c>
      <c r="AF247" s="184"/>
      <c r="AG247" s="183"/>
      <c r="AH247" s="183"/>
      <c r="AI247" s="183"/>
      <c r="AJ247" s="183"/>
      <c r="AK247" s="9" t="s">
        <v>654</v>
      </c>
      <c r="AL247" s="183"/>
      <c r="AM247" s="186" t="str">
        <f>IF(AF247="","","Q"&amp;INT((MONTH(AF247)-1)/3)+1&amp;YEAR(AF247)&amp;#REF!&amp;T247)</f>
        <v/>
      </c>
      <c r="AN247" s="186" t="e">
        <f>IF(K247="","","Q"&amp;INT((MONTH(K247)-1)/3)+1&amp;YEAR(K247)&amp;#REF!)</f>
        <v>#REF!</v>
      </c>
    </row>
    <row r="248" spans="1:40" ht="20.100000000000001" customHeight="1" x14ac:dyDescent="0.25">
      <c r="A248" s="8">
        <v>246</v>
      </c>
      <c r="B248" s="8" t="s">
        <v>399</v>
      </c>
      <c r="C248" s="8" t="s">
        <v>1997</v>
      </c>
      <c r="D248" s="8" t="s">
        <v>2416</v>
      </c>
      <c r="E248" s="8" t="s">
        <v>1998</v>
      </c>
      <c r="F248" s="183" t="s">
        <v>2222</v>
      </c>
      <c r="G248" s="183"/>
      <c r="H248" s="183" t="s">
        <v>2424</v>
      </c>
      <c r="I248" s="183" t="s">
        <v>579</v>
      </c>
      <c r="J248" s="183"/>
      <c r="K248" s="184">
        <v>46041</v>
      </c>
      <c r="L248" s="183">
        <v>53</v>
      </c>
      <c r="M248" s="185" t="str">
        <f>IF(phc_8[[#This Row],[Register No.]]="","",C248&amp;"-"&amp;D248&amp;"-"&amp;"BHA-PHC-"&amp;phc_8[[#This Row],[Register No.]])</f>
        <v>Shining Star-Mobile Clinic-BHA-PHC-53</v>
      </c>
      <c r="N248" s="9" t="s">
        <v>401</v>
      </c>
      <c r="O248" s="183" t="s">
        <v>3520</v>
      </c>
      <c r="P248" s="183">
        <v>30</v>
      </c>
      <c r="Q248" s="183"/>
      <c r="R248" s="183"/>
      <c r="S248" s="186" t="str">
        <f t="shared" si="10"/>
        <v>19 - 49 yrs</v>
      </c>
      <c r="T248" s="183" t="s">
        <v>603</v>
      </c>
      <c r="U248" s="183" t="s">
        <v>3398</v>
      </c>
      <c r="V248" s="183" t="s">
        <v>3521</v>
      </c>
      <c r="W248" s="183" t="s">
        <v>3524</v>
      </c>
      <c r="X248" s="183" t="s">
        <v>210</v>
      </c>
      <c r="Y248" s="186" t="str">
        <f>INDEX(info!$Y$2:$Y$192,MATCH(phc_8[[#This Row],[Sub_Category]],info!$X$2:$X$192,0))</f>
        <v>Eye problem/disease</v>
      </c>
      <c r="Z248" s="186" t="str">
        <f t="array" ref="Z248">INDEX(info!$AA$2:$AA$192,MATCH(PHC!$X248&amp;PHC!$Y248,info!$X$2:$X$192&amp;info!$Y$2:$Y$192,0))</f>
        <v>Non-communicable disease</v>
      </c>
      <c r="AA248" s="183" t="s">
        <v>2192</v>
      </c>
      <c r="AB248" s="9" t="s">
        <v>654</v>
      </c>
      <c r="AC248" s="9" t="s">
        <v>654</v>
      </c>
      <c r="AD248" s="9" t="s">
        <v>654</v>
      </c>
      <c r="AE248" s="9" t="s">
        <v>654</v>
      </c>
      <c r="AF248" s="184"/>
      <c r="AG248" s="183"/>
      <c r="AH248" s="183"/>
      <c r="AI248" s="183"/>
      <c r="AJ248" s="183"/>
      <c r="AK248" s="9" t="s">
        <v>654</v>
      </c>
      <c r="AL248" s="183"/>
      <c r="AM248" s="186" t="str">
        <f>IF(AF248="","","Q"&amp;INT((MONTH(AF248)-1)/3)+1&amp;YEAR(AF248)&amp;#REF!&amp;T248)</f>
        <v/>
      </c>
      <c r="AN248" s="186" t="e">
        <f>IF(K248="","","Q"&amp;INT((MONTH(K248)-1)/3)+1&amp;YEAR(K248)&amp;#REF!)</f>
        <v>#REF!</v>
      </c>
    </row>
    <row r="249" spans="1:40" ht="20.100000000000001" customHeight="1" x14ac:dyDescent="0.25">
      <c r="A249" s="8">
        <v>247</v>
      </c>
      <c r="B249" s="8" t="s">
        <v>399</v>
      </c>
      <c r="C249" s="8" t="s">
        <v>1997</v>
      </c>
      <c r="D249" s="8" t="s">
        <v>2416</v>
      </c>
      <c r="E249" s="8" t="s">
        <v>1998</v>
      </c>
      <c r="F249" s="183" t="s">
        <v>2222</v>
      </c>
      <c r="G249" s="183"/>
      <c r="H249" s="183" t="s">
        <v>2424</v>
      </c>
      <c r="I249" s="183" t="s">
        <v>579</v>
      </c>
      <c r="J249" s="183"/>
      <c r="K249" s="184">
        <v>46041</v>
      </c>
      <c r="L249" s="183">
        <v>54</v>
      </c>
      <c r="M249" s="185" t="str">
        <f>IF(phc_8[[#This Row],[Register No.]]="","",C249&amp;"-"&amp;D249&amp;"-"&amp;"BHA-PHC-"&amp;phc_8[[#This Row],[Register No.]])</f>
        <v>Shining Star-Mobile Clinic-BHA-PHC-54</v>
      </c>
      <c r="N249" s="9" t="s">
        <v>401</v>
      </c>
      <c r="O249" s="183" t="s">
        <v>3522</v>
      </c>
      <c r="P249" s="183">
        <v>8</v>
      </c>
      <c r="Q249" s="183"/>
      <c r="R249" s="183"/>
      <c r="S249" s="186" t="str">
        <f t="shared" si="10"/>
        <v>5 - 14 yrs</v>
      </c>
      <c r="T249" s="183" t="s">
        <v>603</v>
      </c>
      <c r="U249" s="183" t="s">
        <v>3398</v>
      </c>
      <c r="V249" s="183" t="s">
        <v>3449</v>
      </c>
      <c r="W249" s="183" t="s">
        <v>3525</v>
      </c>
      <c r="X249" s="183"/>
      <c r="Y249" s="186" t="e">
        <f>INDEX(info!$Y$2:$Y$192,MATCH(phc_8[[#This Row],[Sub_Category]],info!$X$2:$X$192,0))</f>
        <v>#N/A</v>
      </c>
      <c r="Z249" s="186" t="e">
        <f t="array" ref="Z249">INDEX(info!$AA$2:$AA$192,MATCH(PHC!$X249&amp;PHC!$Y249,info!$X$2:$X$192&amp;info!$Y$2:$Y$192,0))</f>
        <v>#N/A</v>
      </c>
      <c r="AA249" s="183" t="s">
        <v>2176</v>
      </c>
      <c r="AB249" s="9" t="s">
        <v>654</v>
      </c>
      <c r="AC249" s="9" t="s">
        <v>654</v>
      </c>
      <c r="AD249" s="9" t="s">
        <v>654</v>
      </c>
      <c r="AE249" s="9" t="s">
        <v>654</v>
      </c>
      <c r="AF249" s="184"/>
      <c r="AG249" s="183"/>
      <c r="AH249" s="183"/>
      <c r="AI249" s="183"/>
      <c r="AJ249" s="183"/>
      <c r="AK249" s="9" t="s">
        <v>654</v>
      </c>
      <c r="AL249" s="183"/>
      <c r="AM249" s="186" t="str">
        <f>IF(AF249="","","Q"&amp;INT((MONTH(AF249)-1)/3)+1&amp;YEAR(AF249)&amp;#REF!&amp;T249)</f>
        <v/>
      </c>
      <c r="AN249" s="186" t="e">
        <f>IF(K249="","","Q"&amp;INT((MONTH(K249)-1)/3)+1&amp;YEAR(K249)&amp;#REF!)</f>
        <v>#REF!</v>
      </c>
    </row>
    <row r="250" spans="1:40" ht="20.100000000000001" customHeight="1" x14ac:dyDescent="0.25">
      <c r="A250" s="8">
        <v>248</v>
      </c>
      <c r="B250" s="8" t="s">
        <v>399</v>
      </c>
      <c r="C250" s="8" t="s">
        <v>1997</v>
      </c>
      <c r="D250" s="8" t="s">
        <v>2416</v>
      </c>
      <c r="E250" s="8" t="s">
        <v>1998</v>
      </c>
      <c r="F250" s="183" t="s">
        <v>2222</v>
      </c>
      <c r="G250" s="183"/>
      <c r="H250" s="183" t="s">
        <v>2424</v>
      </c>
      <c r="I250" s="183" t="s">
        <v>579</v>
      </c>
      <c r="J250" s="183"/>
      <c r="K250" s="184">
        <v>46041</v>
      </c>
      <c r="L250" s="183">
        <v>55</v>
      </c>
      <c r="M250" s="185" t="str">
        <f>IF(phc_8[[#This Row],[Register No.]]="","",C250&amp;"-"&amp;D250&amp;"-"&amp;"BHA-PHC-"&amp;phc_8[[#This Row],[Register No.]])</f>
        <v>Shining Star-Mobile Clinic-BHA-PHC-55</v>
      </c>
      <c r="N250" s="9" t="s">
        <v>401</v>
      </c>
      <c r="O250" s="183" t="s">
        <v>3523</v>
      </c>
      <c r="P250" s="183">
        <v>54</v>
      </c>
      <c r="Q250" s="183"/>
      <c r="R250" s="183"/>
      <c r="S250" s="186" t="str">
        <f t="shared" si="10"/>
        <v>50 yrs +</v>
      </c>
      <c r="T250" s="183" t="s">
        <v>603</v>
      </c>
      <c r="U250" s="183" t="s">
        <v>3398</v>
      </c>
      <c r="V250" s="183" t="s">
        <v>3412</v>
      </c>
      <c r="W250" s="183" t="s">
        <v>2014</v>
      </c>
      <c r="X250" s="183" t="s">
        <v>2014</v>
      </c>
      <c r="Y250" s="186" t="str">
        <f>INDEX(info!$Y$2:$Y$192,MATCH(phc_8[[#This Row],[Sub_Category]],info!$X$2:$X$192,0))</f>
        <v>Other (non-communicable)</v>
      </c>
      <c r="Z250" s="186" t="str">
        <f t="array" ref="Z250">INDEX(info!$AA$2:$AA$192,MATCH(PHC!$X250&amp;PHC!$Y250,info!$X$2:$X$192&amp;info!$Y$2:$Y$192,0))</f>
        <v>Other</v>
      </c>
      <c r="AA250" s="183" t="s">
        <v>3527</v>
      </c>
      <c r="AB250" s="9" t="s">
        <v>654</v>
      </c>
      <c r="AC250" s="9" t="s">
        <v>654</v>
      </c>
      <c r="AD250" s="9" t="s">
        <v>654</v>
      </c>
      <c r="AE250" s="9" t="s">
        <v>654</v>
      </c>
      <c r="AF250" s="184"/>
      <c r="AG250" s="183"/>
      <c r="AH250" s="183"/>
      <c r="AI250" s="183"/>
      <c r="AJ250" s="183"/>
      <c r="AK250" s="9" t="s">
        <v>654</v>
      </c>
      <c r="AL250" s="183"/>
      <c r="AM250" s="186" t="str">
        <f>IF(AF250="","","Q"&amp;INT((MONTH(AF250)-1)/3)+1&amp;YEAR(AF250)&amp;#REF!&amp;T250)</f>
        <v/>
      </c>
      <c r="AN250" s="186" t="e">
        <f>IF(K250="","","Q"&amp;INT((MONTH(K250)-1)/3)+1&amp;YEAR(K250)&amp;#REF!)</f>
        <v>#REF!</v>
      </c>
    </row>
    <row r="251" spans="1:40" ht="20.100000000000001" customHeight="1" x14ac:dyDescent="0.25">
      <c r="A251" s="8">
        <v>249</v>
      </c>
      <c r="B251" s="8" t="s">
        <v>399</v>
      </c>
      <c r="C251" s="8" t="s">
        <v>1997</v>
      </c>
      <c r="D251" s="8" t="s">
        <v>2416</v>
      </c>
      <c r="E251" s="8" t="s">
        <v>1998</v>
      </c>
      <c r="F251" s="183" t="s">
        <v>2222</v>
      </c>
      <c r="G251" s="183"/>
      <c r="H251" s="183" t="s">
        <v>2424</v>
      </c>
      <c r="I251" s="183" t="s">
        <v>579</v>
      </c>
      <c r="J251" s="183"/>
      <c r="K251" s="184">
        <v>46041</v>
      </c>
      <c r="L251" s="183">
        <v>56</v>
      </c>
      <c r="M251" s="185" t="str">
        <f>IF(phc_8[[#This Row],[Register No.]]="","",C251&amp;"-"&amp;D251&amp;"-"&amp;"BHA-PHC-"&amp;phc_8[[#This Row],[Register No.]])</f>
        <v>Shining Star-Mobile Clinic-BHA-PHC-56</v>
      </c>
      <c r="N251" s="9" t="s">
        <v>401</v>
      </c>
      <c r="O251" s="183" t="s">
        <v>3528</v>
      </c>
      <c r="P251" s="183">
        <v>50</v>
      </c>
      <c r="Q251" s="183"/>
      <c r="R251" s="183"/>
      <c r="S251" s="186" t="str">
        <f t="shared" si="10"/>
        <v>50 yrs +</v>
      </c>
      <c r="T251" s="183" t="s">
        <v>402</v>
      </c>
      <c r="U251" s="183" t="s">
        <v>3398</v>
      </c>
      <c r="V251" s="183" t="s">
        <v>3529</v>
      </c>
      <c r="W251" s="183" t="s">
        <v>2030</v>
      </c>
      <c r="X251" s="183" t="s">
        <v>181</v>
      </c>
      <c r="Y251" s="186" t="str">
        <f>INDEX(info!$Y$2:$Y$192,MATCH(phc_8[[#This Row],[Sub_Category]],info!$X$2:$X$192,0))</f>
        <v>Chronic medical disease</v>
      </c>
      <c r="Z251" s="186" t="str">
        <f t="array" ref="Z251">INDEX(info!$AA$2:$AA$192,MATCH(PHC!$X251&amp;PHC!$Y251,info!$X$2:$X$192&amp;info!$Y$2:$Y$192,0))</f>
        <v>Non-communicable disease</v>
      </c>
      <c r="AA251" s="183" t="s">
        <v>3536</v>
      </c>
      <c r="AB251" s="9" t="s">
        <v>654</v>
      </c>
      <c r="AC251" s="9" t="s">
        <v>654</v>
      </c>
      <c r="AD251" s="9" t="s">
        <v>654</v>
      </c>
      <c r="AE251" s="9" t="s">
        <v>654</v>
      </c>
      <c r="AF251" s="184"/>
      <c r="AG251" s="183"/>
      <c r="AH251" s="183"/>
      <c r="AI251" s="183"/>
      <c r="AJ251" s="183"/>
      <c r="AK251" s="9" t="s">
        <v>654</v>
      </c>
      <c r="AL251" s="183"/>
      <c r="AM251" s="186" t="str">
        <f>IF(AF251="","","Q"&amp;INT((MONTH(AF251)-1)/3)+1&amp;YEAR(AF251)&amp;#REF!&amp;T251)</f>
        <v/>
      </c>
      <c r="AN251" s="186" t="e">
        <f>IF(K251="","","Q"&amp;INT((MONTH(K251)-1)/3)+1&amp;YEAR(K251)&amp;#REF!)</f>
        <v>#REF!</v>
      </c>
    </row>
    <row r="252" spans="1:40" ht="20.100000000000001" customHeight="1" x14ac:dyDescent="0.25">
      <c r="A252" s="8">
        <v>250</v>
      </c>
      <c r="B252" s="8" t="s">
        <v>399</v>
      </c>
      <c r="C252" s="8" t="s">
        <v>1997</v>
      </c>
      <c r="D252" s="8" t="s">
        <v>2416</v>
      </c>
      <c r="E252" s="8" t="s">
        <v>1998</v>
      </c>
      <c r="F252" s="183" t="s">
        <v>2222</v>
      </c>
      <c r="G252" s="183"/>
      <c r="H252" s="183" t="s">
        <v>2424</v>
      </c>
      <c r="I252" s="183" t="s">
        <v>579</v>
      </c>
      <c r="J252" s="183"/>
      <c r="K252" s="184">
        <v>46041</v>
      </c>
      <c r="L252" s="183">
        <v>57</v>
      </c>
      <c r="M252" s="185" t="str">
        <f>IF(phc_8[[#This Row],[Register No.]]="","",C252&amp;"-"&amp;D252&amp;"-"&amp;"BHA-PHC-"&amp;phc_8[[#This Row],[Register No.]])</f>
        <v>Shining Star-Mobile Clinic-BHA-PHC-57</v>
      </c>
      <c r="N252" s="9" t="s">
        <v>401</v>
      </c>
      <c r="O252" s="183" t="s">
        <v>3530</v>
      </c>
      <c r="P252" s="183">
        <v>20</v>
      </c>
      <c r="Q252" s="183"/>
      <c r="R252" s="183"/>
      <c r="S252" s="186" t="str">
        <f t="shared" si="10"/>
        <v>19 - 49 yrs</v>
      </c>
      <c r="T252" s="183" t="s">
        <v>603</v>
      </c>
      <c r="U252" s="183" t="s">
        <v>3398</v>
      </c>
      <c r="V252" s="183"/>
      <c r="W252" s="183" t="s">
        <v>3195</v>
      </c>
      <c r="X252" s="183"/>
      <c r="Y252" s="186" t="e">
        <f>INDEX(info!$Y$2:$Y$192,MATCH(phc_8[[#This Row],[Sub_Category]],info!$X$2:$X$192,0))</f>
        <v>#N/A</v>
      </c>
      <c r="Z252" s="186" t="e">
        <f t="array" ref="Z252">INDEX(info!$AA$2:$AA$192,MATCH(PHC!$X252&amp;PHC!$Y252,info!$X$2:$X$192&amp;info!$Y$2:$Y$192,0))</f>
        <v>#N/A</v>
      </c>
      <c r="AA252" s="183" t="s">
        <v>3199</v>
      </c>
      <c r="AB252" s="9" t="s">
        <v>654</v>
      </c>
      <c r="AC252" s="9" t="s">
        <v>654</v>
      </c>
      <c r="AD252" s="9" t="s">
        <v>654</v>
      </c>
      <c r="AE252" s="9" t="s">
        <v>654</v>
      </c>
      <c r="AF252" s="184"/>
      <c r="AG252" s="183"/>
      <c r="AH252" s="183"/>
      <c r="AI252" s="183"/>
      <c r="AJ252" s="183"/>
      <c r="AK252" s="9" t="s">
        <v>654</v>
      </c>
      <c r="AL252" s="183"/>
      <c r="AM252" s="186" t="str">
        <f>IF(AF252="","","Q"&amp;INT((MONTH(AF252)-1)/3)+1&amp;YEAR(AF252)&amp;#REF!&amp;T252)</f>
        <v/>
      </c>
      <c r="AN252" s="186" t="e">
        <f>IF(K252="","","Q"&amp;INT((MONTH(K252)-1)/3)+1&amp;YEAR(K252)&amp;#REF!)</f>
        <v>#REF!</v>
      </c>
    </row>
    <row r="253" spans="1:40" ht="20.100000000000001" customHeight="1" x14ac:dyDescent="0.25">
      <c r="A253" s="8">
        <v>251</v>
      </c>
      <c r="B253" s="8" t="s">
        <v>399</v>
      </c>
      <c r="C253" s="8" t="s">
        <v>1997</v>
      </c>
      <c r="D253" s="8" t="s">
        <v>2416</v>
      </c>
      <c r="E253" s="8" t="s">
        <v>1998</v>
      </c>
      <c r="F253" s="183" t="s">
        <v>2222</v>
      </c>
      <c r="G253" s="183"/>
      <c r="H253" s="183" t="s">
        <v>2424</v>
      </c>
      <c r="I253" s="183" t="s">
        <v>579</v>
      </c>
      <c r="J253" s="183"/>
      <c r="K253" s="184">
        <v>46041</v>
      </c>
      <c r="L253" s="183">
        <v>58</v>
      </c>
      <c r="M253" s="185" t="str">
        <f>IF(phc_8[[#This Row],[Register No.]]="","",C253&amp;"-"&amp;D253&amp;"-"&amp;"BHA-PHC-"&amp;phc_8[[#This Row],[Register No.]])</f>
        <v>Shining Star-Mobile Clinic-BHA-PHC-58</v>
      </c>
      <c r="N253" s="9" t="s">
        <v>401</v>
      </c>
      <c r="O253" s="183" t="s">
        <v>3531</v>
      </c>
      <c r="P253" s="183">
        <v>42</v>
      </c>
      <c r="Q253" s="183"/>
      <c r="R253" s="183"/>
      <c r="S253" s="186" t="str">
        <f t="shared" si="10"/>
        <v>19 - 49 yrs</v>
      </c>
      <c r="T253" s="183" t="s">
        <v>603</v>
      </c>
      <c r="U253" s="183" t="s">
        <v>3398</v>
      </c>
      <c r="V253" s="183" t="s">
        <v>3532</v>
      </c>
      <c r="W253" s="183" t="s">
        <v>2003</v>
      </c>
      <c r="X253" s="183" t="s">
        <v>181</v>
      </c>
      <c r="Y253" s="186" t="str">
        <f>INDEX(info!$Y$2:$Y$192,MATCH(phc_8[[#This Row],[Sub_Category]],info!$X$2:$X$192,0))</f>
        <v>Chronic medical disease</v>
      </c>
      <c r="Z253" s="186" t="str">
        <f t="array" ref="Z253">INDEX(info!$AA$2:$AA$192,MATCH(PHC!$X253&amp;PHC!$Y253,info!$X$2:$X$192&amp;info!$Y$2:$Y$192,0))</f>
        <v>Non-communicable disease</v>
      </c>
      <c r="AA253" s="183" t="s">
        <v>3537</v>
      </c>
      <c r="AB253" s="9" t="s">
        <v>654</v>
      </c>
      <c r="AC253" s="9" t="s">
        <v>654</v>
      </c>
      <c r="AD253" s="9" t="s">
        <v>654</v>
      </c>
      <c r="AE253" s="9" t="s">
        <v>654</v>
      </c>
      <c r="AF253" s="184"/>
      <c r="AG253" s="183"/>
      <c r="AH253" s="183"/>
      <c r="AI253" s="183"/>
      <c r="AJ253" s="183"/>
      <c r="AK253" s="9" t="s">
        <v>654</v>
      </c>
      <c r="AL253" s="183"/>
      <c r="AM253" s="186" t="str">
        <f>IF(AF253="","","Q"&amp;INT((MONTH(AF253)-1)/3)+1&amp;YEAR(AF253)&amp;#REF!&amp;T253)</f>
        <v/>
      </c>
      <c r="AN253" s="186" t="e">
        <f>IF(K253="","","Q"&amp;INT((MONTH(K253)-1)/3)+1&amp;YEAR(K253)&amp;#REF!)</f>
        <v>#REF!</v>
      </c>
    </row>
    <row r="254" spans="1:40" ht="20.100000000000001" customHeight="1" x14ac:dyDescent="0.25">
      <c r="A254" s="8">
        <v>252</v>
      </c>
      <c r="B254" s="8" t="s">
        <v>399</v>
      </c>
      <c r="C254" s="8" t="s">
        <v>1997</v>
      </c>
      <c r="D254" s="8" t="s">
        <v>2416</v>
      </c>
      <c r="E254" s="8" t="s">
        <v>1998</v>
      </c>
      <c r="F254" s="183" t="s">
        <v>2222</v>
      </c>
      <c r="G254" s="183"/>
      <c r="H254" s="183" t="s">
        <v>2424</v>
      </c>
      <c r="I254" s="183" t="s">
        <v>579</v>
      </c>
      <c r="J254" s="183"/>
      <c r="K254" s="184">
        <v>46041</v>
      </c>
      <c r="L254" s="183">
        <v>59</v>
      </c>
      <c r="M254" s="185" t="str">
        <f>IF(phc_8[[#This Row],[Register No.]]="","",C254&amp;"-"&amp;D254&amp;"-"&amp;"BHA-PHC-"&amp;phc_8[[#This Row],[Register No.]])</f>
        <v>Shining Star-Mobile Clinic-BHA-PHC-59</v>
      </c>
      <c r="N254" s="9" t="s">
        <v>401</v>
      </c>
      <c r="O254" s="183" t="s">
        <v>2026</v>
      </c>
      <c r="P254" s="183">
        <v>71</v>
      </c>
      <c r="Q254" s="183"/>
      <c r="R254" s="183"/>
      <c r="S254" s="186" t="str">
        <f t="shared" si="10"/>
        <v>50 yrs +</v>
      </c>
      <c r="T254" s="183" t="s">
        <v>402</v>
      </c>
      <c r="U254" s="183" t="s">
        <v>3398</v>
      </c>
      <c r="V254" s="183" t="s">
        <v>3533</v>
      </c>
      <c r="W254" s="183" t="s">
        <v>3535</v>
      </c>
      <c r="X254" s="183" t="s">
        <v>202</v>
      </c>
      <c r="Y254" s="186" t="str">
        <f>INDEX(info!$Y$2:$Y$192,MATCH(phc_8[[#This Row],[Sub_Category]],info!$X$2:$X$192,0))</f>
        <v>Other (non-communicable)</v>
      </c>
      <c r="Z254" s="186" t="str">
        <f t="array" ref="Z254">INDEX(info!$AA$2:$AA$192,MATCH(PHC!$X254&amp;PHC!$Y254,info!$X$2:$X$192&amp;info!$Y$2:$Y$192,0))</f>
        <v>Non-communicable disease</v>
      </c>
      <c r="AA254" s="183" t="s">
        <v>3539</v>
      </c>
      <c r="AB254" s="9" t="s">
        <v>654</v>
      </c>
      <c r="AC254" s="9" t="s">
        <v>654</v>
      </c>
      <c r="AD254" s="9" t="s">
        <v>654</v>
      </c>
      <c r="AE254" s="9" t="s">
        <v>654</v>
      </c>
      <c r="AF254" s="184"/>
      <c r="AG254" s="183"/>
      <c r="AH254" s="183"/>
      <c r="AI254" s="183"/>
      <c r="AJ254" s="183"/>
      <c r="AK254" s="9" t="s">
        <v>654</v>
      </c>
      <c r="AL254" s="183"/>
      <c r="AM254" s="186" t="str">
        <f>IF(AF254="","","Q"&amp;INT((MONTH(AF254)-1)/3)+1&amp;YEAR(AF254)&amp;#REF!&amp;T254)</f>
        <v/>
      </c>
      <c r="AN254" s="186" t="e">
        <f>IF(K254="","","Q"&amp;INT((MONTH(K254)-1)/3)+1&amp;YEAR(K254)&amp;#REF!)</f>
        <v>#REF!</v>
      </c>
    </row>
    <row r="255" spans="1:40" ht="20.100000000000001" customHeight="1" x14ac:dyDescent="0.25">
      <c r="A255" s="8">
        <v>253</v>
      </c>
      <c r="B255" s="8" t="s">
        <v>399</v>
      </c>
      <c r="C255" s="8" t="s">
        <v>1997</v>
      </c>
      <c r="D255" s="8" t="s">
        <v>2416</v>
      </c>
      <c r="E255" s="8" t="s">
        <v>1998</v>
      </c>
      <c r="F255" s="183" t="s">
        <v>2222</v>
      </c>
      <c r="G255" s="183"/>
      <c r="H255" s="183" t="s">
        <v>2424</v>
      </c>
      <c r="I255" s="183" t="s">
        <v>579</v>
      </c>
      <c r="J255" s="183"/>
      <c r="K255" s="184">
        <v>46041</v>
      </c>
      <c r="L255" s="183">
        <v>60</v>
      </c>
      <c r="M255" s="185" t="str">
        <f>IF(phc_8[[#This Row],[Register No.]]="","",C255&amp;"-"&amp;D255&amp;"-"&amp;"BHA-PHC-"&amp;phc_8[[#This Row],[Register No.]])</f>
        <v>Shining Star-Mobile Clinic-BHA-PHC-60</v>
      </c>
      <c r="N255" s="9" t="s">
        <v>401</v>
      </c>
      <c r="O255" s="183" t="s">
        <v>3534</v>
      </c>
      <c r="P255" s="183">
        <v>33</v>
      </c>
      <c r="Q255" s="183"/>
      <c r="R255" s="183"/>
      <c r="S255" s="186" t="str">
        <f t="shared" si="10"/>
        <v>19 - 49 yrs</v>
      </c>
      <c r="T255" s="183" t="s">
        <v>603</v>
      </c>
      <c r="U255" s="183" t="s">
        <v>3398</v>
      </c>
      <c r="V255" s="183" t="s">
        <v>2143</v>
      </c>
      <c r="W255" s="183" t="s">
        <v>294</v>
      </c>
      <c r="X255" s="183" t="s">
        <v>294</v>
      </c>
      <c r="Y255" s="186" t="str">
        <f>INDEX(info!$Y$2:$Y$192,MATCH(phc_8[[#This Row],[Sub_Category]],info!$X$2:$X$192,0))</f>
        <v>Other (non-communicable)</v>
      </c>
      <c r="Z255" s="186" t="str">
        <f t="array" ref="Z255">INDEX(info!$AA$2:$AA$192,MATCH(PHC!$X255&amp;PHC!$Y255,info!$X$2:$X$192&amp;info!$Y$2:$Y$192,0))</f>
        <v>Other</v>
      </c>
      <c r="AA255" s="183" t="s">
        <v>3538</v>
      </c>
      <c r="AB255" s="9" t="s">
        <v>654</v>
      </c>
      <c r="AC255" s="9" t="s">
        <v>654</v>
      </c>
      <c r="AD255" s="9" t="s">
        <v>654</v>
      </c>
      <c r="AE255" s="9" t="s">
        <v>654</v>
      </c>
      <c r="AF255" s="184"/>
      <c r="AG255" s="183"/>
      <c r="AH255" s="183"/>
      <c r="AI255" s="183"/>
      <c r="AJ255" s="183"/>
      <c r="AK255" s="9" t="s">
        <v>654</v>
      </c>
      <c r="AL255" s="183"/>
      <c r="AM255" s="186" t="str">
        <f>IF(AF255="","","Q"&amp;INT((MONTH(AF255)-1)/3)+1&amp;YEAR(AF255)&amp;#REF!&amp;T255)</f>
        <v/>
      </c>
      <c r="AN255" s="186" t="e">
        <f>IF(K255="","","Q"&amp;INT((MONTH(K255)-1)/3)+1&amp;YEAR(K255)&amp;#REF!)</f>
        <v>#REF!</v>
      </c>
    </row>
    <row r="256" spans="1:40" ht="20.100000000000001" customHeight="1" x14ac:dyDescent="0.25">
      <c r="A256" s="8">
        <v>254</v>
      </c>
      <c r="B256" s="8" t="s">
        <v>399</v>
      </c>
      <c r="C256" s="8" t="s">
        <v>1997</v>
      </c>
      <c r="D256" s="8" t="s">
        <v>2416</v>
      </c>
      <c r="E256" s="8" t="s">
        <v>1998</v>
      </c>
      <c r="F256" s="183" t="s">
        <v>2222</v>
      </c>
      <c r="G256" s="183"/>
      <c r="H256" s="183" t="s">
        <v>2424</v>
      </c>
      <c r="I256" s="183" t="s">
        <v>579</v>
      </c>
      <c r="J256" s="183"/>
      <c r="K256" s="184">
        <v>46041</v>
      </c>
      <c r="L256" s="183">
        <v>61</v>
      </c>
      <c r="M256" s="185" t="str">
        <f>IF(phc_8[[#This Row],[Register No.]]="","",C256&amp;"-"&amp;D256&amp;"-"&amp;"BHA-PHC-"&amp;phc_8[[#This Row],[Register No.]])</f>
        <v>Shining Star-Mobile Clinic-BHA-PHC-61</v>
      </c>
      <c r="N256" s="9" t="s">
        <v>401</v>
      </c>
      <c r="O256" s="183" t="s">
        <v>2401</v>
      </c>
      <c r="P256" s="183">
        <v>1</v>
      </c>
      <c r="Q256" s="183">
        <v>4</v>
      </c>
      <c r="R256" s="183"/>
      <c r="S256" s="186" t="str">
        <f t="shared" si="10"/>
        <v>&lt;5 yrs</v>
      </c>
      <c r="T256" s="183" t="s">
        <v>402</v>
      </c>
      <c r="U256" s="183" t="s">
        <v>3398</v>
      </c>
      <c r="V256" s="183" t="s">
        <v>2405</v>
      </c>
      <c r="W256" s="183" t="s">
        <v>3079</v>
      </c>
      <c r="X256" s="183" t="s">
        <v>113</v>
      </c>
      <c r="Y256" s="186" t="str">
        <f>INDEX(info!$Y$2:$Y$192,MATCH(phc_8[[#This Row],[Sub_Category]],info!$X$2:$X$192,0))</f>
        <v>ARI/RTI</v>
      </c>
      <c r="Z256" s="186" t="str">
        <f t="array" ref="Z256">INDEX(info!$AA$2:$AA$192,MATCH(PHC!$X256&amp;PHC!$Y256,info!$X$2:$X$192&amp;info!$Y$2:$Y$192,0))</f>
        <v>Communicable disease</v>
      </c>
      <c r="AA256" s="183" t="s">
        <v>3544</v>
      </c>
      <c r="AB256" s="9" t="s">
        <v>654</v>
      </c>
      <c r="AC256" s="9" t="s">
        <v>654</v>
      </c>
      <c r="AD256" s="9" t="s">
        <v>654</v>
      </c>
      <c r="AE256" s="9" t="s">
        <v>654</v>
      </c>
      <c r="AF256" s="184"/>
      <c r="AG256" s="183"/>
      <c r="AH256" s="183"/>
      <c r="AI256" s="183"/>
      <c r="AJ256" s="183"/>
      <c r="AK256" s="9" t="s">
        <v>654</v>
      </c>
      <c r="AL256" s="183"/>
      <c r="AM256" s="186" t="str">
        <f>IF(AF256="","","Q"&amp;INT((MONTH(AF256)-1)/3)+1&amp;YEAR(AF256)&amp;#REF!&amp;T256)</f>
        <v/>
      </c>
      <c r="AN256" s="186" t="e">
        <f>IF(K256="","","Q"&amp;INT((MONTH(K256)-1)/3)+1&amp;YEAR(K256)&amp;#REF!)</f>
        <v>#REF!</v>
      </c>
    </row>
    <row r="257" spans="1:40" ht="20.100000000000001" customHeight="1" x14ac:dyDescent="0.25">
      <c r="A257" s="8">
        <v>255</v>
      </c>
      <c r="B257" s="8" t="s">
        <v>399</v>
      </c>
      <c r="C257" s="8" t="s">
        <v>1997</v>
      </c>
      <c r="D257" s="8" t="s">
        <v>2416</v>
      </c>
      <c r="E257" s="8" t="s">
        <v>1998</v>
      </c>
      <c r="F257" s="183" t="s">
        <v>2222</v>
      </c>
      <c r="G257" s="183"/>
      <c r="H257" s="183" t="s">
        <v>2424</v>
      </c>
      <c r="I257" s="183" t="s">
        <v>579</v>
      </c>
      <c r="J257" s="183"/>
      <c r="K257" s="184">
        <v>46041</v>
      </c>
      <c r="L257" s="183">
        <v>62</v>
      </c>
      <c r="M257" s="185" t="str">
        <f>IF(phc_8[[#This Row],[Register No.]]="","",C257&amp;"-"&amp;D257&amp;"-"&amp;"BHA-PHC-"&amp;phc_8[[#This Row],[Register No.]])</f>
        <v>Shining Star-Mobile Clinic-BHA-PHC-62</v>
      </c>
      <c r="N257" s="9" t="s">
        <v>401</v>
      </c>
      <c r="O257" s="183" t="s">
        <v>3540</v>
      </c>
      <c r="P257" s="183">
        <v>53</v>
      </c>
      <c r="Q257" s="183"/>
      <c r="R257" s="183"/>
      <c r="S257" s="186" t="str">
        <f t="shared" si="10"/>
        <v>50 yrs +</v>
      </c>
      <c r="T257" s="183" t="s">
        <v>603</v>
      </c>
      <c r="U257" s="183" t="s">
        <v>3398</v>
      </c>
      <c r="V257" s="183" t="s">
        <v>3290</v>
      </c>
      <c r="W257" s="183" t="s">
        <v>294</v>
      </c>
      <c r="X257" s="183" t="s">
        <v>294</v>
      </c>
      <c r="Y257" s="186" t="str">
        <f>INDEX(info!$Y$2:$Y$192,MATCH(phc_8[[#This Row],[Sub_Category]],info!$X$2:$X$192,0))</f>
        <v>Other (non-communicable)</v>
      </c>
      <c r="Z257" s="186" t="str">
        <f t="array" ref="Z257">INDEX(info!$AA$2:$AA$192,MATCH(PHC!$X257&amp;PHC!$Y257,info!$X$2:$X$192&amp;info!$Y$2:$Y$192,0))</f>
        <v>Other</v>
      </c>
      <c r="AA257" s="183" t="s">
        <v>3545</v>
      </c>
      <c r="AB257" s="9" t="s">
        <v>654</v>
      </c>
      <c r="AC257" s="9" t="s">
        <v>654</v>
      </c>
      <c r="AD257" s="9" t="s">
        <v>654</v>
      </c>
      <c r="AE257" s="9" t="s">
        <v>654</v>
      </c>
      <c r="AF257" s="184"/>
      <c r="AG257" s="183"/>
      <c r="AH257" s="183"/>
      <c r="AI257" s="183"/>
      <c r="AJ257" s="183"/>
      <c r="AK257" s="9" t="s">
        <v>654</v>
      </c>
      <c r="AL257" s="183"/>
      <c r="AM257" s="186" t="str">
        <f>IF(AF257="","","Q"&amp;INT((MONTH(AF257)-1)/3)+1&amp;YEAR(AF257)&amp;#REF!&amp;T257)</f>
        <v/>
      </c>
      <c r="AN257" s="186" t="e">
        <f>IF(K257="","","Q"&amp;INT((MONTH(K257)-1)/3)+1&amp;YEAR(K257)&amp;#REF!)</f>
        <v>#REF!</v>
      </c>
    </row>
    <row r="258" spans="1:40" ht="20.100000000000001" customHeight="1" x14ac:dyDescent="0.25">
      <c r="A258" s="8">
        <v>256</v>
      </c>
      <c r="B258" s="8" t="s">
        <v>399</v>
      </c>
      <c r="C258" s="8" t="s">
        <v>1997</v>
      </c>
      <c r="D258" s="8" t="s">
        <v>2416</v>
      </c>
      <c r="E258" s="8" t="s">
        <v>1998</v>
      </c>
      <c r="F258" s="183" t="s">
        <v>2222</v>
      </c>
      <c r="G258" s="183"/>
      <c r="H258" s="183" t="s">
        <v>2424</v>
      </c>
      <c r="I258" s="183" t="s">
        <v>579</v>
      </c>
      <c r="J258" s="183"/>
      <c r="K258" s="184">
        <v>46041</v>
      </c>
      <c r="L258" s="183">
        <v>63</v>
      </c>
      <c r="M258" s="185" t="str">
        <f>IF(phc_8[[#This Row],[Register No.]]="","",C258&amp;"-"&amp;D258&amp;"-"&amp;"BHA-PHC-"&amp;phc_8[[#This Row],[Register No.]])</f>
        <v>Shining Star-Mobile Clinic-BHA-PHC-63</v>
      </c>
      <c r="N258" s="9" t="s">
        <v>401</v>
      </c>
      <c r="O258" s="183" t="s">
        <v>3541</v>
      </c>
      <c r="P258" s="183">
        <v>19</v>
      </c>
      <c r="Q258" s="183"/>
      <c r="R258" s="183"/>
      <c r="S258" s="186" t="str">
        <f t="shared" si="10"/>
        <v>19 - 49 yrs</v>
      </c>
      <c r="T258" s="183" t="s">
        <v>603</v>
      </c>
      <c r="U258" s="183" t="s">
        <v>3398</v>
      </c>
      <c r="V258" s="183" t="s">
        <v>3542</v>
      </c>
      <c r="W258" s="183" t="s">
        <v>3197</v>
      </c>
      <c r="X258" s="183"/>
      <c r="Y258" s="186" t="e">
        <f>INDEX(info!$Y$2:$Y$192,MATCH(phc_8[[#This Row],[Sub_Category]],info!$X$2:$X$192,0))</f>
        <v>#N/A</v>
      </c>
      <c r="Z258" s="186" t="e">
        <f t="array" ref="Z258">INDEX(info!$AA$2:$AA$192,MATCH(PHC!$X258&amp;PHC!$Y258,info!$X$2:$X$192&amp;info!$Y$2:$Y$192,0))</f>
        <v>#N/A</v>
      </c>
      <c r="AA258" s="183" t="s">
        <v>3546</v>
      </c>
      <c r="AB258" s="9" t="s">
        <v>654</v>
      </c>
      <c r="AC258" s="9" t="s">
        <v>654</v>
      </c>
      <c r="AD258" s="9" t="s">
        <v>654</v>
      </c>
      <c r="AE258" s="9" t="s">
        <v>654</v>
      </c>
      <c r="AF258" s="184"/>
      <c r="AG258" s="183"/>
      <c r="AH258" s="183"/>
      <c r="AI258" s="183"/>
      <c r="AJ258" s="183"/>
      <c r="AK258" s="9" t="s">
        <v>654</v>
      </c>
      <c r="AL258" s="183"/>
      <c r="AM258" s="186" t="str">
        <f>IF(AF258="","","Q"&amp;INT((MONTH(AF258)-1)/3)+1&amp;YEAR(AF258)&amp;#REF!&amp;T258)</f>
        <v/>
      </c>
      <c r="AN258" s="186" t="e">
        <f>IF(K258="","","Q"&amp;INT((MONTH(K258)-1)/3)+1&amp;YEAR(K258)&amp;#REF!)</f>
        <v>#REF!</v>
      </c>
    </row>
    <row r="259" spans="1:40" ht="20.100000000000001" customHeight="1" x14ac:dyDescent="0.25">
      <c r="A259" s="8">
        <v>257</v>
      </c>
      <c r="B259" s="8" t="s">
        <v>399</v>
      </c>
      <c r="C259" s="8" t="s">
        <v>1997</v>
      </c>
      <c r="D259" s="8" t="s">
        <v>2416</v>
      </c>
      <c r="E259" s="8" t="s">
        <v>1998</v>
      </c>
      <c r="F259" s="183" t="s">
        <v>2222</v>
      </c>
      <c r="G259" s="183"/>
      <c r="H259" s="183" t="s">
        <v>2424</v>
      </c>
      <c r="I259" s="183" t="s">
        <v>579</v>
      </c>
      <c r="J259" s="183"/>
      <c r="K259" s="184">
        <v>46041</v>
      </c>
      <c r="L259" s="183">
        <v>64</v>
      </c>
      <c r="M259" s="185" t="str">
        <f>IF(phc_8[[#This Row],[Register No.]]="","",C259&amp;"-"&amp;D259&amp;"-"&amp;"BHA-PHC-"&amp;phc_8[[#This Row],[Register No.]])</f>
        <v>Shining Star-Mobile Clinic-BHA-PHC-64</v>
      </c>
      <c r="N259" s="9" t="s">
        <v>401</v>
      </c>
      <c r="O259" s="183" t="s">
        <v>3175</v>
      </c>
      <c r="P259" s="183">
        <v>49</v>
      </c>
      <c r="Q259" s="183"/>
      <c r="R259" s="183"/>
      <c r="S259" s="186" t="str">
        <f t="shared" si="10"/>
        <v>19 - 49 yrs</v>
      </c>
      <c r="T259" s="183" t="s">
        <v>603</v>
      </c>
      <c r="U259" s="183" t="s">
        <v>3398</v>
      </c>
      <c r="V259" s="183" t="s">
        <v>3543</v>
      </c>
      <c r="W259" s="183" t="s">
        <v>2003</v>
      </c>
      <c r="X259" s="183" t="s">
        <v>181</v>
      </c>
      <c r="Y259" s="186" t="str">
        <f>INDEX(info!$Y$2:$Y$192,MATCH(phc_8[[#This Row],[Sub_Category]],info!$X$2:$X$192,0))</f>
        <v>Chronic medical disease</v>
      </c>
      <c r="Z259" s="186" t="str">
        <f t="array" ref="Z259">INDEX(info!$AA$2:$AA$192,MATCH(PHC!$X259&amp;PHC!$Y259,info!$X$2:$X$192&amp;info!$Y$2:$Y$192,0))</f>
        <v>Non-communicable disease</v>
      </c>
      <c r="AA259" s="183" t="s">
        <v>3547</v>
      </c>
      <c r="AB259" s="9" t="s">
        <v>654</v>
      </c>
      <c r="AC259" s="9" t="s">
        <v>654</v>
      </c>
      <c r="AD259" s="9" t="s">
        <v>654</v>
      </c>
      <c r="AE259" s="9" t="s">
        <v>654</v>
      </c>
      <c r="AF259" s="184"/>
      <c r="AG259" s="183"/>
      <c r="AH259" s="183"/>
      <c r="AI259" s="183"/>
      <c r="AJ259" s="183"/>
      <c r="AK259" s="9" t="s">
        <v>654</v>
      </c>
      <c r="AL259" s="183"/>
      <c r="AM259" s="186" t="str">
        <f>IF(AF259="","","Q"&amp;INT((MONTH(AF259)-1)/3)+1&amp;YEAR(AF259)&amp;#REF!&amp;T259)</f>
        <v/>
      </c>
      <c r="AN259" s="186" t="e">
        <f>IF(K259="","","Q"&amp;INT((MONTH(K259)-1)/3)+1&amp;YEAR(K259)&amp;#REF!)</f>
        <v>#REF!</v>
      </c>
    </row>
    <row r="260" spans="1:40" ht="20.100000000000001" customHeight="1" x14ac:dyDescent="0.25">
      <c r="A260" s="8">
        <v>258</v>
      </c>
      <c r="B260" s="8" t="s">
        <v>399</v>
      </c>
      <c r="C260" s="8" t="s">
        <v>1997</v>
      </c>
      <c r="D260" s="8" t="s">
        <v>2416</v>
      </c>
      <c r="E260" s="8" t="s">
        <v>1998</v>
      </c>
      <c r="F260" s="183" t="s">
        <v>2222</v>
      </c>
      <c r="G260" s="183"/>
      <c r="H260" s="183" t="s">
        <v>2424</v>
      </c>
      <c r="I260" s="183" t="s">
        <v>579</v>
      </c>
      <c r="J260" s="183"/>
      <c r="K260" s="184">
        <v>46041</v>
      </c>
      <c r="L260" s="183">
        <v>65</v>
      </c>
      <c r="M260" s="185" t="str">
        <f>IF(phc_8[[#This Row],[Register No.]]="","",C260&amp;"-"&amp;D260&amp;"-"&amp;"BHA-PHC-"&amp;phc_8[[#This Row],[Register No.]])</f>
        <v>Shining Star-Mobile Clinic-BHA-PHC-65</v>
      </c>
      <c r="N260" s="9" t="s">
        <v>401</v>
      </c>
      <c r="O260" s="183" t="s">
        <v>2402</v>
      </c>
      <c r="P260" s="183">
        <v>5</v>
      </c>
      <c r="Q260" s="183"/>
      <c r="R260" s="183"/>
      <c r="S260" s="186" t="str">
        <f t="shared" si="10"/>
        <v>5 - 14 yrs</v>
      </c>
      <c r="T260" s="183" t="s">
        <v>603</v>
      </c>
      <c r="U260" s="183" t="s">
        <v>3398</v>
      </c>
      <c r="V260" s="183" t="s">
        <v>2406</v>
      </c>
      <c r="W260" s="183" t="s">
        <v>3210</v>
      </c>
      <c r="X260" s="183" t="s">
        <v>216</v>
      </c>
      <c r="Y260" s="186" t="str">
        <f>INDEX(info!$Y$2:$Y$192,MATCH(phc_8[[#This Row],[Sub_Category]],info!$X$2:$X$192,0))</f>
        <v>Eye problem/disease</v>
      </c>
      <c r="Z260" s="186" t="str">
        <f t="array" ref="Z260">INDEX(info!$AA$2:$AA$192,MATCH(PHC!$X260&amp;PHC!$Y260,info!$X$2:$X$192&amp;info!$Y$2:$Y$192,0))</f>
        <v>Non-communicable disease</v>
      </c>
      <c r="AA260" s="183" t="s">
        <v>3493</v>
      </c>
      <c r="AB260" s="9" t="s">
        <v>654</v>
      </c>
      <c r="AC260" s="9" t="s">
        <v>654</v>
      </c>
      <c r="AD260" s="9" t="s">
        <v>654</v>
      </c>
      <c r="AE260" s="9" t="s">
        <v>654</v>
      </c>
      <c r="AF260" s="184"/>
      <c r="AG260" s="183"/>
      <c r="AH260" s="183"/>
      <c r="AI260" s="183"/>
      <c r="AJ260" s="183"/>
      <c r="AK260" s="9" t="s">
        <v>654</v>
      </c>
      <c r="AL260" s="183"/>
      <c r="AM260" s="186" t="str">
        <f>IF(AF260="","","Q"&amp;INT((MONTH(AF260)-1)/3)+1&amp;YEAR(AF260)&amp;#REF!&amp;T260)</f>
        <v/>
      </c>
      <c r="AN260" s="186" t="e">
        <f>IF(K260="","","Q"&amp;INT((MONTH(K260)-1)/3)+1&amp;YEAR(K260)&amp;#REF!)</f>
        <v>#REF!</v>
      </c>
    </row>
    <row r="261" spans="1:40" ht="20.100000000000001" customHeight="1" x14ac:dyDescent="0.25">
      <c r="A261" s="8">
        <v>259</v>
      </c>
      <c r="B261" s="8" t="s">
        <v>399</v>
      </c>
      <c r="C261" s="8" t="s">
        <v>1997</v>
      </c>
      <c r="D261" s="8" t="s">
        <v>2416</v>
      </c>
      <c r="E261" s="8" t="s">
        <v>1998</v>
      </c>
      <c r="F261" s="183" t="s">
        <v>2222</v>
      </c>
      <c r="G261" s="183"/>
      <c r="H261" s="183" t="s">
        <v>2424</v>
      </c>
      <c r="I261" s="183" t="s">
        <v>579</v>
      </c>
      <c r="J261" s="183"/>
      <c r="K261" s="184">
        <v>46041</v>
      </c>
      <c r="L261" s="183">
        <v>66</v>
      </c>
      <c r="M261" s="185" t="str">
        <f>IF(phc_8[[#This Row],[Register No.]]="","",C261&amp;"-"&amp;D261&amp;"-"&amp;"BHA-PHC-"&amp;phc_8[[#This Row],[Register No.]])</f>
        <v>Shining Star-Mobile Clinic-BHA-PHC-66</v>
      </c>
      <c r="N261" s="9" t="s">
        <v>401</v>
      </c>
      <c r="O261" s="183" t="s">
        <v>3548</v>
      </c>
      <c r="P261" s="183">
        <v>46</v>
      </c>
      <c r="Q261" s="183"/>
      <c r="R261" s="183"/>
      <c r="S261" s="186" t="str">
        <f t="shared" si="10"/>
        <v>19 - 49 yrs</v>
      </c>
      <c r="T261" s="183" t="s">
        <v>603</v>
      </c>
      <c r="U261" s="183" t="s">
        <v>3398</v>
      </c>
      <c r="V261" s="183" t="s">
        <v>3553</v>
      </c>
      <c r="W261" s="183" t="s">
        <v>294</v>
      </c>
      <c r="X261" s="183" t="s">
        <v>294</v>
      </c>
      <c r="Y261" s="186" t="str">
        <f>INDEX(info!$Y$2:$Y$192,MATCH(phc_8[[#This Row],[Sub_Category]],info!$X$2:$X$192,0))</f>
        <v>Other (non-communicable)</v>
      </c>
      <c r="Z261" s="186" t="str">
        <f t="array" ref="Z261">INDEX(info!$AA$2:$AA$192,MATCH(PHC!$X261&amp;PHC!$Y261,info!$X$2:$X$192&amp;info!$Y$2:$Y$192,0))</f>
        <v>Other</v>
      </c>
      <c r="AA261" s="183" t="s">
        <v>3559</v>
      </c>
      <c r="AB261" s="9" t="s">
        <v>654</v>
      </c>
      <c r="AC261" s="9" t="s">
        <v>654</v>
      </c>
      <c r="AD261" s="9" t="s">
        <v>654</v>
      </c>
      <c r="AE261" s="9" t="s">
        <v>654</v>
      </c>
      <c r="AF261" s="184"/>
      <c r="AG261" s="183"/>
      <c r="AH261" s="183"/>
      <c r="AI261" s="183"/>
      <c r="AJ261" s="183"/>
      <c r="AK261" s="9" t="s">
        <v>654</v>
      </c>
      <c r="AL261" s="183"/>
      <c r="AM261" s="186" t="str">
        <f>IF(AF261="","","Q"&amp;INT((MONTH(AF261)-1)/3)+1&amp;YEAR(AF261)&amp;#REF!&amp;T261)</f>
        <v/>
      </c>
      <c r="AN261" s="186" t="e">
        <f>IF(K261="","","Q"&amp;INT((MONTH(K261)-1)/3)+1&amp;YEAR(K261)&amp;#REF!)</f>
        <v>#REF!</v>
      </c>
    </row>
    <row r="262" spans="1:40" ht="20.100000000000001" customHeight="1" x14ac:dyDescent="0.25">
      <c r="A262" s="8">
        <v>260</v>
      </c>
      <c r="B262" s="8" t="s">
        <v>399</v>
      </c>
      <c r="C262" s="8" t="s">
        <v>1997</v>
      </c>
      <c r="D262" s="8" t="s">
        <v>2416</v>
      </c>
      <c r="E262" s="8" t="s">
        <v>1998</v>
      </c>
      <c r="F262" s="183" t="s">
        <v>2222</v>
      </c>
      <c r="G262" s="183"/>
      <c r="H262" s="183" t="s">
        <v>2424</v>
      </c>
      <c r="I262" s="183" t="s">
        <v>579</v>
      </c>
      <c r="J262" s="183"/>
      <c r="K262" s="184">
        <v>46041</v>
      </c>
      <c r="L262" s="183">
        <v>67</v>
      </c>
      <c r="M262" s="185" t="str">
        <f>IF(phc_8[[#This Row],[Register No.]]="","",C262&amp;"-"&amp;D262&amp;"-"&amp;"BHA-PHC-"&amp;phc_8[[#This Row],[Register No.]])</f>
        <v>Shining Star-Mobile Clinic-BHA-PHC-67</v>
      </c>
      <c r="N262" s="9" t="s">
        <v>401</v>
      </c>
      <c r="O262" s="183" t="s">
        <v>3549</v>
      </c>
      <c r="P262" s="183">
        <v>33</v>
      </c>
      <c r="Q262" s="183"/>
      <c r="R262" s="183"/>
      <c r="S262" s="186" t="str">
        <f t="shared" si="10"/>
        <v>19 - 49 yrs</v>
      </c>
      <c r="T262" s="183" t="s">
        <v>603</v>
      </c>
      <c r="U262" s="183" t="s">
        <v>3398</v>
      </c>
      <c r="V262" s="183" t="s">
        <v>3554</v>
      </c>
      <c r="W262" s="183" t="s">
        <v>3524</v>
      </c>
      <c r="X262" s="183" t="s">
        <v>210</v>
      </c>
      <c r="Y262" s="186" t="str">
        <f>INDEX(info!$Y$2:$Y$192,MATCH(phc_8[[#This Row],[Sub_Category]],info!$X$2:$X$192,0))</f>
        <v>Eye problem/disease</v>
      </c>
      <c r="Z262" s="186" t="str">
        <f t="array" ref="Z262">INDEX(info!$AA$2:$AA$192,MATCH(PHC!$X262&amp;PHC!$Y262,info!$X$2:$X$192&amp;info!$Y$2:$Y$192,0))</f>
        <v>Non-communicable disease</v>
      </c>
      <c r="AA262" s="183" t="s">
        <v>2192</v>
      </c>
      <c r="AB262" s="9" t="s">
        <v>654</v>
      </c>
      <c r="AC262" s="9" t="s">
        <v>654</v>
      </c>
      <c r="AD262" s="9" t="s">
        <v>654</v>
      </c>
      <c r="AE262" s="9" t="s">
        <v>654</v>
      </c>
      <c r="AF262" s="184"/>
      <c r="AG262" s="183"/>
      <c r="AH262" s="183"/>
      <c r="AI262" s="183"/>
      <c r="AJ262" s="183"/>
      <c r="AK262" s="9" t="s">
        <v>654</v>
      </c>
      <c r="AL262" s="183"/>
      <c r="AM262" s="186" t="str">
        <f>IF(AF262="","","Q"&amp;INT((MONTH(AF262)-1)/3)+1&amp;YEAR(AF262)&amp;#REF!&amp;T262)</f>
        <v/>
      </c>
      <c r="AN262" s="186" t="e">
        <f>IF(K262="","","Q"&amp;INT((MONTH(K262)-1)/3)+1&amp;YEAR(K262)&amp;#REF!)</f>
        <v>#REF!</v>
      </c>
    </row>
    <row r="263" spans="1:40" ht="20.100000000000001" customHeight="1" x14ac:dyDescent="0.25">
      <c r="A263" s="8">
        <v>261</v>
      </c>
      <c r="B263" s="8" t="s">
        <v>399</v>
      </c>
      <c r="C263" s="8" t="s">
        <v>1997</v>
      </c>
      <c r="D263" s="8" t="s">
        <v>2416</v>
      </c>
      <c r="E263" s="8" t="s">
        <v>1998</v>
      </c>
      <c r="F263" s="183" t="s">
        <v>2222</v>
      </c>
      <c r="G263" s="183"/>
      <c r="H263" s="183" t="s">
        <v>2424</v>
      </c>
      <c r="I263" s="183" t="s">
        <v>579</v>
      </c>
      <c r="J263" s="183"/>
      <c r="K263" s="184">
        <v>46041</v>
      </c>
      <c r="L263" s="183">
        <v>68</v>
      </c>
      <c r="M263" s="185" t="str">
        <f>IF(phc_8[[#This Row],[Register No.]]="","",C263&amp;"-"&amp;D263&amp;"-"&amp;"BHA-PHC-"&amp;phc_8[[#This Row],[Register No.]])</f>
        <v>Shining Star-Mobile Clinic-BHA-PHC-68</v>
      </c>
      <c r="N263" s="9" t="s">
        <v>401</v>
      </c>
      <c r="O263" s="183" t="s">
        <v>3550</v>
      </c>
      <c r="P263" s="183">
        <v>55</v>
      </c>
      <c r="Q263" s="183"/>
      <c r="R263" s="183"/>
      <c r="S263" s="186" t="str">
        <f t="shared" si="10"/>
        <v>50 yrs +</v>
      </c>
      <c r="T263" s="183" t="s">
        <v>603</v>
      </c>
      <c r="U263" s="183" t="s">
        <v>3398</v>
      </c>
      <c r="V263" s="183" t="s">
        <v>3555</v>
      </c>
      <c r="W263" s="183" t="s">
        <v>2030</v>
      </c>
      <c r="X263" s="183" t="s">
        <v>178</v>
      </c>
      <c r="Y263" s="186" t="str">
        <f>INDEX(info!$Y$2:$Y$192,MATCH(phc_8[[#This Row],[Sub_Category]],info!$X$2:$X$192,0))</f>
        <v>Chronic medical disease</v>
      </c>
      <c r="Z263" s="186" t="str">
        <f t="array" ref="Z263">INDEX(info!$AA$2:$AA$192,MATCH(PHC!$X263&amp;PHC!$Y263,info!$X$2:$X$192&amp;info!$Y$2:$Y$192,0))</f>
        <v>Non-communicable disease</v>
      </c>
      <c r="AA263" s="183" t="s">
        <v>3560</v>
      </c>
      <c r="AB263" s="9" t="s">
        <v>654</v>
      </c>
      <c r="AC263" s="9" t="s">
        <v>654</v>
      </c>
      <c r="AD263" s="9" t="s">
        <v>654</v>
      </c>
      <c r="AE263" s="9" t="s">
        <v>654</v>
      </c>
      <c r="AF263" s="184"/>
      <c r="AG263" s="183"/>
      <c r="AH263" s="183"/>
      <c r="AI263" s="183"/>
      <c r="AJ263" s="183"/>
      <c r="AK263" s="9" t="s">
        <v>654</v>
      </c>
      <c r="AL263" s="183"/>
      <c r="AM263" s="186" t="str">
        <f>IF(AF263="","","Q"&amp;INT((MONTH(AF263)-1)/3)+1&amp;YEAR(AF263)&amp;#REF!&amp;T263)</f>
        <v/>
      </c>
      <c r="AN263" s="186" t="e">
        <f>IF(K263="","","Q"&amp;INT((MONTH(K263)-1)/3)+1&amp;YEAR(K263)&amp;#REF!)</f>
        <v>#REF!</v>
      </c>
    </row>
    <row r="264" spans="1:40" ht="20.100000000000001" customHeight="1" x14ac:dyDescent="0.25">
      <c r="A264" s="8">
        <v>262</v>
      </c>
      <c r="B264" s="8" t="s">
        <v>399</v>
      </c>
      <c r="C264" s="8" t="s">
        <v>1997</v>
      </c>
      <c r="D264" s="8" t="s">
        <v>2416</v>
      </c>
      <c r="E264" s="8" t="s">
        <v>1998</v>
      </c>
      <c r="F264" s="183" t="s">
        <v>2222</v>
      </c>
      <c r="G264" s="183"/>
      <c r="H264" s="183" t="s">
        <v>2424</v>
      </c>
      <c r="I264" s="183" t="s">
        <v>579</v>
      </c>
      <c r="J264" s="183"/>
      <c r="K264" s="184">
        <v>46041</v>
      </c>
      <c r="L264" s="183">
        <v>69</v>
      </c>
      <c r="M264" s="185" t="str">
        <f>IF(phc_8[[#This Row],[Register No.]]="","",C264&amp;"-"&amp;D264&amp;"-"&amp;"BHA-PHC-"&amp;phc_8[[#This Row],[Register No.]])</f>
        <v>Shining Star-Mobile Clinic-BHA-PHC-69</v>
      </c>
      <c r="N264" s="9" t="s">
        <v>401</v>
      </c>
      <c r="O264" s="183" t="s">
        <v>3551</v>
      </c>
      <c r="P264" s="183">
        <v>6</v>
      </c>
      <c r="Q264" s="183"/>
      <c r="R264" s="183"/>
      <c r="S264" s="186" t="str">
        <f t="shared" si="10"/>
        <v>5 - 14 yrs</v>
      </c>
      <c r="T264" s="183" t="s">
        <v>603</v>
      </c>
      <c r="U264" s="183" t="s">
        <v>3398</v>
      </c>
      <c r="V264" s="183" t="s">
        <v>3556</v>
      </c>
      <c r="W264" s="183" t="s">
        <v>3558</v>
      </c>
      <c r="X264" s="183" t="s">
        <v>195</v>
      </c>
      <c r="Y264" s="186" t="str">
        <f>INDEX(info!$Y$2:$Y$192,MATCH(phc_8[[#This Row],[Sub_Category]],info!$X$2:$X$192,0))</f>
        <v>Bacteria disease</v>
      </c>
      <c r="Z264" s="186" t="str">
        <f t="array" ref="Z264">INDEX(info!$AA$2:$AA$192,MATCH(PHC!$X264&amp;PHC!$Y264,info!$X$2:$X$192&amp;info!$Y$2:$Y$192,0))</f>
        <v>Communicable disease</v>
      </c>
      <c r="AA264" s="183" t="s">
        <v>3561</v>
      </c>
      <c r="AB264" s="9" t="s">
        <v>654</v>
      </c>
      <c r="AC264" s="9" t="s">
        <v>654</v>
      </c>
      <c r="AD264" s="9" t="s">
        <v>654</v>
      </c>
      <c r="AE264" s="9" t="s">
        <v>654</v>
      </c>
      <c r="AF264" s="184"/>
      <c r="AG264" s="183"/>
      <c r="AH264" s="183"/>
      <c r="AI264" s="183"/>
      <c r="AJ264" s="183"/>
      <c r="AK264" s="9" t="s">
        <v>654</v>
      </c>
      <c r="AL264" s="183"/>
      <c r="AM264" s="186" t="str">
        <f>IF(AF264="","","Q"&amp;INT((MONTH(AF264)-1)/3)+1&amp;YEAR(AF264)&amp;#REF!&amp;T264)</f>
        <v/>
      </c>
      <c r="AN264" s="186" t="e">
        <f>IF(K264="","","Q"&amp;INT((MONTH(K264)-1)/3)+1&amp;YEAR(K264)&amp;#REF!)</f>
        <v>#REF!</v>
      </c>
    </row>
    <row r="265" spans="1:40" ht="20.100000000000001" customHeight="1" x14ac:dyDescent="0.25">
      <c r="A265" s="8">
        <v>263</v>
      </c>
      <c r="B265" s="8" t="s">
        <v>399</v>
      </c>
      <c r="C265" s="8" t="s">
        <v>1997</v>
      </c>
      <c r="D265" s="8" t="s">
        <v>2416</v>
      </c>
      <c r="E265" s="8" t="s">
        <v>1998</v>
      </c>
      <c r="F265" s="183" t="s">
        <v>2222</v>
      </c>
      <c r="G265" s="183"/>
      <c r="H265" s="183" t="s">
        <v>2424</v>
      </c>
      <c r="I265" s="183" t="s">
        <v>579</v>
      </c>
      <c r="J265" s="183"/>
      <c r="K265" s="184">
        <v>46041</v>
      </c>
      <c r="L265" s="183">
        <v>70</v>
      </c>
      <c r="M265" s="185" t="str">
        <f>IF(phc_8[[#This Row],[Register No.]]="","",C265&amp;"-"&amp;D265&amp;"-"&amp;"BHA-PHC-"&amp;phc_8[[#This Row],[Register No.]])</f>
        <v>Shining Star-Mobile Clinic-BHA-PHC-70</v>
      </c>
      <c r="N265" s="9" t="s">
        <v>401</v>
      </c>
      <c r="O265" s="183" t="s">
        <v>3552</v>
      </c>
      <c r="P265" s="183">
        <v>62</v>
      </c>
      <c r="Q265" s="183"/>
      <c r="R265" s="183"/>
      <c r="S265" s="186" t="str">
        <f t="shared" si="10"/>
        <v>50 yrs +</v>
      </c>
      <c r="T265" s="183" t="s">
        <v>402</v>
      </c>
      <c r="U265" s="183" t="s">
        <v>3398</v>
      </c>
      <c r="V265" s="183" t="s">
        <v>3557</v>
      </c>
      <c r="W265" s="183" t="s">
        <v>2003</v>
      </c>
      <c r="X265" s="183" t="s">
        <v>181</v>
      </c>
      <c r="Y265" s="186" t="str">
        <f>INDEX(info!$Y$2:$Y$192,MATCH(phc_8[[#This Row],[Sub_Category]],info!$X$2:$X$192,0))</f>
        <v>Chronic medical disease</v>
      </c>
      <c r="Z265" s="186" t="str">
        <f t="array" ref="Z265">INDEX(info!$AA$2:$AA$192,MATCH(PHC!$X265&amp;PHC!$Y265,info!$X$2:$X$192&amp;info!$Y$2:$Y$192,0))</f>
        <v>Non-communicable disease</v>
      </c>
      <c r="AA265" s="183" t="s">
        <v>3562</v>
      </c>
      <c r="AB265" s="9" t="s">
        <v>654</v>
      </c>
      <c r="AC265" s="9" t="s">
        <v>654</v>
      </c>
      <c r="AD265" s="9" t="s">
        <v>654</v>
      </c>
      <c r="AE265" s="9" t="s">
        <v>654</v>
      </c>
      <c r="AF265" s="184"/>
      <c r="AG265" s="183"/>
      <c r="AH265" s="183"/>
      <c r="AI265" s="183"/>
      <c r="AJ265" s="183"/>
      <c r="AK265" s="9" t="s">
        <v>654</v>
      </c>
      <c r="AL265" s="183"/>
      <c r="AM265" s="186" t="str">
        <f>IF(AF265="","","Q"&amp;INT((MONTH(AF265)-1)/3)+1&amp;YEAR(AF265)&amp;#REF!&amp;T265)</f>
        <v/>
      </c>
      <c r="AN265" s="186" t="e">
        <f>IF(K265="","","Q"&amp;INT((MONTH(K265)-1)/3)+1&amp;YEAR(K265)&amp;#REF!)</f>
        <v>#REF!</v>
      </c>
    </row>
    <row r="266" spans="1:40" ht="20.100000000000001" customHeight="1" x14ac:dyDescent="0.25">
      <c r="A266" s="8">
        <v>264</v>
      </c>
      <c r="B266" s="8" t="s">
        <v>399</v>
      </c>
      <c r="C266" s="8" t="s">
        <v>1997</v>
      </c>
      <c r="D266" s="8" t="s">
        <v>2416</v>
      </c>
      <c r="E266" s="8" t="s">
        <v>1998</v>
      </c>
      <c r="F266" s="183" t="s">
        <v>2222</v>
      </c>
      <c r="G266" s="183"/>
      <c r="H266" s="183" t="s">
        <v>2424</v>
      </c>
      <c r="I266" s="183" t="s">
        <v>579</v>
      </c>
      <c r="J266" s="183"/>
      <c r="K266" s="184">
        <v>46041</v>
      </c>
      <c r="L266" s="183">
        <v>71</v>
      </c>
      <c r="M266" s="185" t="str">
        <f>IF(phc_8[[#This Row],[Register No.]]="","",C266&amp;"-"&amp;D266&amp;"-"&amp;"BHA-PHC-"&amp;phc_8[[#This Row],[Register No.]])</f>
        <v>Shining Star-Mobile Clinic-BHA-PHC-71</v>
      </c>
      <c r="N266" s="9" t="s">
        <v>401</v>
      </c>
      <c r="O266" s="183" t="s">
        <v>3022</v>
      </c>
      <c r="P266" s="183">
        <v>75</v>
      </c>
      <c r="Q266" s="183"/>
      <c r="R266" s="183"/>
      <c r="S266" s="186" t="str">
        <f t="shared" si="10"/>
        <v>50 yrs +</v>
      </c>
      <c r="T266" s="183" t="s">
        <v>402</v>
      </c>
      <c r="U266" s="183" t="s">
        <v>3398</v>
      </c>
      <c r="V266" s="183" t="s">
        <v>3567</v>
      </c>
      <c r="W266" s="183" t="s">
        <v>3572</v>
      </c>
      <c r="X266" s="183" t="s">
        <v>181</v>
      </c>
      <c r="Y266" s="186" t="str">
        <f>INDEX(info!$Y$2:$Y$192,MATCH(phc_8[[#This Row],[Sub_Category]],info!$X$2:$X$192,0))</f>
        <v>Chronic medical disease</v>
      </c>
      <c r="Z266" s="186" t="str">
        <f t="array" ref="Z266">INDEX(info!$AA$2:$AA$192,MATCH(PHC!$X266&amp;PHC!$Y266,info!$X$2:$X$192&amp;info!$Y$2:$Y$192,0))</f>
        <v>Non-communicable disease</v>
      </c>
      <c r="AA266" s="183" t="s">
        <v>3573</v>
      </c>
      <c r="AB266" s="9" t="s">
        <v>654</v>
      </c>
      <c r="AC266" s="9" t="s">
        <v>654</v>
      </c>
      <c r="AD266" s="9" t="s">
        <v>654</v>
      </c>
      <c r="AE266" s="9" t="s">
        <v>654</v>
      </c>
      <c r="AF266" s="184"/>
      <c r="AG266" s="183"/>
      <c r="AH266" s="183"/>
      <c r="AI266" s="183"/>
      <c r="AJ266" s="183"/>
      <c r="AK266" s="9" t="s">
        <v>654</v>
      </c>
      <c r="AL266" s="183"/>
      <c r="AM266" s="186" t="str">
        <f>IF(AF266="","","Q"&amp;INT((MONTH(AF266)-1)/3)+1&amp;YEAR(AF266)&amp;#REF!&amp;T266)</f>
        <v/>
      </c>
      <c r="AN266" s="186" t="e">
        <f>IF(K266="","","Q"&amp;INT((MONTH(K266)-1)/3)+1&amp;YEAR(K266)&amp;#REF!)</f>
        <v>#REF!</v>
      </c>
    </row>
    <row r="267" spans="1:40" ht="20.100000000000001" customHeight="1" x14ac:dyDescent="0.25">
      <c r="A267" s="8">
        <v>265</v>
      </c>
      <c r="B267" s="8" t="s">
        <v>399</v>
      </c>
      <c r="C267" s="8" t="s">
        <v>1997</v>
      </c>
      <c r="D267" s="8" t="s">
        <v>2416</v>
      </c>
      <c r="E267" s="8" t="s">
        <v>1998</v>
      </c>
      <c r="F267" s="183" t="s">
        <v>2222</v>
      </c>
      <c r="G267" s="183"/>
      <c r="H267" s="183" t="s">
        <v>2424</v>
      </c>
      <c r="I267" s="183" t="s">
        <v>579</v>
      </c>
      <c r="J267" s="183"/>
      <c r="K267" s="184">
        <v>46041</v>
      </c>
      <c r="L267" s="183">
        <v>72</v>
      </c>
      <c r="M267" s="185" t="str">
        <f>IF(phc_8[[#This Row],[Register No.]]="","",C267&amp;"-"&amp;D267&amp;"-"&amp;"BHA-PHC-"&amp;phc_8[[#This Row],[Register No.]])</f>
        <v>Shining Star-Mobile Clinic-BHA-PHC-72</v>
      </c>
      <c r="N267" s="9" t="s">
        <v>401</v>
      </c>
      <c r="O267" s="183" t="s">
        <v>3563</v>
      </c>
      <c r="P267" s="183">
        <v>75</v>
      </c>
      <c r="Q267" s="183"/>
      <c r="R267" s="183"/>
      <c r="S267" s="186" t="str">
        <f t="shared" si="10"/>
        <v>50 yrs +</v>
      </c>
      <c r="T267" s="183" t="s">
        <v>402</v>
      </c>
      <c r="U267" s="183" t="s">
        <v>3398</v>
      </c>
      <c r="V267" s="183" t="s">
        <v>3568</v>
      </c>
      <c r="W267" s="183" t="s">
        <v>2003</v>
      </c>
      <c r="X267" s="183" t="s">
        <v>181</v>
      </c>
      <c r="Y267" s="186" t="str">
        <f>INDEX(info!$Y$2:$Y$192,MATCH(phc_8[[#This Row],[Sub_Category]],info!$X$2:$X$192,0))</f>
        <v>Chronic medical disease</v>
      </c>
      <c r="Z267" s="186" t="str">
        <f t="array" ref="Z267">INDEX(info!$AA$2:$AA$192,MATCH(PHC!$X267&amp;PHC!$Y267,info!$X$2:$X$192&amp;info!$Y$2:$Y$192,0))</f>
        <v>Non-communicable disease</v>
      </c>
      <c r="AA267" s="183" t="s">
        <v>3574</v>
      </c>
      <c r="AB267" s="9" t="s">
        <v>654</v>
      </c>
      <c r="AC267" s="9" t="s">
        <v>654</v>
      </c>
      <c r="AD267" s="9" t="s">
        <v>654</v>
      </c>
      <c r="AE267" s="9" t="s">
        <v>654</v>
      </c>
      <c r="AF267" s="184"/>
      <c r="AG267" s="183"/>
      <c r="AH267" s="183"/>
      <c r="AI267" s="183"/>
      <c r="AJ267" s="183"/>
      <c r="AK267" s="9" t="s">
        <v>654</v>
      </c>
      <c r="AL267" s="183"/>
      <c r="AM267" s="186" t="str">
        <f>IF(AF267="","","Q"&amp;INT((MONTH(AF267)-1)/3)+1&amp;YEAR(AF267)&amp;#REF!&amp;T267)</f>
        <v/>
      </c>
      <c r="AN267" s="186" t="e">
        <f>IF(K267="","","Q"&amp;INT((MONTH(K267)-1)/3)+1&amp;YEAR(K267)&amp;#REF!)</f>
        <v>#REF!</v>
      </c>
    </row>
    <row r="268" spans="1:40" ht="20.100000000000001" customHeight="1" x14ac:dyDescent="0.25">
      <c r="A268" s="8">
        <v>266</v>
      </c>
      <c r="B268" s="8" t="s">
        <v>399</v>
      </c>
      <c r="C268" s="8" t="s">
        <v>1997</v>
      </c>
      <c r="D268" s="8" t="s">
        <v>2416</v>
      </c>
      <c r="E268" s="8" t="s">
        <v>1998</v>
      </c>
      <c r="F268" s="183" t="s">
        <v>2222</v>
      </c>
      <c r="G268" s="183"/>
      <c r="H268" s="183" t="s">
        <v>2424</v>
      </c>
      <c r="I268" s="183" t="s">
        <v>579</v>
      </c>
      <c r="J268" s="183"/>
      <c r="K268" s="184">
        <v>46041</v>
      </c>
      <c r="L268" s="183">
        <v>73</v>
      </c>
      <c r="M268" s="185" t="str">
        <f>IF(phc_8[[#This Row],[Register No.]]="","",C268&amp;"-"&amp;D268&amp;"-"&amp;"BHA-PHC-"&amp;phc_8[[#This Row],[Register No.]])</f>
        <v>Shining Star-Mobile Clinic-BHA-PHC-73</v>
      </c>
      <c r="N268" s="9" t="s">
        <v>401</v>
      </c>
      <c r="O268" s="183" t="s">
        <v>3564</v>
      </c>
      <c r="P268" s="183">
        <v>31</v>
      </c>
      <c r="Q268" s="183"/>
      <c r="R268" s="183"/>
      <c r="S268" s="186" t="str">
        <f t="shared" si="10"/>
        <v>19 - 49 yrs</v>
      </c>
      <c r="T268" s="183" t="s">
        <v>603</v>
      </c>
      <c r="U268" s="183" t="s">
        <v>3398</v>
      </c>
      <c r="V268" s="183" t="s">
        <v>3569</v>
      </c>
      <c r="W268" s="183" t="s">
        <v>3195</v>
      </c>
      <c r="X268" s="183"/>
      <c r="Y268" s="186" t="e">
        <f>INDEX(info!$Y$2:$Y$192,MATCH(phc_8[[#This Row],[Sub_Category]],info!$X$2:$X$192,0))</f>
        <v>#N/A</v>
      </c>
      <c r="Z268" s="186" t="e">
        <f t="array" ref="Z268">INDEX(info!$AA$2:$AA$192,MATCH(PHC!$X268&amp;PHC!$Y268,info!$X$2:$X$192&amp;info!$Y$2:$Y$192,0))</f>
        <v>#N/A</v>
      </c>
      <c r="AA268" s="183" t="s">
        <v>3575</v>
      </c>
      <c r="AB268" s="9" t="s">
        <v>654</v>
      </c>
      <c r="AC268" s="9" t="s">
        <v>654</v>
      </c>
      <c r="AD268" s="9" t="s">
        <v>654</v>
      </c>
      <c r="AE268" s="9" t="s">
        <v>654</v>
      </c>
      <c r="AF268" s="184"/>
      <c r="AG268" s="183"/>
      <c r="AH268" s="183"/>
      <c r="AI268" s="183"/>
      <c r="AJ268" s="183"/>
      <c r="AK268" s="9" t="s">
        <v>654</v>
      </c>
      <c r="AL268" s="183"/>
      <c r="AM268" s="186" t="str">
        <f>IF(AF268="","","Q"&amp;INT((MONTH(AF268)-1)/3)+1&amp;YEAR(AF268)&amp;#REF!&amp;T268)</f>
        <v/>
      </c>
      <c r="AN268" s="186" t="e">
        <f>IF(K268="","","Q"&amp;INT((MONTH(K268)-1)/3)+1&amp;YEAR(K268)&amp;#REF!)</f>
        <v>#REF!</v>
      </c>
    </row>
    <row r="269" spans="1:40" ht="20.100000000000001" customHeight="1" x14ac:dyDescent="0.25">
      <c r="A269" s="8">
        <v>267</v>
      </c>
      <c r="B269" s="8" t="s">
        <v>399</v>
      </c>
      <c r="C269" s="8" t="s">
        <v>1997</v>
      </c>
      <c r="D269" s="8" t="s">
        <v>2416</v>
      </c>
      <c r="E269" s="8" t="s">
        <v>1998</v>
      </c>
      <c r="F269" s="183" t="s">
        <v>2222</v>
      </c>
      <c r="G269" s="183"/>
      <c r="H269" s="183" t="s">
        <v>2424</v>
      </c>
      <c r="I269" s="183" t="s">
        <v>579</v>
      </c>
      <c r="J269" s="183"/>
      <c r="K269" s="184">
        <v>46041</v>
      </c>
      <c r="L269" s="183">
        <v>74</v>
      </c>
      <c r="M269" s="185" t="str">
        <f>IF(phc_8[[#This Row],[Register No.]]="","",C269&amp;"-"&amp;D269&amp;"-"&amp;"BHA-PHC-"&amp;phc_8[[#This Row],[Register No.]])</f>
        <v>Shining Star-Mobile Clinic-BHA-PHC-74</v>
      </c>
      <c r="N269" s="9" t="s">
        <v>401</v>
      </c>
      <c r="O269" s="183" t="s">
        <v>3565</v>
      </c>
      <c r="P269" s="183">
        <v>36</v>
      </c>
      <c r="Q269" s="183"/>
      <c r="R269" s="183"/>
      <c r="S269" s="186" t="str">
        <f t="shared" si="10"/>
        <v>19 - 49 yrs</v>
      </c>
      <c r="T269" s="183" t="s">
        <v>603</v>
      </c>
      <c r="U269" s="183" t="s">
        <v>3398</v>
      </c>
      <c r="V269" s="183" t="s">
        <v>3570</v>
      </c>
      <c r="W269" s="183" t="s">
        <v>3105</v>
      </c>
      <c r="X269" s="183" t="s">
        <v>3105</v>
      </c>
      <c r="Y269" s="186" t="str">
        <f>INDEX(info!$Y$2:$Y$192,MATCH(phc_8[[#This Row],[Sub_Category]],info!$X$2:$X$192,0))</f>
        <v>Chronic medical disease</v>
      </c>
      <c r="Z269" s="186" t="str">
        <f t="array" ref="Z269">INDEX(info!$AA$2:$AA$192,MATCH(PHC!$X269&amp;PHC!$Y269,info!$X$2:$X$192&amp;info!$Y$2:$Y$192,0))</f>
        <v>Non-communicable disease</v>
      </c>
      <c r="AA269" s="183" t="s">
        <v>2164</v>
      </c>
      <c r="AB269" s="9" t="s">
        <v>654</v>
      </c>
      <c r="AC269" s="9" t="s">
        <v>654</v>
      </c>
      <c r="AD269" s="9" t="s">
        <v>654</v>
      </c>
      <c r="AE269" s="9" t="s">
        <v>654</v>
      </c>
      <c r="AF269" s="184"/>
      <c r="AG269" s="183"/>
      <c r="AH269" s="183"/>
      <c r="AI269" s="183"/>
      <c r="AJ269" s="183"/>
      <c r="AK269" s="9" t="s">
        <v>654</v>
      </c>
      <c r="AL269" s="183"/>
      <c r="AM269" s="186" t="str">
        <f>IF(AF269="","","Q"&amp;INT((MONTH(AF269)-1)/3)+1&amp;YEAR(AF269)&amp;#REF!&amp;T269)</f>
        <v/>
      </c>
      <c r="AN269" s="186" t="e">
        <f>IF(K269="","","Q"&amp;INT((MONTH(K269)-1)/3)+1&amp;YEAR(K269)&amp;#REF!)</f>
        <v>#REF!</v>
      </c>
    </row>
    <row r="270" spans="1:40" ht="20.100000000000001" customHeight="1" x14ac:dyDescent="0.25">
      <c r="A270" s="8">
        <v>268</v>
      </c>
      <c r="B270" s="8" t="s">
        <v>399</v>
      </c>
      <c r="C270" s="8" t="s">
        <v>1997</v>
      </c>
      <c r="D270" s="8" t="s">
        <v>2416</v>
      </c>
      <c r="E270" s="8" t="s">
        <v>1998</v>
      </c>
      <c r="F270" s="183" t="s">
        <v>2222</v>
      </c>
      <c r="G270" s="183"/>
      <c r="H270" s="183" t="s">
        <v>2424</v>
      </c>
      <c r="I270" s="183" t="s">
        <v>579</v>
      </c>
      <c r="J270" s="183"/>
      <c r="K270" s="184">
        <v>46041</v>
      </c>
      <c r="L270" s="183">
        <v>75</v>
      </c>
      <c r="M270" s="185" t="str">
        <f>IF(phc_8[[#This Row],[Register No.]]="","",C270&amp;"-"&amp;D270&amp;"-"&amp;"BHA-PHC-"&amp;phc_8[[#This Row],[Register No.]])</f>
        <v>Shining Star-Mobile Clinic-BHA-PHC-75</v>
      </c>
      <c r="N270" s="9" t="s">
        <v>401</v>
      </c>
      <c r="O270" s="183" t="s">
        <v>3566</v>
      </c>
      <c r="P270" s="183">
        <v>60</v>
      </c>
      <c r="Q270" s="183"/>
      <c r="R270" s="183"/>
      <c r="S270" s="186" t="str">
        <f t="shared" si="10"/>
        <v>50 yrs +</v>
      </c>
      <c r="T270" s="183" t="s">
        <v>603</v>
      </c>
      <c r="U270" s="183" t="s">
        <v>3398</v>
      </c>
      <c r="V270" s="183" t="s">
        <v>3571</v>
      </c>
      <c r="W270" s="183" t="s">
        <v>2059</v>
      </c>
      <c r="X270" s="183" t="s">
        <v>242</v>
      </c>
      <c r="Y270" s="186" t="str">
        <f>INDEX(info!$Y$2:$Y$192,MATCH(phc_8[[#This Row],[Sub_Category]],info!$X$2:$X$192,0))</f>
        <v>Accident/minor sugical and injuries</v>
      </c>
      <c r="Z270" s="186" t="str">
        <f t="array" ref="Z270">INDEX(info!$AA$2:$AA$192,MATCH(PHC!$X270&amp;PHC!$Y270,info!$X$2:$X$192&amp;info!$Y$2:$Y$192,0))</f>
        <v>Injury related</v>
      </c>
      <c r="AA270" s="183" t="s">
        <v>3298</v>
      </c>
      <c r="AB270" s="9" t="s">
        <v>654</v>
      </c>
      <c r="AC270" s="9" t="s">
        <v>654</v>
      </c>
      <c r="AD270" s="9" t="s">
        <v>654</v>
      </c>
      <c r="AE270" s="9" t="s">
        <v>654</v>
      </c>
      <c r="AF270" s="184"/>
      <c r="AG270" s="183"/>
      <c r="AH270" s="183"/>
      <c r="AI270" s="183"/>
      <c r="AJ270" s="183"/>
      <c r="AK270" s="9" t="s">
        <v>654</v>
      </c>
      <c r="AL270" s="183"/>
      <c r="AM270" s="186" t="str">
        <f>IF(AF270="","","Q"&amp;INT((MONTH(AF270)-1)/3)+1&amp;YEAR(AF270)&amp;#REF!&amp;T270)</f>
        <v/>
      </c>
      <c r="AN270" s="186" t="e">
        <f>IF(K270="","","Q"&amp;INT((MONTH(K270)-1)/3)+1&amp;YEAR(K270)&amp;#REF!)</f>
        <v>#REF!</v>
      </c>
    </row>
    <row r="271" spans="1:40" ht="20.100000000000001" customHeight="1" x14ac:dyDescent="0.25">
      <c r="A271" s="8">
        <v>269</v>
      </c>
      <c r="B271" s="8" t="s">
        <v>399</v>
      </c>
      <c r="C271" s="8" t="s">
        <v>1997</v>
      </c>
      <c r="D271" s="8" t="s">
        <v>2416</v>
      </c>
      <c r="E271" s="8" t="s">
        <v>1998</v>
      </c>
      <c r="F271" s="183" t="s">
        <v>2222</v>
      </c>
      <c r="G271" s="183"/>
      <c r="H271" s="183" t="s">
        <v>2424</v>
      </c>
      <c r="I271" s="183" t="s">
        <v>579</v>
      </c>
      <c r="J271" s="183"/>
      <c r="K271" s="184">
        <v>46041</v>
      </c>
      <c r="L271" s="183">
        <v>76</v>
      </c>
      <c r="M271" s="185" t="str">
        <f>IF(phc_8[[#This Row],[Register No.]]="","",C271&amp;"-"&amp;D271&amp;"-"&amp;"BHA-PHC-"&amp;phc_8[[#This Row],[Register No.]])</f>
        <v>Shining Star-Mobile Clinic-BHA-PHC-76</v>
      </c>
      <c r="N271" s="9" t="s">
        <v>401</v>
      </c>
      <c r="O271" s="183" t="s">
        <v>3576</v>
      </c>
      <c r="P271" s="183">
        <v>45</v>
      </c>
      <c r="Q271" s="183"/>
      <c r="R271" s="183"/>
      <c r="S271" s="186" t="str">
        <f t="shared" si="10"/>
        <v>19 - 49 yrs</v>
      </c>
      <c r="T271" s="183" t="s">
        <v>603</v>
      </c>
      <c r="U271" s="183" t="s">
        <v>3398</v>
      </c>
      <c r="V271" s="183" t="s">
        <v>3580</v>
      </c>
      <c r="W271" s="183" t="s">
        <v>3583</v>
      </c>
      <c r="X271" s="183" t="s">
        <v>206</v>
      </c>
      <c r="Y271" s="186" t="str">
        <f>INDEX(info!$Y$2:$Y$192,MATCH(phc_8[[#This Row],[Sub_Category]],info!$X$2:$X$192,0))</f>
        <v>Ear problem/disease</v>
      </c>
      <c r="Z271" s="186" t="str">
        <f t="array" ref="Z271">INDEX(info!$AA$2:$AA$192,MATCH(PHC!$X271&amp;PHC!$Y271,info!$X$2:$X$192&amp;info!$Y$2:$Y$192,0))</f>
        <v>Non-communicable disease</v>
      </c>
      <c r="AA271" s="183" t="s">
        <v>3585</v>
      </c>
      <c r="AB271" s="9" t="s">
        <v>654</v>
      </c>
      <c r="AC271" s="9" t="s">
        <v>654</v>
      </c>
      <c r="AD271" s="9" t="s">
        <v>654</v>
      </c>
      <c r="AE271" s="9" t="s">
        <v>654</v>
      </c>
      <c r="AF271" s="184"/>
      <c r="AG271" s="183"/>
      <c r="AH271" s="183"/>
      <c r="AI271" s="183"/>
      <c r="AJ271" s="183"/>
      <c r="AK271" s="9" t="s">
        <v>654</v>
      </c>
      <c r="AL271" s="183"/>
      <c r="AM271" s="186" t="str">
        <f>IF(AF271="","","Q"&amp;INT((MONTH(AF271)-1)/3)+1&amp;YEAR(AF271)&amp;#REF!&amp;T271)</f>
        <v/>
      </c>
      <c r="AN271" s="186" t="e">
        <f>IF(K271="","","Q"&amp;INT((MONTH(K271)-1)/3)+1&amp;YEAR(K271)&amp;#REF!)</f>
        <v>#REF!</v>
      </c>
    </row>
    <row r="272" spans="1:40" ht="20.100000000000001" customHeight="1" x14ac:dyDescent="0.25">
      <c r="A272" s="8">
        <v>270</v>
      </c>
      <c r="B272" s="8" t="s">
        <v>399</v>
      </c>
      <c r="C272" s="8" t="s">
        <v>1997</v>
      </c>
      <c r="D272" s="8" t="s">
        <v>2416</v>
      </c>
      <c r="E272" s="8" t="s">
        <v>1998</v>
      </c>
      <c r="F272" s="183" t="s">
        <v>2222</v>
      </c>
      <c r="G272" s="183"/>
      <c r="H272" s="183" t="s">
        <v>2424</v>
      </c>
      <c r="I272" s="183" t="s">
        <v>579</v>
      </c>
      <c r="J272" s="183"/>
      <c r="K272" s="184">
        <v>46041</v>
      </c>
      <c r="L272" s="183">
        <v>77</v>
      </c>
      <c r="M272" s="185" t="str">
        <f>IF(phc_8[[#This Row],[Register No.]]="","",C272&amp;"-"&amp;D272&amp;"-"&amp;"BHA-PHC-"&amp;phc_8[[#This Row],[Register No.]])</f>
        <v>Shining Star-Mobile Clinic-BHA-PHC-77</v>
      </c>
      <c r="N272" s="9" t="s">
        <v>401</v>
      </c>
      <c r="O272" s="183" t="s">
        <v>3577</v>
      </c>
      <c r="P272" s="183">
        <v>38</v>
      </c>
      <c r="Q272" s="183"/>
      <c r="R272" s="183"/>
      <c r="S272" s="186" t="str">
        <f t="shared" si="10"/>
        <v>19 - 49 yrs</v>
      </c>
      <c r="T272" s="183" t="s">
        <v>603</v>
      </c>
      <c r="U272" s="183" t="s">
        <v>3398</v>
      </c>
      <c r="V272" s="183" t="s">
        <v>3346</v>
      </c>
      <c r="W272" s="183" t="s">
        <v>2059</v>
      </c>
      <c r="X272" s="183" t="s">
        <v>242</v>
      </c>
      <c r="Y272" s="186" t="str">
        <f>INDEX(info!$Y$2:$Y$192,MATCH(phc_8[[#This Row],[Sub_Category]],info!$X$2:$X$192,0))</f>
        <v>Accident/minor sugical and injuries</v>
      </c>
      <c r="Z272" s="186" t="str">
        <f t="array" ref="Z272">INDEX(info!$AA$2:$AA$192,MATCH(PHC!$X272&amp;PHC!$Y272,info!$X$2:$X$192&amp;info!$Y$2:$Y$192,0))</f>
        <v>Injury related</v>
      </c>
      <c r="AA272" s="183" t="s">
        <v>3586</v>
      </c>
      <c r="AB272" s="9" t="s">
        <v>654</v>
      </c>
      <c r="AC272" s="9" t="s">
        <v>654</v>
      </c>
      <c r="AD272" s="9" t="s">
        <v>654</v>
      </c>
      <c r="AE272" s="9" t="s">
        <v>654</v>
      </c>
      <c r="AF272" s="184"/>
      <c r="AG272" s="183"/>
      <c r="AH272" s="183"/>
      <c r="AI272" s="183"/>
      <c r="AJ272" s="183"/>
      <c r="AK272" s="9" t="s">
        <v>654</v>
      </c>
      <c r="AL272" s="183"/>
      <c r="AM272" s="186" t="str">
        <f>IF(AF272="","","Q"&amp;INT((MONTH(AF272)-1)/3)+1&amp;YEAR(AF272)&amp;#REF!&amp;T272)</f>
        <v/>
      </c>
      <c r="AN272" s="186" t="e">
        <f>IF(K272="","","Q"&amp;INT((MONTH(K272)-1)/3)+1&amp;YEAR(K272)&amp;#REF!)</f>
        <v>#REF!</v>
      </c>
    </row>
    <row r="273" spans="1:40" ht="20.100000000000001" customHeight="1" x14ac:dyDescent="0.25">
      <c r="A273" s="8">
        <v>271</v>
      </c>
      <c r="B273" s="8" t="s">
        <v>399</v>
      </c>
      <c r="C273" s="8" t="s">
        <v>1997</v>
      </c>
      <c r="D273" s="8" t="s">
        <v>2416</v>
      </c>
      <c r="E273" s="8" t="s">
        <v>1998</v>
      </c>
      <c r="F273" s="183" t="s">
        <v>2222</v>
      </c>
      <c r="G273" s="183"/>
      <c r="H273" s="183" t="s">
        <v>2424</v>
      </c>
      <c r="I273" s="183" t="s">
        <v>579</v>
      </c>
      <c r="J273" s="183"/>
      <c r="K273" s="184">
        <v>46041</v>
      </c>
      <c r="L273" s="183">
        <v>78</v>
      </c>
      <c r="M273" s="185" t="str">
        <f>IF(phc_8[[#This Row],[Register No.]]="","",C273&amp;"-"&amp;D273&amp;"-"&amp;"BHA-PHC-"&amp;phc_8[[#This Row],[Register No.]])</f>
        <v>Shining Star-Mobile Clinic-BHA-PHC-78</v>
      </c>
      <c r="N273" s="9" t="s">
        <v>401</v>
      </c>
      <c r="O273" s="183" t="s">
        <v>2992</v>
      </c>
      <c r="P273" s="183">
        <v>47</v>
      </c>
      <c r="Q273" s="183"/>
      <c r="R273" s="183"/>
      <c r="S273" s="186" t="str">
        <f t="shared" si="10"/>
        <v>19 - 49 yrs</v>
      </c>
      <c r="T273" s="183" t="s">
        <v>603</v>
      </c>
      <c r="U273" s="183" t="s">
        <v>3398</v>
      </c>
      <c r="V273" s="183" t="s">
        <v>3581</v>
      </c>
      <c r="W273" s="183" t="s">
        <v>294</v>
      </c>
      <c r="X273" s="183" t="s">
        <v>294</v>
      </c>
      <c r="Y273" s="186" t="str">
        <f>INDEX(info!$Y$2:$Y$192,MATCH(phc_8[[#This Row],[Sub_Category]],info!$X$2:$X$192,0))</f>
        <v>Other (non-communicable)</v>
      </c>
      <c r="Z273" s="186" t="str">
        <f t="array" ref="Z273">INDEX(info!$AA$2:$AA$192,MATCH(PHC!$X273&amp;PHC!$Y273,info!$X$2:$X$192&amp;info!$Y$2:$Y$192,0))</f>
        <v>Other</v>
      </c>
      <c r="AA273" s="183" t="s">
        <v>3587</v>
      </c>
      <c r="AB273" s="9" t="s">
        <v>654</v>
      </c>
      <c r="AC273" s="9" t="s">
        <v>654</v>
      </c>
      <c r="AD273" s="9" t="s">
        <v>654</v>
      </c>
      <c r="AE273" s="9" t="s">
        <v>654</v>
      </c>
      <c r="AF273" s="184"/>
      <c r="AG273" s="183"/>
      <c r="AH273" s="183"/>
      <c r="AI273" s="183"/>
      <c r="AJ273" s="183"/>
      <c r="AK273" s="9" t="s">
        <v>654</v>
      </c>
      <c r="AL273" s="183"/>
      <c r="AM273" s="186" t="str">
        <f>IF(AF273="","","Q"&amp;INT((MONTH(AF273)-1)/3)+1&amp;YEAR(AF273)&amp;#REF!&amp;T273)</f>
        <v/>
      </c>
      <c r="AN273" s="186" t="e">
        <f>IF(K273="","","Q"&amp;INT((MONTH(K273)-1)/3)+1&amp;YEAR(K273)&amp;#REF!)</f>
        <v>#REF!</v>
      </c>
    </row>
    <row r="274" spans="1:40" ht="20.100000000000001" customHeight="1" x14ac:dyDescent="0.25">
      <c r="A274" s="8">
        <v>272</v>
      </c>
      <c r="B274" s="8" t="s">
        <v>399</v>
      </c>
      <c r="C274" s="8" t="s">
        <v>1997</v>
      </c>
      <c r="D274" s="8" t="s">
        <v>2416</v>
      </c>
      <c r="E274" s="8" t="s">
        <v>1998</v>
      </c>
      <c r="F274" s="183" t="s">
        <v>2222</v>
      </c>
      <c r="G274" s="183"/>
      <c r="H274" s="183" t="s">
        <v>2424</v>
      </c>
      <c r="I274" s="183" t="s">
        <v>579</v>
      </c>
      <c r="J274" s="183"/>
      <c r="K274" s="184">
        <v>46041</v>
      </c>
      <c r="L274" s="183">
        <v>79</v>
      </c>
      <c r="M274" s="185" t="str">
        <f>IF(phc_8[[#This Row],[Register No.]]="","",C274&amp;"-"&amp;D274&amp;"-"&amp;"BHA-PHC-"&amp;phc_8[[#This Row],[Register No.]])</f>
        <v>Shining Star-Mobile Clinic-BHA-PHC-79</v>
      </c>
      <c r="N274" s="9" t="s">
        <v>401</v>
      </c>
      <c r="O274" s="183" t="s">
        <v>3578</v>
      </c>
      <c r="P274" s="183">
        <v>52</v>
      </c>
      <c r="Q274" s="183"/>
      <c r="R274" s="183"/>
      <c r="S274" s="186" t="str">
        <f t="shared" si="10"/>
        <v>50 yrs +</v>
      </c>
      <c r="T274" s="183" t="s">
        <v>603</v>
      </c>
      <c r="U274" s="183" t="s">
        <v>3398</v>
      </c>
      <c r="V274" s="183" t="s">
        <v>3582</v>
      </c>
      <c r="W274" s="183"/>
      <c r="X274" s="183"/>
      <c r="Y274" s="186" t="e">
        <f>INDEX(info!$Y$2:$Y$192,MATCH(phc_8[[#This Row],[Sub_Category]],info!$X$2:$X$192,0))</f>
        <v>#N/A</v>
      </c>
      <c r="Z274" s="186" t="e">
        <f t="array" ref="Z274">INDEX(info!$AA$2:$AA$192,MATCH(PHC!$X274&amp;PHC!$Y274,info!$X$2:$X$192&amp;info!$Y$2:$Y$192,0))</f>
        <v>#N/A</v>
      </c>
      <c r="AA274" s="183" t="s">
        <v>3588</v>
      </c>
      <c r="AB274" s="9" t="s">
        <v>654</v>
      </c>
      <c r="AC274" s="9" t="s">
        <v>654</v>
      </c>
      <c r="AD274" s="9" t="s">
        <v>654</v>
      </c>
      <c r="AE274" s="9" t="s">
        <v>654</v>
      </c>
      <c r="AF274" s="184"/>
      <c r="AG274" s="183"/>
      <c r="AH274" s="183"/>
      <c r="AI274" s="183"/>
      <c r="AJ274" s="183"/>
      <c r="AK274" s="9" t="s">
        <v>654</v>
      </c>
      <c r="AL274" s="183"/>
      <c r="AM274" s="186" t="str">
        <f>IF(AF274="","","Q"&amp;INT((MONTH(AF274)-1)/3)+1&amp;YEAR(AF274)&amp;#REF!&amp;T274)</f>
        <v/>
      </c>
      <c r="AN274" s="186" t="e">
        <f>IF(K274="","","Q"&amp;INT((MONTH(K274)-1)/3)+1&amp;YEAR(K274)&amp;#REF!)</f>
        <v>#REF!</v>
      </c>
    </row>
    <row r="275" spans="1:40" ht="20.100000000000001" customHeight="1" x14ac:dyDescent="0.25">
      <c r="A275" s="8">
        <v>273</v>
      </c>
      <c r="B275" s="8" t="s">
        <v>399</v>
      </c>
      <c r="C275" s="8" t="s">
        <v>1997</v>
      </c>
      <c r="D275" s="8" t="s">
        <v>2416</v>
      </c>
      <c r="E275" s="8" t="s">
        <v>1998</v>
      </c>
      <c r="F275" s="183" t="s">
        <v>2222</v>
      </c>
      <c r="G275" s="183"/>
      <c r="H275" s="183" t="s">
        <v>2424</v>
      </c>
      <c r="I275" s="183" t="s">
        <v>579</v>
      </c>
      <c r="J275" s="183"/>
      <c r="K275" s="184">
        <v>46041</v>
      </c>
      <c r="L275" s="183">
        <v>80</v>
      </c>
      <c r="M275" s="185" t="str">
        <f>IF(phc_8[[#This Row],[Register No.]]="","",C275&amp;"-"&amp;D275&amp;"-"&amp;"BHA-PHC-"&amp;phc_8[[#This Row],[Register No.]])</f>
        <v>Shining Star-Mobile Clinic-BHA-PHC-80</v>
      </c>
      <c r="N275" s="9" t="s">
        <v>401</v>
      </c>
      <c r="O275" s="183" t="s">
        <v>3579</v>
      </c>
      <c r="P275" s="183">
        <v>57</v>
      </c>
      <c r="Q275" s="183"/>
      <c r="R275" s="183"/>
      <c r="S275" s="186" t="str">
        <f t="shared" si="10"/>
        <v>50 yrs +</v>
      </c>
      <c r="T275" s="183" t="s">
        <v>402</v>
      </c>
      <c r="U275" s="183" t="s">
        <v>3398</v>
      </c>
      <c r="V275" s="183" t="s">
        <v>3368</v>
      </c>
      <c r="W275" s="183" t="s">
        <v>2059</v>
      </c>
      <c r="X275" s="183" t="s">
        <v>242</v>
      </c>
      <c r="Y275" s="186" t="str">
        <f>INDEX(info!$Y$2:$Y$192,MATCH(phc_8[[#This Row],[Sub_Category]],info!$X$2:$X$192,0))</f>
        <v>Accident/minor sugical and injuries</v>
      </c>
      <c r="Z275" s="186" t="str">
        <f t="array" ref="Z275">INDEX(info!$AA$2:$AA$192,MATCH(PHC!$X275&amp;PHC!$Y275,info!$X$2:$X$192&amp;info!$Y$2:$Y$192,0))</f>
        <v>Injury related</v>
      </c>
      <c r="AA275" s="183" t="s">
        <v>2178</v>
      </c>
      <c r="AB275" s="9" t="s">
        <v>654</v>
      </c>
      <c r="AC275" s="9" t="s">
        <v>654</v>
      </c>
      <c r="AD275" s="9" t="s">
        <v>654</v>
      </c>
      <c r="AE275" s="9" t="s">
        <v>654</v>
      </c>
      <c r="AF275" s="184"/>
      <c r="AG275" s="183"/>
      <c r="AH275" s="183"/>
      <c r="AI275" s="183"/>
      <c r="AJ275" s="183"/>
      <c r="AK275" s="9" t="s">
        <v>654</v>
      </c>
      <c r="AL275" s="183"/>
      <c r="AM275" s="186" t="str">
        <f>IF(AF275="","","Q"&amp;INT((MONTH(AF275)-1)/3)+1&amp;YEAR(AF275)&amp;#REF!&amp;T275)</f>
        <v/>
      </c>
      <c r="AN275" s="186" t="e">
        <f>IF(K275="","","Q"&amp;INT((MONTH(K275)-1)/3)+1&amp;YEAR(K275)&amp;#REF!)</f>
        <v>#REF!</v>
      </c>
    </row>
    <row r="276" spans="1:40" ht="20.100000000000001" customHeight="1" x14ac:dyDescent="0.25">
      <c r="A276" s="8">
        <v>274</v>
      </c>
      <c r="B276" s="8" t="s">
        <v>399</v>
      </c>
      <c r="C276" s="8" t="s">
        <v>1997</v>
      </c>
      <c r="D276" s="8" t="s">
        <v>2416</v>
      </c>
      <c r="E276" s="8" t="s">
        <v>1998</v>
      </c>
      <c r="F276" s="183" t="s">
        <v>2222</v>
      </c>
      <c r="G276" s="183"/>
      <c r="H276" s="183" t="s">
        <v>2424</v>
      </c>
      <c r="I276" s="183" t="s">
        <v>579</v>
      </c>
      <c r="J276" s="183"/>
      <c r="K276" s="184">
        <v>46041</v>
      </c>
      <c r="L276" s="183">
        <v>81</v>
      </c>
      <c r="M276" s="185" t="str">
        <f>IF(phc_8[[#This Row],[Register No.]]="","",C276&amp;"-"&amp;D276&amp;"-"&amp;"BHA-PHC-"&amp;phc_8[[#This Row],[Register No.]])</f>
        <v>Shining Star-Mobile Clinic-BHA-PHC-81</v>
      </c>
      <c r="N276" s="9" t="s">
        <v>401</v>
      </c>
      <c r="O276" s="183" t="s">
        <v>3589</v>
      </c>
      <c r="P276" s="183">
        <v>40</v>
      </c>
      <c r="Q276" s="183"/>
      <c r="R276" s="183"/>
      <c r="S276" s="186" t="str">
        <f t="shared" si="10"/>
        <v>19 - 49 yrs</v>
      </c>
      <c r="T276" s="183" t="s">
        <v>603</v>
      </c>
      <c r="U276" s="183" t="s">
        <v>3398</v>
      </c>
      <c r="V276" s="183" t="s">
        <v>3581</v>
      </c>
      <c r="W276" s="183" t="s">
        <v>3597</v>
      </c>
      <c r="X276" s="183" t="s">
        <v>181</v>
      </c>
      <c r="Y276" s="186" t="str">
        <f>INDEX(info!$Y$2:$Y$192,MATCH(phc_8[[#This Row],[Sub_Category]],info!$X$2:$X$192,0))</f>
        <v>Chronic medical disease</v>
      </c>
      <c r="Z276" s="186" t="str">
        <f t="array" ref="Z276">INDEX(info!$AA$2:$AA$192,MATCH(PHC!$X276&amp;PHC!$Y276,info!$X$2:$X$192&amp;info!$Y$2:$Y$192,0))</f>
        <v>Non-communicable disease</v>
      </c>
      <c r="AA276" s="183" t="s">
        <v>3598</v>
      </c>
      <c r="AB276" s="9" t="s">
        <v>654</v>
      </c>
      <c r="AC276" s="9" t="s">
        <v>654</v>
      </c>
      <c r="AD276" s="9" t="s">
        <v>654</v>
      </c>
      <c r="AE276" s="9" t="s">
        <v>654</v>
      </c>
      <c r="AF276" s="184"/>
      <c r="AG276" s="183"/>
      <c r="AH276" s="183"/>
      <c r="AI276" s="183"/>
      <c r="AJ276" s="183"/>
      <c r="AK276" s="9" t="s">
        <v>654</v>
      </c>
      <c r="AL276" s="183"/>
      <c r="AM276" s="186" t="str">
        <f>IF(AF276="","","Q"&amp;INT((MONTH(AF276)-1)/3)+1&amp;YEAR(AF276)&amp;#REF!&amp;T276)</f>
        <v/>
      </c>
      <c r="AN276" s="186" t="e">
        <f>IF(K276="","","Q"&amp;INT((MONTH(K276)-1)/3)+1&amp;YEAR(K276)&amp;#REF!)</f>
        <v>#REF!</v>
      </c>
    </row>
    <row r="277" spans="1:40" ht="20.100000000000001" customHeight="1" x14ac:dyDescent="0.25">
      <c r="A277" s="8">
        <v>275</v>
      </c>
      <c r="B277" s="8" t="s">
        <v>399</v>
      </c>
      <c r="C277" s="8" t="s">
        <v>1997</v>
      </c>
      <c r="D277" s="8" t="s">
        <v>2416</v>
      </c>
      <c r="E277" s="8" t="s">
        <v>1998</v>
      </c>
      <c r="F277" s="183" t="s">
        <v>2222</v>
      </c>
      <c r="G277" s="183"/>
      <c r="H277" s="183" t="s">
        <v>2424</v>
      </c>
      <c r="I277" s="183" t="s">
        <v>579</v>
      </c>
      <c r="J277" s="183"/>
      <c r="K277" s="184">
        <v>46041</v>
      </c>
      <c r="L277" s="183">
        <v>82</v>
      </c>
      <c r="M277" s="185" t="str">
        <f>IF(phc_8[[#This Row],[Register No.]]="","",C277&amp;"-"&amp;D277&amp;"-"&amp;"BHA-PHC-"&amp;phc_8[[#This Row],[Register No.]])</f>
        <v>Shining Star-Mobile Clinic-BHA-PHC-82</v>
      </c>
      <c r="N277" s="9" t="s">
        <v>401</v>
      </c>
      <c r="O277" s="183" t="s">
        <v>3590</v>
      </c>
      <c r="P277" s="183">
        <v>48</v>
      </c>
      <c r="Q277" s="183"/>
      <c r="R277" s="183"/>
      <c r="S277" s="186" t="str">
        <f t="shared" ref="S277:S308" si="11">IF(AND(ISBLANK(P277),ISBLANK(Q277),ISBLANK(R277))," ",
IF(OR(P277&lt;5,AND(P277=" ",Q277&lt;&gt;" ",R277&lt;&gt;" ")),"&lt;5 yrs",
IF(AND(P277&gt;=5,P277&lt;=14),"5 - 14 yrs",
IF(AND(P277&gt;=15,P277&lt;=18),"15 - 18 yrs",
IF(AND(P277&gt;=19,P277&lt;=49),"19 - 49 yrs","50 yrs +")))))</f>
        <v>19 - 49 yrs</v>
      </c>
      <c r="T277" s="183" t="s">
        <v>402</v>
      </c>
      <c r="U277" s="183" t="s">
        <v>3398</v>
      </c>
      <c r="V277" s="183" t="s">
        <v>3594</v>
      </c>
      <c r="W277" s="183" t="s">
        <v>2003</v>
      </c>
      <c r="X277" s="183" t="s">
        <v>181</v>
      </c>
      <c r="Y277" s="186" t="str">
        <f>INDEX(info!$Y$2:$Y$192,MATCH(phc_8[[#This Row],[Sub_Category]],info!$X$2:$X$192,0))</f>
        <v>Chronic medical disease</v>
      </c>
      <c r="Z277" s="186" t="str">
        <f t="array" ref="Z277">INDEX(info!$AA$2:$AA$192,MATCH(PHC!$X277&amp;PHC!$Y277,info!$X$2:$X$192&amp;info!$Y$2:$Y$192,0))</f>
        <v>Non-communicable disease</v>
      </c>
      <c r="AA277" s="183" t="s">
        <v>3599</v>
      </c>
      <c r="AB277" s="9" t="s">
        <v>654</v>
      </c>
      <c r="AC277" s="9" t="s">
        <v>654</v>
      </c>
      <c r="AD277" s="9" t="s">
        <v>654</v>
      </c>
      <c r="AE277" s="9" t="s">
        <v>654</v>
      </c>
      <c r="AF277" s="184"/>
      <c r="AG277" s="183"/>
      <c r="AH277" s="183"/>
      <c r="AI277" s="183"/>
      <c r="AJ277" s="183"/>
      <c r="AK277" s="9" t="s">
        <v>654</v>
      </c>
      <c r="AL277" s="183"/>
      <c r="AM277" s="186" t="str">
        <f>IF(AF277="","","Q"&amp;INT((MONTH(AF277)-1)/3)+1&amp;YEAR(AF277)&amp;#REF!&amp;T277)</f>
        <v/>
      </c>
      <c r="AN277" s="186" t="e">
        <f>IF(K277="","","Q"&amp;INT((MONTH(K277)-1)/3)+1&amp;YEAR(K277)&amp;#REF!)</f>
        <v>#REF!</v>
      </c>
    </row>
    <row r="278" spans="1:40" ht="20.100000000000001" customHeight="1" x14ac:dyDescent="0.25">
      <c r="A278" s="8">
        <v>276</v>
      </c>
      <c r="B278" s="8" t="s">
        <v>399</v>
      </c>
      <c r="C278" s="8" t="s">
        <v>1997</v>
      </c>
      <c r="D278" s="8" t="s">
        <v>2416</v>
      </c>
      <c r="E278" s="8" t="s">
        <v>1998</v>
      </c>
      <c r="F278" s="183" t="s">
        <v>2222</v>
      </c>
      <c r="G278" s="183"/>
      <c r="H278" s="183" t="s">
        <v>2424</v>
      </c>
      <c r="I278" s="183" t="s">
        <v>579</v>
      </c>
      <c r="J278" s="183"/>
      <c r="K278" s="184">
        <v>46041</v>
      </c>
      <c r="L278" s="183">
        <v>83</v>
      </c>
      <c r="M278" s="185" t="str">
        <f>IF(phc_8[[#This Row],[Register No.]]="","",C278&amp;"-"&amp;D278&amp;"-"&amp;"BHA-PHC-"&amp;phc_8[[#This Row],[Register No.]])</f>
        <v>Shining Star-Mobile Clinic-BHA-PHC-83</v>
      </c>
      <c r="N278" s="9" t="s">
        <v>401</v>
      </c>
      <c r="O278" s="183" t="s">
        <v>3591</v>
      </c>
      <c r="P278" s="183">
        <v>29</v>
      </c>
      <c r="Q278" s="183"/>
      <c r="R278" s="183"/>
      <c r="S278" s="186" t="str">
        <f t="shared" si="11"/>
        <v>19 - 49 yrs</v>
      </c>
      <c r="T278" s="183" t="s">
        <v>603</v>
      </c>
      <c r="U278" s="183" t="s">
        <v>3398</v>
      </c>
      <c r="V278" s="183" t="s">
        <v>3447</v>
      </c>
      <c r="W278" s="183" t="s">
        <v>3197</v>
      </c>
      <c r="X278" s="183"/>
      <c r="Y278" s="186" t="e">
        <f>INDEX(info!$Y$2:$Y$192,MATCH(phc_8[[#This Row],[Sub_Category]],info!$X$2:$X$192,0))</f>
        <v>#N/A</v>
      </c>
      <c r="Z278" s="186" t="e">
        <f t="array" ref="Z278">INDEX(info!$AA$2:$AA$192,MATCH(PHC!$X278&amp;PHC!$Y278,info!$X$2:$X$192&amp;info!$Y$2:$Y$192,0))</f>
        <v>#N/A</v>
      </c>
      <c r="AA278" s="183" t="s">
        <v>3600</v>
      </c>
      <c r="AB278" s="9" t="s">
        <v>654</v>
      </c>
      <c r="AC278" s="9" t="s">
        <v>654</v>
      </c>
      <c r="AD278" s="9" t="s">
        <v>654</v>
      </c>
      <c r="AE278" s="9" t="s">
        <v>654</v>
      </c>
      <c r="AF278" s="184"/>
      <c r="AG278" s="183"/>
      <c r="AH278" s="183"/>
      <c r="AI278" s="183"/>
      <c r="AJ278" s="183"/>
      <c r="AK278" s="9" t="s">
        <v>654</v>
      </c>
      <c r="AL278" s="183"/>
      <c r="AM278" s="186" t="str">
        <f>IF(AF278="","","Q"&amp;INT((MONTH(AF278)-1)/3)+1&amp;YEAR(AF278)&amp;#REF!&amp;T278)</f>
        <v/>
      </c>
      <c r="AN278" s="186" t="e">
        <f>IF(K278="","","Q"&amp;INT((MONTH(K278)-1)/3)+1&amp;YEAR(K278)&amp;#REF!)</f>
        <v>#REF!</v>
      </c>
    </row>
    <row r="279" spans="1:40" ht="20.100000000000001" customHeight="1" x14ac:dyDescent="0.25">
      <c r="A279" s="8">
        <v>277</v>
      </c>
      <c r="B279" s="8" t="s">
        <v>399</v>
      </c>
      <c r="C279" s="8" t="s">
        <v>1997</v>
      </c>
      <c r="D279" s="8" t="s">
        <v>2416</v>
      </c>
      <c r="E279" s="8" t="s">
        <v>1998</v>
      </c>
      <c r="F279" s="183" t="s">
        <v>2222</v>
      </c>
      <c r="G279" s="183"/>
      <c r="H279" s="183" t="s">
        <v>2424</v>
      </c>
      <c r="I279" s="183" t="s">
        <v>579</v>
      </c>
      <c r="J279" s="183"/>
      <c r="K279" s="184">
        <v>46041</v>
      </c>
      <c r="L279" s="183">
        <v>84</v>
      </c>
      <c r="M279" s="185" t="str">
        <f>IF(phc_8[[#This Row],[Register No.]]="","",C279&amp;"-"&amp;D279&amp;"-"&amp;"BHA-PHC-"&amp;phc_8[[#This Row],[Register No.]])</f>
        <v>Shining Star-Mobile Clinic-BHA-PHC-84</v>
      </c>
      <c r="N279" s="9" t="s">
        <v>401</v>
      </c>
      <c r="O279" s="183" t="s">
        <v>3592</v>
      </c>
      <c r="P279" s="183">
        <v>8</v>
      </c>
      <c r="Q279" s="183"/>
      <c r="R279" s="183"/>
      <c r="S279" s="186" t="str">
        <f t="shared" si="11"/>
        <v>5 - 14 yrs</v>
      </c>
      <c r="T279" s="183" t="s">
        <v>402</v>
      </c>
      <c r="U279" s="183" t="s">
        <v>3398</v>
      </c>
      <c r="V279" s="183" t="s">
        <v>3595</v>
      </c>
      <c r="W279" s="183" t="s">
        <v>3249</v>
      </c>
      <c r="X279" s="183" t="s">
        <v>196</v>
      </c>
      <c r="Y279" s="186" t="str">
        <f>INDEX(info!$Y$2:$Y$192,MATCH(phc_8[[#This Row],[Sub_Category]],info!$X$2:$X$192,0))</f>
        <v>Skin infection/disease</v>
      </c>
      <c r="Z279" s="186" t="str">
        <f t="array" ref="Z279">INDEX(info!$AA$2:$AA$192,MATCH(PHC!$X279&amp;PHC!$Y279,info!$X$2:$X$192&amp;info!$Y$2:$Y$192,0))</f>
        <v>Non-communicable disease</v>
      </c>
      <c r="AA279" s="183" t="s">
        <v>3601</v>
      </c>
      <c r="AB279" s="9" t="s">
        <v>654</v>
      </c>
      <c r="AC279" s="9" t="s">
        <v>654</v>
      </c>
      <c r="AD279" s="9" t="s">
        <v>654</v>
      </c>
      <c r="AE279" s="9" t="s">
        <v>654</v>
      </c>
      <c r="AF279" s="184"/>
      <c r="AG279" s="183"/>
      <c r="AH279" s="183"/>
      <c r="AI279" s="183"/>
      <c r="AJ279" s="183"/>
      <c r="AK279" s="9" t="s">
        <v>654</v>
      </c>
      <c r="AL279" s="183"/>
      <c r="AM279" s="186" t="str">
        <f>IF(AF279="","","Q"&amp;INT((MONTH(AF279)-1)/3)+1&amp;YEAR(AF279)&amp;#REF!&amp;T279)</f>
        <v/>
      </c>
      <c r="AN279" s="186" t="e">
        <f>IF(K279="","","Q"&amp;INT((MONTH(K279)-1)/3)+1&amp;YEAR(K279)&amp;#REF!)</f>
        <v>#REF!</v>
      </c>
    </row>
    <row r="280" spans="1:40" ht="20.100000000000001" customHeight="1" x14ac:dyDescent="0.25">
      <c r="A280" s="8">
        <v>278</v>
      </c>
      <c r="B280" s="8" t="s">
        <v>399</v>
      </c>
      <c r="C280" s="8" t="s">
        <v>1997</v>
      </c>
      <c r="D280" s="8" t="s">
        <v>2416</v>
      </c>
      <c r="E280" s="8" t="s">
        <v>1998</v>
      </c>
      <c r="F280" s="183" t="s">
        <v>2222</v>
      </c>
      <c r="G280" s="183"/>
      <c r="H280" s="183" t="s">
        <v>2424</v>
      </c>
      <c r="I280" s="183" t="s">
        <v>579</v>
      </c>
      <c r="J280" s="183"/>
      <c r="K280" s="184">
        <v>46041</v>
      </c>
      <c r="L280" s="183">
        <v>85</v>
      </c>
      <c r="M280" s="185" t="str">
        <f>IF(phc_8[[#This Row],[Register No.]]="","",C280&amp;"-"&amp;D280&amp;"-"&amp;"BHA-PHC-"&amp;phc_8[[#This Row],[Register No.]])</f>
        <v>Shining Star-Mobile Clinic-BHA-PHC-85</v>
      </c>
      <c r="N280" s="9" t="s">
        <v>401</v>
      </c>
      <c r="O280" s="183" t="s">
        <v>3593</v>
      </c>
      <c r="P280" s="183">
        <v>57</v>
      </c>
      <c r="Q280" s="183"/>
      <c r="R280" s="183"/>
      <c r="S280" s="186" t="str">
        <f t="shared" si="11"/>
        <v>50 yrs +</v>
      </c>
      <c r="T280" s="183" t="s">
        <v>603</v>
      </c>
      <c r="U280" s="183" t="s">
        <v>3398</v>
      </c>
      <c r="V280" s="183" t="s">
        <v>3596</v>
      </c>
      <c r="W280" s="183" t="s">
        <v>3210</v>
      </c>
      <c r="X280" s="183" t="s">
        <v>216</v>
      </c>
      <c r="Y280" s="186" t="str">
        <f>INDEX(info!$Y$2:$Y$192,MATCH(phc_8[[#This Row],[Sub_Category]],info!$X$2:$X$192,0))</f>
        <v>Eye problem/disease</v>
      </c>
      <c r="Z280" s="186" t="str">
        <f t="array" ref="Z280">INDEX(info!$AA$2:$AA$192,MATCH(PHC!$X280&amp;PHC!$Y280,info!$X$2:$X$192&amp;info!$Y$2:$Y$192,0))</f>
        <v>Non-communicable disease</v>
      </c>
      <c r="AA280" s="183" t="s">
        <v>3602</v>
      </c>
      <c r="AB280" s="9" t="s">
        <v>654</v>
      </c>
      <c r="AC280" s="9" t="s">
        <v>654</v>
      </c>
      <c r="AD280" s="9" t="s">
        <v>654</v>
      </c>
      <c r="AE280" s="9" t="s">
        <v>654</v>
      </c>
      <c r="AF280" s="184"/>
      <c r="AG280" s="183"/>
      <c r="AH280" s="183"/>
      <c r="AI280" s="183"/>
      <c r="AJ280" s="183"/>
      <c r="AK280" s="9" t="s">
        <v>654</v>
      </c>
      <c r="AL280" s="183"/>
      <c r="AM280" s="186" t="str">
        <f>IF(AF280="","","Q"&amp;INT((MONTH(AF280)-1)/3)+1&amp;YEAR(AF280)&amp;#REF!&amp;T280)</f>
        <v/>
      </c>
      <c r="AN280" s="186" t="e">
        <f>IF(K280="","","Q"&amp;INT((MONTH(K280)-1)/3)+1&amp;YEAR(K280)&amp;#REF!)</f>
        <v>#REF!</v>
      </c>
    </row>
    <row r="281" spans="1:40" ht="20.100000000000001" customHeight="1" x14ac:dyDescent="0.25">
      <c r="A281" s="8">
        <v>279</v>
      </c>
      <c r="B281" s="8" t="s">
        <v>399</v>
      </c>
      <c r="C281" s="8" t="s">
        <v>1997</v>
      </c>
      <c r="D281" s="8" t="s">
        <v>2416</v>
      </c>
      <c r="E281" s="8" t="s">
        <v>1998</v>
      </c>
      <c r="F281" s="183" t="s">
        <v>2222</v>
      </c>
      <c r="G281" s="183"/>
      <c r="H281" s="183" t="s">
        <v>2424</v>
      </c>
      <c r="I281" s="183" t="s">
        <v>579</v>
      </c>
      <c r="J281" s="183"/>
      <c r="K281" s="184">
        <v>46041</v>
      </c>
      <c r="L281" s="183">
        <v>86</v>
      </c>
      <c r="M281" s="185" t="str">
        <f>IF(phc_8[[#This Row],[Register No.]]="","",C281&amp;"-"&amp;D281&amp;"-"&amp;"BHA-PHC-"&amp;phc_8[[#This Row],[Register No.]])</f>
        <v>Shining Star-Mobile Clinic-BHA-PHC-86</v>
      </c>
      <c r="N281" s="9" t="s">
        <v>401</v>
      </c>
      <c r="O281" s="183" t="s">
        <v>3603</v>
      </c>
      <c r="P281" s="183">
        <v>36</v>
      </c>
      <c r="Q281" s="183"/>
      <c r="R281" s="183"/>
      <c r="S281" s="186" t="str">
        <f t="shared" si="11"/>
        <v>19 - 49 yrs</v>
      </c>
      <c r="T281" s="183" t="s">
        <v>603</v>
      </c>
      <c r="U281" s="183" t="s">
        <v>3398</v>
      </c>
      <c r="V281" s="183" t="s">
        <v>2788</v>
      </c>
      <c r="W281" s="183" t="s">
        <v>3611</v>
      </c>
      <c r="X281" s="183" t="s">
        <v>213</v>
      </c>
      <c r="Y281" s="186" t="str">
        <f>INDEX(info!$Y$2:$Y$192,MATCH(phc_8[[#This Row],[Sub_Category]],info!$X$2:$X$192,0))</f>
        <v>Other</v>
      </c>
      <c r="Z281" s="186" t="str">
        <f t="array" ref="Z281">INDEX(info!$AA$2:$AA$192,MATCH(PHC!$X281&amp;PHC!$Y281,info!$X$2:$X$192&amp;info!$Y$2:$Y$192,0))</f>
        <v>Other</v>
      </c>
      <c r="AA281" s="183" t="s">
        <v>3610</v>
      </c>
      <c r="AB281" s="9" t="s">
        <v>654</v>
      </c>
      <c r="AC281" s="9" t="s">
        <v>654</v>
      </c>
      <c r="AD281" s="9" t="s">
        <v>654</v>
      </c>
      <c r="AE281" s="9" t="s">
        <v>654</v>
      </c>
      <c r="AF281" s="184"/>
      <c r="AG281" s="183"/>
      <c r="AH281" s="183"/>
      <c r="AI281" s="183"/>
      <c r="AJ281" s="183"/>
      <c r="AK281" s="9" t="s">
        <v>654</v>
      </c>
      <c r="AL281" s="183"/>
      <c r="AM281" s="186" t="str">
        <f>IF(AF281="","","Q"&amp;INT((MONTH(AF281)-1)/3)+1&amp;YEAR(AF281)&amp;#REF!&amp;T281)</f>
        <v/>
      </c>
      <c r="AN281" s="186" t="e">
        <f>IF(K281="","","Q"&amp;INT((MONTH(K281)-1)/3)+1&amp;YEAR(K281)&amp;#REF!)</f>
        <v>#REF!</v>
      </c>
    </row>
    <row r="282" spans="1:40" ht="20.100000000000001" customHeight="1" x14ac:dyDescent="0.25">
      <c r="A282" s="8">
        <v>280</v>
      </c>
      <c r="B282" s="8" t="s">
        <v>399</v>
      </c>
      <c r="C282" s="8" t="s">
        <v>1997</v>
      </c>
      <c r="D282" s="8" t="s">
        <v>2416</v>
      </c>
      <c r="E282" s="8" t="s">
        <v>1998</v>
      </c>
      <c r="F282" s="183" t="s">
        <v>2222</v>
      </c>
      <c r="G282" s="183"/>
      <c r="H282" s="183" t="s">
        <v>2424</v>
      </c>
      <c r="I282" s="183" t="s">
        <v>579</v>
      </c>
      <c r="J282" s="183"/>
      <c r="K282" s="184">
        <v>46041</v>
      </c>
      <c r="L282" s="183">
        <v>87</v>
      </c>
      <c r="M282" s="185" t="str">
        <f>IF(phc_8[[#This Row],[Register No.]]="","",C282&amp;"-"&amp;D282&amp;"-"&amp;"BHA-PHC-"&amp;phc_8[[#This Row],[Register No.]])</f>
        <v>Shining Star-Mobile Clinic-BHA-PHC-87</v>
      </c>
      <c r="N282" s="9" t="s">
        <v>401</v>
      </c>
      <c r="O282" s="183" t="s">
        <v>3604</v>
      </c>
      <c r="P282" s="183">
        <v>49</v>
      </c>
      <c r="Q282" s="183"/>
      <c r="R282" s="183"/>
      <c r="S282" s="186" t="str">
        <f t="shared" si="11"/>
        <v>19 - 49 yrs</v>
      </c>
      <c r="T282" s="183" t="s">
        <v>603</v>
      </c>
      <c r="U282" s="183" t="s">
        <v>3398</v>
      </c>
      <c r="V282" s="183" t="s">
        <v>3608</v>
      </c>
      <c r="W282" s="183" t="s">
        <v>225</v>
      </c>
      <c r="X282" s="183" t="s">
        <v>225</v>
      </c>
      <c r="Y282" s="186" t="str">
        <f>INDEX(info!$Y$2:$Y$192,MATCH(phc_8[[#This Row],[Sub_Category]],info!$X$2:$X$192,0))</f>
        <v>GI problem</v>
      </c>
      <c r="Z282" s="186" t="str">
        <f t="array" ref="Z282">INDEX(info!$AA$2:$AA$192,MATCH(PHC!$X282&amp;PHC!$Y282,info!$X$2:$X$192&amp;info!$Y$2:$Y$192,0))</f>
        <v>Non-communicable disease</v>
      </c>
      <c r="AA282" s="183" t="s">
        <v>3612</v>
      </c>
      <c r="AB282" s="9" t="s">
        <v>654</v>
      </c>
      <c r="AC282" s="9" t="s">
        <v>654</v>
      </c>
      <c r="AD282" s="9" t="s">
        <v>654</v>
      </c>
      <c r="AE282" s="9" t="s">
        <v>654</v>
      </c>
      <c r="AF282" s="184"/>
      <c r="AG282" s="183"/>
      <c r="AH282" s="183"/>
      <c r="AI282" s="183"/>
      <c r="AJ282" s="183"/>
      <c r="AK282" s="9" t="s">
        <v>654</v>
      </c>
      <c r="AL282" s="183"/>
      <c r="AM282" s="186" t="str">
        <f>IF(AF282="","","Q"&amp;INT((MONTH(AF282)-1)/3)+1&amp;YEAR(AF282)&amp;#REF!&amp;T282)</f>
        <v/>
      </c>
      <c r="AN282" s="186" t="e">
        <f>IF(K282="","","Q"&amp;INT((MONTH(K282)-1)/3)+1&amp;YEAR(K282)&amp;#REF!)</f>
        <v>#REF!</v>
      </c>
    </row>
    <row r="283" spans="1:40" ht="20.100000000000001" customHeight="1" x14ac:dyDescent="0.25">
      <c r="A283" s="8">
        <v>281</v>
      </c>
      <c r="B283" s="8" t="s">
        <v>399</v>
      </c>
      <c r="C283" s="8" t="s">
        <v>1997</v>
      </c>
      <c r="D283" s="8" t="s">
        <v>2416</v>
      </c>
      <c r="E283" s="8" t="s">
        <v>1998</v>
      </c>
      <c r="F283" s="183" t="s">
        <v>2222</v>
      </c>
      <c r="G283" s="183"/>
      <c r="H283" s="183" t="s">
        <v>2424</v>
      </c>
      <c r="I283" s="183" t="s">
        <v>579</v>
      </c>
      <c r="J283" s="183"/>
      <c r="K283" s="184">
        <v>46041</v>
      </c>
      <c r="L283" s="183">
        <v>88</v>
      </c>
      <c r="M283" s="185" t="str">
        <f>IF(phc_8[[#This Row],[Register No.]]="","",C283&amp;"-"&amp;D283&amp;"-"&amp;"BHA-PHC-"&amp;phc_8[[#This Row],[Register No.]])</f>
        <v>Shining Star-Mobile Clinic-BHA-PHC-88</v>
      </c>
      <c r="N283" s="9" t="s">
        <v>401</v>
      </c>
      <c r="O283" s="183" t="s">
        <v>3605</v>
      </c>
      <c r="P283" s="183">
        <v>58</v>
      </c>
      <c r="Q283" s="183"/>
      <c r="R283" s="183"/>
      <c r="S283" s="186" t="str">
        <f t="shared" si="11"/>
        <v>50 yrs +</v>
      </c>
      <c r="T283" s="183" t="s">
        <v>402</v>
      </c>
      <c r="U283" s="183" t="s">
        <v>3398</v>
      </c>
      <c r="V283" s="183" t="s">
        <v>3246</v>
      </c>
      <c r="W283" s="183" t="s">
        <v>294</v>
      </c>
      <c r="X283" s="183" t="s">
        <v>294</v>
      </c>
      <c r="Y283" s="186" t="str">
        <f>INDEX(info!$Y$2:$Y$192,MATCH(phc_8[[#This Row],[Sub_Category]],info!$X$2:$X$192,0))</f>
        <v>Other (non-communicable)</v>
      </c>
      <c r="Z283" s="186" t="str">
        <f t="array" ref="Z283">INDEX(info!$AA$2:$AA$192,MATCH(PHC!$X283&amp;PHC!$Y283,info!$X$2:$X$192&amp;info!$Y$2:$Y$192,0))</f>
        <v>Other</v>
      </c>
      <c r="AA283" s="183" t="s">
        <v>3613</v>
      </c>
      <c r="AB283" s="9" t="s">
        <v>654</v>
      </c>
      <c r="AC283" s="9" t="s">
        <v>654</v>
      </c>
      <c r="AD283" s="9" t="s">
        <v>654</v>
      </c>
      <c r="AE283" s="9" t="s">
        <v>654</v>
      </c>
      <c r="AF283" s="184"/>
      <c r="AG283" s="183"/>
      <c r="AH283" s="183"/>
      <c r="AI283" s="183"/>
      <c r="AJ283" s="183"/>
      <c r="AK283" s="9" t="s">
        <v>654</v>
      </c>
      <c r="AL283" s="183"/>
      <c r="AM283" s="186" t="str">
        <f>IF(AF283="","","Q"&amp;INT((MONTH(AF283)-1)/3)+1&amp;YEAR(AF283)&amp;#REF!&amp;T283)</f>
        <v/>
      </c>
      <c r="AN283" s="186" t="e">
        <f>IF(K283="","","Q"&amp;INT((MONTH(K283)-1)/3)+1&amp;YEAR(K283)&amp;#REF!)</f>
        <v>#REF!</v>
      </c>
    </row>
    <row r="284" spans="1:40" ht="20.100000000000001" customHeight="1" x14ac:dyDescent="0.25">
      <c r="A284" s="8">
        <v>282</v>
      </c>
      <c r="B284" s="8" t="s">
        <v>399</v>
      </c>
      <c r="C284" s="8" t="s">
        <v>1997</v>
      </c>
      <c r="D284" s="8" t="s">
        <v>2416</v>
      </c>
      <c r="E284" s="8" t="s">
        <v>1998</v>
      </c>
      <c r="F284" s="183" t="s">
        <v>2222</v>
      </c>
      <c r="G284" s="183"/>
      <c r="H284" s="183" t="s">
        <v>2424</v>
      </c>
      <c r="I284" s="183" t="s">
        <v>579</v>
      </c>
      <c r="J284" s="183"/>
      <c r="K284" s="184">
        <v>46041</v>
      </c>
      <c r="L284" s="183">
        <v>89</v>
      </c>
      <c r="M284" s="185" t="str">
        <f>IF(phc_8[[#This Row],[Register No.]]="","",C284&amp;"-"&amp;D284&amp;"-"&amp;"BHA-PHC-"&amp;phc_8[[#This Row],[Register No.]])</f>
        <v>Shining Star-Mobile Clinic-BHA-PHC-89</v>
      </c>
      <c r="N284" s="9" t="s">
        <v>401</v>
      </c>
      <c r="O284" s="183" t="s">
        <v>3606</v>
      </c>
      <c r="P284" s="183"/>
      <c r="Q284" s="183">
        <v>3</v>
      </c>
      <c r="R284" s="183"/>
      <c r="S284" s="186" t="str">
        <f t="shared" si="11"/>
        <v>&lt;5 yrs</v>
      </c>
      <c r="T284" s="183" t="s">
        <v>402</v>
      </c>
      <c r="U284" s="183" t="s">
        <v>3398</v>
      </c>
      <c r="V284" s="183" t="s">
        <v>3609</v>
      </c>
      <c r="W284" s="183" t="s">
        <v>3079</v>
      </c>
      <c r="X284" s="183" t="s">
        <v>113</v>
      </c>
      <c r="Y284" s="186" t="str">
        <f>INDEX(info!$Y$2:$Y$192,MATCH(phc_8[[#This Row],[Sub_Category]],info!$X$2:$X$192,0))</f>
        <v>ARI/RTI</v>
      </c>
      <c r="Z284" s="186" t="str">
        <f t="array" ref="Z284">INDEX(info!$AA$2:$AA$192,MATCH(PHC!$X284&amp;PHC!$Y284,info!$X$2:$X$192&amp;info!$Y$2:$Y$192,0))</f>
        <v>Communicable disease</v>
      </c>
      <c r="AA284" s="183" t="s">
        <v>3614</v>
      </c>
      <c r="AB284" s="9" t="s">
        <v>654</v>
      </c>
      <c r="AC284" s="9" t="s">
        <v>654</v>
      </c>
      <c r="AD284" s="9" t="s">
        <v>654</v>
      </c>
      <c r="AE284" s="9" t="s">
        <v>654</v>
      </c>
      <c r="AF284" s="184"/>
      <c r="AG284" s="183"/>
      <c r="AH284" s="183"/>
      <c r="AI284" s="183"/>
      <c r="AJ284" s="183"/>
      <c r="AK284" s="9" t="s">
        <v>654</v>
      </c>
      <c r="AL284" s="183"/>
      <c r="AM284" s="186" t="str">
        <f>IF(AF284="","","Q"&amp;INT((MONTH(AF284)-1)/3)+1&amp;YEAR(AF284)&amp;#REF!&amp;T284)</f>
        <v/>
      </c>
      <c r="AN284" s="186" t="e">
        <f>IF(K284="","","Q"&amp;INT((MONTH(K284)-1)/3)+1&amp;YEAR(K284)&amp;#REF!)</f>
        <v>#REF!</v>
      </c>
    </row>
    <row r="285" spans="1:40" ht="20.100000000000001" customHeight="1" x14ac:dyDescent="0.25">
      <c r="A285" s="8">
        <v>283</v>
      </c>
      <c r="B285" s="8" t="s">
        <v>399</v>
      </c>
      <c r="C285" s="8" t="s">
        <v>1997</v>
      </c>
      <c r="D285" s="8" t="s">
        <v>2416</v>
      </c>
      <c r="E285" s="8" t="s">
        <v>1998</v>
      </c>
      <c r="F285" s="183" t="s">
        <v>2222</v>
      </c>
      <c r="G285" s="183"/>
      <c r="H285" s="183" t="s">
        <v>2424</v>
      </c>
      <c r="I285" s="183" t="s">
        <v>579</v>
      </c>
      <c r="J285" s="183"/>
      <c r="K285" s="184">
        <v>46041</v>
      </c>
      <c r="L285" s="183">
        <v>90</v>
      </c>
      <c r="M285" s="185" t="str">
        <f>IF(phc_8[[#This Row],[Register No.]]="","",C285&amp;"-"&amp;D285&amp;"-"&amp;"BHA-PHC-"&amp;phc_8[[#This Row],[Register No.]])</f>
        <v>Shining Star-Mobile Clinic-BHA-PHC-90</v>
      </c>
      <c r="N285" s="9" t="s">
        <v>401</v>
      </c>
      <c r="O285" s="183" t="s">
        <v>3607</v>
      </c>
      <c r="P285" s="183">
        <v>55</v>
      </c>
      <c r="Q285" s="183"/>
      <c r="R285" s="183"/>
      <c r="S285" s="186" t="str">
        <f t="shared" si="11"/>
        <v>50 yrs +</v>
      </c>
      <c r="T285" s="183" t="s">
        <v>603</v>
      </c>
      <c r="U285" s="183" t="s">
        <v>3398</v>
      </c>
      <c r="V285" s="183" t="s">
        <v>3366</v>
      </c>
      <c r="W285" s="183" t="s">
        <v>2014</v>
      </c>
      <c r="X285" s="183" t="s">
        <v>2014</v>
      </c>
      <c r="Y285" s="186" t="str">
        <f>INDEX(info!$Y$2:$Y$192,MATCH(phc_8[[#This Row],[Sub_Category]],info!$X$2:$X$192,0))</f>
        <v>Other (non-communicable)</v>
      </c>
      <c r="Z285" s="186" t="str">
        <f t="array" ref="Z285">INDEX(info!$AA$2:$AA$192,MATCH(PHC!$X285&amp;PHC!$Y285,info!$X$2:$X$192&amp;info!$Y$2:$Y$192,0))</f>
        <v>Other</v>
      </c>
      <c r="AA285" s="183" t="s">
        <v>3615</v>
      </c>
      <c r="AB285" s="9" t="s">
        <v>654</v>
      </c>
      <c r="AC285" s="9" t="s">
        <v>654</v>
      </c>
      <c r="AD285" s="9" t="s">
        <v>654</v>
      </c>
      <c r="AE285" s="9" t="s">
        <v>654</v>
      </c>
      <c r="AF285" s="184"/>
      <c r="AG285" s="183"/>
      <c r="AH285" s="183"/>
      <c r="AI285" s="183"/>
      <c r="AJ285" s="183"/>
      <c r="AK285" s="9" t="s">
        <v>654</v>
      </c>
      <c r="AL285" s="183"/>
      <c r="AM285" s="186" t="str">
        <f>IF(AF285="","","Q"&amp;INT((MONTH(AF285)-1)/3)+1&amp;YEAR(AF285)&amp;#REF!&amp;T285)</f>
        <v/>
      </c>
      <c r="AN285" s="186" t="e">
        <f>IF(K285="","","Q"&amp;INT((MONTH(K285)-1)/3)+1&amp;YEAR(K285)&amp;#REF!)</f>
        <v>#REF!</v>
      </c>
    </row>
    <row r="286" spans="1:40" ht="20.100000000000001" customHeight="1" x14ac:dyDescent="0.25">
      <c r="A286" s="8">
        <v>284</v>
      </c>
      <c r="B286" s="8" t="s">
        <v>399</v>
      </c>
      <c r="C286" s="8" t="s">
        <v>1997</v>
      </c>
      <c r="D286" s="8" t="s">
        <v>2416</v>
      </c>
      <c r="E286" s="8" t="s">
        <v>1998</v>
      </c>
      <c r="F286" s="183" t="s">
        <v>2222</v>
      </c>
      <c r="G286" s="183"/>
      <c r="H286" s="183" t="s">
        <v>2424</v>
      </c>
      <c r="I286" s="183" t="s">
        <v>579</v>
      </c>
      <c r="J286" s="183"/>
      <c r="K286" s="184">
        <v>46041</v>
      </c>
      <c r="L286" s="183">
        <v>91</v>
      </c>
      <c r="M286" s="185" t="str">
        <f>IF(phc_8[[#This Row],[Register No.]]="","",C286&amp;"-"&amp;D286&amp;"-"&amp;"BHA-PHC-"&amp;phc_8[[#This Row],[Register No.]])</f>
        <v>Shining Star-Mobile Clinic-BHA-PHC-91</v>
      </c>
      <c r="N286" s="9" t="s">
        <v>401</v>
      </c>
      <c r="O286" s="183" t="s">
        <v>3616</v>
      </c>
      <c r="P286" s="183">
        <v>68</v>
      </c>
      <c r="Q286" s="183"/>
      <c r="R286" s="183"/>
      <c r="S286" s="186" t="str">
        <f t="shared" si="11"/>
        <v>50 yrs +</v>
      </c>
      <c r="T286" s="183" t="s">
        <v>402</v>
      </c>
      <c r="U286" s="183" t="s">
        <v>3398</v>
      </c>
      <c r="V286" s="183" t="s">
        <v>3620</v>
      </c>
      <c r="W286" s="183" t="s">
        <v>178</v>
      </c>
      <c r="X286" s="183" t="s">
        <v>178</v>
      </c>
      <c r="Y286" s="186" t="str">
        <f>INDEX(info!$Y$2:$Y$192,MATCH(phc_8[[#This Row],[Sub_Category]],info!$X$2:$X$192,0))</f>
        <v>Chronic medical disease</v>
      </c>
      <c r="Z286" s="186" t="str">
        <f t="array" ref="Z286">INDEX(info!$AA$2:$AA$192,MATCH(PHC!$X286&amp;PHC!$Y286,info!$X$2:$X$192&amp;info!$Y$2:$Y$192,0))</f>
        <v>Non-communicable disease</v>
      </c>
      <c r="AA286" s="183" t="s">
        <v>3622</v>
      </c>
      <c r="AB286" s="9" t="s">
        <v>654</v>
      </c>
      <c r="AC286" s="9" t="s">
        <v>654</v>
      </c>
      <c r="AD286" s="9" t="s">
        <v>654</v>
      </c>
      <c r="AE286" s="9" t="s">
        <v>654</v>
      </c>
      <c r="AF286" s="184"/>
      <c r="AG286" s="183"/>
      <c r="AH286" s="183"/>
      <c r="AI286" s="183"/>
      <c r="AJ286" s="183"/>
      <c r="AK286" s="9" t="s">
        <v>654</v>
      </c>
      <c r="AL286" s="183"/>
      <c r="AM286" s="186" t="str">
        <f>IF(AF286="","","Q"&amp;INT((MONTH(AF286)-1)/3)+1&amp;YEAR(AF286)&amp;#REF!&amp;T286)</f>
        <v/>
      </c>
      <c r="AN286" s="186" t="e">
        <f>IF(K286="","","Q"&amp;INT((MONTH(K286)-1)/3)+1&amp;YEAR(K286)&amp;#REF!)</f>
        <v>#REF!</v>
      </c>
    </row>
    <row r="287" spans="1:40" ht="20.100000000000001" customHeight="1" x14ac:dyDescent="0.25">
      <c r="A287" s="8">
        <v>285</v>
      </c>
      <c r="B287" s="8" t="s">
        <v>399</v>
      </c>
      <c r="C287" s="8" t="s">
        <v>1997</v>
      </c>
      <c r="D287" s="8" t="s">
        <v>2416</v>
      </c>
      <c r="E287" s="8" t="s">
        <v>1998</v>
      </c>
      <c r="F287" s="183" t="s">
        <v>2222</v>
      </c>
      <c r="G287" s="183"/>
      <c r="H287" s="183" t="s">
        <v>2424</v>
      </c>
      <c r="I287" s="183" t="s">
        <v>579</v>
      </c>
      <c r="J287" s="183"/>
      <c r="K287" s="184">
        <v>46041</v>
      </c>
      <c r="L287" s="183">
        <v>92</v>
      </c>
      <c r="M287" s="185" t="str">
        <f>IF(phc_8[[#This Row],[Register No.]]="","",C287&amp;"-"&amp;D287&amp;"-"&amp;"BHA-PHC-"&amp;phc_8[[#This Row],[Register No.]])</f>
        <v>Shining Star-Mobile Clinic-BHA-PHC-92</v>
      </c>
      <c r="N287" s="9" t="s">
        <v>401</v>
      </c>
      <c r="O287" s="183" t="s">
        <v>3214</v>
      </c>
      <c r="P287" s="183">
        <v>46</v>
      </c>
      <c r="Q287" s="183"/>
      <c r="R287" s="183"/>
      <c r="S287" s="186" t="str">
        <f t="shared" si="11"/>
        <v>19 - 49 yrs</v>
      </c>
      <c r="T287" s="183" t="s">
        <v>603</v>
      </c>
      <c r="U287" s="183" t="s">
        <v>3398</v>
      </c>
      <c r="V287" s="183" t="s">
        <v>3554</v>
      </c>
      <c r="W287" s="183" t="s">
        <v>242</v>
      </c>
      <c r="X287" s="183" t="s">
        <v>242</v>
      </c>
      <c r="Y287" s="186" t="str">
        <f>INDEX(info!$Y$2:$Y$192,MATCH(phc_8[[#This Row],[Sub_Category]],info!$X$2:$X$192,0))</f>
        <v>Accident/minor sugical and injuries</v>
      </c>
      <c r="Z287" s="186" t="str">
        <f t="array" ref="Z287">INDEX(info!$AA$2:$AA$192,MATCH(PHC!$X287&amp;PHC!$Y287,info!$X$2:$X$192&amp;info!$Y$2:$Y$192,0))</f>
        <v>Injury related</v>
      </c>
      <c r="AA287" s="183" t="s">
        <v>3623</v>
      </c>
      <c r="AB287" s="9" t="s">
        <v>654</v>
      </c>
      <c r="AC287" s="9" t="s">
        <v>654</v>
      </c>
      <c r="AD287" s="9" t="s">
        <v>654</v>
      </c>
      <c r="AE287" s="9" t="s">
        <v>654</v>
      </c>
      <c r="AF287" s="184"/>
      <c r="AG287" s="183"/>
      <c r="AH287" s="183"/>
      <c r="AI287" s="183"/>
      <c r="AJ287" s="183"/>
      <c r="AK287" s="9" t="s">
        <v>654</v>
      </c>
      <c r="AL287" s="183"/>
      <c r="AM287" s="186" t="str">
        <f>IF(AF287="","","Q"&amp;INT((MONTH(AF287)-1)/3)+1&amp;YEAR(AF287)&amp;#REF!&amp;T287)</f>
        <v/>
      </c>
      <c r="AN287" s="186" t="e">
        <f>IF(K287="","","Q"&amp;INT((MONTH(K287)-1)/3)+1&amp;YEAR(K287)&amp;#REF!)</f>
        <v>#REF!</v>
      </c>
    </row>
    <row r="288" spans="1:40" ht="20.100000000000001" customHeight="1" x14ac:dyDescent="0.25">
      <c r="A288" s="8">
        <v>286</v>
      </c>
      <c r="B288" s="8" t="s">
        <v>399</v>
      </c>
      <c r="C288" s="8" t="s">
        <v>1997</v>
      </c>
      <c r="D288" s="8" t="s">
        <v>2416</v>
      </c>
      <c r="E288" s="8" t="s">
        <v>1998</v>
      </c>
      <c r="F288" s="183" t="s">
        <v>2222</v>
      </c>
      <c r="G288" s="183"/>
      <c r="H288" s="183" t="s">
        <v>2424</v>
      </c>
      <c r="I288" s="183" t="s">
        <v>579</v>
      </c>
      <c r="J288" s="183"/>
      <c r="K288" s="184">
        <v>46041</v>
      </c>
      <c r="L288" s="183">
        <v>93</v>
      </c>
      <c r="M288" s="185" t="str">
        <f>IF(phc_8[[#This Row],[Register No.]]="","",C288&amp;"-"&amp;D288&amp;"-"&amp;"BHA-PHC-"&amp;phc_8[[#This Row],[Register No.]])</f>
        <v>Shining Star-Mobile Clinic-BHA-PHC-93</v>
      </c>
      <c r="N288" s="9" t="s">
        <v>401</v>
      </c>
      <c r="O288" s="183" t="s">
        <v>3617</v>
      </c>
      <c r="P288" s="183">
        <v>36</v>
      </c>
      <c r="Q288" s="183"/>
      <c r="R288" s="183"/>
      <c r="S288" s="186" t="str">
        <f t="shared" si="11"/>
        <v>19 - 49 yrs</v>
      </c>
      <c r="T288" s="183" t="s">
        <v>402</v>
      </c>
      <c r="U288" s="183" t="s">
        <v>3398</v>
      </c>
      <c r="V288" s="183" t="s">
        <v>3218</v>
      </c>
      <c r="W288" s="183" t="s">
        <v>242</v>
      </c>
      <c r="X288" s="183" t="s">
        <v>242</v>
      </c>
      <c r="Y288" s="186" t="str">
        <f>INDEX(info!$Y$2:$Y$192,MATCH(phc_8[[#This Row],[Sub_Category]],info!$X$2:$X$192,0))</f>
        <v>Accident/minor sugical and injuries</v>
      </c>
      <c r="Z288" s="186" t="str">
        <f t="array" ref="Z288">INDEX(info!$AA$2:$AA$192,MATCH(PHC!$X288&amp;PHC!$Y288,info!$X$2:$X$192&amp;info!$Y$2:$Y$192,0))</f>
        <v>Injury related</v>
      </c>
      <c r="AA288" s="183" t="s">
        <v>3624</v>
      </c>
      <c r="AB288" s="9" t="s">
        <v>654</v>
      </c>
      <c r="AC288" s="9" t="s">
        <v>654</v>
      </c>
      <c r="AD288" s="9" t="s">
        <v>654</v>
      </c>
      <c r="AE288" s="9" t="s">
        <v>654</v>
      </c>
      <c r="AF288" s="184"/>
      <c r="AG288" s="183"/>
      <c r="AH288" s="183"/>
      <c r="AI288" s="183"/>
      <c r="AJ288" s="183"/>
      <c r="AK288" s="9" t="s">
        <v>654</v>
      </c>
      <c r="AL288" s="183"/>
      <c r="AM288" s="186" t="str">
        <f>IF(AF288="","","Q"&amp;INT((MONTH(AF288)-1)/3)+1&amp;YEAR(AF288)&amp;#REF!&amp;T288)</f>
        <v/>
      </c>
      <c r="AN288" s="186" t="e">
        <f>IF(K288="","","Q"&amp;INT((MONTH(K288)-1)/3)+1&amp;YEAR(K288)&amp;#REF!)</f>
        <v>#REF!</v>
      </c>
    </row>
    <row r="289" spans="1:40" ht="20.100000000000001" customHeight="1" x14ac:dyDescent="0.25">
      <c r="A289" s="8">
        <v>287</v>
      </c>
      <c r="B289" s="8" t="s">
        <v>399</v>
      </c>
      <c r="C289" s="8" t="s">
        <v>1997</v>
      </c>
      <c r="D289" s="8" t="s">
        <v>2416</v>
      </c>
      <c r="E289" s="8" t="s">
        <v>1998</v>
      </c>
      <c r="F289" s="183" t="s">
        <v>2222</v>
      </c>
      <c r="G289" s="183"/>
      <c r="H289" s="183" t="s">
        <v>2424</v>
      </c>
      <c r="I289" s="183" t="s">
        <v>579</v>
      </c>
      <c r="J289" s="183"/>
      <c r="K289" s="184">
        <v>46041</v>
      </c>
      <c r="L289" s="183">
        <v>94</v>
      </c>
      <c r="M289" s="185" t="str">
        <f>IF(phc_8[[#This Row],[Register No.]]="","",C289&amp;"-"&amp;D289&amp;"-"&amp;"BHA-PHC-"&amp;phc_8[[#This Row],[Register No.]])</f>
        <v>Shining Star-Mobile Clinic-BHA-PHC-94</v>
      </c>
      <c r="N289" s="9" t="s">
        <v>401</v>
      </c>
      <c r="O289" s="183" t="s">
        <v>3618</v>
      </c>
      <c r="P289" s="183">
        <v>76</v>
      </c>
      <c r="Q289" s="183"/>
      <c r="R289" s="183"/>
      <c r="S289" s="186" t="str">
        <f t="shared" si="11"/>
        <v>50 yrs +</v>
      </c>
      <c r="T289" s="183" t="s">
        <v>603</v>
      </c>
      <c r="U289" s="183" t="s">
        <v>3398</v>
      </c>
      <c r="V289" s="183" t="s">
        <v>3621</v>
      </c>
      <c r="W289" s="183" t="s">
        <v>2003</v>
      </c>
      <c r="X289" s="183" t="s">
        <v>181</v>
      </c>
      <c r="Y289" s="186" t="str">
        <f>INDEX(info!$Y$2:$Y$192,MATCH(phc_8[[#This Row],[Sub_Category]],info!$X$2:$X$192,0))</f>
        <v>Chronic medical disease</v>
      </c>
      <c r="Z289" s="186" t="str">
        <f t="array" ref="Z289">INDEX(info!$AA$2:$AA$192,MATCH(PHC!$X289&amp;PHC!$Y289,info!$X$2:$X$192&amp;info!$Y$2:$Y$192,0))</f>
        <v>Non-communicable disease</v>
      </c>
      <c r="AA289" s="183" t="s">
        <v>3625</v>
      </c>
      <c r="AB289" s="9" t="s">
        <v>654</v>
      </c>
      <c r="AC289" s="9" t="s">
        <v>654</v>
      </c>
      <c r="AD289" s="9" t="s">
        <v>654</v>
      </c>
      <c r="AE289" s="9" t="s">
        <v>654</v>
      </c>
      <c r="AF289" s="184"/>
      <c r="AG289" s="183"/>
      <c r="AH289" s="183"/>
      <c r="AI289" s="183"/>
      <c r="AJ289" s="183"/>
      <c r="AK289" s="9" t="s">
        <v>654</v>
      </c>
      <c r="AL289" s="183"/>
      <c r="AM289" s="186" t="str">
        <f>IF(AF289="","","Q"&amp;INT((MONTH(AF289)-1)/3)+1&amp;YEAR(AF289)&amp;#REF!&amp;T289)</f>
        <v/>
      </c>
      <c r="AN289" s="186" t="e">
        <f>IF(K289="","","Q"&amp;INT((MONTH(K289)-1)/3)+1&amp;YEAR(K289)&amp;#REF!)</f>
        <v>#REF!</v>
      </c>
    </row>
    <row r="290" spans="1:40" ht="20.100000000000001" customHeight="1" x14ac:dyDescent="0.25">
      <c r="A290" s="8">
        <v>288</v>
      </c>
      <c r="B290" s="8" t="s">
        <v>399</v>
      </c>
      <c r="C290" s="8" t="s">
        <v>1997</v>
      </c>
      <c r="D290" s="8" t="s">
        <v>2416</v>
      </c>
      <c r="E290" s="8" t="s">
        <v>1998</v>
      </c>
      <c r="F290" s="183" t="s">
        <v>2222</v>
      </c>
      <c r="G290" s="183"/>
      <c r="H290" s="183" t="s">
        <v>2424</v>
      </c>
      <c r="I290" s="183" t="s">
        <v>579</v>
      </c>
      <c r="J290" s="183"/>
      <c r="K290" s="184">
        <v>46041</v>
      </c>
      <c r="L290" s="183">
        <v>95</v>
      </c>
      <c r="M290" s="185" t="str">
        <f>IF(phc_8[[#This Row],[Register No.]]="","",C290&amp;"-"&amp;D290&amp;"-"&amp;"BHA-PHC-"&amp;phc_8[[#This Row],[Register No.]])</f>
        <v>Shining Star-Mobile Clinic-BHA-PHC-95</v>
      </c>
      <c r="N290" s="9" t="s">
        <v>401</v>
      </c>
      <c r="O290" s="183" t="s">
        <v>3619</v>
      </c>
      <c r="P290" s="183">
        <v>37</v>
      </c>
      <c r="Q290" s="183"/>
      <c r="R290" s="183"/>
      <c r="S290" s="186" t="str">
        <f t="shared" si="11"/>
        <v>19 - 49 yrs</v>
      </c>
      <c r="T290" s="183" t="s">
        <v>402</v>
      </c>
      <c r="U290" s="183" t="s">
        <v>3398</v>
      </c>
      <c r="V290" s="183" t="s">
        <v>2026</v>
      </c>
      <c r="W290" s="183" t="s">
        <v>3079</v>
      </c>
      <c r="X290" s="183" t="s">
        <v>113</v>
      </c>
      <c r="Y290" s="186" t="str">
        <f>INDEX(info!$Y$2:$Y$192,MATCH(phc_8[[#This Row],[Sub_Category]],info!$X$2:$X$192,0))</f>
        <v>ARI/RTI</v>
      </c>
      <c r="Z290" s="186" t="str">
        <f t="array" ref="Z290">INDEX(info!$AA$2:$AA$192,MATCH(PHC!$X290&amp;PHC!$Y290,info!$X$2:$X$192&amp;info!$Y$2:$Y$192,0))</f>
        <v>Communicable disease</v>
      </c>
      <c r="AA290" s="183" t="s">
        <v>3626</v>
      </c>
      <c r="AB290" s="9" t="s">
        <v>654</v>
      </c>
      <c r="AC290" s="9" t="s">
        <v>654</v>
      </c>
      <c r="AD290" s="9" t="s">
        <v>654</v>
      </c>
      <c r="AE290" s="9" t="s">
        <v>654</v>
      </c>
      <c r="AF290" s="184"/>
      <c r="AG290" s="183"/>
      <c r="AH290" s="183"/>
      <c r="AI290" s="183"/>
      <c r="AJ290" s="183"/>
      <c r="AK290" s="9" t="s">
        <v>654</v>
      </c>
      <c r="AL290" s="183"/>
      <c r="AM290" s="186" t="str">
        <f>IF(AF290="","","Q"&amp;INT((MONTH(AF290)-1)/3)+1&amp;YEAR(AF290)&amp;#REF!&amp;T290)</f>
        <v/>
      </c>
      <c r="AN290" s="186" t="e">
        <f>IF(K290="","","Q"&amp;INT((MONTH(K290)-1)/3)+1&amp;YEAR(K290)&amp;#REF!)</f>
        <v>#REF!</v>
      </c>
    </row>
    <row r="291" spans="1:40" ht="20.100000000000001" customHeight="1" x14ac:dyDescent="0.25">
      <c r="A291" s="8">
        <v>289</v>
      </c>
      <c r="B291" s="8" t="s">
        <v>399</v>
      </c>
      <c r="C291" s="8" t="s">
        <v>1997</v>
      </c>
      <c r="D291" s="8" t="s">
        <v>2416</v>
      </c>
      <c r="E291" s="8" t="s">
        <v>1998</v>
      </c>
      <c r="F291" s="183" t="s">
        <v>2222</v>
      </c>
      <c r="G291" s="183"/>
      <c r="H291" s="183" t="s">
        <v>2424</v>
      </c>
      <c r="I291" s="183" t="s">
        <v>579</v>
      </c>
      <c r="J291" s="183"/>
      <c r="K291" s="184">
        <v>46041</v>
      </c>
      <c r="L291" s="183">
        <v>96</v>
      </c>
      <c r="M291" s="185" t="str">
        <f>IF(phc_8[[#This Row],[Register No.]]="","",C291&amp;"-"&amp;D291&amp;"-"&amp;"BHA-PHC-"&amp;phc_8[[#This Row],[Register No.]])</f>
        <v>Shining Star-Mobile Clinic-BHA-PHC-96</v>
      </c>
      <c r="N291" s="9" t="s">
        <v>401</v>
      </c>
      <c r="O291" s="183" t="s">
        <v>3627</v>
      </c>
      <c r="P291" s="183">
        <v>39</v>
      </c>
      <c r="Q291" s="183"/>
      <c r="R291" s="183"/>
      <c r="S291" s="186" t="str">
        <f t="shared" si="11"/>
        <v>19 - 49 yrs</v>
      </c>
      <c r="T291" s="183" t="s">
        <v>603</v>
      </c>
      <c r="U291" s="183" t="s">
        <v>3398</v>
      </c>
      <c r="V291" s="183" t="s">
        <v>3631</v>
      </c>
      <c r="W291" s="183" t="s">
        <v>3182</v>
      </c>
      <c r="X291" s="183" t="s">
        <v>242</v>
      </c>
      <c r="Y291" s="186" t="str">
        <f>INDEX(info!$Y$2:$Y$192,MATCH(phc_8[[#This Row],[Sub_Category]],info!$X$2:$X$192,0))</f>
        <v>Accident/minor sugical and injuries</v>
      </c>
      <c r="Z291" s="186" t="str">
        <f t="array" ref="Z291">INDEX(info!$AA$2:$AA$192,MATCH(PHC!$X291&amp;PHC!$Y291,info!$X$2:$X$192&amp;info!$Y$2:$Y$192,0))</f>
        <v>Injury related</v>
      </c>
      <c r="AA291" s="183" t="s">
        <v>3635</v>
      </c>
      <c r="AB291" s="9" t="s">
        <v>654</v>
      </c>
      <c r="AC291" s="9" t="s">
        <v>654</v>
      </c>
      <c r="AD291" s="9" t="s">
        <v>654</v>
      </c>
      <c r="AE291" s="9" t="s">
        <v>654</v>
      </c>
      <c r="AF291" s="184"/>
      <c r="AG291" s="183"/>
      <c r="AH291" s="183"/>
      <c r="AI291" s="183"/>
      <c r="AJ291" s="183"/>
      <c r="AK291" s="9" t="s">
        <v>654</v>
      </c>
      <c r="AL291" s="183"/>
      <c r="AM291" s="186" t="str">
        <f>IF(AF291="","","Q"&amp;INT((MONTH(AF291)-1)/3)+1&amp;YEAR(AF291)&amp;#REF!&amp;T291)</f>
        <v/>
      </c>
      <c r="AN291" s="186" t="e">
        <f>IF(K291="","","Q"&amp;INT((MONTH(K291)-1)/3)+1&amp;YEAR(K291)&amp;#REF!)</f>
        <v>#REF!</v>
      </c>
    </row>
    <row r="292" spans="1:40" ht="20.100000000000001" customHeight="1" x14ac:dyDescent="0.25">
      <c r="A292" s="8">
        <v>290</v>
      </c>
      <c r="B292" s="8" t="s">
        <v>399</v>
      </c>
      <c r="C292" s="8" t="s">
        <v>1997</v>
      </c>
      <c r="D292" s="8" t="s">
        <v>2416</v>
      </c>
      <c r="E292" s="8" t="s">
        <v>1998</v>
      </c>
      <c r="F292" s="183" t="s">
        <v>2222</v>
      </c>
      <c r="G292" s="183"/>
      <c r="H292" s="183" t="s">
        <v>2424</v>
      </c>
      <c r="I292" s="183" t="s">
        <v>579</v>
      </c>
      <c r="J292" s="183"/>
      <c r="K292" s="184">
        <v>46041</v>
      </c>
      <c r="L292" s="183">
        <v>97</v>
      </c>
      <c r="M292" s="185" t="str">
        <f>IF(phc_8[[#This Row],[Register No.]]="","",C292&amp;"-"&amp;D292&amp;"-"&amp;"BHA-PHC-"&amp;phc_8[[#This Row],[Register No.]])</f>
        <v>Shining Star-Mobile Clinic-BHA-PHC-97</v>
      </c>
      <c r="N292" s="9" t="s">
        <v>401</v>
      </c>
      <c r="O292" s="183" t="s">
        <v>3628</v>
      </c>
      <c r="P292" s="183">
        <v>68</v>
      </c>
      <c r="Q292" s="183"/>
      <c r="R292" s="183"/>
      <c r="S292" s="186" t="str">
        <f t="shared" si="11"/>
        <v>50 yrs +</v>
      </c>
      <c r="T292" s="183" t="s">
        <v>402</v>
      </c>
      <c r="U292" s="183" t="s">
        <v>3398</v>
      </c>
      <c r="V292" s="183" t="s">
        <v>3608</v>
      </c>
      <c r="W292" s="183" t="s">
        <v>294</v>
      </c>
      <c r="X292" s="183" t="s">
        <v>294</v>
      </c>
      <c r="Y292" s="186" t="str">
        <f>INDEX(info!$Y$2:$Y$192,MATCH(phc_8[[#This Row],[Sub_Category]],info!$X$2:$X$192,0))</f>
        <v>Other (non-communicable)</v>
      </c>
      <c r="Z292" s="186" t="str">
        <f t="array" ref="Z292">INDEX(info!$AA$2:$AA$192,MATCH(PHC!$X292&amp;PHC!$Y292,info!$X$2:$X$192&amp;info!$Y$2:$Y$192,0))</f>
        <v>Other</v>
      </c>
      <c r="AA292" s="183" t="s">
        <v>3636</v>
      </c>
      <c r="AB292" s="9" t="s">
        <v>654</v>
      </c>
      <c r="AC292" s="9" t="s">
        <v>654</v>
      </c>
      <c r="AD292" s="9" t="s">
        <v>654</v>
      </c>
      <c r="AE292" s="9" t="s">
        <v>654</v>
      </c>
      <c r="AF292" s="184"/>
      <c r="AG292" s="183"/>
      <c r="AH292" s="183"/>
      <c r="AI292" s="183"/>
      <c r="AJ292" s="183"/>
      <c r="AK292" s="9" t="s">
        <v>654</v>
      </c>
      <c r="AL292" s="183"/>
      <c r="AM292" s="186" t="str">
        <f>IF(AF292="","","Q"&amp;INT((MONTH(AF292)-1)/3)+1&amp;YEAR(AF292)&amp;#REF!&amp;T292)</f>
        <v/>
      </c>
      <c r="AN292" s="186" t="e">
        <f>IF(K292="","","Q"&amp;INT((MONTH(K292)-1)/3)+1&amp;YEAR(K292)&amp;#REF!)</f>
        <v>#REF!</v>
      </c>
    </row>
    <row r="293" spans="1:40" ht="20.100000000000001" customHeight="1" x14ac:dyDescent="0.25">
      <c r="A293" s="8">
        <v>291</v>
      </c>
      <c r="B293" s="8" t="s">
        <v>399</v>
      </c>
      <c r="C293" s="8" t="s">
        <v>1997</v>
      </c>
      <c r="D293" s="8" t="s">
        <v>2416</v>
      </c>
      <c r="E293" s="8" t="s">
        <v>1998</v>
      </c>
      <c r="F293" s="183" t="s">
        <v>2222</v>
      </c>
      <c r="G293" s="183"/>
      <c r="H293" s="183" t="s">
        <v>2424</v>
      </c>
      <c r="I293" s="183" t="s">
        <v>579</v>
      </c>
      <c r="J293" s="183"/>
      <c r="K293" s="184">
        <v>46041</v>
      </c>
      <c r="L293" s="183">
        <v>98</v>
      </c>
      <c r="M293" s="185" t="str">
        <f>IF(phc_8[[#This Row],[Register No.]]="","",C293&amp;"-"&amp;D293&amp;"-"&amp;"BHA-PHC-"&amp;phc_8[[#This Row],[Register No.]])</f>
        <v>Shining Star-Mobile Clinic-BHA-PHC-98</v>
      </c>
      <c r="N293" s="9" t="s">
        <v>401</v>
      </c>
      <c r="O293" s="183" t="s">
        <v>3629</v>
      </c>
      <c r="P293" s="183">
        <v>45</v>
      </c>
      <c r="Q293" s="183"/>
      <c r="R293" s="183"/>
      <c r="S293" s="186" t="str">
        <f t="shared" si="11"/>
        <v>19 - 49 yrs</v>
      </c>
      <c r="T293" s="183" t="s">
        <v>603</v>
      </c>
      <c r="U293" s="183" t="s">
        <v>3398</v>
      </c>
      <c r="V293" s="183" t="s">
        <v>3632</v>
      </c>
      <c r="W293" s="183" t="s">
        <v>3372</v>
      </c>
      <c r="X293" s="183" t="s">
        <v>2014</v>
      </c>
      <c r="Y293" s="186" t="str">
        <f>INDEX(info!$Y$2:$Y$192,MATCH(phc_8[[#This Row],[Sub_Category]],info!$X$2:$X$192,0))</f>
        <v>Other (non-communicable)</v>
      </c>
      <c r="Z293" s="186" t="str">
        <f t="array" ref="Z293">INDEX(info!$AA$2:$AA$192,MATCH(PHC!$X293&amp;PHC!$Y293,info!$X$2:$X$192&amp;info!$Y$2:$Y$192,0))</f>
        <v>Other</v>
      </c>
      <c r="AA293" s="183" t="s">
        <v>3637</v>
      </c>
      <c r="AB293" s="9" t="s">
        <v>654</v>
      </c>
      <c r="AC293" s="9" t="s">
        <v>654</v>
      </c>
      <c r="AD293" s="9" t="s">
        <v>654</v>
      </c>
      <c r="AE293" s="9" t="s">
        <v>654</v>
      </c>
      <c r="AF293" s="184"/>
      <c r="AG293" s="183"/>
      <c r="AH293" s="183"/>
      <c r="AI293" s="183"/>
      <c r="AJ293" s="183"/>
      <c r="AK293" s="9" t="s">
        <v>654</v>
      </c>
      <c r="AL293" s="183"/>
      <c r="AM293" s="186" t="str">
        <f>IF(AF293="","","Q"&amp;INT((MONTH(AF293)-1)/3)+1&amp;YEAR(AF293)&amp;#REF!&amp;T293)</f>
        <v/>
      </c>
      <c r="AN293" s="186" t="e">
        <f>IF(K293="","","Q"&amp;INT((MONTH(K293)-1)/3)+1&amp;YEAR(K293)&amp;#REF!)</f>
        <v>#REF!</v>
      </c>
    </row>
    <row r="294" spans="1:40" ht="20.100000000000001" customHeight="1" x14ac:dyDescent="0.25">
      <c r="A294" s="8">
        <v>292</v>
      </c>
      <c r="B294" s="8" t="s">
        <v>399</v>
      </c>
      <c r="C294" s="8" t="s">
        <v>1997</v>
      </c>
      <c r="D294" s="8" t="s">
        <v>2416</v>
      </c>
      <c r="E294" s="8" t="s">
        <v>1998</v>
      </c>
      <c r="F294" s="183" t="s">
        <v>2222</v>
      </c>
      <c r="G294" s="183"/>
      <c r="H294" s="183" t="s">
        <v>2424</v>
      </c>
      <c r="I294" s="183" t="s">
        <v>579</v>
      </c>
      <c r="J294" s="183"/>
      <c r="K294" s="184">
        <v>46041</v>
      </c>
      <c r="L294" s="183">
        <v>99</v>
      </c>
      <c r="M294" s="185" t="str">
        <f>IF(phc_8[[#This Row],[Register No.]]="","",C294&amp;"-"&amp;D294&amp;"-"&amp;"BHA-PHC-"&amp;phc_8[[#This Row],[Register No.]])</f>
        <v>Shining Star-Mobile Clinic-BHA-PHC-99</v>
      </c>
      <c r="N294" s="9" t="s">
        <v>401</v>
      </c>
      <c r="O294" s="183" t="s">
        <v>3321</v>
      </c>
      <c r="P294" s="183">
        <v>57</v>
      </c>
      <c r="Q294" s="183"/>
      <c r="R294" s="183"/>
      <c r="S294" s="186" t="str">
        <f t="shared" si="11"/>
        <v>50 yrs +</v>
      </c>
      <c r="T294" s="183" t="s">
        <v>402</v>
      </c>
      <c r="U294" s="183" t="s">
        <v>3398</v>
      </c>
      <c r="V294" s="183" t="s">
        <v>3633</v>
      </c>
      <c r="W294" s="183" t="s">
        <v>3634</v>
      </c>
      <c r="X294" s="183" t="s">
        <v>242</v>
      </c>
      <c r="Y294" s="186" t="str">
        <f>INDEX(info!$Y$2:$Y$192,MATCH(phc_8[[#This Row],[Sub_Category]],info!$X$2:$X$192,0))</f>
        <v>Accident/minor sugical and injuries</v>
      </c>
      <c r="Z294" s="186" t="str">
        <f t="array" ref="Z294">INDEX(info!$AA$2:$AA$192,MATCH(PHC!$X294&amp;PHC!$Y294,info!$X$2:$X$192&amp;info!$Y$2:$Y$192,0))</f>
        <v>Injury related</v>
      </c>
      <c r="AA294" s="183" t="s">
        <v>3638</v>
      </c>
      <c r="AB294" s="9" t="s">
        <v>654</v>
      </c>
      <c r="AC294" s="9" t="s">
        <v>654</v>
      </c>
      <c r="AD294" s="9" t="s">
        <v>654</v>
      </c>
      <c r="AE294" s="9" t="s">
        <v>654</v>
      </c>
      <c r="AF294" s="184"/>
      <c r="AG294" s="183"/>
      <c r="AH294" s="183"/>
      <c r="AI294" s="183"/>
      <c r="AJ294" s="183"/>
      <c r="AK294" s="9" t="s">
        <v>654</v>
      </c>
      <c r="AL294" s="183"/>
      <c r="AM294" s="186" t="str">
        <f>IF(AF294="","","Q"&amp;INT((MONTH(AF294)-1)/3)+1&amp;YEAR(AF294)&amp;#REF!&amp;T294)</f>
        <v/>
      </c>
      <c r="AN294" s="186" t="e">
        <f>IF(K294="","","Q"&amp;INT((MONTH(K294)-1)/3)+1&amp;YEAR(K294)&amp;#REF!)</f>
        <v>#REF!</v>
      </c>
    </row>
    <row r="295" spans="1:40" ht="20.100000000000001" customHeight="1" x14ac:dyDescent="0.25">
      <c r="A295" s="8">
        <v>293</v>
      </c>
      <c r="B295" s="8" t="s">
        <v>399</v>
      </c>
      <c r="C295" s="8" t="s">
        <v>1997</v>
      </c>
      <c r="D295" s="8" t="s">
        <v>2416</v>
      </c>
      <c r="E295" s="8" t="s">
        <v>1998</v>
      </c>
      <c r="F295" s="183" t="s">
        <v>2222</v>
      </c>
      <c r="G295" s="183"/>
      <c r="H295" s="183" t="s">
        <v>2424</v>
      </c>
      <c r="I295" s="183" t="s">
        <v>579</v>
      </c>
      <c r="J295" s="183"/>
      <c r="K295" s="184">
        <v>46041</v>
      </c>
      <c r="L295" s="183">
        <v>100</v>
      </c>
      <c r="M295" s="185" t="str">
        <f>IF(phc_8[[#This Row],[Register No.]]="","",C295&amp;"-"&amp;D295&amp;"-"&amp;"BHA-PHC-"&amp;phc_8[[#This Row],[Register No.]])</f>
        <v>Shining Star-Mobile Clinic-BHA-PHC-100</v>
      </c>
      <c r="N295" s="9" t="s">
        <v>401</v>
      </c>
      <c r="O295" s="183" t="s">
        <v>3630</v>
      </c>
      <c r="P295" s="183">
        <v>75</v>
      </c>
      <c r="Q295" s="183"/>
      <c r="R295" s="183"/>
      <c r="S295" s="186" t="str">
        <f t="shared" si="11"/>
        <v>50 yrs +</v>
      </c>
      <c r="T295" s="183" t="s">
        <v>603</v>
      </c>
      <c r="U295" s="183" t="s">
        <v>3398</v>
      </c>
      <c r="V295" s="183" t="s">
        <v>3260</v>
      </c>
      <c r="W295" s="183" t="s">
        <v>2059</v>
      </c>
      <c r="X295" s="183" t="s">
        <v>242</v>
      </c>
      <c r="Y295" s="186" t="str">
        <f>INDEX(info!$Y$2:$Y$192,MATCH(phc_8[[#This Row],[Sub_Category]],info!$X$2:$X$192,0))</f>
        <v>Accident/minor sugical and injuries</v>
      </c>
      <c r="Z295" s="186" t="str">
        <f t="array" ref="Z295">INDEX(info!$AA$2:$AA$192,MATCH(PHC!$X295&amp;PHC!$Y295,info!$X$2:$X$192&amp;info!$Y$2:$Y$192,0))</f>
        <v>Injury related</v>
      </c>
      <c r="AA295" s="183" t="s">
        <v>3639</v>
      </c>
      <c r="AB295" s="9" t="s">
        <v>654</v>
      </c>
      <c r="AC295" s="9" t="s">
        <v>654</v>
      </c>
      <c r="AD295" s="9" t="s">
        <v>654</v>
      </c>
      <c r="AE295" s="9" t="s">
        <v>654</v>
      </c>
      <c r="AF295" s="184"/>
      <c r="AG295" s="183"/>
      <c r="AH295" s="183"/>
      <c r="AI295" s="183"/>
      <c r="AJ295" s="183"/>
      <c r="AK295" s="9" t="s">
        <v>654</v>
      </c>
      <c r="AL295" s="183"/>
      <c r="AM295" s="186" t="str">
        <f>IF(AF295="","","Q"&amp;INT((MONTH(AF295)-1)/3)+1&amp;YEAR(AF295)&amp;#REF!&amp;T295)</f>
        <v/>
      </c>
      <c r="AN295" s="186" t="e">
        <f>IF(K295="","","Q"&amp;INT((MONTH(K295)-1)/3)+1&amp;YEAR(K295)&amp;#REF!)</f>
        <v>#REF!</v>
      </c>
    </row>
    <row r="296" spans="1:40" ht="20.100000000000001" customHeight="1" x14ac:dyDescent="0.25">
      <c r="A296" s="8">
        <v>294</v>
      </c>
      <c r="B296" s="8" t="s">
        <v>399</v>
      </c>
      <c r="C296" s="8" t="s">
        <v>1997</v>
      </c>
      <c r="D296" s="8" t="s">
        <v>2416</v>
      </c>
      <c r="E296" s="8" t="s">
        <v>1998</v>
      </c>
      <c r="F296" s="183" t="s">
        <v>2222</v>
      </c>
      <c r="G296" s="183"/>
      <c r="H296" s="183" t="s">
        <v>2424</v>
      </c>
      <c r="I296" s="183" t="s">
        <v>579</v>
      </c>
      <c r="J296" s="183"/>
      <c r="K296" s="184">
        <v>46041</v>
      </c>
      <c r="L296" s="183">
        <v>101</v>
      </c>
      <c r="M296" s="185" t="str">
        <f>IF(phc_8[[#This Row],[Register No.]]="","",C296&amp;"-"&amp;D296&amp;"-"&amp;"BHA-PHC-"&amp;phc_8[[#This Row],[Register No.]])</f>
        <v>Shining Star-Mobile Clinic-BHA-PHC-101</v>
      </c>
      <c r="N296" s="9" t="s">
        <v>401</v>
      </c>
      <c r="O296" s="183" t="s">
        <v>3640</v>
      </c>
      <c r="P296" s="183">
        <v>57</v>
      </c>
      <c r="Q296" s="183"/>
      <c r="R296" s="183"/>
      <c r="S296" s="186" t="str">
        <f t="shared" si="11"/>
        <v>50 yrs +</v>
      </c>
      <c r="T296" s="183" t="s">
        <v>603</v>
      </c>
      <c r="U296" s="183" t="s">
        <v>3398</v>
      </c>
      <c r="V296" s="183" t="s">
        <v>3644</v>
      </c>
      <c r="W296" s="183" t="s">
        <v>233</v>
      </c>
      <c r="X296" s="183" t="s">
        <v>233</v>
      </c>
      <c r="Y296" s="186" t="str">
        <f>INDEX(info!$Y$2:$Y$192,MATCH(phc_8[[#This Row],[Sub_Category]],info!$X$2:$X$192,0))</f>
        <v>Other (non-communicable)</v>
      </c>
      <c r="Z296" s="186" t="str">
        <f t="array" ref="Z296">INDEX(info!$AA$2:$AA$192,MATCH(PHC!$X296&amp;PHC!$Y296,info!$X$2:$X$192&amp;info!$Y$2:$Y$192,0))</f>
        <v>Other</v>
      </c>
      <c r="AA296" s="183" t="s">
        <v>3648</v>
      </c>
      <c r="AB296" s="9" t="s">
        <v>654</v>
      </c>
      <c r="AC296" s="9" t="s">
        <v>654</v>
      </c>
      <c r="AD296" s="9" t="s">
        <v>654</v>
      </c>
      <c r="AE296" s="9" t="s">
        <v>654</v>
      </c>
      <c r="AF296" s="184"/>
      <c r="AG296" s="183"/>
      <c r="AH296" s="183"/>
      <c r="AI296" s="183"/>
      <c r="AJ296" s="183"/>
      <c r="AK296" s="9" t="s">
        <v>654</v>
      </c>
      <c r="AL296" s="183"/>
      <c r="AM296" s="186" t="str">
        <f>IF(AF296="","","Q"&amp;INT((MONTH(AF296)-1)/3)+1&amp;YEAR(AF296)&amp;#REF!&amp;T296)</f>
        <v/>
      </c>
      <c r="AN296" s="186" t="e">
        <f>IF(K296="","","Q"&amp;INT((MONTH(K296)-1)/3)+1&amp;YEAR(K296)&amp;#REF!)</f>
        <v>#REF!</v>
      </c>
    </row>
    <row r="297" spans="1:40" ht="20.100000000000001" customHeight="1" x14ac:dyDescent="0.25">
      <c r="A297" s="8">
        <v>295</v>
      </c>
      <c r="B297" s="8" t="s">
        <v>399</v>
      </c>
      <c r="C297" s="8" t="s">
        <v>1997</v>
      </c>
      <c r="D297" s="8" t="s">
        <v>2416</v>
      </c>
      <c r="E297" s="8" t="s">
        <v>1998</v>
      </c>
      <c r="F297" s="183" t="s">
        <v>2222</v>
      </c>
      <c r="G297" s="183"/>
      <c r="H297" s="183" t="s">
        <v>2424</v>
      </c>
      <c r="I297" s="183" t="s">
        <v>579</v>
      </c>
      <c r="J297" s="183"/>
      <c r="K297" s="184">
        <v>46041</v>
      </c>
      <c r="L297" s="183">
        <v>102</v>
      </c>
      <c r="M297" s="185" t="str">
        <f>IF(phc_8[[#This Row],[Register No.]]="","",C297&amp;"-"&amp;D297&amp;"-"&amp;"BHA-PHC-"&amp;phc_8[[#This Row],[Register No.]])</f>
        <v>Shining Star-Mobile Clinic-BHA-PHC-102</v>
      </c>
      <c r="N297" s="9" t="s">
        <v>401</v>
      </c>
      <c r="O297" s="183" t="s">
        <v>2153</v>
      </c>
      <c r="P297" s="183">
        <v>70</v>
      </c>
      <c r="Q297" s="183"/>
      <c r="R297" s="183"/>
      <c r="S297" s="186" t="str">
        <f t="shared" si="11"/>
        <v>50 yrs +</v>
      </c>
      <c r="T297" s="183" t="s">
        <v>402</v>
      </c>
      <c r="U297" s="183" t="s">
        <v>3398</v>
      </c>
      <c r="V297" s="183" t="s">
        <v>3498</v>
      </c>
      <c r="W297" s="183" t="s">
        <v>294</v>
      </c>
      <c r="X297" s="183" t="s">
        <v>294</v>
      </c>
      <c r="Y297" s="186" t="str">
        <f>INDEX(info!$Y$2:$Y$192,MATCH(phc_8[[#This Row],[Sub_Category]],info!$X$2:$X$192,0))</f>
        <v>Other (non-communicable)</v>
      </c>
      <c r="Z297" s="186" t="str">
        <f t="array" ref="Z297">INDEX(info!$AA$2:$AA$192,MATCH(PHC!$X297&amp;PHC!$Y297,info!$X$2:$X$192&amp;info!$Y$2:$Y$192,0))</f>
        <v>Other</v>
      </c>
      <c r="AA297" s="183" t="s">
        <v>3649</v>
      </c>
      <c r="AB297" s="9" t="s">
        <v>654</v>
      </c>
      <c r="AC297" s="9" t="s">
        <v>654</v>
      </c>
      <c r="AD297" s="9" t="s">
        <v>654</v>
      </c>
      <c r="AE297" s="9" t="s">
        <v>654</v>
      </c>
      <c r="AF297" s="184"/>
      <c r="AG297" s="183"/>
      <c r="AH297" s="183"/>
      <c r="AI297" s="183"/>
      <c r="AJ297" s="183"/>
      <c r="AK297" s="9" t="s">
        <v>654</v>
      </c>
      <c r="AL297" s="183"/>
      <c r="AM297" s="186" t="str">
        <f>IF(AF297="","","Q"&amp;INT((MONTH(AF297)-1)/3)+1&amp;YEAR(AF297)&amp;#REF!&amp;T297)</f>
        <v/>
      </c>
      <c r="AN297" s="186" t="e">
        <f>IF(K297="","","Q"&amp;INT((MONTH(K297)-1)/3)+1&amp;YEAR(K297)&amp;#REF!)</f>
        <v>#REF!</v>
      </c>
    </row>
    <row r="298" spans="1:40" ht="20.100000000000001" customHeight="1" x14ac:dyDescent="0.25">
      <c r="A298" s="8">
        <v>296</v>
      </c>
      <c r="B298" s="8" t="s">
        <v>399</v>
      </c>
      <c r="C298" s="8" t="s">
        <v>1997</v>
      </c>
      <c r="D298" s="8" t="s">
        <v>2416</v>
      </c>
      <c r="E298" s="8" t="s">
        <v>1998</v>
      </c>
      <c r="F298" s="183" t="s">
        <v>2222</v>
      </c>
      <c r="G298" s="183"/>
      <c r="H298" s="183" t="s">
        <v>2424</v>
      </c>
      <c r="I298" s="183" t="s">
        <v>579</v>
      </c>
      <c r="J298" s="183"/>
      <c r="K298" s="184">
        <v>46041</v>
      </c>
      <c r="L298" s="183">
        <v>103</v>
      </c>
      <c r="M298" s="185" t="str">
        <f>IF(phc_8[[#This Row],[Register No.]]="","",C298&amp;"-"&amp;D298&amp;"-"&amp;"BHA-PHC-"&amp;phc_8[[#This Row],[Register No.]])</f>
        <v>Shining Star-Mobile Clinic-BHA-PHC-103</v>
      </c>
      <c r="N298" s="9" t="s">
        <v>401</v>
      </c>
      <c r="O298" s="183" t="s">
        <v>3641</v>
      </c>
      <c r="P298" s="183">
        <v>72</v>
      </c>
      <c r="Q298" s="183"/>
      <c r="R298" s="183"/>
      <c r="S298" s="186" t="str">
        <f t="shared" si="11"/>
        <v>50 yrs +</v>
      </c>
      <c r="T298" s="183" t="s">
        <v>603</v>
      </c>
      <c r="U298" s="183" t="s">
        <v>3398</v>
      </c>
      <c r="V298" s="183" t="s">
        <v>3645</v>
      </c>
      <c r="W298" s="183" t="s">
        <v>3524</v>
      </c>
      <c r="X298" s="183" t="s">
        <v>210</v>
      </c>
      <c r="Y298" s="186" t="str">
        <f>INDEX(info!$Y$2:$Y$192,MATCH(phc_8[[#This Row],[Sub_Category]],info!$X$2:$X$192,0))</f>
        <v>Eye problem/disease</v>
      </c>
      <c r="Z298" s="186" t="str">
        <f t="array" ref="Z298">INDEX(info!$AA$2:$AA$192,MATCH(PHC!$X298&amp;PHC!$Y298,info!$X$2:$X$192&amp;info!$Y$2:$Y$192,0))</f>
        <v>Non-communicable disease</v>
      </c>
      <c r="AA298" s="183" t="s">
        <v>3187</v>
      </c>
      <c r="AB298" s="9" t="s">
        <v>654</v>
      </c>
      <c r="AC298" s="9" t="s">
        <v>654</v>
      </c>
      <c r="AD298" s="9" t="s">
        <v>654</v>
      </c>
      <c r="AE298" s="9" t="s">
        <v>654</v>
      </c>
      <c r="AF298" s="184"/>
      <c r="AG298" s="183"/>
      <c r="AH298" s="183"/>
      <c r="AI298" s="183"/>
      <c r="AJ298" s="183"/>
      <c r="AK298" s="9" t="s">
        <v>654</v>
      </c>
      <c r="AL298" s="183"/>
      <c r="AM298" s="186" t="str">
        <f>IF(AF298="","","Q"&amp;INT((MONTH(AF298)-1)/3)+1&amp;YEAR(AF298)&amp;#REF!&amp;T298)</f>
        <v/>
      </c>
      <c r="AN298" s="186" t="e">
        <f>IF(K298="","","Q"&amp;INT((MONTH(K298)-1)/3)+1&amp;YEAR(K298)&amp;#REF!)</f>
        <v>#REF!</v>
      </c>
    </row>
    <row r="299" spans="1:40" ht="20.100000000000001" customHeight="1" x14ac:dyDescent="0.25">
      <c r="A299" s="8">
        <v>297</v>
      </c>
      <c r="B299" s="8" t="s">
        <v>399</v>
      </c>
      <c r="C299" s="8" t="s">
        <v>1997</v>
      </c>
      <c r="D299" s="8" t="s">
        <v>2416</v>
      </c>
      <c r="E299" s="8" t="s">
        <v>1998</v>
      </c>
      <c r="F299" s="183" t="s">
        <v>2222</v>
      </c>
      <c r="G299" s="183"/>
      <c r="H299" s="183" t="s">
        <v>2424</v>
      </c>
      <c r="I299" s="183" t="s">
        <v>579</v>
      </c>
      <c r="J299" s="183"/>
      <c r="K299" s="184">
        <v>46041</v>
      </c>
      <c r="L299" s="183">
        <v>104</v>
      </c>
      <c r="M299" s="185" t="str">
        <f>IF(phc_8[[#This Row],[Register No.]]="","",C299&amp;"-"&amp;D299&amp;"-"&amp;"BHA-PHC-"&amp;phc_8[[#This Row],[Register No.]])</f>
        <v>Shining Star-Mobile Clinic-BHA-PHC-104</v>
      </c>
      <c r="N299" s="9" t="s">
        <v>401</v>
      </c>
      <c r="O299" s="183" t="s">
        <v>3642</v>
      </c>
      <c r="P299" s="183">
        <v>48</v>
      </c>
      <c r="Q299" s="183"/>
      <c r="R299" s="183"/>
      <c r="S299" s="186" t="str">
        <f t="shared" si="11"/>
        <v>19 - 49 yrs</v>
      </c>
      <c r="T299" s="183" t="s">
        <v>603</v>
      </c>
      <c r="U299" s="183" t="s">
        <v>3398</v>
      </c>
      <c r="V299" s="183" t="s">
        <v>3646</v>
      </c>
      <c r="W299" s="183" t="s">
        <v>233</v>
      </c>
      <c r="X299" s="183" t="s">
        <v>233</v>
      </c>
      <c r="Y299" s="186" t="str">
        <f>INDEX(info!$Y$2:$Y$192,MATCH(phc_8[[#This Row],[Sub_Category]],info!$X$2:$X$192,0))</f>
        <v>Other (non-communicable)</v>
      </c>
      <c r="Z299" s="186" t="str">
        <f t="array" ref="Z299">INDEX(info!$AA$2:$AA$192,MATCH(PHC!$X299&amp;PHC!$Y299,info!$X$2:$X$192&amp;info!$Y$2:$Y$192,0))</f>
        <v>Other</v>
      </c>
      <c r="AA299" s="183" t="s">
        <v>3650</v>
      </c>
      <c r="AB299" s="9" t="s">
        <v>654</v>
      </c>
      <c r="AC299" s="9" t="s">
        <v>654</v>
      </c>
      <c r="AD299" s="9" t="s">
        <v>654</v>
      </c>
      <c r="AE299" s="9" t="s">
        <v>654</v>
      </c>
      <c r="AF299" s="184"/>
      <c r="AG299" s="183"/>
      <c r="AH299" s="183"/>
      <c r="AI299" s="183"/>
      <c r="AJ299" s="183"/>
      <c r="AK299" s="9" t="s">
        <v>654</v>
      </c>
      <c r="AL299" s="183"/>
      <c r="AM299" s="186" t="str">
        <f>IF(AF299="","","Q"&amp;INT((MONTH(AF299)-1)/3)+1&amp;YEAR(AF299)&amp;#REF!&amp;T299)</f>
        <v/>
      </c>
      <c r="AN299" s="186" t="e">
        <f>IF(K299="","","Q"&amp;INT((MONTH(K299)-1)/3)+1&amp;YEAR(K299)&amp;#REF!)</f>
        <v>#REF!</v>
      </c>
    </row>
    <row r="300" spans="1:40" ht="20.100000000000001" customHeight="1" x14ac:dyDescent="0.25">
      <c r="A300" s="8">
        <v>298</v>
      </c>
      <c r="B300" s="8" t="s">
        <v>399</v>
      </c>
      <c r="C300" s="8" t="s">
        <v>1997</v>
      </c>
      <c r="D300" s="8" t="s">
        <v>2416</v>
      </c>
      <c r="E300" s="8" t="s">
        <v>1998</v>
      </c>
      <c r="F300" s="183" t="s">
        <v>2222</v>
      </c>
      <c r="G300" s="183"/>
      <c r="H300" s="183" t="s">
        <v>2424</v>
      </c>
      <c r="I300" s="183" t="s">
        <v>579</v>
      </c>
      <c r="J300" s="183"/>
      <c r="K300" s="184">
        <v>46041</v>
      </c>
      <c r="L300" s="183">
        <v>105</v>
      </c>
      <c r="M300" s="185" t="str">
        <f>IF(phc_8[[#This Row],[Register No.]]="","",C300&amp;"-"&amp;D300&amp;"-"&amp;"BHA-PHC-"&amp;phc_8[[#This Row],[Register No.]])</f>
        <v>Shining Star-Mobile Clinic-BHA-PHC-105</v>
      </c>
      <c r="N300" s="9" t="s">
        <v>401</v>
      </c>
      <c r="O300" s="183" t="s">
        <v>3643</v>
      </c>
      <c r="P300" s="183">
        <v>54</v>
      </c>
      <c r="Q300" s="183"/>
      <c r="R300" s="183"/>
      <c r="S300" s="186" t="str">
        <f t="shared" si="11"/>
        <v>50 yrs +</v>
      </c>
      <c r="T300" s="183" t="s">
        <v>603</v>
      </c>
      <c r="U300" s="183" t="s">
        <v>3398</v>
      </c>
      <c r="V300" s="183" t="s">
        <v>3647</v>
      </c>
      <c r="W300" s="183" t="s">
        <v>2059</v>
      </c>
      <c r="X300" s="183" t="s">
        <v>242</v>
      </c>
      <c r="Y300" s="186" t="str">
        <f>INDEX(info!$Y$2:$Y$192,MATCH(phc_8[[#This Row],[Sub_Category]],info!$X$2:$X$192,0))</f>
        <v>Accident/minor sugical and injuries</v>
      </c>
      <c r="Z300" s="186" t="str">
        <f t="array" ref="Z300">INDEX(info!$AA$2:$AA$192,MATCH(PHC!$X300&amp;PHC!$Y300,info!$X$2:$X$192&amp;info!$Y$2:$Y$192,0))</f>
        <v>Injury related</v>
      </c>
      <c r="AA300" s="183" t="s">
        <v>3651</v>
      </c>
      <c r="AB300" s="9" t="s">
        <v>654</v>
      </c>
      <c r="AC300" s="9" t="s">
        <v>654</v>
      </c>
      <c r="AD300" s="9" t="s">
        <v>654</v>
      </c>
      <c r="AE300" s="9" t="s">
        <v>654</v>
      </c>
      <c r="AF300" s="184"/>
      <c r="AG300" s="183"/>
      <c r="AH300" s="183"/>
      <c r="AI300" s="183"/>
      <c r="AJ300" s="183"/>
      <c r="AK300" s="9" t="s">
        <v>654</v>
      </c>
      <c r="AL300" s="183"/>
      <c r="AM300" s="186" t="str">
        <f>IF(AF300="","","Q"&amp;INT((MONTH(AF300)-1)/3)+1&amp;YEAR(AF300)&amp;#REF!&amp;T300)</f>
        <v/>
      </c>
      <c r="AN300" s="186" t="e">
        <f>IF(K300="","","Q"&amp;INT((MONTH(K300)-1)/3)+1&amp;YEAR(K300)&amp;#REF!)</f>
        <v>#REF!</v>
      </c>
    </row>
    <row r="301" spans="1:40" ht="20.100000000000001" customHeight="1" x14ac:dyDescent="0.25">
      <c r="A301" s="8">
        <v>299</v>
      </c>
      <c r="B301" s="8" t="s">
        <v>399</v>
      </c>
      <c r="C301" s="8" t="s">
        <v>1997</v>
      </c>
      <c r="D301" s="8" t="s">
        <v>2416</v>
      </c>
      <c r="E301" s="8" t="s">
        <v>1998</v>
      </c>
      <c r="F301" s="183" t="s">
        <v>2222</v>
      </c>
      <c r="G301" s="183"/>
      <c r="H301" s="183" t="s">
        <v>2424</v>
      </c>
      <c r="I301" s="183" t="s">
        <v>579</v>
      </c>
      <c r="J301" s="183"/>
      <c r="K301" s="184">
        <v>46041</v>
      </c>
      <c r="L301" s="183">
        <v>106</v>
      </c>
      <c r="M301" s="185" t="str">
        <f>IF(phc_8[[#This Row],[Register No.]]="","",C301&amp;"-"&amp;D301&amp;"-"&amp;"BHA-PHC-"&amp;phc_8[[#This Row],[Register No.]])</f>
        <v>Shining Star-Mobile Clinic-BHA-PHC-106</v>
      </c>
      <c r="N301" s="9" t="s">
        <v>401</v>
      </c>
      <c r="O301" s="183" t="s">
        <v>3652</v>
      </c>
      <c r="P301" s="183">
        <v>36</v>
      </c>
      <c r="Q301" s="183"/>
      <c r="R301" s="183"/>
      <c r="S301" s="186" t="str">
        <f t="shared" si="11"/>
        <v>19 - 49 yrs</v>
      </c>
      <c r="T301" s="183" t="s">
        <v>402</v>
      </c>
      <c r="U301" s="183" t="s">
        <v>3398</v>
      </c>
      <c r="V301" s="183" t="s">
        <v>3655</v>
      </c>
      <c r="W301" s="183" t="s">
        <v>3658</v>
      </c>
      <c r="X301" s="183" t="s">
        <v>27</v>
      </c>
      <c r="Y301" s="186" t="str">
        <f>INDEX(info!$Y$2:$Y$192,MATCH(phc_8[[#This Row],[Sub_Category]],info!$X$2:$X$192,0))</f>
        <v>Accident/minor sugical and injuries</v>
      </c>
      <c r="Z301" s="186" t="str">
        <f t="array" ref="Z301">INDEX(info!$AA$2:$AA$192,MATCH(PHC!$X301&amp;PHC!$Y301,info!$X$2:$X$192&amp;info!$Y$2:$Y$192,0))</f>
        <v>Communicable disease</v>
      </c>
      <c r="AA301" s="183" t="s">
        <v>3661</v>
      </c>
      <c r="AB301" s="9" t="s">
        <v>654</v>
      </c>
      <c r="AC301" s="9" t="s">
        <v>654</v>
      </c>
      <c r="AD301" s="9" t="s">
        <v>654</v>
      </c>
      <c r="AE301" s="9" t="s">
        <v>654</v>
      </c>
      <c r="AF301" s="184"/>
      <c r="AG301" s="183"/>
      <c r="AH301" s="183"/>
      <c r="AI301" s="183"/>
      <c r="AJ301" s="183"/>
      <c r="AK301" s="9" t="s">
        <v>654</v>
      </c>
      <c r="AL301" s="183"/>
      <c r="AM301" s="186" t="str">
        <f>IF(AF301="","","Q"&amp;INT((MONTH(AF301)-1)/3)+1&amp;YEAR(AF301)&amp;#REF!&amp;T301)</f>
        <v/>
      </c>
      <c r="AN301" s="186" t="e">
        <f>IF(K301="","","Q"&amp;INT((MONTH(K301)-1)/3)+1&amp;YEAR(K301)&amp;#REF!)</f>
        <v>#REF!</v>
      </c>
    </row>
    <row r="302" spans="1:40" ht="20.100000000000001" customHeight="1" x14ac:dyDescent="0.25">
      <c r="A302" s="8">
        <v>300</v>
      </c>
      <c r="B302" s="8" t="s">
        <v>399</v>
      </c>
      <c r="C302" s="8" t="s">
        <v>1997</v>
      </c>
      <c r="D302" s="8" t="s">
        <v>2416</v>
      </c>
      <c r="E302" s="8" t="s">
        <v>1998</v>
      </c>
      <c r="F302" s="183" t="s">
        <v>2222</v>
      </c>
      <c r="G302" s="183"/>
      <c r="H302" s="183" t="s">
        <v>2424</v>
      </c>
      <c r="I302" s="183" t="s">
        <v>579</v>
      </c>
      <c r="J302" s="183"/>
      <c r="K302" s="184">
        <v>46041</v>
      </c>
      <c r="L302" s="183">
        <v>107</v>
      </c>
      <c r="M302" s="185" t="str">
        <f>IF(phc_8[[#This Row],[Register No.]]="","",C302&amp;"-"&amp;D302&amp;"-"&amp;"BHA-PHC-"&amp;phc_8[[#This Row],[Register No.]])</f>
        <v>Shining Star-Mobile Clinic-BHA-PHC-107</v>
      </c>
      <c r="N302" s="9" t="s">
        <v>401</v>
      </c>
      <c r="O302" s="183" t="s">
        <v>3653</v>
      </c>
      <c r="P302" s="183">
        <v>38</v>
      </c>
      <c r="Q302" s="183"/>
      <c r="R302" s="183"/>
      <c r="S302" s="186" t="str">
        <f t="shared" si="11"/>
        <v>19 - 49 yrs</v>
      </c>
      <c r="T302" s="183" t="s">
        <v>603</v>
      </c>
      <c r="U302" s="183" t="s">
        <v>3398</v>
      </c>
      <c r="V302" s="183" t="s">
        <v>2143</v>
      </c>
      <c r="W302" s="183" t="s">
        <v>3659</v>
      </c>
      <c r="X302" s="183" t="s">
        <v>113</v>
      </c>
      <c r="Y302" s="186" t="str">
        <f>INDEX(info!$Y$2:$Y$192,MATCH(phc_8[[#This Row],[Sub_Category]],info!$X$2:$X$192,0))</f>
        <v>ARI/RTI</v>
      </c>
      <c r="Z302" s="186" t="str">
        <f t="array" ref="Z302">INDEX(info!$AA$2:$AA$192,MATCH(PHC!$X302&amp;PHC!$Y302,info!$X$2:$X$192&amp;info!$Y$2:$Y$192,0))</f>
        <v>Communicable disease</v>
      </c>
      <c r="AA302" s="183" t="s">
        <v>3662</v>
      </c>
      <c r="AB302" s="9" t="s">
        <v>654</v>
      </c>
      <c r="AC302" s="9" t="s">
        <v>654</v>
      </c>
      <c r="AD302" s="9" t="s">
        <v>654</v>
      </c>
      <c r="AE302" s="9" t="s">
        <v>654</v>
      </c>
      <c r="AF302" s="184"/>
      <c r="AG302" s="183"/>
      <c r="AH302" s="183"/>
      <c r="AI302" s="183"/>
      <c r="AJ302" s="183"/>
      <c r="AK302" s="9" t="s">
        <v>654</v>
      </c>
      <c r="AL302" s="183"/>
      <c r="AM302" s="186" t="str">
        <f>IF(AF302="","","Q"&amp;INT((MONTH(AF302)-1)/3)+1&amp;YEAR(AF302)&amp;#REF!&amp;T302)</f>
        <v/>
      </c>
      <c r="AN302" s="186" t="e">
        <f>IF(K302="","","Q"&amp;INT((MONTH(K302)-1)/3)+1&amp;YEAR(K302)&amp;#REF!)</f>
        <v>#REF!</v>
      </c>
    </row>
    <row r="303" spans="1:40" ht="20.100000000000001" customHeight="1" x14ac:dyDescent="0.25">
      <c r="A303" s="8">
        <v>301</v>
      </c>
      <c r="B303" s="8" t="s">
        <v>399</v>
      </c>
      <c r="C303" s="8" t="s">
        <v>1997</v>
      </c>
      <c r="D303" s="8" t="s">
        <v>2416</v>
      </c>
      <c r="E303" s="8" t="s">
        <v>1998</v>
      </c>
      <c r="F303" s="183" t="s">
        <v>2222</v>
      </c>
      <c r="G303" s="183"/>
      <c r="H303" s="183" t="s">
        <v>2424</v>
      </c>
      <c r="I303" s="183" t="s">
        <v>579</v>
      </c>
      <c r="J303" s="183"/>
      <c r="K303" s="184">
        <v>46041</v>
      </c>
      <c r="L303" s="183">
        <v>108</v>
      </c>
      <c r="M303" s="185" t="str">
        <f>IF(phc_8[[#This Row],[Register No.]]="","",C303&amp;"-"&amp;D303&amp;"-"&amp;"BHA-PHC-"&amp;phc_8[[#This Row],[Register No.]])</f>
        <v>Shining Star-Mobile Clinic-BHA-PHC-108</v>
      </c>
      <c r="N303" s="9" t="s">
        <v>401</v>
      </c>
      <c r="O303" s="183" t="s">
        <v>2403</v>
      </c>
      <c r="P303" s="183">
        <v>4</v>
      </c>
      <c r="Q303" s="183"/>
      <c r="R303" s="183"/>
      <c r="S303" s="186" t="str">
        <f t="shared" si="11"/>
        <v>&lt;5 yrs</v>
      </c>
      <c r="T303" s="183" t="s">
        <v>402</v>
      </c>
      <c r="U303" s="183" t="s">
        <v>3398</v>
      </c>
      <c r="V303" s="183" t="s">
        <v>2407</v>
      </c>
      <c r="W303" s="183" t="s">
        <v>3660</v>
      </c>
      <c r="X303" s="183" t="s">
        <v>46</v>
      </c>
      <c r="Y303" s="186" t="str">
        <f>INDEX(info!$Y$2:$Y$192,MATCH(phc_8[[#This Row],[Sub_Category]],info!$X$2:$X$192,0))</f>
        <v>Diarrhoea/ GE</v>
      </c>
      <c r="Z303" s="186" t="str">
        <f t="array" ref="Z303">INDEX(info!$AA$2:$AA$192,MATCH(PHC!$X303&amp;PHC!$Y303,info!$X$2:$X$192&amp;info!$Y$2:$Y$192,0))</f>
        <v>Communicable disease</v>
      </c>
      <c r="AA303" s="183" t="s">
        <v>3663</v>
      </c>
      <c r="AB303" s="9" t="s">
        <v>654</v>
      </c>
      <c r="AC303" s="9" t="s">
        <v>654</v>
      </c>
      <c r="AD303" s="9" t="s">
        <v>654</v>
      </c>
      <c r="AE303" s="9" t="s">
        <v>654</v>
      </c>
      <c r="AF303" s="184"/>
      <c r="AG303" s="183"/>
      <c r="AH303" s="183"/>
      <c r="AI303" s="183"/>
      <c r="AJ303" s="183"/>
      <c r="AK303" s="9" t="s">
        <v>654</v>
      </c>
      <c r="AL303" s="183"/>
      <c r="AM303" s="186" t="str">
        <f>IF(AF303="","","Q"&amp;INT((MONTH(AF303)-1)/3)+1&amp;YEAR(AF303)&amp;#REF!&amp;T303)</f>
        <v/>
      </c>
      <c r="AN303" s="186" t="e">
        <f>IF(K303="","","Q"&amp;INT((MONTH(K303)-1)/3)+1&amp;YEAR(K303)&amp;#REF!)</f>
        <v>#REF!</v>
      </c>
    </row>
    <row r="304" spans="1:40" ht="20.100000000000001" customHeight="1" x14ac:dyDescent="0.25">
      <c r="A304" s="8">
        <v>302</v>
      </c>
      <c r="B304" s="8" t="s">
        <v>399</v>
      </c>
      <c r="C304" s="8" t="s">
        <v>1997</v>
      </c>
      <c r="D304" s="8" t="s">
        <v>2416</v>
      </c>
      <c r="E304" s="8" t="s">
        <v>1998</v>
      </c>
      <c r="F304" s="183" t="s">
        <v>2222</v>
      </c>
      <c r="G304" s="183"/>
      <c r="H304" s="183" t="s">
        <v>2424</v>
      </c>
      <c r="I304" s="183" t="s">
        <v>579</v>
      </c>
      <c r="J304" s="183"/>
      <c r="K304" s="184">
        <v>46041</v>
      </c>
      <c r="L304" s="183">
        <v>109</v>
      </c>
      <c r="M304" s="185" t="str">
        <f>IF(phc_8[[#This Row],[Register No.]]="","",C304&amp;"-"&amp;D304&amp;"-"&amp;"BHA-PHC-"&amp;phc_8[[#This Row],[Register No.]])</f>
        <v>Shining Star-Mobile Clinic-BHA-PHC-109</v>
      </c>
      <c r="N304" s="9" t="s">
        <v>401</v>
      </c>
      <c r="O304" s="183" t="s">
        <v>3654</v>
      </c>
      <c r="P304" s="183">
        <v>35</v>
      </c>
      <c r="Q304" s="183"/>
      <c r="R304" s="183"/>
      <c r="S304" s="186" t="str">
        <f t="shared" si="11"/>
        <v>19 - 49 yrs</v>
      </c>
      <c r="T304" s="183" t="s">
        <v>603</v>
      </c>
      <c r="U304" s="183" t="s">
        <v>3398</v>
      </c>
      <c r="V304" s="183" t="s">
        <v>3656</v>
      </c>
      <c r="W304" s="183" t="s">
        <v>3195</v>
      </c>
      <c r="X304" s="183"/>
      <c r="Y304" s="186" t="e">
        <f>INDEX(info!$Y$2:$Y$192,MATCH(phc_8[[#This Row],[Sub_Category]],info!$X$2:$X$192,0))</f>
        <v>#N/A</v>
      </c>
      <c r="Z304" s="186" t="e">
        <f t="array" ref="Z304">INDEX(info!$AA$2:$AA$192,MATCH(PHC!$X304&amp;PHC!$Y304,info!$X$2:$X$192&amp;info!$Y$2:$Y$192,0))</f>
        <v>#N/A</v>
      </c>
      <c r="AA304" s="183" t="s">
        <v>3575</v>
      </c>
      <c r="AB304" s="9" t="s">
        <v>654</v>
      </c>
      <c r="AC304" s="9" t="s">
        <v>654</v>
      </c>
      <c r="AD304" s="9" t="s">
        <v>654</v>
      </c>
      <c r="AE304" s="9" t="s">
        <v>654</v>
      </c>
      <c r="AF304" s="184"/>
      <c r="AG304" s="183"/>
      <c r="AH304" s="183"/>
      <c r="AI304" s="183"/>
      <c r="AJ304" s="183"/>
      <c r="AK304" s="9" t="s">
        <v>654</v>
      </c>
      <c r="AL304" s="183"/>
      <c r="AM304" s="186" t="str">
        <f>IF(AF304="","","Q"&amp;INT((MONTH(AF304)-1)/3)+1&amp;YEAR(AF304)&amp;#REF!&amp;T304)</f>
        <v/>
      </c>
      <c r="AN304" s="186" t="e">
        <f>IF(K304="","","Q"&amp;INT((MONTH(K304)-1)/3)+1&amp;YEAR(K304)&amp;#REF!)</f>
        <v>#REF!</v>
      </c>
    </row>
    <row r="305" spans="1:40" ht="20.100000000000001" customHeight="1" x14ac:dyDescent="0.25">
      <c r="A305" s="8">
        <v>303</v>
      </c>
      <c r="B305" s="8" t="s">
        <v>399</v>
      </c>
      <c r="C305" s="8" t="s">
        <v>1997</v>
      </c>
      <c r="D305" s="8" t="s">
        <v>2416</v>
      </c>
      <c r="E305" s="8" t="s">
        <v>1998</v>
      </c>
      <c r="F305" s="183" t="s">
        <v>2222</v>
      </c>
      <c r="G305" s="183"/>
      <c r="H305" s="183" t="s">
        <v>2424</v>
      </c>
      <c r="I305" s="183" t="s">
        <v>579</v>
      </c>
      <c r="J305" s="183"/>
      <c r="K305" s="184">
        <v>46041</v>
      </c>
      <c r="L305" s="183">
        <v>110</v>
      </c>
      <c r="M305" s="185" t="str">
        <f>IF(phc_8[[#This Row],[Register No.]]="","",C305&amp;"-"&amp;D305&amp;"-"&amp;"BHA-PHC-"&amp;phc_8[[#This Row],[Register No.]])</f>
        <v>Shining Star-Mobile Clinic-BHA-PHC-110</v>
      </c>
      <c r="N305" s="9" t="s">
        <v>401</v>
      </c>
      <c r="O305" s="183" t="s">
        <v>3408</v>
      </c>
      <c r="P305" s="183">
        <v>42</v>
      </c>
      <c r="Q305" s="183"/>
      <c r="R305" s="183"/>
      <c r="S305" s="186" t="str">
        <f t="shared" si="11"/>
        <v>19 - 49 yrs</v>
      </c>
      <c r="T305" s="183" t="s">
        <v>603</v>
      </c>
      <c r="U305" s="183" t="s">
        <v>3398</v>
      </c>
      <c r="V305" s="183" t="s">
        <v>3657</v>
      </c>
      <c r="W305" s="183" t="s">
        <v>2003</v>
      </c>
      <c r="X305" s="183" t="s">
        <v>181</v>
      </c>
      <c r="Y305" s="186" t="str">
        <f>INDEX(info!$Y$2:$Y$192,MATCH(phc_8[[#This Row],[Sub_Category]],info!$X$2:$X$192,0))</f>
        <v>Chronic medical disease</v>
      </c>
      <c r="Z305" s="186" t="str">
        <f t="array" ref="Z305">INDEX(info!$AA$2:$AA$192,MATCH(PHC!$X305&amp;PHC!$Y305,info!$X$2:$X$192&amp;info!$Y$2:$Y$192,0))</f>
        <v>Non-communicable disease</v>
      </c>
      <c r="AA305" s="183" t="s">
        <v>3187</v>
      </c>
      <c r="AB305" s="9" t="s">
        <v>654</v>
      </c>
      <c r="AC305" s="9" t="s">
        <v>654</v>
      </c>
      <c r="AD305" s="9" t="s">
        <v>654</v>
      </c>
      <c r="AE305" s="9" t="s">
        <v>654</v>
      </c>
      <c r="AF305" s="184"/>
      <c r="AG305" s="183"/>
      <c r="AH305" s="183"/>
      <c r="AI305" s="183"/>
      <c r="AJ305" s="183"/>
      <c r="AK305" s="9" t="s">
        <v>654</v>
      </c>
      <c r="AL305" s="183"/>
      <c r="AM305" s="186" t="str">
        <f>IF(AF305="","","Q"&amp;INT((MONTH(AF305)-1)/3)+1&amp;YEAR(AF305)&amp;#REF!&amp;T305)</f>
        <v/>
      </c>
      <c r="AN305" s="186" t="e">
        <f>IF(K305="","","Q"&amp;INT((MONTH(K305)-1)/3)+1&amp;YEAR(K305)&amp;#REF!)</f>
        <v>#REF!</v>
      </c>
    </row>
    <row r="306" spans="1:40" ht="20.100000000000001" customHeight="1" x14ac:dyDescent="0.25">
      <c r="A306" s="8">
        <v>304</v>
      </c>
      <c r="B306" s="8" t="s">
        <v>399</v>
      </c>
      <c r="C306" s="8" t="s">
        <v>1997</v>
      </c>
      <c r="D306" s="8" t="s">
        <v>2416</v>
      </c>
      <c r="E306" s="8" t="s">
        <v>1998</v>
      </c>
      <c r="F306" s="183" t="s">
        <v>2222</v>
      </c>
      <c r="G306" s="183"/>
      <c r="H306" s="183" t="s">
        <v>2424</v>
      </c>
      <c r="I306" s="183" t="s">
        <v>579</v>
      </c>
      <c r="J306" s="183"/>
      <c r="K306" s="184">
        <v>46041</v>
      </c>
      <c r="L306" s="183">
        <v>111</v>
      </c>
      <c r="M306" s="185" t="str">
        <f>IF(phc_8[[#This Row],[Register No.]]="","",C306&amp;"-"&amp;D306&amp;"-"&amp;"BHA-PHC-"&amp;phc_8[[#This Row],[Register No.]])</f>
        <v>Shining Star-Mobile Clinic-BHA-PHC-111</v>
      </c>
      <c r="N306" s="9" t="s">
        <v>401</v>
      </c>
      <c r="O306" s="183" t="s">
        <v>3664</v>
      </c>
      <c r="P306" s="183">
        <v>34</v>
      </c>
      <c r="Q306" s="183"/>
      <c r="R306" s="183"/>
      <c r="S306" s="186" t="str">
        <f>IF(AND(ISBLANK(P306),ISBLANK(Q306),ISBLANK(R306))," ",
IF(OR(P306&lt;5,AND(P306=" ",Q306&lt;&gt;" ",R306&lt;&gt;" ")),"&lt;5 yrs",
IF(AND(P306&gt;=5,P306&lt;=14),"5 - 14 yrs",
IF(AND(P306&gt;=15,P306&lt;=18),"15 - 18 yrs",
IF(AND(P306&gt;=19,P306&lt;=49),"19 - 49 yrs","50 yrs +")))))</f>
        <v>19 - 49 yrs</v>
      </c>
      <c r="T306" s="183" t="s">
        <v>603</v>
      </c>
      <c r="U306" s="183" t="s">
        <v>3398</v>
      </c>
      <c r="V306" s="183"/>
      <c r="W306" s="183" t="s">
        <v>3195</v>
      </c>
      <c r="X306" s="183"/>
      <c r="Y306" s="186" t="e">
        <f>INDEX(info!$Y$2:$Y$192,MATCH(phc_8[[#This Row],[Sub_Category]],info!$X$2:$X$192,0))</f>
        <v>#N/A</v>
      </c>
      <c r="Z306" s="186" t="e">
        <f t="array" ref="Z306">INDEX(info!$AA$2:$AA$192,MATCH(PHC!$X306&amp;PHC!$Y306,info!$X$2:$X$192&amp;info!$Y$2:$Y$192,0))</f>
        <v>#N/A</v>
      </c>
      <c r="AA306" s="183" t="s">
        <v>3199</v>
      </c>
      <c r="AB306" s="9" t="s">
        <v>654</v>
      </c>
      <c r="AC306" s="9" t="s">
        <v>654</v>
      </c>
      <c r="AD306" s="9" t="s">
        <v>654</v>
      </c>
      <c r="AE306" s="9" t="s">
        <v>654</v>
      </c>
      <c r="AF306" s="184"/>
      <c r="AG306" s="183"/>
      <c r="AH306" s="183"/>
      <c r="AI306" s="183"/>
      <c r="AJ306" s="183"/>
      <c r="AK306" s="9" t="s">
        <v>654</v>
      </c>
      <c r="AL306" s="183"/>
      <c r="AM306" s="186" t="str">
        <f>IF(AF306="","","Q"&amp;INT((MONTH(AF306)-1)/3)+1&amp;YEAR(AF306)&amp;#REF!&amp;T306)</f>
        <v/>
      </c>
      <c r="AN306" s="186" t="e">
        <f>IF(K306="","","Q"&amp;INT((MONTH(K306)-1)/3)+1&amp;YEAR(K306)&amp;#REF!)</f>
        <v>#REF!</v>
      </c>
    </row>
    <row r="307" spans="1:40" ht="20.100000000000001" customHeight="1" x14ac:dyDescent="0.25">
      <c r="A307" s="8">
        <v>305</v>
      </c>
      <c r="B307" s="8" t="s">
        <v>399</v>
      </c>
      <c r="C307" s="8" t="s">
        <v>1997</v>
      </c>
      <c r="D307" s="8" t="s">
        <v>2416</v>
      </c>
      <c r="E307" s="8" t="s">
        <v>1998</v>
      </c>
      <c r="F307" s="183" t="s">
        <v>2222</v>
      </c>
      <c r="G307" s="183"/>
      <c r="H307" s="183" t="s">
        <v>2424</v>
      </c>
      <c r="I307" s="183" t="s">
        <v>579</v>
      </c>
      <c r="J307" s="183"/>
      <c r="K307" s="184">
        <v>46041</v>
      </c>
      <c r="L307" s="183">
        <v>112</v>
      </c>
      <c r="M307" s="185" t="str">
        <f>IF(phc_8[[#This Row],[Register No.]]="","",C307&amp;"-"&amp;D307&amp;"-"&amp;"BHA-PHC-"&amp;phc_8[[#This Row],[Register No.]])</f>
        <v>Shining Star-Mobile Clinic-BHA-PHC-112</v>
      </c>
      <c r="N307" s="9" t="s">
        <v>401</v>
      </c>
      <c r="O307" s="183" t="s">
        <v>3665</v>
      </c>
      <c r="P307" s="183">
        <v>46</v>
      </c>
      <c r="Q307" s="183"/>
      <c r="R307" s="183"/>
      <c r="S307" s="186" t="str">
        <f t="shared" si="11"/>
        <v>19 - 49 yrs</v>
      </c>
      <c r="T307" s="183" t="s">
        <v>402</v>
      </c>
      <c r="U307" s="183" t="s">
        <v>3398</v>
      </c>
      <c r="V307" s="183" t="s">
        <v>3669</v>
      </c>
      <c r="W307" s="183" t="s">
        <v>3153</v>
      </c>
      <c r="X307" s="183"/>
      <c r="Y307" s="186" t="e">
        <f>INDEX(info!$Y$2:$Y$192,MATCH(phc_8[[#This Row],[Sub_Category]],info!$X$2:$X$192,0))</f>
        <v>#N/A</v>
      </c>
      <c r="Z307" s="186" t="e">
        <f t="array" ref="Z307">INDEX(info!$AA$2:$AA$192,MATCH(PHC!$X307&amp;PHC!$Y307,info!$X$2:$X$192&amp;info!$Y$2:$Y$192,0))</f>
        <v>#N/A</v>
      </c>
      <c r="AA307" s="183" t="s">
        <v>3672</v>
      </c>
      <c r="AB307" s="9" t="s">
        <v>654</v>
      </c>
      <c r="AC307" s="9" t="s">
        <v>654</v>
      </c>
      <c r="AD307" s="9" t="s">
        <v>654</v>
      </c>
      <c r="AE307" s="9" t="s">
        <v>654</v>
      </c>
      <c r="AF307" s="184"/>
      <c r="AG307" s="183"/>
      <c r="AH307" s="183"/>
      <c r="AI307" s="183"/>
      <c r="AJ307" s="183"/>
      <c r="AK307" s="9" t="s">
        <v>654</v>
      </c>
      <c r="AL307" s="183"/>
      <c r="AM307" s="186" t="str">
        <f>IF(AF307="","","Q"&amp;INT((MONTH(AF307)-1)/3)+1&amp;YEAR(AF307)&amp;#REF!&amp;T307)</f>
        <v/>
      </c>
      <c r="AN307" s="186" t="e">
        <f>IF(K307="","","Q"&amp;INT((MONTH(K307)-1)/3)+1&amp;YEAR(K307)&amp;#REF!)</f>
        <v>#REF!</v>
      </c>
    </row>
    <row r="308" spans="1:40" ht="20.100000000000001" customHeight="1" x14ac:dyDescent="0.25">
      <c r="A308" s="8">
        <v>306</v>
      </c>
      <c r="B308" s="8" t="s">
        <v>399</v>
      </c>
      <c r="C308" s="8" t="s">
        <v>1997</v>
      </c>
      <c r="D308" s="8" t="s">
        <v>2416</v>
      </c>
      <c r="E308" s="8" t="s">
        <v>1998</v>
      </c>
      <c r="F308" s="183" t="s">
        <v>2222</v>
      </c>
      <c r="G308" s="183"/>
      <c r="H308" s="183" t="s">
        <v>2424</v>
      </c>
      <c r="I308" s="183" t="s">
        <v>579</v>
      </c>
      <c r="J308" s="183"/>
      <c r="K308" s="184">
        <v>46041</v>
      </c>
      <c r="L308" s="183">
        <v>113</v>
      </c>
      <c r="M308" s="185" t="str">
        <f>IF(phc_8[[#This Row],[Register No.]]="","",C308&amp;"-"&amp;D308&amp;"-"&amp;"BHA-PHC-"&amp;phc_8[[#This Row],[Register No.]])</f>
        <v>Shining Star-Mobile Clinic-BHA-PHC-113</v>
      </c>
      <c r="N308" s="9" t="s">
        <v>401</v>
      </c>
      <c r="O308" s="183" t="s">
        <v>3666</v>
      </c>
      <c r="P308" s="183">
        <v>40</v>
      </c>
      <c r="Q308" s="183"/>
      <c r="R308" s="183"/>
      <c r="S308" s="186" t="str">
        <f t="shared" si="11"/>
        <v>19 - 49 yrs</v>
      </c>
      <c r="T308" s="183" t="s">
        <v>603</v>
      </c>
      <c r="U308" s="183" t="s">
        <v>3398</v>
      </c>
      <c r="V308" s="183" t="s">
        <v>2129</v>
      </c>
      <c r="W308" s="183" t="s">
        <v>3524</v>
      </c>
      <c r="X308" s="183" t="s">
        <v>210</v>
      </c>
      <c r="Y308" s="186" t="str">
        <f>INDEX(info!$Y$2:$Y$192,MATCH(phc_8[[#This Row],[Sub_Category]],info!$X$2:$X$192,0))</f>
        <v>Eye problem/disease</v>
      </c>
      <c r="Z308" s="186" t="str">
        <f t="array" ref="Z308">INDEX(info!$AA$2:$AA$192,MATCH(PHC!$X308&amp;PHC!$Y308,info!$X$2:$X$192&amp;info!$Y$2:$Y$192,0))</f>
        <v>Non-communicable disease</v>
      </c>
      <c r="AA308" s="183" t="s">
        <v>2192</v>
      </c>
      <c r="AB308" s="9" t="s">
        <v>654</v>
      </c>
      <c r="AC308" s="9" t="s">
        <v>654</v>
      </c>
      <c r="AD308" s="9" t="s">
        <v>654</v>
      </c>
      <c r="AE308" s="9" t="s">
        <v>654</v>
      </c>
      <c r="AF308" s="184"/>
      <c r="AG308" s="183"/>
      <c r="AH308" s="183"/>
      <c r="AI308" s="183"/>
      <c r="AJ308" s="183"/>
      <c r="AK308" s="9" t="s">
        <v>654</v>
      </c>
      <c r="AL308" s="183"/>
      <c r="AM308" s="186" t="str">
        <f>IF(AF308="","","Q"&amp;INT((MONTH(AF308)-1)/3)+1&amp;YEAR(AF308)&amp;#REF!&amp;T308)</f>
        <v/>
      </c>
      <c r="AN308" s="186" t="e">
        <f>IF(K308="","","Q"&amp;INT((MONTH(K308)-1)/3)+1&amp;YEAR(K308)&amp;#REF!)</f>
        <v>#REF!</v>
      </c>
    </row>
    <row r="309" spans="1:40" ht="20.100000000000001" customHeight="1" x14ac:dyDescent="0.25">
      <c r="A309" s="8">
        <v>307</v>
      </c>
      <c r="B309" s="8" t="s">
        <v>399</v>
      </c>
      <c r="C309" s="8" t="s">
        <v>1997</v>
      </c>
      <c r="D309" s="8" t="s">
        <v>2416</v>
      </c>
      <c r="E309" s="8" t="s">
        <v>1998</v>
      </c>
      <c r="F309" s="183" t="s">
        <v>2222</v>
      </c>
      <c r="G309" s="183"/>
      <c r="H309" s="183" t="s">
        <v>2424</v>
      </c>
      <c r="I309" s="183" t="s">
        <v>579</v>
      </c>
      <c r="J309" s="183"/>
      <c r="K309" s="184">
        <v>46041</v>
      </c>
      <c r="L309" s="183">
        <v>114</v>
      </c>
      <c r="M309" s="185" t="str">
        <f>IF(phc_8[[#This Row],[Register No.]]="","",C309&amp;"-"&amp;D309&amp;"-"&amp;"BHA-PHC-"&amp;phc_8[[#This Row],[Register No.]])</f>
        <v>Shining Star-Mobile Clinic-BHA-PHC-114</v>
      </c>
      <c r="N309" s="9" t="s">
        <v>401</v>
      </c>
      <c r="O309" s="183" t="s">
        <v>3667</v>
      </c>
      <c r="P309" s="183">
        <v>61</v>
      </c>
      <c r="Q309" s="183"/>
      <c r="R309" s="183"/>
      <c r="S309" s="186" t="str">
        <f t="shared" ref="S309:S340" si="12">IF(AND(ISBLANK(P309),ISBLANK(Q309),ISBLANK(R309))," ",
IF(OR(P309&lt;5,AND(P309=" ",Q309&lt;&gt;" ",R309&lt;&gt;" ")),"&lt;5 yrs",
IF(AND(P309&gt;=5,P309&lt;=14),"5 - 14 yrs",
IF(AND(P309&gt;=15,P309&lt;=18),"15 - 18 yrs",
IF(AND(P309&gt;=19,P309&lt;=49),"19 - 49 yrs","50 yrs +")))))</f>
        <v>50 yrs +</v>
      </c>
      <c r="T309" s="183" t="s">
        <v>603</v>
      </c>
      <c r="U309" s="183" t="s">
        <v>3398</v>
      </c>
      <c r="V309" s="183" t="s">
        <v>3262</v>
      </c>
      <c r="W309" s="183" t="s">
        <v>3105</v>
      </c>
      <c r="X309" s="183" t="s">
        <v>3105</v>
      </c>
      <c r="Y309" s="186" t="str">
        <f>INDEX(info!$Y$2:$Y$192,MATCH(phc_8[[#This Row],[Sub_Category]],info!$X$2:$X$192,0))</f>
        <v>Chronic medical disease</v>
      </c>
      <c r="Z309" s="186" t="str">
        <f t="array" ref="Z309">INDEX(info!$AA$2:$AA$192,MATCH(PHC!$X309&amp;PHC!$Y309,info!$X$2:$X$192&amp;info!$Y$2:$Y$192,0))</f>
        <v>Non-communicable disease</v>
      </c>
      <c r="AA309" s="183" t="s">
        <v>3673</v>
      </c>
      <c r="AB309" s="9" t="s">
        <v>654</v>
      </c>
      <c r="AC309" s="9" t="s">
        <v>654</v>
      </c>
      <c r="AD309" s="9" t="s">
        <v>654</v>
      </c>
      <c r="AE309" s="9" t="s">
        <v>654</v>
      </c>
      <c r="AF309" s="184"/>
      <c r="AG309" s="183"/>
      <c r="AH309" s="183"/>
      <c r="AI309" s="183"/>
      <c r="AJ309" s="183"/>
      <c r="AK309" s="9" t="s">
        <v>654</v>
      </c>
      <c r="AL309" s="183"/>
      <c r="AM309" s="186" t="str">
        <f>IF(AF309="","","Q"&amp;INT((MONTH(AF309)-1)/3)+1&amp;YEAR(AF309)&amp;#REF!&amp;T309)</f>
        <v/>
      </c>
      <c r="AN309" s="186" t="e">
        <f>IF(K309="","","Q"&amp;INT((MONTH(K309)-1)/3)+1&amp;YEAR(K309)&amp;#REF!)</f>
        <v>#REF!</v>
      </c>
    </row>
    <row r="310" spans="1:40" ht="20.100000000000001" customHeight="1" x14ac:dyDescent="0.25">
      <c r="A310" s="8">
        <v>308</v>
      </c>
      <c r="B310" s="8" t="s">
        <v>399</v>
      </c>
      <c r="C310" s="8" t="s">
        <v>1997</v>
      </c>
      <c r="D310" s="8" t="s">
        <v>2416</v>
      </c>
      <c r="E310" s="8" t="s">
        <v>1998</v>
      </c>
      <c r="F310" s="183" t="s">
        <v>2222</v>
      </c>
      <c r="G310" s="183"/>
      <c r="H310" s="183" t="s">
        <v>2424</v>
      </c>
      <c r="I310" s="183" t="s">
        <v>579</v>
      </c>
      <c r="J310" s="183"/>
      <c r="K310" s="184">
        <v>46041</v>
      </c>
      <c r="L310" s="183">
        <v>115</v>
      </c>
      <c r="M310" s="185" t="str">
        <f>IF(phc_8[[#This Row],[Register No.]]="","",C310&amp;"-"&amp;D310&amp;"-"&amp;"BHA-PHC-"&amp;phc_8[[#This Row],[Register No.]])</f>
        <v>Shining Star-Mobile Clinic-BHA-PHC-115</v>
      </c>
      <c r="N310" s="9" t="s">
        <v>401</v>
      </c>
      <c r="O310" s="183" t="s">
        <v>3668</v>
      </c>
      <c r="P310" s="183">
        <v>75</v>
      </c>
      <c r="Q310" s="183"/>
      <c r="R310" s="183"/>
      <c r="S310" s="186" t="str">
        <f t="shared" si="12"/>
        <v>50 yrs +</v>
      </c>
      <c r="T310" s="183" t="s">
        <v>402</v>
      </c>
      <c r="U310" s="183" t="s">
        <v>3398</v>
      </c>
      <c r="V310" s="183" t="s">
        <v>3670</v>
      </c>
      <c r="W310" s="183" t="s">
        <v>3671</v>
      </c>
      <c r="X310" s="183" t="s">
        <v>27</v>
      </c>
      <c r="Y310" s="186" t="str">
        <f>INDEX(info!$Y$2:$Y$192,MATCH(phc_8[[#This Row],[Sub_Category]],info!$X$2:$X$192,0))</f>
        <v>Accident/minor sugical and injuries</v>
      </c>
      <c r="Z310" s="186" t="str">
        <f t="array" ref="Z310">INDEX(info!$AA$2:$AA$192,MATCH(PHC!$X310&amp;PHC!$Y310,info!$X$2:$X$192&amp;info!$Y$2:$Y$192,0))</f>
        <v>Communicable disease</v>
      </c>
      <c r="AA310" s="183" t="s">
        <v>3674</v>
      </c>
      <c r="AB310" s="9" t="s">
        <v>654</v>
      </c>
      <c r="AC310" s="9" t="s">
        <v>654</v>
      </c>
      <c r="AD310" s="9" t="s">
        <v>654</v>
      </c>
      <c r="AE310" s="9" t="s">
        <v>654</v>
      </c>
      <c r="AF310" s="184"/>
      <c r="AG310" s="183"/>
      <c r="AH310" s="183"/>
      <c r="AI310" s="183"/>
      <c r="AJ310" s="183"/>
      <c r="AK310" s="9" t="s">
        <v>654</v>
      </c>
      <c r="AL310" s="183"/>
      <c r="AM310" s="186" t="str">
        <f>IF(AF310="","","Q"&amp;INT((MONTH(AF310)-1)/3)+1&amp;YEAR(AF310)&amp;#REF!&amp;T310)</f>
        <v/>
      </c>
      <c r="AN310" s="186" t="e">
        <f>IF(K310="","","Q"&amp;INT((MONTH(K310)-1)/3)+1&amp;YEAR(K310)&amp;#REF!)</f>
        <v>#REF!</v>
      </c>
    </row>
    <row r="311" spans="1:40" ht="20.100000000000001" customHeight="1" x14ac:dyDescent="0.25">
      <c r="A311" s="8">
        <v>309</v>
      </c>
      <c r="B311" s="8" t="s">
        <v>399</v>
      </c>
      <c r="C311" s="8" t="s">
        <v>1997</v>
      </c>
      <c r="D311" s="8" t="s">
        <v>2416</v>
      </c>
      <c r="E311" s="8" t="s">
        <v>1998</v>
      </c>
      <c r="F311" s="183" t="s">
        <v>2222</v>
      </c>
      <c r="G311" s="183"/>
      <c r="H311" s="183" t="s">
        <v>2424</v>
      </c>
      <c r="I311" s="183" t="s">
        <v>579</v>
      </c>
      <c r="J311" s="183"/>
      <c r="K311" s="184">
        <v>46041</v>
      </c>
      <c r="L311" s="183">
        <v>116</v>
      </c>
      <c r="M311" s="185" t="str">
        <f>IF(phc_8[[#This Row],[Register No.]]="","",C311&amp;"-"&amp;D311&amp;"-"&amp;"BHA-PHC-"&amp;phc_8[[#This Row],[Register No.]])</f>
        <v>Shining Star-Mobile Clinic-BHA-PHC-116</v>
      </c>
      <c r="N311" s="9" t="s">
        <v>401</v>
      </c>
      <c r="O311" s="183" t="s">
        <v>3675</v>
      </c>
      <c r="P311" s="183">
        <v>47</v>
      </c>
      <c r="Q311" s="183"/>
      <c r="R311" s="183"/>
      <c r="S311" s="186" t="str">
        <f t="shared" si="12"/>
        <v>19 - 49 yrs</v>
      </c>
      <c r="T311" s="183" t="s">
        <v>603</v>
      </c>
      <c r="U311" s="183" t="s">
        <v>3398</v>
      </c>
      <c r="V311" s="183" t="s">
        <v>3346</v>
      </c>
      <c r="W311" s="183" t="s">
        <v>3682</v>
      </c>
      <c r="X311" s="183" t="s">
        <v>242</v>
      </c>
      <c r="Y311" s="186" t="str">
        <f>INDEX(info!$Y$2:$Y$192,MATCH(phc_8[[#This Row],[Sub_Category]],info!$X$2:$X$192,0))</f>
        <v>Accident/minor sugical and injuries</v>
      </c>
      <c r="Z311" s="186" t="str">
        <f t="array" ref="Z311">INDEX(info!$AA$2:$AA$192,MATCH(PHC!$X311&amp;PHC!$Y311,info!$X$2:$X$192&amp;info!$Y$2:$Y$192,0))</f>
        <v>Injury related</v>
      </c>
      <c r="AA311" s="183" t="s">
        <v>3684</v>
      </c>
      <c r="AB311" s="9" t="s">
        <v>654</v>
      </c>
      <c r="AC311" s="9" t="s">
        <v>654</v>
      </c>
      <c r="AD311" s="9" t="s">
        <v>654</v>
      </c>
      <c r="AE311" s="9" t="s">
        <v>654</v>
      </c>
      <c r="AF311" s="184"/>
      <c r="AG311" s="183"/>
      <c r="AH311" s="183"/>
      <c r="AI311" s="183"/>
      <c r="AJ311" s="183"/>
      <c r="AK311" s="9" t="s">
        <v>654</v>
      </c>
      <c r="AL311" s="183"/>
      <c r="AM311" s="186" t="str">
        <f>IF(AF311="","","Q"&amp;INT((MONTH(AF311)-1)/3)+1&amp;YEAR(AF311)&amp;#REF!&amp;T311)</f>
        <v/>
      </c>
      <c r="AN311" s="186" t="e">
        <f>IF(K311="","","Q"&amp;INT((MONTH(K311)-1)/3)+1&amp;YEAR(K311)&amp;#REF!)</f>
        <v>#REF!</v>
      </c>
    </row>
    <row r="312" spans="1:40" ht="20.100000000000001" customHeight="1" x14ac:dyDescent="0.25">
      <c r="A312" s="8">
        <v>310</v>
      </c>
      <c r="B312" s="8" t="s">
        <v>399</v>
      </c>
      <c r="C312" s="8" t="s">
        <v>1997</v>
      </c>
      <c r="D312" s="8" t="s">
        <v>2416</v>
      </c>
      <c r="E312" s="8" t="s">
        <v>1998</v>
      </c>
      <c r="F312" s="183" t="s">
        <v>2222</v>
      </c>
      <c r="G312" s="183"/>
      <c r="H312" s="183" t="s">
        <v>2424</v>
      </c>
      <c r="I312" s="183" t="s">
        <v>579</v>
      </c>
      <c r="J312" s="183"/>
      <c r="K312" s="184">
        <v>46041</v>
      </c>
      <c r="L312" s="183">
        <v>117</v>
      </c>
      <c r="M312" s="185" t="str">
        <f>IF(phc_8[[#This Row],[Register No.]]="","",C312&amp;"-"&amp;D312&amp;"-"&amp;"BHA-PHC-"&amp;phc_8[[#This Row],[Register No.]])</f>
        <v>Shining Star-Mobile Clinic-BHA-PHC-117</v>
      </c>
      <c r="N312" s="9" t="s">
        <v>401</v>
      </c>
      <c r="O312" s="183" t="s">
        <v>3676</v>
      </c>
      <c r="P312" s="183">
        <v>13</v>
      </c>
      <c r="Q312" s="183"/>
      <c r="R312" s="183"/>
      <c r="S312" s="186" t="str">
        <f t="shared" si="12"/>
        <v>5 - 14 yrs</v>
      </c>
      <c r="T312" s="183" t="s">
        <v>603</v>
      </c>
      <c r="U312" s="183" t="s">
        <v>3398</v>
      </c>
      <c r="V312" s="183"/>
      <c r="W312" s="183" t="s">
        <v>3683</v>
      </c>
      <c r="X312" s="183" t="s">
        <v>206</v>
      </c>
      <c r="Y312" s="186" t="str">
        <f>INDEX(info!$Y$2:$Y$192,MATCH(phc_8[[#This Row],[Sub_Category]],info!$X$2:$X$192,0))</f>
        <v>Ear problem/disease</v>
      </c>
      <c r="Z312" s="186" t="str">
        <f t="array" ref="Z312">INDEX(info!$AA$2:$AA$192,MATCH(PHC!$X312&amp;PHC!$Y312,info!$X$2:$X$192&amp;info!$Y$2:$Y$192,0))</f>
        <v>Non-communicable disease</v>
      </c>
      <c r="AA312" s="183" t="s">
        <v>3685</v>
      </c>
      <c r="AB312" s="9" t="s">
        <v>654</v>
      </c>
      <c r="AC312" s="9" t="s">
        <v>654</v>
      </c>
      <c r="AD312" s="9" t="s">
        <v>654</v>
      </c>
      <c r="AE312" s="9" t="s">
        <v>654</v>
      </c>
      <c r="AF312" s="184"/>
      <c r="AG312" s="183"/>
      <c r="AH312" s="183"/>
      <c r="AI312" s="183"/>
      <c r="AJ312" s="183"/>
      <c r="AK312" s="9" t="s">
        <v>654</v>
      </c>
      <c r="AL312" s="183"/>
      <c r="AM312" s="186" t="str">
        <f>IF(AF312="","","Q"&amp;INT((MONTH(AF312)-1)/3)+1&amp;YEAR(AF312)&amp;#REF!&amp;T312)</f>
        <v/>
      </c>
      <c r="AN312" s="186" t="e">
        <f>IF(K312="","","Q"&amp;INT((MONTH(K312)-1)/3)+1&amp;YEAR(K312)&amp;#REF!)</f>
        <v>#REF!</v>
      </c>
    </row>
    <row r="313" spans="1:40" ht="20.100000000000001" customHeight="1" x14ac:dyDescent="0.25">
      <c r="A313" s="8">
        <v>311</v>
      </c>
      <c r="B313" s="8" t="s">
        <v>399</v>
      </c>
      <c r="C313" s="8" t="s">
        <v>1997</v>
      </c>
      <c r="D313" s="8" t="s">
        <v>2416</v>
      </c>
      <c r="E313" s="8" t="s">
        <v>1998</v>
      </c>
      <c r="F313" s="183" t="s">
        <v>2222</v>
      </c>
      <c r="G313" s="183"/>
      <c r="H313" s="183" t="s">
        <v>2424</v>
      </c>
      <c r="I313" s="183" t="s">
        <v>579</v>
      </c>
      <c r="J313" s="183"/>
      <c r="K313" s="184">
        <v>46041</v>
      </c>
      <c r="L313" s="183">
        <v>118</v>
      </c>
      <c r="M313" s="185" t="str">
        <f>IF(phc_8[[#This Row],[Register No.]]="","",C313&amp;"-"&amp;D313&amp;"-"&amp;"BHA-PHC-"&amp;phc_8[[#This Row],[Register No.]])</f>
        <v>Shining Star-Mobile Clinic-BHA-PHC-118</v>
      </c>
      <c r="N313" s="9" t="s">
        <v>401</v>
      </c>
      <c r="O313" s="183" t="s">
        <v>3677</v>
      </c>
      <c r="P313" s="183">
        <v>25</v>
      </c>
      <c r="Q313" s="183"/>
      <c r="R313" s="183"/>
      <c r="S313" s="186" t="str">
        <f t="shared" si="12"/>
        <v>19 - 49 yrs</v>
      </c>
      <c r="T313" s="183" t="s">
        <v>603</v>
      </c>
      <c r="U313" s="183" t="s">
        <v>3398</v>
      </c>
      <c r="V313" s="183" t="s">
        <v>3680</v>
      </c>
      <c r="W313" s="183" t="s">
        <v>2014</v>
      </c>
      <c r="X313" s="183" t="s">
        <v>2014</v>
      </c>
      <c r="Y313" s="186" t="str">
        <f>INDEX(info!$Y$2:$Y$192,MATCH(phc_8[[#This Row],[Sub_Category]],info!$X$2:$X$192,0))</f>
        <v>Other (non-communicable)</v>
      </c>
      <c r="Z313" s="186" t="str">
        <f t="array" ref="Z313">INDEX(info!$AA$2:$AA$192,MATCH(PHC!$X313&amp;PHC!$Y313,info!$X$2:$X$192&amp;info!$Y$2:$Y$192,0))</f>
        <v>Other</v>
      </c>
      <c r="AA313" s="183" t="s">
        <v>3687</v>
      </c>
      <c r="AB313" s="9" t="s">
        <v>654</v>
      </c>
      <c r="AC313" s="9" t="s">
        <v>654</v>
      </c>
      <c r="AD313" s="9" t="s">
        <v>654</v>
      </c>
      <c r="AE313" s="9" t="s">
        <v>654</v>
      </c>
      <c r="AF313" s="184"/>
      <c r="AG313" s="183"/>
      <c r="AH313" s="183"/>
      <c r="AI313" s="183"/>
      <c r="AJ313" s="183"/>
      <c r="AK313" s="9" t="s">
        <v>654</v>
      </c>
      <c r="AL313" s="183"/>
      <c r="AM313" s="186" t="str">
        <f>IF(AF313="","","Q"&amp;INT((MONTH(AF313)-1)/3)+1&amp;YEAR(AF313)&amp;#REF!&amp;T313)</f>
        <v/>
      </c>
      <c r="AN313" s="186" t="e">
        <f>IF(K313="","","Q"&amp;INT((MONTH(K313)-1)/3)+1&amp;YEAR(K313)&amp;#REF!)</f>
        <v>#REF!</v>
      </c>
    </row>
    <row r="314" spans="1:40" ht="20.100000000000001" customHeight="1" x14ac:dyDescent="0.25">
      <c r="A314" s="8">
        <v>312</v>
      </c>
      <c r="B314" s="8" t="s">
        <v>399</v>
      </c>
      <c r="C314" s="8" t="s">
        <v>1997</v>
      </c>
      <c r="D314" s="8" t="s">
        <v>2416</v>
      </c>
      <c r="E314" s="8" t="s">
        <v>1998</v>
      </c>
      <c r="F314" s="183" t="s">
        <v>2222</v>
      </c>
      <c r="G314" s="183"/>
      <c r="H314" s="183" t="s">
        <v>2424</v>
      </c>
      <c r="I314" s="183" t="s">
        <v>579</v>
      </c>
      <c r="J314" s="183"/>
      <c r="K314" s="184">
        <v>46041</v>
      </c>
      <c r="L314" s="183">
        <v>119</v>
      </c>
      <c r="M314" s="185" t="str">
        <f>IF(phc_8[[#This Row],[Register No.]]="","",C314&amp;"-"&amp;D314&amp;"-"&amp;"BHA-PHC-"&amp;phc_8[[#This Row],[Register No.]])</f>
        <v>Shining Star-Mobile Clinic-BHA-PHC-119</v>
      </c>
      <c r="N314" s="9" t="s">
        <v>401</v>
      </c>
      <c r="O314" s="183" t="s">
        <v>3678</v>
      </c>
      <c r="P314" s="183">
        <v>24</v>
      </c>
      <c r="Q314" s="183"/>
      <c r="R314" s="183"/>
      <c r="S314" s="186" t="str">
        <f t="shared" si="12"/>
        <v>19 - 49 yrs</v>
      </c>
      <c r="T314" s="183" t="s">
        <v>603</v>
      </c>
      <c r="U314" s="183" t="s">
        <v>3398</v>
      </c>
      <c r="V314" s="183" t="s">
        <v>3681</v>
      </c>
      <c r="W314" s="183" t="s">
        <v>294</v>
      </c>
      <c r="X314" s="183" t="s">
        <v>294</v>
      </c>
      <c r="Y314" s="186" t="str">
        <f>INDEX(info!$Y$2:$Y$192,MATCH(phc_8[[#This Row],[Sub_Category]],info!$X$2:$X$192,0))</f>
        <v>Other (non-communicable)</v>
      </c>
      <c r="Z314" s="186" t="str">
        <f t="array" ref="Z314">INDEX(info!$AA$2:$AA$192,MATCH(PHC!$X314&amp;PHC!$Y314,info!$X$2:$X$192&amp;info!$Y$2:$Y$192,0))</f>
        <v>Other</v>
      </c>
      <c r="AA314" s="183" t="s">
        <v>3686</v>
      </c>
      <c r="AB314" s="9" t="s">
        <v>654</v>
      </c>
      <c r="AC314" s="9" t="s">
        <v>654</v>
      </c>
      <c r="AD314" s="9" t="s">
        <v>654</v>
      </c>
      <c r="AE314" s="9" t="s">
        <v>654</v>
      </c>
      <c r="AF314" s="184"/>
      <c r="AG314" s="183"/>
      <c r="AH314" s="183"/>
      <c r="AI314" s="183"/>
      <c r="AJ314" s="183"/>
      <c r="AK314" s="9" t="s">
        <v>654</v>
      </c>
      <c r="AL314" s="183"/>
      <c r="AM314" s="186" t="str">
        <f>IF(AF314="","","Q"&amp;INT((MONTH(AF314)-1)/3)+1&amp;YEAR(AF314)&amp;#REF!&amp;T314)</f>
        <v/>
      </c>
      <c r="AN314" s="186" t="e">
        <f>IF(K314="","","Q"&amp;INT((MONTH(K314)-1)/3)+1&amp;YEAR(K314)&amp;#REF!)</f>
        <v>#REF!</v>
      </c>
    </row>
    <row r="315" spans="1:40" ht="20.100000000000001" customHeight="1" x14ac:dyDescent="0.25">
      <c r="A315" s="8">
        <v>313</v>
      </c>
      <c r="B315" s="8" t="s">
        <v>399</v>
      </c>
      <c r="C315" s="8" t="s">
        <v>1997</v>
      </c>
      <c r="D315" s="8" t="s">
        <v>2416</v>
      </c>
      <c r="E315" s="8" t="s">
        <v>1998</v>
      </c>
      <c r="F315" s="183" t="s">
        <v>2222</v>
      </c>
      <c r="G315" s="183"/>
      <c r="H315" s="183" t="s">
        <v>2424</v>
      </c>
      <c r="I315" s="183" t="s">
        <v>579</v>
      </c>
      <c r="J315" s="183"/>
      <c r="K315" s="184">
        <v>46041</v>
      </c>
      <c r="L315" s="183">
        <v>120</v>
      </c>
      <c r="M315" s="185" t="str">
        <f>IF(phc_8[[#This Row],[Register No.]]="","",C315&amp;"-"&amp;D315&amp;"-"&amp;"BHA-PHC-"&amp;phc_8[[#This Row],[Register No.]])</f>
        <v>Shining Star-Mobile Clinic-BHA-PHC-120</v>
      </c>
      <c r="N315" s="9" t="s">
        <v>401</v>
      </c>
      <c r="O315" s="183" t="s">
        <v>3679</v>
      </c>
      <c r="P315" s="183">
        <v>87</v>
      </c>
      <c r="Q315" s="183"/>
      <c r="R315" s="183"/>
      <c r="S315" s="186" t="str">
        <f t="shared" si="12"/>
        <v>50 yrs +</v>
      </c>
      <c r="T315" s="183" t="s">
        <v>603</v>
      </c>
      <c r="U315" s="183" t="s">
        <v>3398</v>
      </c>
      <c r="V315" s="183" t="s">
        <v>3089</v>
      </c>
      <c r="W315" s="183" t="s">
        <v>294</v>
      </c>
      <c r="X315" s="183" t="s">
        <v>294</v>
      </c>
      <c r="Y315" s="186" t="str">
        <f>INDEX(info!$Y$2:$Y$192,MATCH(phc_8[[#This Row],[Sub_Category]],info!$X$2:$X$192,0))</f>
        <v>Other (non-communicable)</v>
      </c>
      <c r="Z315" s="186" t="str">
        <f t="array" ref="Z315">INDEX(info!$AA$2:$AA$192,MATCH(PHC!$X315&amp;PHC!$Y315,info!$X$2:$X$192&amp;info!$Y$2:$Y$192,0))</f>
        <v>Other</v>
      </c>
      <c r="AA315" s="183" t="s">
        <v>3688</v>
      </c>
      <c r="AB315" s="9" t="s">
        <v>654</v>
      </c>
      <c r="AC315" s="9" t="s">
        <v>654</v>
      </c>
      <c r="AD315" s="9" t="s">
        <v>654</v>
      </c>
      <c r="AE315" s="9" t="s">
        <v>654</v>
      </c>
      <c r="AF315" s="184"/>
      <c r="AG315" s="183"/>
      <c r="AH315" s="183"/>
      <c r="AI315" s="183"/>
      <c r="AJ315" s="183"/>
      <c r="AK315" s="9" t="s">
        <v>654</v>
      </c>
      <c r="AL315" s="183"/>
      <c r="AM315" s="186" t="str">
        <f>IF(AF315="","","Q"&amp;INT((MONTH(AF315)-1)/3)+1&amp;YEAR(AF315)&amp;#REF!&amp;T315)</f>
        <v/>
      </c>
      <c r="AN315" s="186" t="e">
        <f>IF(K315="","","Q"&amp;INT((MONTH(K315)-1)/3)+1&amp;YEAR(K315)&amp;#REF!)</f>
        <v>#REF!</v>
      </c>
    </row>
    <row r="316" spans="1:40" ht="20.100000000000001" customHeight="1" x14ac:dyDescent="0.25">
      <c r="A316" s="8">
        <v>314</v>
      </c>
      <c r="B316" s="8" t="s">
        <v>399</v>
      </c>
      <c r="C316" s="8" t="s">
        <v>1997</v>
      </c>
      <c r="D316" s="8" t="s">
        <v>2416</v>
      </c>
      <c r="E316" s="8" t="s">
        <v>1998</v>
      </c>
      <c r="F316" s="183" t="s">
        <v>2222</v>
      </c>
      <c r="G316" s="183"/>
      <c r="H316" s="183" t="s">
        <v>2424</v>
      </c>
      <c r="I316" s="183" t="s">
        <v>579</v>
      </c>
      <c r="J316" s="183"/>
      <c r="K316" s="184">
        <v>46041</v>
      </c>
      <c r="L316" s="183">
        <v>121</v>
      </c>
      <c r="M316" s="185" t="str">
        <f>IF(phc_8[[#This Row],[Register No.]]="","",C316&amp;"-"&amp;D316&amp;"-"&amp;"BHA-PHC-"&amp;phc_8[[#This Row],[Register No.]])</f>
        <v>Shining Star-Mobile Clinic-BHA-PHC-121</v>
      </c>
      <c r="N316" s="9" t="s">
        <v>401</v>
      </c>
      <c r="O316" s="183" t="s">
        <v>3689</v>
      </c>
      <c r="P316" s="183">
        <v>40</v>
      </c>
      <c r="Q316" s="183"/>
      <c r="R316" s="183"/>
      <c r="S316" s="186" t="str">
        <f t="shared" si="12"/>
        <v>19 - 49 yrs</v>
      </c>
      <c r="T316" s="183" t="s">
        <v>603</v>
      </c>
      <c r="U316" s="183" t="s">
        <v>3398</v>
      </c>
      <c r="V316" s="183" t="s">
        <v>3694</v>
      </c>
      <c r="W316" s="183" t="s">
        <v>3698</v>
      </c>
      <c r="X316" s="183" t="s">
        <v>178</v>
      </c>
      <c r="Y316" s="186" t="str">
        <f>INDEX(info!$Y$2:$Y$192,MATCH(phc_8[[#This Row],[Sub_Category]],info!$X$2:$X$192,0))</f>
        <v>Chronic medical disease</v>
      </c>
      <c r="Z316" s="186" t="str">
        <f t="array" ref="Z316">INDEX(info!$AA$2:$AA$192,MATCH(PHC!$X316&amp;PHC!$Y316,info!$X$2:$X$192&amp;info!$Y$2:$Y$192,0))</f>
        <v>Non-communicable disease</v>
      </c>
      <c r="AA316" s="183" t="s">
        <v>3700</v>
      </c>
      <c r="AB316" s="9" t="s">
        <v>654</v>
      </c>
      <c r="AC316" s="9" t="s">
        <v>654</v>
      </c>
      <c r="AD316" s="9" t="s">
        <v>654</v>
      </c>
      <c r="AE316" s="9" t="s">
        <v>654</v>
      </c>
      <c r="AF316" s="184"/>
      <c r="AG316" s="183"/>
      <c r="AH316" s="183"/>
      <c r="AI316" s="183"/>
      <c r="AJ316" s="183"/>
      <c r="AK316" s="9" t="s">
        <v>654</v>
      </c>
      <c r="AL316" s="183"/>
      <c r="AM316" s="186" t="str">
        <f>IF(AF316="","","Q"&amp;INT((MONTH(AF316)-1)/3)+1&amp;YEAR(AF316)&amp;#REF!&amp;T316)</f>
        <v/>
      </c>
      <c r="AN316" s="186" t="e">
        <f>IF(K316="","","Q"&amp;INT((MONTH(K316)-1)/3)+1&amp;YEAR(K316)&amp;#REF!)</f>
        <v>#REF!</v>
      </c>
    </row>
    <row r="317" spans="1:40" ht="20.100000000000001" customHeight="1" x14ac:dyDescent="0.25">
      <c r="A317" s="8">
        <v>315</v>
      </c>
      <c r="B317" s="8" t="s">
        <v>399</v>
      </c>
      <c r="C317" s="8" t="s">
        <v>1997</v>
      </c>
      <c r="D317" s="8" t="s">
        <v>2416</v>
      </c>
      <c r="E317" s="8" t="s">
        <v>1998</v>
      </c>
      <c r="F317" s="183" t="s">
        <v>2222</v>
      </c>
      <c r="G317" s="183"/>
      <c r="H317" s="183" t="s">
        <v>2424</v>
      </c>
      <c r="I317" s="183" t="s">
        <v>579</v>
      </c>
      <c r="J317" s="183"/>
      <c r="K317" s="184">
        <v>46041</v>
      </c>
      <c r="L317" s="183">
        <v>122</v>
      </c>
      <c r="M317" s="185" t="str">
        <f>IF(phc_8[[#This Row],[Register No.]]="","",C317&amp;"-"&amp;D317&amp;"-"&amp;"BHA-PHC-"&amp;phc_8[[#This Row],[Register No.]])</f>
        <v>Shining Star-Mobile Clinic-BHA-PHC-122</v>
      </c>
      <c r="N317" s="9" t="s">
        <v>401</v>
      </c>
      <c r="O317" s="183" t="s">
        <v>3690</v>
      </c>
      <c r="P317" s="183">
        <v>71</v>
      </c>
      <c r="Q317" s="183"/>
      <c r="R317" s="183"/>
      <c r="S317" s="186" t="str">
        <f t="shared" si="12"/>
        <v>50 yrs +</v>
      </c>
      <c r="T317" s="183" t="s">
        <v>603</v>
      </c>
      <c r="U317" s="183" t="s">
        <v>3398</v>
      </c>
      <c r="V317" s="183" t="s">
        <v>3695</v>
      </c>
      <c r="W317" s="183" t="s">
        <v>2003</v>
      </c>
      <c r="X317" s="183" t="s">
        <v>181</v>
      </c>
      <c r="Y317" s="186" t="str">
        <f>INDEX(info!$Y$2:$Y$192,MATCH(phc_8[[#This Row],[Sub_Category]],info!$X$2:$X$192,0))</f>
        <v>Chronic medical disease</v>
      </c>
      <c r="Z317" s="186" t="str">
        <f t="array" ref="Z317">INDEX(info!$AA$2:$AA$192,MATCH(PHC!$X317&amp;PHC!$Y317,info!$X$2:$X$192&amp;info!$Y$2:$Y$192,0))</f>
        <v>Non-communicable disease</v>
      </c>
      <c r="AA317" s="183" t="s">
        <v>3701</v>
      </c>
      <c r="AB317" s="9" t="s">
        <v>654</v>
      </c>
      <c r="AC317" s="9" t="s">
        <v>654</v>
      </c>
      <c r="AD317" s="9" t="s">
        <v>654</v>
      </c>
      <c r="AE317" s="9" t="s">
        <v>654</v>
      </c>
      <c r="AF317" s="184"/>
      <c r="AG317" s="183"/>
      <c r="AH317" s="183"/>
      <c r="AI317" s="183"/>
      <c r="AJ317" s="183"/>
      <c r="AK317" s="9" t="s">
        <v>654</v>
      </c>
      <c r="AL317" s="183"/>
      <c r="AM317" s="186" t="str">
        <f>IF(AF317="","","Q"&amp;INT((MONTH(AF317)-1)/3)+1&amp;YEAR(AF317)&amp;#REF!&amp;T317)</f>
        <v/>
      </c>
      <c r="AN317" s="186" t="e">
        <f>IF(K317="","","Q"&amp;INT((MONTH(K317)-1)/3)+1&amp;YEAR(K317)&amp;#REF!)</f>
        <v>#REF!</v>
      </c>
    </row>
    <row r="318" spans="1:40" ht="20.100000000000001" customHeight="1" x14ac:dyDescent="0.25">
      <c r="A318" s="8">
        <v>316</v>
      </c>
      <c r="B318" s="8" t="s">
        <v>399</v>
      </c>
      <c r="C318" s="8" t="s">
        <v>1997</v>
      </c>
      <c r="D318" s="8" t="s">
        <v>2416</v>
      </c>
      <c r="E318" s="8" t="s">
        <v>1998</v>
      </c>
      <c r="F318" s="183" t="s">
        <v>2222</v>
      </c>
      <c r="G318" s="183"/>
      <c r="H318" s="183" t="s">
        <v>2424</v>
      </c>
      <c r="I318" s="183" t="s">
        <v>579</v>
      </c>
      <c r="J318" s="183"/>
      <c r="K318" s="184">
        <v>46041</v>
      </c>
      <c r="L318" s="183">
        <v>123</v>
      </c>
      <c r="M318" s="185" t="str">
        <f>IF(phc_8[[#This Row],[Register No.]]="","",C318&amp;"-"&amp;D318&amp;"-"&amp;"BHA-PHC-"&amp;phc_8[[#This Row],[Register No.]])</f>
        <v>Shining Star-Mobile Clinic-BHA-PHC-123</v>
      </c>
      <c r="N318" s="9" t="s">
        <v>401</v>
      </c>
      <c r="O318" s="183" t="s">
        <v>3691</v>
      </c>
      <c r="P318" s="183">
        <v>79</v>
      </c>
      <c r="Q318" s="183"/>
      <c r="R318" s="183"/>
      <c r="S318" s="186" t="str">
        <f t="shared" si="12"/>
        <v>50 yrs +</v>
      </c>
      <c r="T318" s="183" t="s">
        <v>402</v>
      </c>
      <c r="U318" s="183" t="s">
        <v>3398</v>
      </c>
      <c r="V318" s="183" t="s">
        <v>3696</v>
      </c>
      <c r="W318" s="183" t="s">
        <v>3210</v>
      </c>
      <c r="X318" s="183" t="s">
        <v>216</v>
      </c>
      <c r="Y318" s="186" t="str">
        <f>INDEX(info!$Y$2:$Y$192,MATCH(phc_8[[#This Row],[Sub_Category]],info!$X$2:$X$192,0))</f>
        <v>Eye problem/disease</v>
      </c>
      <c r="Z318" s="186" t="str">
        <f t="array" ref="Z318">INDEX(info!$AA$2:$AA$192,MATCH(PHC!$X318&amp;PHC!$Y318,info!$X$2:$X$192&amp;info!$Y$2:$Y$192,0))</f>
        <v>Non-communicable disease</v>
      </c>
      <c r="AA318" s="183" t="s">
        <v>3702</v>
      </c>
      <c r="AB318" s="9" t="s">
        <v>654</v>
      </c>
      <c r="AC318" s="9" t="s">
        <v>654</v>
      </c>
      <c r="AD318" s="9" t="s">
        <v>654</v>
      </c>
      <c r="AE318" s="9" t="s">
        <v>654</v>
      </c>
      <c r="AF318" s="184"/>
      <c r="AG318" s="183"/>
      <c r="AH318" s="183"/>
      <c r="AI318" s="183"/>
      <c r="AJ318" s="183"/>
      <c r="AK318" s="9" t="s">
        <v>654</v>
      </c>
      <c r="AL318" s="183"/>
      <c r="AM318" s="186" t="str">
        <f>IF(AF318="","","Q"&amp;INT((MONTH(AF318)-1)/3)+1&amp;YEAR(AF318)&amp;#REF!&amp;T318)</f>
        <v/>
      </c>
      <c r="AN318" s="186" t="e">
        <f>IF(K318="","","Q"&amp;INT((MONTH(K318)-1)/3)+1&amp;YEAR(K318)&amp;#REF!)</f>
        <v>#REF!</v>
      </c>
    </row>
    <row r="319" spans="1:40" ht="20.100000000000001" customHeight="1" x14ac:dyDescent="0.25">
      <c r="A319" s="8">
        <v>317</v>
      </c>
      <c r="B319" s="8" t="s">
        <v>399</v>
      </c>
      <c r="C319" s="8" t="s">
        <v>1997</v>
      </c>
      <c r="D319" s="8" t="s">
        <v>2416</v>
      </c>
      <c r="E319" s="8" t="s">
        <v>1998</v>
      </c>
      <c r="F319" s="183" t="s">
        <v>2222</v>
      </c>
      <c r="G319" s="183"/>
      <c r="H319" s="183" t="s">
        <v>2424</v>
      </c>
      <c r="I319" s="183" t="s">
        <v>579</v>
      </c>
      <c r="J319" s="183"/>
      <c r="K319" s="184">
        <v>46041</v>
      </c>
      <c r="L319" s="183">
        <v>124</v>
      </c>
      <c r="M319" s="185" t="str">
        <f>IF(phc_8[[#This Row],[Register No.]]="","",C319&amp;"-"&amp;D319&amp;"-"&amp;"BHA-PHC-"&amp;phc_8[[#This Row],[Register No.]])</f>
        <v>Shining Star-Mobile Clinic-BHA-PHC-124</v>
      </c>
      <c r="N319" s="9" t="s">
        <v>401</v>
      </c>
      <c r="O319" s="183" t="s">
        <v>3692</v>
      </c>
      <c r="P319" s="183">
        <v>47</v>
      </c>
      <c r="Q319" s="183"/>
      <c r="R319" s="183"/>
      <c r="S319" s="186" t="str">
        <f t="shared" si="12"/>
        <v>19 - 49 yrs</v>
      </c>
      <c r="T319" s="183" t="s">
        <v>603</v>
      </c>
      <c r="U319" s="183" t="s">
        <v>3398</v>
      </c>
      <c r="V319" s="183" t="s">
        <v>3697</v>
      </c>
      <c r="W319" s="183" t="s">
        <v>178</v>
      </c>
      <c r="X319" s="183" t="s">
        <v>3699</v>
      </c>
      <c r="Y319" s="186" t="str">
        <f>INDEX(info!$Y$2:$Y$192,MATCH(phc_8[[#This Row],[Sub_Category]],info!$X$2:$X$192,0))</f>
        <v>Chronic medical disease</v>
      </c>
      <c r="Z319" s="186" t="str">
        <f t="array" ref="Z319">INDEX(info!$AA$2:$AA$192,MATCH(PHC!$X319&amp;PHC!$Y319,info!$X$2:$X$192&amp;info!$Y$2:$Y$192,0))</f>
        <v>Non-communicable disease</v>
      </c>
      <c r="AA319" s="183" t="s">
        <v>3703</v>
      </c>
      <c r="AB319" s="9" t="s">
        <v>654</v>
      </c>
      <c r="AC319" s="9" t="s">
        <v>654</v>
      </c>
      <c r="AD319" s="9" t="s">
        <v>654</v>
      </c>
      <c r="AE319" s="9" t="s">
        <v>654</v>
      </c>
      <c r="AF319" s="184"/>
      <c r="AG319" s="183"/>
      <c r="AH319" s="183"/>
      <c r="AI319" s="183"/>
      <c r="AJ319" s="183"/>
      <c r="AK319" s="9" t="s">
        <v>654</v>
      </c>
      <c r="AL319" s="183"/>
      <c r="AM319" s="186" t="str">
        <f>IF(AF319="","","Q"&amp;INT((MONTH(AF319)-1)/3)+1&amp;YEAR(AF319)&amp;#REF!&amp;T319)</f>
        <v/>
      </c>
      <c r="AN319" s="186" t="e">
        <f>IF(K319="","","Q"&amp;INT((MONTH(K319)-1)/3)+1&amp;YEAR(K319)&amp;#REF!)</f>
        <v>#REF!</v>
      </c>
    </row>
    <row r="320" spans="1:40" ht="20.100000000000001" customHeight="1" x14ac:dyDescent="0.25">
      <c r="A320" s="8">
        <v>318</v>
      </c>
      <c r="B320" s="8" t="s">
        <v>399</v>
      </c>
      <c r="C320" s="8" t="s">
        <v>1997</v>
      </c>
      <c r="D320" s="8" t="s">
        <v>2416</v>
      </c>
      <c r="E320" s="8" t="s">
        <v>1998</v>
      </c>
      <c r="F320" s="183" t="s">
        <v>2222</v>
      </c>
      <c r="G320" s="183"/>
      <c r="H320" s="183" t="s">
        <v>2424</v>
      </c>
      <c r="I320" s="183" t="s">
        <v>579</v>
      </c>
      <c r="J320" s="183"/>
      <c r="K320" s="184">
        <v>46041</v>
      </c>
      <c r="L320" s="183">
        <v>125</v>
      </c>
      <c r="M320" s="185" t="str">
        <f>IF(phc_8[[#This Row],[Register No.]]="","",C320&amp;"-"&amp;D320&amp;"-"&amp;"BHA-PHC-"&amp;phc_8[[#This Row],[Register No.]])</f>
        <v>Shining Star-Mobile Clinic-BHA-PHC-125</v>
      </c>
      <c r="N320" s="9" t="s">
        <v>401</v>
      </c>
      <c r="O320" s="183" t="s">
        <v>3693</v>
      </c>
      <c r="P320" s="183">
        <v>62</v>
      </c>
      <c r="Q320" s="183"/>
      <c r="R320" s="183"/>
      <c r="S320" s="186" t="str">
        <f t="shared" si="12"/>
        <v>50 yrs +</v>
      </c>
      <c r="T320" s="183" t="s">
        <v>603</v>
      </c>
      <c r="U320" s="183" t="s">
        <v>3398</v>
      </c>
      <c r="V320" s="183" t="s">
        <v>2041</v>
      </c>
      <c r="W320" s="183" t="s">
        <v>2003</v>
      </c>
      <c r="X320" s="183" t="s">
        <v>181</v>
      </c>
      <c r="Y320" s="186" t="str">
        <f>INDEX(info!$Y$2:$Y$192,MATCH(phc_8[[#This Row],[Sub_Category]],info!$X$2:$X$192,0))</f>
        <v>Chronic medical disease</v>
      </c>
      <c r="Z320" s="186" t="str">
        <f t="array" ref="Z320">INDEX(info!$AA$2:$AA$192,MATCH(PHC!$X320&amp;PHC!$Y320,info!$X$2:$X$192&amp;info!$Y$2:$Y$192,0))</f>
        <v>Non-communicable disease</v>
      </c>
      <c r="AA320" s="183" t="s">
        <v>2108</v>
      </c>
      <c r="AB320" s="9" t="s">
        <v>654</v>
      </c>
      <c r="AC320" s="9" t="s">
        <v>654</v>
      </c>
      <c r="AD320" s="9" t="s">
        <v>654</v>
      </c>
      <c r="AE320" s="9" t="s">
        <v>654</v>
      </c>
      <c r="AF320" s="184"/>
      <c r="AG320" s="183"/>
      <c r="AH320" s="183"/>
      <c r="AI320" s="183"/>
      <c r="AJ320" s="183"/>
      <c r="AK320" s="9" t="s">
        <v>654</v>
      </c>
      <c r="AL320" s="183"/>
      <c r="AM320" s="186" t="str">
        <f>IF(AF320="","","Q"&amp;INT((MONTH(AF320)-1)/3)+1&amp;YEAR(AF320)&amp;#REF!&amp;T320)</f>
        <v/>
      </c>
      <c r="AN320" s="186" t="e">
        <f>IF(K320="","","Q"&amp;INT((MONTH(K320)-1)/3)+1&amp;YEAR(K320)&amp;#REF!)</f>
        <v>#REF!</v>
      </c>
    </row>
    <row r="321" spans="1:40" ht="20.100000000000001" customHeight="1" x14ac:dyDescent="0.25">
      <c r="A321" s="8">
        <v>319</v>
      </c>
      <c r="B321" s="8" t="s">
        <v>399</v>
      </c>
      <c r="C321" s="8" t="s">
        <v>1997</v>
      </c>
      <c r="D321" s="8" t="s">
        <v>2416</v>
      </c>
      <c r="E321" s="8" t="s">
        <v>1998</v>
      </c>
      <c r="F321" s="183" t="s">
        <v>2222</v>
      </c>
      <c r="G321" s="183"/>
      <c r="H321" s="183" t="s">
        <v>2424</v>
      </c>
      <c r="I321" s="183" t="s">
        <v>579</v>
      </c>
      <c r="J321" s="183"/>
      <c r="K321" s="184">
        <v>46041</v>
      </c>
      <c r="L321" s="183">
        <v>126</v>
      </c>
      <c r="M321" s="185" t="str">
        <f>IF(phc_8[[#This Row],[Register No.]]="","",C321&amp;"-"&amp;D321&amp;"-"&amp;"BHA-PHC-"&amp;phc_8[[#This Row],[Register No.]])</f>
        <v>Shining Star-Mobile Clinic-BHA-PHC-126</v>
      </c>
      <c r="N321" s="9" t="s">
        <v>401</v>
      </c>
      <c r="O321" s="183" t="s">
        <v>3704</v>
      </c>
      <c r="P321" s="183">
        <v>36</v>
      </c>
      <c r="Q321" s="183"/>
      <c r="R321" s="183"/>
      <c r="S321" s="186" t="str">
        <f t="shared" si="12"/>
        <v>19 - 49 yrs</v>
      </c>
      <c r="T321" s="183" t="s">
        <v>402</v>
      </c>
      <c r="U321" s="183" t="s">
        <v>3398</v>
      </c>
      <c r="V321" s="183" t="s">
        <v>3710</v>
      </c>
      <c r="W321" s="183" t="s">
        <v>2059</v>
      </c>
      <c r="X321" s="183" t="s">
        <v>242</v>
      </c>
      <c r="Y321" s="186" t="str">
        <f>INDEX(info!$Y$2:$Y$192,MATCH(phc_8[[#This Row],[Sub_Category]],info!$X$2:$X$192,0))</f>
        <v>Accident/minor sugical and injuries</v>
      </c>
      <c r="Z321" s="186" t="str">
        <f t="array" ref="Z321">INDEX(info!$AA$2:$AA$192,MATCH(PHC!$X321&amp;PHC!$Y321,info!$X$2:$X$192&amp;info!$Y$2:$Y$192,0))</f>
        <v>Injury related</v>
      </c>
      <c r="AA321" s="183" t="s">
        <v>3718</v>
      </c>
      <c r="AB321" s="9" t="s">
        <v>654</v>
      </c>
      <c r="AC321" s="9" t="s">
        <v>654</v>
      </c>
      <c r="AD321" s="9" t="s">
        <v>654</v>
      </c>
      <c r="AE321" s="9" t="s">
        <v>654</v>
      </c>
      <c r="AF321" s="184"/>
      <c r="AG321" s="183"/>
      <c r="AH321" s="183"/>
      <c r="AI321" s="183"/>
      <c r="AJ321" s="183"/>
      <c r="AK321" s="9" t="s">
        <v>654</v>
      </c>
      <c r="AL321" s="183"/>
      <c r="AM321" s="186" t="str">
        <f>IF(AF321="","","Q"&amp;INT((MONTH(AF321)-1)/3)+1&amp;YEAR(AF321)&amp;#REF!&amp;T321)</f>
        <v/>
      </c>
      <c r="AN321" s="186" t="e">
        <f>IF(K321="","","Q"&amp;INT((MONTH(K321)-1)/3)+1&amp;YEAR(K321)&amp;#REF!)</f>
        <v>#REF!</v>
      </c>
    </row>
    <row r="322" spans="1:40" ht="20.100000000000001" customHeight="1" x14ac:dyDescent="0.25">
      <c r="A322" s="8">
        <v>320</v>
      </c>
      <c r="B322" s="8" t="s">
        <v>399</v>
      </c>
      <c r="C322" s="8" t="s">
        <v>1997</v>
      </c>
      <c r="D322" s="8" t="s">
        <v>2416</v>
      </c>
      <c r="E322" s="8" t="s">
        <v>1998</v>
      </c>
      <c r="F322" s="183" t="s">
        <v>2222</v>
      </c>
      <c r="G322" s="183"/>
      <c r="H322" s="183" t="s">
        <v>2424</v>
      </c>
      <c r="I322" s="183" t="s">
        <v>579</v>
      </c>
      <c r="J322" s="183"/>
      <c r="K322" s="184">
        <v>46041</v>
      </c>
      <c r="L322" s="183">
        <v>127</v>
      </c>
      <c r="M322" s="185" t="str">
        <f>IF(phc_8[[#This Row],[Register No.]]="","",C322&amp;"-"&amp;D322&amp;"-"&amp;"BHA-PHC-"&amp;phc_8[[#This Row],[Register No.]])</f>
        <v>Shining Star-Mobile Clinic-BHA-PHC-127</v>
      </c>
      <c r="N322" s="9" t="s">
        <v>401</v>
      </c>
      <c r="O322" s="183" t="s">
        <v>3705</v>
      </c>
      <c r="P322" s="183">
        <v>52</v>
      </c>
      <c r="Q322" s="183"/>
      <c r="R322" s="183"/>
      <c r="S322" s="186" t="str">
        <f t="shared" si="12"/>
        <v>50 yrs +</v>
      </c>
      <c r="T322" s="183" t="s">
        <v>603</v>
      </c>
      <c r="U322" s="183" t="s">
        <v>3398</v>
      </c>
      <c r="V322" s="183" t="s">
        <v>3711</v>
      </c>
      <c r="W322" s="183" t="s">
        <v>2014</v>
      </c>
      <c r="X322" s="183" t="s">
        <v>2014</v>
      </c>
      <c r="Y322" s="186" t="str">
        <f>INDEX(info!$Y$2:$Y$192,MATCH(phc_8[[#This Row],[Sub_Category]],info!$X$2:$X$192,0))</f>
        <v>Other (non-communicable)</v>
      </c>
      <c r="Z322" s="186" t="str">
        <f t="array" ref="Z322">INDEX(info!$AA$2:$AA$192,MATCH(PHC!$X322&amp;PHC!$Y322,info!$X$2:$X$192&amp;info!$Y$2:$Y$192,0))</f>
        <v>Other</v>
      </c>
      <c r="AA322" s="183" t="s">
        <v>3719</v>
      </c>
      <c r="AB322" s="9" t="s">
        <v>654</v>
      </c>
      <c r="AC322" s="9" t="s">
        <v>654</v>
      </c>
      <c r="AD322" s="9" t="s">
        <v>654</v>
      </c>
      <c r="AE322" s="9" t="s">
        <v>654</v>
      </c>
      <c r="AF322" s="184"/>
      <c r="AG322" s="183"/>
      <c r="AH322" s="183"/>
      <c r="AI322" s="183"/>
      <c r="AJ322" s="183"/>
      <c r="AK322" s="9" t="s">
        <v>654</v>
      </c>
      <c r="AL322" s="183"/>
      <c r="AM322" s="186" t="str">
        <f>IF(AF322="","","Q"&amp;INT((MONTH(AF322)-1)/3)+1&amp;YEAR(AF322)&amp;#REF!&amp;T322)</f>
        <v/>
      </c>
      <c r="AN322" s="186" t="e">
        <f>IF(K322="","","Q"&amp;INT((MONTH(K322)-1)/3)+1&amp;YEAR(K322)&amp;#REF!)</f>
        <v>#REF!</v>
      </c>
    </row>
    <row r="323" spans="1:40" ht="20.100000000000001" customHeight="1" x14ac:dyDescent="0.25">
      <c r="A323" s="8">
        <v>321</v>
      </c>
      <c r="B323" s="8" t="s">
        <v>399</v>
      </c>
      <c r="C323" s="8" t="s">
        <v>1997</v>
      </c>
      <c r="D323" s="8" t="s">
        <v>2416</v>
      </c>
      <c r="E323" s="8" t="s">
        <v>1998</v>
      </c>
      <c r="F323" s="183" t="s">
        <v>2222</v>
      </c>
      <c r="G323" s="183"/>
      <c r="H323" s="183" t="s">
        <v>2424</v>
      </c>
      <c r="I323" s="183" t="s">
        <v>579</v>
      </c>
      <c r="J323" s="183"/>
      <c r="K323" s="184">
        <v>46041</v>
      </c>
      <c r="L323" s="183">
        <v>128</v>
      </c>
      <c r="M323" s="185" t="str">
        <f>IF(phc_8[[#This Row],[Register No.]]="","",C323&amp;"-"&amp;D323&amp;"-"&amp;"BHA-PHC-"&amp;phc_8[[#This Row],[Register No.]])</f>
        <v>Shining Star-Mobile Clinic-BHA-PHC-128</v>
      </c>
      <c r="N323" s="9" t="s">
        <v>401</v>
      </c>
      <c r="O323" s="183" t="s">
        <v>3706</v>
      </c>
      <c r="P323" s="183">
        <v>27</v>
      </c>
      <c r="Q323" s="183"/>
      <c r="R323" s="183"/>
      <c r="S323" s="186" t="str">
        <f t="shared" si="12"/>
        <v>19 - 49 yrs</v>
      </c>
      <c r="T323" s="183" t="s">
        <v>603</v>
      </c>
      <c r="U323" s="183" t="s">
        <v>3398</v>
      </c>
      <c r="V323" s="183" t="s">
        <v>3490</v>
      </c>
      <c r="W323" s="183" t="s">
        <v>2059</v>
      </c>
      <c r="X323" s="183" t="s">
        <v>242</v>
      </c>
      <c r="Y323" s="186" t="str">
        <f>INDEX(info!$Y$2:$Y$192,MATCH(phc_8[[#This Row],[Sub_Category]],info!$X$2:$X$192,0))</f>
        <v>Accident/minor sugical and injuries</v>
      </c>
      <c r="Z323" s="186" t="str">
        <f t="array" ref="Z323">INDEX(info!$AA$2:$AA$192,MATCH(PHC!$X323&amp;PHC!$Y323,info!$X$2:$X$192&amp;info!$Y$2:$Y$192,0))</f>
        <v>Injury related</v>
      </c>
      <c r="AA323" s="183" t="s">
        <v>3720</v>
      </c>
      <c r="AB323" s="9" t="s">
        <v>654</v>
      </c>
      <c r="AC323" s="9" t="s">
        <v>654</v>
      </c>
      <c r="AD323" s="9" t="s">
        <v>654</v>
      </c>
      <c r="AE323" s="9" t="s">
        <v>654</v>
      </c>
      <c r="AF323" s="184"/>
      <c r="AG323" s="183"/>
      <c r="AH323" s="183"/>
      <c r="AI323" s="183"/>
      <c r="AJ323" s="183"/>
      <c r="AK323" s="9" t="s">
        <v>654</v>
      </c>
      <c r="AL323" s="183"/>
      <c r="AM323" s="186" t="str">
        <f>IF(AF323="","","Q"&amp;INT((MONTH(AF323)-1)/3)+1&amp;YEAR(AF323)&amp;#REF!&amp;T323)</f>
        <v/>
      </c>
      <c r="AN323" s="186" t="e">
        <f>IF(K323="","","Q"&amp;INT((MONTH(K323)-1)/3)+1&amp;YEAR(K323)&amp;#REF!)</f>
        <v>#REF!</v>
      </c>
    </row>
    <row r="324" spans="1:40" ht="20.100000000000001" customHeight="1" x14ac:dyDescent="0.25">
      <c r="A324" s="8">
        <v>322</v>
      </c>
      <c r="B324" s="8" t="s">
        <v>399</v>
      </c>
      <c r="C324" s="8" t="s">
        <v>1997</v>
      </c>
      <c r="D324" s="8" t="s">
        <v>2416</v>
      </c>
      <c r="E324" s="8" t="s">
        <v>1998</v>
      </c>
      <c r="F324" s="183" t="s">
        <v>2222</v>
      </c>
      <c r="G324" s="183"/>
      <c r="H324" s="183" t="s">
        <v>2424</v>
      </c>
      <c r="I324" s="183" t="s">
        <v>579</v>
      </c>
      <c r="J324" s="183"/>
      <c r="K324" s="184">
        <v>46041</v>
      </c>
      <c r="L324" s="183">
        <v>129</v>
      </c>
      <c r="M324" s="185" t="str">
        <f>IF(phc_8[[#This Row],[Register No.]]="","",C324&amp;"-"&amp;D324&amp;"-"&amp;"BHA-PHC-"&amp;phc_8[[#This Row],[Register No.]])</f>
        <v>Shining Star-Mobile Clinic-BHA-PHC-129</v>
      </c>
      <c r="N324" s="9" t="s">
        <v>401</v>
      </c>
      <c r="O324" s="183" t="s">
        <v>3656</v>
      </c>
      <c r="P324" s="183">
        <v>65</v>
      </c>
      <c r="Q324" s="183"/>
      <c r="R324" s="183"/>
      <c r="S324" s="186" t="str">
        <f t="shared" si="12"/>
        <v>50 yrs +</v>
      </c>
      <c r="T324" s="183" t="s">
        <v>402</v>
      </c>
      <c r="U324" s="183" t="s">
        <v>3398</v>
      </c>
      <c r="V324" s="183" t="s">
        <v>3292</v>
      </c>
      <c r="W324" s="183" t="s">
        <v>2003</v>
      </c>
      <c r="X324" s="183" t="s">
        <v>181</v>
      </c>
      <c r="Y324" s="186" t="str">
        <f>INDEX(info!$Y$2:$Y$192,MATCH(phc_8[[#This Row],[Sub_Category]],info!$X$2:$X$192,0))</f>
        <v>Chronic medical disease</v>
      </c>
      <c r="Z324" s="186" t="str">
        <f t="array" ref="Z324">INDEX(info!$AA$2:$AA$192,MATCH(PHC!$X324&amp;PHC!$Y324,info!$X$2:$X$192&amp;info!$Y$2:$Y$192,0))</f>
        <v>Non-communicable disease</v>
      </c>
      <c r="AA324" s="183" t="s">
        <v>3721</v>
      </c>
      <c r="AB324" s="9" t="s">
        <v>654</v>
      </c>
      <c r="AC324" s="9" t="s">
        <v>654</v>
      </c>
      <c r="AD324" s="9" t="s">
        <v>654</v>
      </c>
      <c r="AE324" s="9" t="s">
        <v>654</v>
      </c>
      <c r="AF324" s="184"/>
      <c r="AG324" s="183"/>
      <c r="AH324" s="183"/>
      <c r="AI324" s="183"/>
      <c r="AJ324" s="183"/>
      <c r="AK324" s="9" t="s">
        <v>654</v>
      </c>
      <c r="AL324" s="183"/>
      <c r="AM324" s="186" t="str">
        <f>IF(AF324="","","Q"&amp;INT((MONTH(AF324)-1)/3)+1&amp;YEAR(AF324)&amp;#REF!&amp;T324)</f>
        <v/>
      </c>
      <c r="AN324" s="186" t="e">
        <f>IF(K324="","","Q"&amp;INT((MONTH(K324)-1)/3)+1&amp;YEAR(K324)&amp;#REF!)</f>
        <v>#REF!</v>
      </c>
    </row>
    <row r="325" spans="1:40" ht="20.100000000000001" customHeight="1" x14ac:dyDescent="0.25">
      <c r="A325" s="8">
        <v>323</v>
      </c>
      <c r="B325" s="8" t="s">
        <v>399</v>
      </c>
      <c r="C325" s="8" t="s">
        <v>1997</v>
      </c>
      <c r="D325" s="8" t="s">
        <v>2416</v>
      </c>
      <c r="E325" s="8" t="s">
        <v>1998</v>
      </c>
      <c r="F325" s="183" t="s">
        <v>2222</v>
      </c>
      <c r="G325" s="183"/>
      <c r="H325" s="183" t="s">
        <v>2424</v>
      </c>
      <c r="I325" s="183" t="s">
        <v>579</v>
      </c>
      <c r="J325" s="183"/>
      <c r="K325" s="184">
        <v>46041</v>
      </c>
      <c r="L325" s="183">
        <v>130</v>
      </c>
      <c r="M325" s="185" t="str">
        <f>IF(phc_8[[#This Row],[Register No.]]="","",C325&amp;"-"&amp;D325&amp;"-"&amp;"BHA-PHC-"&amp;phc_8[[#This Row],[Register No.]])</f>
        <v>Shining Star-Mobile Clinic-BHA-PHC-130</v>
      </c>
      <c r="N325" s="9" t="s">
        <v>401</v>
      </c>
      <c r="O325" s="183" t="s">
        <v>3707</v>
      </c>
      <c r="P325" s="183">
        <v>14</v>
      </c>
      <c r="Q325" s="183"/>
      <c r="R325" s="183"/>
      <c r="S325" s="186" t="str">
        <f t="shared" si="12"/>
        <v>5 - 14 yrs</v>
      </c>
      <c r="T325" s="183" t="s">
        <v>603</v>
      </c>
      <c r="U325" s="183" t="s">
        <v>3398</v>
      </c>
      <c r="V325" s="183" t="s">
        <v>3712</v>
      </c>
      <c r="W325" s="183" t="s">
        <v>3715</v>
      </c>
      <c r="X325" s="183"/>
      <c r="Y325" s="186" t="e">
        <f>INDEX(info!$Y$2:$Y$192,MATCH(phc_8[[#This Row],[Sub_Category]],info!$X$2:$X$192,0))</f>
        <v>#N/A</v>
      </c>
      <c r="Z325" s="186" t="e">
        <f t="array" ref="Z325">INDEX(info!$AA$2:$AA$192,MATCH(PHC!$X325&amp;PHC!$Y325,info!$X$2:$X$192&amp;info!$Y$2:$Y$192,0))</f>
        <v>#N/A</v>
      </c>
      <c r="AA325" s="183" t="s">
        <v>3722</v>
      </c>
      <c r="AB325" s="9" t="s">
        <v>654</v>
      </c>
      <c r="AC325" s="9" t="s">
        <v>654</v>
      </c>
      <c r="AD325" s="9" t="s">
        <v>654</v>
      </c>
      <c r="AE325" s="9" t="s">
        <v>654</v>
      </c>
      <c r="AF325" s="184"/>
      <c r="AG325" s="183"/>
      <c r="AH325" s="183"/>
      <c r="AI325" s="183"/>
      <c r="AJ325" s="183"/>
      <c r="AK325" s="9" t="s">
        <v>654</v>
      </c>
      <c r="AL325" s="183"/>
      <c r="AM325" s="186" t="str">
        <f>IF(AF325="","","Q"&amp;INT((MONTH(AF325)-1)/3)+1&amp;YEAR(AF325)&amp;#REF!&amp;T325)</f>
        <v/>
      </c>
      <c r="AN325" s="186" t="e">
        <f>IF(K325="","","Q"&amp;INT((MONTH(K325)-1)/3)+1&amp;YEAR(K325)&amp;#REF!)</f>
        <v>#REF!</v>
      </c>
    </row>
    <row r="326" spans="1:40" ht="20.100000000000001" customHeight="1" x14ac:dyDescent="0.25">
      <c r="A326" s="8">
        <v>324</v>
      </c>
      <c r="B326" s="8" t="s">
        <v>399</v>
      </c>
      <c r="C326" s="8" t="s">
        <v>1997</v>
      </c>
      <c r="D326" s="8" t="s">
        <v>2416</v>
      </c>
      <c r="E326" s="8" t="s">
        <v>1998</v>
      </c>
      <c r="F326" s="183" t="s">
        <v>2222</v>
      </c>
      <c r="G326" s="183"/>
      <c r="H326" s="183" t="s">
        <v>2424</v>
      </c>
      <c r="I326" s="183" t="s">
        <v>579</v>
      </c>
      <c r="J326" s="183"/>
      <c r="K326" s="184">
        <v>46041</v>
      </c>
      <c r="L326" s="183">
        <v>131</v>
      </c>
      <c r="M326" s="185" t="str">
        <f>IF(phc_8[[#This Row],[Register No.]]="","",C326&amp;"-"&amp;D326&amp;"-"&amp;"BHA-PHC-"&amp;phc_8[[#This Row],[Register No.]])</f>
        <v>Shining Star-Mobile Clinic-BHA-PHC-131</v>
      </c>
      <c r="N326" s="9" t="s">
        <v>401</v>
      </c>
      <c r="O326" s="183" t="s">
        <v>3708</v>
      </c>
      <c r="P326" s="183">
        <v>41</v>
      </c>
      <c r="Q326" s="183"/>
      <c r="R326" s="183"/>
      <c r="S326" s="186" t="str">
        <f t="shared" si="12"/>
        <v>19 - 49 yrs</v>
      </c>
      <c r="T326" s="183" t="s">
        <v>603</v>
      </c>
      <c r="U326" s="183" t="s">
        <v>3398</v>
      </c>
      <c r="V326" s="183" t="s">
        <v>3713</v>
      </c>
      <c r="W326" s="183" t="s">
        <v>3716</v>
      </c>
      <c r="X326" s="183" t="s">
        <v>294</v>
      </c>
      <c r="Y326" s="186" t="str">
        <f>INDEX(info!$Y$2:$Y$192,MATCH(phc_8[[#This Row],[Sub_Category]],info!$X$2:$X$192,0))</f>
        <v>Other (non-communicable)</v>
      </c>
      <c r="Z326" s="186" t="str">
        <f t="array" ref="Z326">INDEX(info!$AA$2:$AA$192,MATCH(PHC!$X326&amp;PHC!$Y326,info!$X$2:$X$192&amp;info!$Y$2:$Y$192,0))</f>
        <v>Other</v>
      </c>
      <c r="AA326" s="183" t="s">
        <v>3723</v>
      </c>
      <c r="AB326" s="9" t="s">
        <v>654</v>
      </c>
      <c r="AC326" s="9" t="s">
        <v>654</v>
      </c>
      <c r="AD326" s="9" t="s">
        <v>654</v>
      </c>
      <c r="AE326" s="9" t="s">
        <v>654</v>
      </c>
      <c r="AF326" s="184"/>
      <c r="AG326" s="183"/>
      <c r="AH326" s="183"/>
      <c r="AI326" s="183"/>
      <c r="AJ326" s="183"/>
      <c r="AK326" s="9" t="s">
        <v>654</v>
      </c>
      <c r="AL326" s="183"/>
      <c r="AM326" s="186" t="str">
        <f>IF(AF326="","","Q"&amp;INT((MONTH(AF326)-1)/3)+1&amp;YEAR(AF326)&amp;#REF!&amp;T326)</f>
        <v/>
      </c>
      <c r="AN326" s="186" t="e">
        <f>IF(K326="","","Q"&amp;INT((MONTH(K326)-1)/3)+1&amp;YEAR(K326)&amp;#REF!)</f>
        <v>#REF!</v>
      </c>
    </row>
    <row r="327" spans="1:40" ht="20.100000000000001" customHeight="1" x14ac:dyDescent="0.25">
      <c r="A327" s="8">
        <v>325</v>
      </c>
      <c r="B327" s="8" t="s">
        <v>399</v>
      </c>
      <c r="C327" s="8" t="s">
        <v>1997</v>
      </c>
      <c r="D327" s="8" t="s">
        <v>2416</v>
      </c>
      <c r="E327" s="8" t="s">
        <v>1998</v>
      </c>
      <c r="F327" s="183" t="s">
        <v>2222</v>
      </c>
      <c r="G327" s="183"/>
      <c r="H327" s="183" t="s">
        <v>2424</v>
      </c>
      <c r="I327" s="183" t="s">
        <v>579</v>
      </c>
      <c r="J327" s="183"/>
      <c r="K327" s="184">
        <v>46041</v>
      </c>
      <c r="L327" s="183">
        <v>132</v>
      </c>
      <c r="M327" s="185" t="str">
        <f>IF(phc_8[[#This Row],[Register No.]]="","",C327&amp;"-"&amp;D327&amp;"-"&amp;"BHA-PHC-"&amp;phc_8[[#This Row],[Register No.]])</f>
        <v>Shining Star-Mobile Clinic-BHA-PHC-132</v>
      </c>
      <c r="N327" s="9" t="s">
        <v>401</v>
      </c>
      <c r="O327" s="183" t="s">
        <v>3709</v>
      </c>
      <c r="P327" s="183">
        <v>7</v>
      </c>
      <c r="Q327" s="183"/>
      <c r="R327" s="183"/>
      <c r="S327" s="186" t="str">
        <f t="shared" si="12"/>
        <v>5 - 14 yrs</v>
      </c>
      <c r="T327" s="183" t="s">
        <v>603</v>
      </c>
      <c r="U327" s="183" t="s">
        <v>3398</v>
      </c>
      <c r="V327" s="183" t="s">
        <v>3714</v>
      </c>
      <c r="W327" s="183" t="s">
        <v>3717</v>
      </c>
      <c r="X327" s="183"/>
      <c r="Y327" s="186" t="e">
        <f>INDEX(info!$Y$2:$Y$192,MATCH(phc_8[[#This Row],[Sub_Category]],info!$X$2:$X$192,0))</f>
        <v>#N/A</v>
      </c>
      <c r="Z327" s="186" t="e">
        <f t="array" ref="Z327">INDEX(info!$AA$2:$AA$192,MATCH(PHC!$X327&amp;PHC!$Y327,info!$X$2:$X$192&amp;info!$Y$2:$Y$192,0))</f>
        <v>#N/A</v>
      </c>
      <c r="AA327" s="183" t="s">
        <v>3724</v>
      </c>
      <c r="AB327" s="9" t="s">
        <v>654</v>
      </c>
      <c r="AC327" s="9" t="s">
        <v>654</v>
      </c>
      <c r="AD327" s="9" t="s">
        <v>654</v>
      </c>
      <c r="AE327" s="9" t="s">
        <v>654</v>
      </c>
      <c r="AF327" s="184"/>
      <c r="AG327" s="183"/>
      <c r="AH327" s="183"/>
      <c r="AI327" s="183"/>
      <c r="AJ327" s="183"/>
      <c r="AK327" s="9" t="s">
        <v>654</v>
      </c>
      <c r="AL327" s="183"/>
      <c r="AM327" s="186" t="str">
        <f>IF(AF327="","","Q"&amp;INT((MONTH(AF327)-1)/3)+1&amp;YEAR(AF327)&amp;#REF!&amp;T327)</f>
        <v/>
      </c>
      <c r="AN327" s="186" t="e">
        <f>IF(K327="","","Q"&amp;INT((MONTH(K327)-1)/3)+1&amp;YEAR(K327)&amp;#REF!)</f>
        <v>#REF!</v>
      </c>
    </row>
    <row r="328" spans="1:40" ht="20.100000000000001" customHeight="1" x14ac:dyDescent="0.25">
      <c r="A328" s="8">
        <v>326</v>
      </c>
      <c r="B328" s="8" t="s">
        <v>399</v>
      </c>
      <c r="C328" s="8" t="s">
        <v>1997</v>
      </c>
      <c r="D328" s="8" t="s">
        <v>2416</v>
      </c>
      <c r="E328" s="8" t="s">
        <v>1998</v>
      </c>
      <c r="F328" s="183" t="s">
        <v>2297</v>
      </c>
      <c r="G328" s="183"/>
      <c r="H328" s="183" t="s">
        <v>2298</v>
      </c>
      <c r="I328" s="183" t="s">
        <v>579</v>
      </c>
      <c r="J328" s="183"/>
      <c r="K328" s="184">
        <v>46041</v>
      </c>
      <c r="L328" s="183">
        <v>1</v>
      </c>
      <c r="M328" s="185" t="str">
        <f>IF(phc_8[[#This Row],[Register No.]]="","",C328&amp;"-"&amp;D328&amp;"-"&amp;"BHA-PHC-"&amp;phc_8[[#This Row],[Register No.]])</f>
        <v>Shining Star-Mobile Clinic-BHA-PHC-1</v>
      </c>
      <c r="N328" s="9" t="s">
        <v>401</v>
      </c>
      <c r="O328" s="183" t="s">
        <v>3725</v>
      </c>
      <c r="P328" s="183">
        <v>3</v>
      </c>
      <c r="Q328" s="183">
        <v>6</v>
      </c>
      <c r="R328" s="183"/>
      <c r="S328" s="186" t="str">
        <f t="shared" si="12"/>
        <v>&lt;5 yrs</v>
      </c>
      <c r="T328" s="183" t="s">
        <v>603</v>
      </c>
      <c r="U328" s="183" t="s">
        <v>2298</v>
      </c>
      <c r="V328" s="183" t="s">
        <v>3730</v>
      </c>
      <c r="W328" s="183" t="s">
        <v>3079</v>
      </c>
      <c r="X328" s="183" t="s">
        <v>113</v>
      </c>
      <c r="Y328" s="186" t="str">
        <f>INDEX(info!$Y$2:$Y$192,MATCH(phc_8[[#This Row],[Sub_Category]],info!$X$2:$X$192,0))</f>
        <v>ARI/RTI</v>
      </c>
      <c r="Z328" s="186" t="str">
        <f t="array" ref="Z328">INDEX(info!$AA$2:$AA$192,MATCH(PHC!$X328&amp;PHC!$Y328,info!$X$2:$X$192&amp;info!$Y$2:$Y$192,0))</f>
        <v>Communicable disease</v>
      </c>
      <c r="AA328" s="183" t="s">
        <v>3734</v>
      </c>
      <c r="AB328" s="9" t="s">
        <v>654</v>
      </c>
      <c r="AC328" s="9" t="s">
        <v>654</v>
      </c>
      <c r="AD328" s="9" t="s">
        <v>654</v>
      </c>
      <c r="AE328" s="9" t="s">
        <v>654</v>
      </c>
      <c r="AF328" s="184"/>
      <c r="AG328" s="183"/>
      <c r="AH328" s="183"/>
      <c r="AI328" s="183"/>
      <c r="AJ328" s="183"/>
      <c r="AK328" s="9" t="s">
        <v>654</v>
      </c>
      <c r="AL328" s="183"/>
      <c r="AM328" s="186" t="str">
        <f>IF(AF328="","","Q"&amp;INT((MONTH(AF328)-1)/3)+1&amp;YEAR(AF328)&amp;#REF!&amp;T328)</f>
        <v/>
      </c>
      <c r="AN328" s="186" t="e">
        <f>IF(K328="","","Q"&amp;INT((MONTH(K328)-1)/3)+1&amp;YEAR(K328)&amp;#REF!)</f>
        <v>#REF!</v>
      </c>
    </row>
    <row r="329" spans="1:40" ht="20.100000000000001" customHeight="1" x14ac:dyDescent="0.25">
      <c r="A329" s="8">
        <v>327</v>
      </c>
      <c r="B329" s="8" t="s">
        <v>399</v>
      </c>
      <c r="C329" s="8" t="s">
        <v>1997</v>
      </c>
      <c r="D329" s="8" t="s">
        <v>2416</v>
      </c>
      <c r="E329" s="8" t="s">
        <v>1998</v>
      </c>
      <c r="F329" s="183" t="s">
        <v>2297</v>
      </c>
      <c r="G329" s="183"/>
      <c r="H329" s="183" t="s">
        <v>2298</v>
      </c>
      <c r="I329" s="183" t="s">
        <v>579</v>
      </c>
      <c r="J329" s="183"/>
      <c r="K329" s="184">
        <v>46041</v>
      </c>
      <c r="L329" s="183">
        <v>2</v>
      </c>
      <c r="M329" s="185" t="str">
        <f>IF(phc_8[[#This Row],[Register No.]]="","",C329&amp;"-"&amp;D329&amp;"-"&amp;"BHA-PHC-"&amp;phc_8[[#This Row],[Register No.]])</f>
        <v>Shining Star-Mobile Clinic-BHA-PHC-2</v>
      </c>
      <c r="N329" s="9" t="s">
        <v>401</v>
      </c>
      <c r="O329" s="183" t="s">
        <v>3726</v>
      </c>
      <c r="P329" s="183">
        <v>5</v>
      </c>
      <c r="Q329" s="183"/>
      <c r="R329" s="183"/>
      <c r="S329" s="186" t="str">
        <f t="shared" si="12"/>
        <v>5 - 14 yrs</v>
      </c>
      <c r="T329" s="183" t="s">
        <v>603</v>
      </c>
      <c r="U329" s="183" t="s">
        <v>2298</v>
      </c>
      <c r="V329" s="183" t="s">
        <v>3731</v>
      </c>
      <c r="W329" s="183" t="s">
        <v>3071</v>
      </c>
      <c r="X329" s="183" t="s">
        <v>113</v>
      </c>
      <c r="Y329" s="186" t="str">
        <f>INDEX(info!$Y$2:$Y$192,MATCH(phc_8[[#This Row],[Sub_Category]],info!$X$2:$X$192,0))</f>
        <v>ARI/RTI</v>
      </c>
      <c r="Z329" s="186" t="str">
        <f t="array" ref="Z329">INDEX(info!$AA$2:$AA$192,MATCH(PHC!$X329&amp;PHC!$Y329,info!$X$2:$X$192&amp;info!$Y$2:$Y$192,0))</f>
        <v>Communicable disease</v>
      </c>
      <c r="AA329" s="183" t="s">
        <v>3735</v>
      </c>
      <c r="AB329" s="9" t="s">
        <v>654</v>
      </c>
      <c r="AC329" s="9" t="s">
        <v>654</v>
      </c>
      <c r="AD329" s="9" t="s">
        <v>654</v>
      </c>
      <c r="AE329" s="9" t="s">
        <v>654</v>
      </c>
      <c r="AF329" s="184"/>
      <c r="AG329" s="183"/>
      <c r="AH329" s="183"/>
      <c r="AI329" s="183"/>
      <c r="AJ329" s="183"/>
      <c r="AK329" s="9" t="s">
        <v>654</v>
      </c>
      <c r="AL329" s="183"/>
      <c r="AM329" s="186" t="str">
        <f>IF(AF329="","","Q"&amp;INT((MONTH(AF329)-1)/3)+1&amp;YEAR(AF329)&amp;#REF!&amp;T329)</f>
        <v/>
      </c>
      <c r="AN329" s="186" t="e">
        <f>IF(K329="","","Q"&amp;INT((MONTH(K329)-1)/3)+1&amp;YEAR(K329)&amp;#REF!)</f>
        <v>#REF!</v>
      </c>
    </row>
    <row r="330" spans="1:40" ht="20.100000000000001" customHeight="1" x14ac:dyDescent="0.25">
      <c r="A330" s="8">
        <v>328</v>
      </c>
      <c r="B330" s="8" t="s">
        <v>399</v>
      </c>
      <c r="C330" s="8" t="s">
        <v>1997</v>
      </c>
      <c r="D330" s="8" t="s">
        <v>2416</v>
      </c>
      <c r="E330" s="8" t="s">
        <v>1998</v>
      </c>
      <c r="F330" s="183" t="s">
        <v>2297</v>
      </c>
      <c r="G330" s="183"/>
      <c r="H330" s="183" t="s">
        <v>2298</v>
      </c>
      <c r="I330" s="183" t="s">
        <v>579</v>
      </c>
      <c r="J330" s="183"/>
      <c r="K330" s="184">
        <v>46041</v>
      </c>
      <c r="L330" s="183">
        <v>3</v>
      </c>
      <c r="M330" s="185" t="str">
        <f>IF(phc_8[[#This Row],[Register No.]]="","",C330&amp;"-"&amp;D330&amp;"-"&amp;"BHA-PHC-"&amp;phc_8[[#This Row],[Register No.]])</f>
        <v>Shining Star-Mobile Clinic-BHA-PHC-3</v>
      </c>
      <c r="N330" s="9" t="s">
        <v>401</v>
      </c>
      <c r="O330" s="183" t="s">
        <v>3727</v>
      </c>
      <c r="P330" s="183">
        <v>9</v>
      </c>
      <c r="Q330" s="183"/>
      <c r="R330" s="183"/>
      <c r="S330" s="186" t="str">
        <f t="shared" si="12"/>
        <v>5 - 14 yrs</v>
      </c>
      <c r="T330" s="183" t="s">
        <v>603</v>
      </c>
      <c r="U330" s="183" t="s">
        <v>2298</v>
      </c>
      <c r="V330" s="183" t="s">
        <v>3731</v>
      </c>
      <c r="W330" s="183" t="s">
        <v>3071</v>
      </c>
      <c r="X330" s="183" t="s">
        <v>113</v>
      </c>
      <c r="Y330" s="186" t="str">
        <f>INDEX(info!$Y$2:$Y$192,MATCH(phc_8[[#This Row],[Sub_Category]],info!$X$2:$X$192,0))</f>
        <v>ARI/RTI</v>
      </c>
      <c r="Z330" s="186" t="str">
        <f t="array" ref="Z330">INDEX(info!$AA$2:$AA$192,MATCH(PHC!$X330&amp;PHC!$Y330,info!$X$2:$X$192&amp;info!$Y$2:$Y$192,0))</f>
        <v>Communicable disease</v>
      </c>
      <c r="AA330" s="183" t="s">
        <v>3736</v>
      </c>
      <c r="AB330" s="9" t="s">
        <v>654</v>
      </c>
      <c r="AC330" s="9" t="s">
        <v>654</v>
      </c>
      <c r="AD330" s="9" t="s">
        <v>654</v>
      </c>
      <c r="AE330" s="9" t="s">
        <v>654</v>
      </c>
      <c r="AF330" s="184"/>
      <c r="AG330" s="183"/>
      <c r="AH330" s="183"/>
      <c r="AI330" s="183"/>
      <c r="AJ330" s="183"/>
      <c r="AK330" s="9" t="s">
        <v>654</v>
      </c>
      <c r="AL330" s="183"/>
      <c r="AM330" s="186" t="str">
        <f>IF(AF330="","","Q"&amp;INT((MONTH(AF330)-1)/3)+1&amp;YEAR(AF330)&amp;#REF!&amp;T330)</f>
        <v/>
      </c>
      <c r="AN330" s="186" t="e">
        <f>IF(K330="","","Q"&amp;INT((MONTH(K330)-1)/3)+1&amp;YEAR(K330)&amp;#REF!)</f>
        <v>#REF!</v>
      </c>
    </row>
    <row r="331" spans="1:40" ht="20.100000000000001" customHeight="1" x14ac:dyDescent="0.25">
      <c r="A331" s="8">
        <v>329</v>
      </c>
      <c r="B331" s="8" t="s">
        <v>399</v>
      </c>
      <c r="C331" s="8" t="s">
        <v>1997</v>
      </c>
      <c r="D331" s="8" t="s">
        <v>2416</v>
      </c>
      <c r="E331" s="8" t="s">
        <v>1998</v>
      </c>
      <c r="F331" s="183" t="s">
        <v>2297</v>
      </c>
      <c r="G331" s="183"/>
      <c r="H331" s="183" t="s">
        <v>2298</v>
      </c>
      <c r="I331" s="183" t="s">
        <v>579</v>
      </c>
      <c r="J331" s="183"/>
      <c r="K331" s="184">
        <v>46041</v>
      </c>
      <c r="L331" s="183">
        <v>4</v>
      </c>
      <c r="M331" s="185" t="str">
        <f>IF(phc_8[[#This Row],[Register No.]]="","",C331&amp;"-"&amp;D331&amp;"-"&amp;"BHA-PHC-"&amp;phc_8[[#This Row],[Register No.]])</f>
        <v>Shining Star-Mobile Clinic-BHA-PHC-4</v>
      </c>
      <c r="N331" s="9" t="s">
        <v>401</v>
      </c>
      <c r="O331" s="183" t="s">
        <v>3728</v>
      </c>
      <c r="P331" s="183">
        <v>11</v>
      </c>
      <c r="Q331" s="183"/>
      <c r="R331" s="183"/>
      <c r="S331" s="186" t="str">
        <f t="shared" si="12"/>
        <v>5 - 14 yrs</v>
      </c>
      <c r="T331" s="183" t="s">
        <v>603</v>
      </c>
      <c r="U331" s="183" t="s">
        <v>2298</v>
      </c>
      <c r="V331" s="183" t="s">
        <v>3135</v>
      </c>
      <c r="W331" s="183" t="s">
        <v>3071</v>
      </c>
      <c r="X331" s="183" t="s">
        <v>113</v>
      </c>
      <c r="Y331" s="186" t="str">
        <f>INDEX(info!$Y$2:$Y$192,MATCH(phc_8[[#This Row],[Sub_Category]],info!$X$2:$X$192,0))</f>
        <v>ARI/RTI</v>
      </c>
      <c r="Z331" s="186" t="str">
        <f t="array" ref="Z331">INDEX(info!$AA$2:$AA$192,MATCH(PHC!$X331&amp;PHC!$Y331,info!$X$2:$X$192&amp;info!$Y$2:$Y$192,0))</f>
        <v>Communicable disease</v>
      </c>
      <c r="AA331" s="183" t="s">
        <v>2177</v>
      </c>
      <c r="AB331" s="9" t="s">
        <v>654</v>
      </c>
      <c r="AC331" s="9" t="s">
        <v>654</v>
      </c>
      <c r="AD331" s="9" t="s">
        <v>654</v>
      </c>
      <c r="AE331" s="9" t="s">
        <v>654</v>
      </c>
      <c r="AF331" s="184"/>
      <c r="AG331" s="183"/>
      <c r="AH331" s="183"/>
      <c r="AI331" s="183"/>
      <c r="AJ331" s="183"/>
      <c r="AK331" s="9" t="s">
        <v>654</v>
      </c>
      <c r="AL331" s="183"/>
      <c r="AM331" s="186" t="str">
        <f>IF(AF331="","","Q"&amp;INT((MONTH(AF331)-1)/3)+1&amp;YEAR(AF331)&amp;#REF!&amp;T331)</f>
        <v/>
      </c>
      <c r="AN331" s="186" t="e">
        <f>IF(K331="","","Q"&amp;INT((MONTH(K331)-1)/3)+1&amp;YEAR(K331)&amp;#REF!)</f>
        <v>#REF!</v>
      </c>
    </row>
    <row r="332" spans="1:40" ht="20.100000000000001" customHeight="1" x14ac:dyDescent="0.25">
      <c r="A332" s="8">
        <v>330</v>
      </c>
      <c r="B332" s="8" t="s">
        <v>399</v>
      </c>
      <c r="C332" s="8" t="s">
        <v>1997</v>
      </c>
      <c r="D332" s="8" t="s">
        <v>2416</v>
      </c>
      <c r="E332" s="8" t="s">
        <v>1998</v>
      </c>
      <c r="F332" s="183" t="s">
        <v>2297</v>
      </c>
      <c r="G332" s="183"/>
      <c r="H332" s="183" t="s">
        <v>2298</v>
      </c>
      <c r="I332" s="183" t="s">
        <v>579</v>
      </c>
      <c r="J332" s="183"/>
      <c r="K332" s="184">
        <v>46041</v>
      </c>
      <c r="L332" s="183">
        <v>5</v>
      </c>
      <c r="M332" s="185" t="str">
        <f>IF(phc_8[[#This Row],[Register No.]]="","",C332&amp;"-"&amp;D332&amp;"-"&amp;"BHA-PHC-"&amp;phc_8[[#This Row],[Register No.]])</f>
        <v>Shining Star-Mobile Clinic-BHA-PHC-5</v>
      </c>
      <c r="N332" s="9" t="s">
        <v>401</v>
      </c>
      <c r="O332" s="183" t="s">
        <v>3729</v>
      </c>
      <c r="P332" s="183">
        <v>8</v>
      </c>
      <c r="Q332" s="183"/>
      <c r="R332" s="183"/>
      <c r="S332" s="186" t="str">
        <f t="shared" si="12"/>
        <v>5 - 14 yrs</v>
      </c>
      <c r="T332" s="183" t="s">
        <v>402</v>
      </c>
      <c r="U332" s="183" t="s">
        <v>2298</v>
      </c>
      <c r="V332" s="183" t="s">
        <v>3732</v>
      </c>
      <c r="W332" s="183" t="s">
        <v>3733</v>
      </c>
      <c r="X332" s="183" t="s">
        <v>195</v>
      </c>
      <c r="Y332" s="186" t="str">
        <f>INDEX(info!$Y$2:$Y$192,MATCH(phc_8[[#This Row],[Sub_Category]],info!$X$2:$X$192,0))</f>
        <v>Bacteria disease</v>
      </c>
      <c r="Z332" s="186" t="str">
        <f t="array" ref="Z332">INDEX(info!$AA$2:$AA$192,MATCH(PHC!$X332&amp;PHC!$Y332,info!$X$2:$X$192&amp;info!$Y$2:$Y$192,0))</f>
        <v>Communicable disease</v>
      </c>
      <c r="AA332" s="183" t="s">
        <v>3737</v>
      </c>
      <c r="AB332" s="9" t="s">
        <v>654</v>
      </c>
      <c r="AC332" s="9" t="s">
        <v>654</v>
      </c>
      <c r="AD332" s="9" t="s">
        <v>654</v>
      </c>
      <c r="AE332" s="9" t="s">
        <v>654</v>
      </c>
      <c r="AF332" s="184"/>
      <c r="AG332" s="183"/>
      <c r="AH332" s="183"/>
      <c r="AI332" s="183"/>
      <c r="AJ332" s="183"/>
      <c r="AK332" s="9" t="s">
        <v>654</v>
      </c>
      <c r="AL332" s="183"/>
      <c r="AM332" s="186" t="str">
        <f>IF(AF332="","","Q"&amp;INT((MONTH(AF332)-1)/3)+1&amp;YEAR(AF332)&amp;#REF!&amp;T332)</f>
        <v/>
      </c>
      <c r="AN332" s="186" t="e">
        <f>IF(K332="","","Q"&amp;INT((MONTH(K332)-1)/3)+1&amp;YEAR(K332)&amp;#REF!)</f>
        <v>#REF!</v>
      </c>
    </row>
    <row r="333" spans="1:40" ht="20.100000000000001" customHeight="1" x14ac:dyDescent="0.25">
      <c r="A333" s="8">
        <v>331</v>
      </c>
      <c r="B333" s="8" t="s">
        <v>399</v>
      </c>
      <c r="C333" s="8" t="s">
        <v>1997</v>
      </c>
      <c r="D333" s="8" t="s">
        <v>2416</v>
      </c>
      <c r="E333" s="8" t="s">
        <v>1998</v>
      </c>
      <c r="F333" s="183" t="s">
        <v>2297</v>
      </c>
      <c r="G333" s="183"/>
      <c r="H333" s="183" t="s">
        <v>2298</v>
      </c>
      <c r="I333" s="183" t="s">
        <v>579</v>
      </c>
      <c r="J333" s="183"/>
      <c r="K333" s="184">
        <v>46041</v>
      </c>
      <c r="L333" s="183">
        <v>6</v>
      </c>
      <c r="M333" s="185" t="str">
        <f>IF(phc_8[[#This Row],[Register No.]]="","",C333&amp;"-"&amp;D333&amp;"-"&amp;"BHA-PHC-"&amp;phc_8[[#This Row],[Register No.]])</f>
        <v>Shining Star-Mobile Clinic-BHA-PHC-6</v>
      </c>
      <c r="N333" s="9" t="s">
        <v>401</v>
      </c>
      <c r="O333" s="183" t="s">
        <v>3738</v>
      </c>
      <c r="P333" s="183">
        <v>59</v>
      </c>
      <c r="Q333" s="183"/>
      <c r="R333" s="183"/>
      <c r="S333" s="186" t="str">
        <f t="shared" si="12"/>
        <v>50 yrs +</v>
      </c>
      <c r="T333" s="183" t="s">
        <v>603</v>
      </c>
      <c r="U333" s="183" t="s">
        <v>2298</v>
      </c>
      <c r="V333" s="183" t="s">
        <v>3748</v>
      </c>
      <c r="W333" s="183" t="s">
        <v>178</v>
      </c>
      <c r="X333" s="183" t="s">
        <v>178</v>
      </c>
      <c r="Y333" s="186" t="str">
        <f>INDEX(info!$Y$2:$Y$192,MATCH(phc_8[[#This Row],[Sub_Category]],info!$X$2:$X$192,0))</f>
        <v>Chronic medical disease</v>
      </c>
      <c r="Z333" s="186" t="str">
        <f t="array" ref="Z333">INDEX(info!$AA$2:$AA$192,MATCH(PHC!$X333&amp;PHC!$Y333,info!$X$2:$X$192&amp;info!$Y$2:$Y$192,0))</f>
        <v>Non-communicable disease</v>
      </c>
      <c r="AA333" s="183" t="s">
        <v>3756</v>
      </c>
      <c r="AB333" s="9" t="s">
        <v>654</v>
      </c>
      <c r="AC333" s="9" t="s">
        <v>654</v>
      </c>
      <c r="AD333" s="9" t="s">
        <v>654</v>
      </c>
      <c r="AE333" s="9" t="s">
        <v>654</v>
      </c>
      <c r="AF333" s="184"/>
      <c r="AG333" s="183"/>
      <c r="AH333" s="183"/>
      <c r="AI333" s="183"/>
      <c r="AJ333" s="183"/>
      <c r="AK333" s="9" t="s">
        <v>654</v>
      </c>
      <c r="AL333" s="183"/>
      <c r="AM333" s="186" t="str">
        <f>IF(AF333="","","Q"&amp;INT((MONTH(AF333)-1)/3)+1&amp;YEAR(AF333)&amp;#REF!&amp;T333)</f>
        <v/>
      </c>
      <c r="AN333" s="186" t="e">
        <f>IF(K333="","","Q"&amp;INT((MONTH(K333)-1)/3)+1&amp;YEAR(K333)&amp;#REF!)</f>
        <v>#REF!</v>
      </c>
    </row>
    <row r="334" spans="1:40" ht="20.100000000000001" customHeight="1" x14ac:dyDescent="0.25">
      <c r="A334" s="8">
        <v>332</v>
      </c>
      <c r="B334" s="8" t="s">
        <v>399</v>
      </c>
      <c r="C334" s="8" t="s">
        <v>1997</v>
      </c>
      <c r="D334" s="8" t="s">
        <v>2416</v>
      </c>
      <c r="E334" s="8" t="s">
        <v>1998</v>
      </c>
      <c r="F334" s="183" t="s">
        <v>2297</v>
      </c>
      <c r="G334" s="183"/>
      <c r="H334" s="183" t="s">
        <v>2298</v>
      </c>
      <c r="I334" s="183" t="s">
        <v>579</v>
      </c>
      <c r="J334" s="183"/>
      <c r="K334" s="184">
        <v>46041</v>
      </c>
      <c r="L334" s="183">
        <v>7</v>
      </c>
      <c r="M334" s="185" t="str">
        <f>IF(phc_8[[#This Row],[Register No.]]="","",C334&amp;"-"&amp;D334&amp;"-"&amp;"BHA-PHC-"&amp;phc_8[[#This Row],[Register No.]])</f>
        <v>Shining Star-Mobile Clinic-BHA-PHC-7</v>
      </c>
      <c r="N334" s="9" t="s">
        <v>401</v>
      </c>
      <c r="O334" s="183" t="s">
        <v>3740</v>
      </c>
      <c r="P334" s="183">
        <v>9</v>
      </c>
      <c r="Q334" s="183"/>
      <c r="R334" s="183"/>
      <c r="S334" s="186" t="str">
        <f t="shared" si="12"/>
        <v>5 - 14 yrs</v>
      </c>
      <c r="T334" s="183" t="s">
        <v>603</v>
      </c>
      <c r="U334" s="183" t="s">
        <v>2298</v>
      </c>
      <c r="V334" s="183" t="s">
        <v>3135</v>
      </c>
      <c r="W334" s="183" t="s">
        <v>3733</v>
      </c>
      <c r="X334" s="183" t="s">
        <v>195</v>
      </c>
      <c r="Y334" s="186" t="str">
        <f>INDEX(info!$Y$2:$Y$192,MATCH(phc_8[[#This Row],[Sub_Category]],info!$X$2:$X$192,0))</f>
        <v>Bacteria disease</v>
      </c>
      <c r="Z334" s="186" t="str">
        <f t="array" ref="Z334">INDEX(info!$AA$2:$AA$192,MATCH(PHC!$X334&amp;PHC!$Y334,info!$X$2:$X$192&amp;info!$Y$2:$Y$192,0))</f>
        <v>Communicable disease</v>
      </c>
      <c r="AA334" s="183" t="s">
        <v>3757</v>
      </c>
      <c r="AB334" s="9" t="s">
        <v>654</v>
      </c>
      <c r="AC334" s="9" t="s">
        <v>654</v>
      </c>
      <c r="AD334" s="9" t="s">
        <v>654</v>
      </c>
      <c r="AE334" s="9" t="s">
        <v>654</v>
      </c>
      <c r="AF334" s="184"/>
      <c r="AG334" s="183"/>
      <c r="AH334" s="183"/>
      <c r="AI334" s="183"/>
      <c r="AJ334" s="183"/>
      <c r="AK334" s="9" t="s">
        <v>654</v>
      </c>
      <c r="AL334" s="183"/>
      <c r="AM334" s="186" t="str">
        <f>IF(AF334="","","Q"&amp;INT((MONTH(AF334)-1)/3)+1&amp;YEAR(AF334)&amp;#REF!&amp;T334)</f>
        <v/>
      </c>
      <c r="AN334" s="186" t="e">
        <f>IF(K334="","","Q"&amp;INT((MONTH(K334)-1)/3)+1&amp;YEAR(K334)&amp;#REF!)</f>
        <v>#REF!</v>
      </c>
    </row>
    <row r="335" spans="1:40" ht="20.100000000000001" customHeight="1" x14ac:dyDescent="0.25">
      <c r="A335" s="8">
        <v>333</v>
      </c>
      <c r="B335" s="8" t="s">
        <v>399</v>
      </c>
      <c r="C335" s="8" t="s">
        <v>1997</v>
      </c>
      <c r="D335" s="8" t="s">
        <v>2416</v>
      </c>
      <c r="E335" s="8" t="s">
        <v>1998</v>
      </c>
      <c r="F335" s="183" t="s">
        <v>2297</v>
      </c>
      <c r="G335" s="183"/>
      <c r="H335" s="183" t="s">
        <v>2298</v>
      </c>
      <c r="I335" s="183" t="s">
        <v>579</v>
      </c>
      <c r="J335" s="183"/>
      <c r="K335" s="184">
        <v>46041</v>
      </c>
      <c r="L335" s="183">
        <v>8</v>
      </c>
      <c r="M335" s="185" t="str">
        <f>IF(phc_8[[#This Row],[Register No.]]="","",C335&amp;"-"&amp;D335&amp;"-"&amp;"BHA-PHC-"&amp;phc_8[[#This Row],[Register No.]])</f>
        <v>Shining Star-Mobile Clinic-BHA-PHC-8</v>
      </c>
      <c r="N335" s="9" t="s">
        <v>401</v>
      </c>
      <c r="O335" s="183" t="s">
        <v>3739</v>
      </c>
      <c r="P335" s="183">
        <v>65</v>
      </c>
      <c r="Q335" s="183"/>
      <c r="R335" s="183"/>
      <c r="S335" s="186" t="str">
        <f t="shared" si="12"/>
        <v>50 yrs +</v>
      </c>
      <c r="T335" s="183" t="s">
        <v>603</v>
      </c>
      <c r="U335" s="183" t="s">
        <v>2298</v>
      </c>
      <c r="V335" s="183" t="s">
        <v>3748</v>
      </c>
      <c r="W335" s="183" t="s">
        <v>178</v>
      </c>
      <c r="X335" s="183" t="s">
        <v>178</v>
      </c>
      <c r="Y335" s="186" t="str">
        <f>INDEX(info!$Y$2:$Y$192,MATCH(phc_8[[#This Row],[Sub_Category]],info!$X$2:$X$192,0))</f>
        <v>Chronic medical disease</v>
      </c>
      <c r="Z335" s="186" t="str">
        <f t="array" ref="Z335">INDEX(info!$AA$2:$AA$192,MATCH(PHC!$X335&amp;PHC!$Y335,info!$X$2:$X$192&amp;info!$Y$2:$Y$192,0))</f>
        <v>Non-communicable disease</v>
      </c>
      <c r="AA335" s="183" t="s">
        <v>3758</v>
      </c>
      <c r="AB335" s="9" t="s">
        <v>654</v>
      </c>
      <c r="AC335" s="9" t="s">
        <v>654</v>
      </c>
      <c r="AD335" s="9" t="s">
        <v>654</v>
      </c>
      <c r="AE335" s="9" t="s">
        <v>654</v>
      </c>
      <c r="AF335" s="184"/>
      <c r="AG335" s="183"/>
      <c r="AH335" s="183"/>
      <c r="AI335" s="183"/>
      <c r="AJ335" s="183"/>
      <c r="AK335" s="9" t="s">
        <v>654</v>
      </c>
      <c r="AL335" s="183"/>
      <c r="AM335" s="186" t="str">
        <f>IF(AF335="","","Q"&amp;INT((MONTH(AF335)-1)/3)+1&amp;YEAR(AF335)&amp;#REF!&amp;T335)</f>
        <v/>
      </c>
      <c r="AN335" s="186" t="e">
        <f>IF(K335="","","Q"&amp;INT((MONTH(K335)-1)/3)+1&amp;YEAR(K335)&amp;#REF!)</f>
        <v>#REF!</v>
      </c>
    </row>
    <row r="336" spans="1:40" ht="20.100000000000001" customHeight="1" x14ac:dyDescent="0.25">
      <c r="A336" s="8">
        <v>334</v>
      </c>
      <c r="B336" s="8" t="s">
        <v>399</v>
      </c>
      <c r="C336" s="8" t="s">
        <v>1997</v>
      </c>
      <c r="D336" s="8" t="s">
        <v>2416</v>
      </c>
      <c r="E336" s="8" t="s">
        <v>1998</v>
      </c>
      <c r="F336" s="183" t="s">
        <v>2297</v>
      </c>
      <c r="G336" s="183"/>
      <c r="H336" s="183" t="s">
        <v>2298</v>
      </c>
      <c r="I336" s="183" t="s">
        <v>579</v>
      </c>
      <c r="J336" s="183"/>
      <c r="K336" s="184">
        <v>46041</v>
      </c>
      <c r="L336" s="183">
        <v>9</v>
      </c>
      <c r="M336" s="185" t="str">
        <f>IF(phc_8[[#This Row],[Register No.]]="","",C336&amp;"-"&amp;D336&amp;"-"&amp;"BHA-PHC-"&amp;phc_8[[#This Row],[Register No.]])</f>
        <v>Shining Star-Mobile Clinic-BHA-PHC-9</v>
      </c>
      <c r="N336" s="9" t="s">
        <v>401</v>
      </c>
      <c r="O336" s="183" t="s">
        <v>3741</v>
      </c>
      <c r="P336" s="183">
        <v>6</v>
      </c>
      <c r="Q336" s="183"/>
      <c r="R336" s="183"/>
      <c r="S336" s="186" t="str">
        <f t="shared" si="12"/>
        <v>5 - 14 yrs</v>
      </c>
      <c r="T336" s="183" t="s">
        <v>402</v>
      </c>
      <c r="U336" s="183" t="s">
        <v>2298</v>
      </c>
      <c r="V336" s="183" t="s">
        <v>3749</v>
      </c>
      <c r="W336" s="183" t="s">
        <v>3249</v>
      </c>
      <c r="X336" s="183" t="s">
        <v>196</v>
      </c>
      <c r="Y336" s="186" t="str">
        <f>INDEX(info!$Y$2:$Y$192,MATCH(phc_8[[#This Row],[Sub_Category]],info!$X$2:$X$192,0))</f>
        <v>Skin infection/disease</v>
      </c>
      <c r="Z336" s="186" t="str">
        <f t="array" ref="Z336">INDEX(info!$AA$2:$AA$192,MATCH(PHC!$X336&amp;PHC!$Y336,info!$X$2:$X$192&amp;info!$Y$2:$Y$192,0))</f>
        <v>Non-communicable disease</v>
      </c>
      <c r="AA336" s="183" t="s">
        <v>3759</v>
      </c>
      <c r="AB336" s="9" t="s">
        <v>654</v>
      </c>
      <c r="AC336" s="9" t="s">
        <v>654</v>
      </c>
      <c r="AD336" s="9" t="s">
        <v>654</v>
      </c>
      <c r="AE336" s="9" t="s">
        <v>654</v>
      </c>
      <c r="AF336" s="184"/>
      <c r="AG336" s="183"/>
      <c r="AH336" s="183"/>
      <c r="AI336" s="183"/>
      <c r="AJ336" s="183"/>
      <c r="AK336" s="9" t="s">
        <v>654</v>
      </c>
      <c r="AL336" s="183"/>
      <c r="AM336" s="186" t="str">
        <f>IF(AF336="","","Q"&amp;INT((MONTH(AF336)-1)/3)+1&amp;YEAR(AF336)&amp;#REF!&amp;T336)</f>
        <v/>
      </c>
      <c r="AN336" s="186" t="e">
        <f>IF(K336="","","Q"&amp;INT((MONTH(K336)-1)/3)+1&amp;YEAR(K336)&amp;#REF!)</f>
        <v>#REF!</v>
      </c>
    </row>
    <row r="337" spans="1:40" ht="20.100000000000001" customHeight="1" x14ac:dyDescent="0.25">
      <c r="A337" s="8">
        <v>335</v>
      </c>
      <c r="B337" s="8" t="s">
        <v>399</v>
      </c>
      <c r="C337" s="8" t="s">
        <v>1997</v>
      </c>
      <c r="D337" s="8" t="s">
        <v>2416</v>
      </c>
      <c r="E337" s="8" t="s">
        <v>1998</v>
      </c>
      <c r="F337" s="183" t="s">
        <v>2297</v>
      </c>
      <c r="G337" s="183"/>
      <c r="H337" s="183" t="s">
        <v>2298</v>
      </c>
      <c r="I337" s="183" t="s">
        <v>579</v>
      </c>
      <c r="J337" s="183"/>
      <c r="K337" s="184">
        <v>46041</v>
      </c>
      <c r="L337" s="183">
        <v>10</v>
      </c>
      <c r="M337" s="185" t="str">
        <f>IF(phc_8[[#This Row],[Register No.]]="","",C337&amp;"-"&amp;D337&amp;"-"&amp;"BHA-PHC-"&amp;phc_8[[#This Row],[Register No.]])</f>
        <v>Shining Star-Mobile Clinic-BHA-PHC-10</v>
      </c>
      <c r="N337" s="9" t="s">
        <v>401</v>
      </c>
      <c r="O337" s="183" t="s">
        <v>3742</v>
      </c>
      <c r="P337" s="183">
        <v>1</v>
      </c>
      <c r="Q337" s="183"/>
      <c r="R337" s="183"/>
      <c r="S337" s="186" t="str">
        <f t="shared" si="12"/>
        <v>&lt;5 yrs</v>
      </c>
      <c r="T337" s="183" t="s">
        <v>603</v>
      </c>
      <c r="U337" s="183" t="s">
        <v>2298</v>
      </c>
      <c r="V337" s="183" t="s">
        <v>3750</v>
      </c>
      <c r="W337" s="183" t="s">
        <v>3071</v>
      </c>
      <c r="X337" s="183" t="s">
        <v>113</v>
      </c>
      <c r="Y337" s="186" t="str">
        <f>INDEX(info!$Y$2:$Y$192,MATCH(phc_8[[#This Row],[Sub_Category]],info!$X$2:$X$192,0))</f>
        <v>ARI/RTI</v>
      </c>
      <c r="Z337" s="186" t="str">
        <f t="array" ref="Z337">INDEX(info!$AA$2:$AA$192,MATCH(PHC!$X337&amp;PHC!$Y337,info!$X$2:$X$192&amp;info!$Y$2:$Y$192,0))</f>
        <v>Communicable disease</v>
      </c>
      <c r="AA337" s="183" t="s">
        <v>3760</v>
      </c>
      <c r="AB337" s="9" t="s">
        <v>654</v>
      </c>
      <c r="AC337" s="9" t="s">
        <v>654</v>
      </c>
      <c r="AD337" s="9" t="s">
        <v>654</v>
      </c>
      <c r="AE337" s="9" t="s">
        <v>654</v>
      </c>
      <c r="AF337" s="184"/>
      <c r="AG337" s="183"/>
      <c r="AH337" s="183"/>
      <c r="AI337" s="183"/>
      <c r="AJ337" s="183"/>
      <c r="AK337" s="9" t="s">
        <v>654</v>
      </c>
      <c r="AL337" s="183"/>
      <c r="AM337" s="186" t="str">
        <f>IF(AF337="","","Q"&amp;INT((MONTH(AF337)-1)/3)+1&amp;YEAR(AF337)&amp;#REF!&amp;T337)</f>
        <v/>
      </c>
      <c r="AN337" s="186" t="e">
        <f>IF(K337="","","Q"&amp;INT((MONTH(K337)-1)/3)+1&amp;YEAR(K337)&amp;#REF!)</f>
        <v>#REF!</v>
      </c>
    </row>
    <row r="338" spans="1:40" ht="20.100000000000001" customHeight="1" x14ac:dyDescent="0.25">
      <c r="A338" s="8">
        <v>336</v>
      </c>
      <c r="B338" s="8" t="s">
        <v>399</v>
      </c>
      <c r="C338" s="8" t="s">
        <v>1997</v>
      </c>
      <c r="D338" s="8" t="s">
        <v>2416</v>
      </c>
      <c r="E338" s="8" t="s">
        <v>1998</v>
      </c>
      <c r="F338" s="183" t="s">
        <v>2297</v>
      </c>
      <c r="G338" s="183"/>
      <c r="H338" s="183" t="s">
        <v>2298</v>
      </c>
      <c r="I338" s="183" t="s">
        <v>579</v>
      </c>
      <c r="J338" s="183"/>
      <c r="K338" s="184">
        <v>46041</v>
      </c>
      <c r="L338" s="183">
        <v>11</v>
      </c>
      <c r="M338" s="185" t="str">
        <f>IF(phc_8[[#This Row],[Register No.]]="","",C338&amp;"-"&amp;D338&amp;"-"&amp;"BHA-PHC-"&amp;phc_8[[#This Row],[Register No.]])</f>
        <v>Shining Star-Mobile Clinic-BHA-PHC-11</v>
      </c>
      <c r="N338" s="9" t="s">
        <v>401</v>
      </c>
      <c r="O338" s="183" t="s">
        <v>3743</v>
      </c>
      <c r="P338" s="183">
        <v>9</v>
      </c>
      <c r="Q338" s="183"/>
      <c r="R338" s="183"/>
      <c r="S338" s="186" t="str">
        <f t="shared" si="12"/>
        <v>5 - 14 yrs</v>
      </c>
      <c r="T338" s="183" t="s">
        <v>603</v>
      </c>
      <c r="U338" s="183" t="s">
        <v>2298</v>
      </c>
      <c r="V338" s="183" t="s">
        <v>3751</v>
      </c>
      <c r="W338" s="183" t="s">
        <v>3071</v>
      </c>
      <c r="X338" s="183" t="s">
        <v>113</v>
      </c>
      <c r="Y338" s="186" t="str">
        <f>INDEX(info!$Y$2:$Y$192,MATCH(phc_8[[#This Row],[Sub_Category]],info!$X$2:$X$192,0))</f>
        <v>ARI/RTI</v>
      </c>
      <c r="Z338" s="186" t="str">
        <f t="array" ref="Z338">INDEX(info!$AA$2:$AA$192,MATCH(PHC!$X338&amp;PHC!$Y338,info!$X$2:$X$192&amp;info!$Y$2:$Y$192,0))</f>
        <v>Communicable disease</v>
      </c>
      <c r="AA338" s="183" t="s">
        <v>3761</v>
      </c>
      <c r="AB338" s="9" t="s">
        <v>654</v>
      </c>
      <c r="AC338" s="9" t="s">
        <v>654</v>
      </c>
      <c r="AD338" s="9" t="s">
        <v>654</v>
      </c>
      <c r="AE338" s="9" t="s">
        <v>654</v>
      </c>
      <c r="AF338" s="184"/>
      <c r="AG338" s="183"/>
      <c r="AH338" s="183"/>
      <c r="AI338" s="183"/>
      <c r="AJ338" s="183"/>
      <c r="AK338" s="9" t="s">
        <v>654</v>
      </c>
      <c r="AL338" s="183"/>
      <c r="AM338" s="186" t="str">
        <f>IF(AF338="","","Q"&amp;INT((MONTH(AF338)-1)/3)+1&amp;YEAR(AF338)&amp;#REF!&amp;T338)</f>
        <v/>
      </c>
      <c r="AN338" s="186" t="e">
        <f>IF(K338="","","Q"&amp;INT((MONTH(K338)-1)/3)+1&amp;YEAR(K338)&amp;#REF!)</f>
        <v>#REF!</v>
      </c>
    </row>
    <row r="339" spans="1:40" ht="20.100000000000001" customHeight="1" x14ac:dyDescent="0.25">
      <c r="A339" s="8">
        <v>337</v>
      </c>
      <c r="B339" s="8" t="s">
        <v>399</v>
      </c>
      <c r="C339" s="8" t="s">
        <v>1997</v>
      </c>
      <c r="D339" s="8" t="s">
        <v>2416</v>
      </c>
      <c r="E339" s="8" t="s">
        <v>1998</v>
      </c>
      <c r="F339" s="183" t="s">
        <v>2297</v>
      </c>
      <c r="G339" s="183"/>
      <c r="H339" s="183" t="s">
        <v>2298</v>
      </c>
      <c r="I339" s="183" t="s">
        <v>579</v>
      </c>
      <c r="J339" s="183"/>
      <c r="K339" s="184">
        <v>46041</v>
      </c>
      <c r="L339" s="183">
        <v>12</v>
      </c>
      <c r="M339" s="185" t="str">
        <f>IF(phc_8[[#This Row],[Register No.]]="","",C339&amp;"-"&amp;D339&amp;"-"&amp;"BHA-PHC-"&amp;phc_8[[#This Row],[Register No.]])</f>
        <v>Shining Star-Mobile Clinic-BHA-PHC-12</v>
      </c>
      <c r="N339" s="9" t="s">
        <v>401</v>
      </c>
      <c r="O339" s="183" t="s">
        <v>3744</v>
      </c>
      <c r="P339" s="183">
        <v>69</v>
      </c>
      <c r="Q339" s="183"/>
      <c r="R339" s="183"/>
      <c r="S339" s="186" t="str">
        <f t="shared" si="12"/>
        <v>50 yrs +</v>
      </c>
      <c r="T339" s="183" t="s">
        <v>402</v>
      </c>
      <c r="U339" s="183" t="s">
        <v>2298</v>
      </c>
      <c r="V339" s="183" t="s">
        <v>3748</v>
      </c>
      <c r="W339" s="183" t="s">
        <v>3755</v>
      </c>
      <c r="X339" s="183" t="s">
        <v>242</v>
      </c>
      <c r="Y339" s="186" t="str">
        <f>INDEX(info!$Y$2:$Y$192,MATCH(phc_8[[#This Row],[Sub_Category]],info!$X$2:$X$192,0))</f>
        <v>Accident/minor sugical and injuries</v>
      </c>
      <c r="Z339" s="186" t="str">
        <f t="array" ref="Z339">INDEX(info!$AA$2:$AA$192,MATCH(PHC!$X339&amp;PHC!$Y339,info!$X$2:$X$192&amp;info!$Y$2:$Y$192,0))</f>
        <v>Injury related</v>
      </c>
      <c r="AA339" s="183" t="s">
        <v>3762</v>
      </c>
      <c r="AB339" s="9" t="s">
        <v>654</v>
      </c>
      <c r="AC339" s="9" t="s">
        <v>654</v>
      </c>
      <c r="AD339" s="9" t="s">
        <v>654</v>
      </c>
      <c r="AE339" s="9" t="s">
        <v>654</v>
      </c>
      <c r="AF339" s="184"/>
      <c r="AG339" s="183"/>
      <c r="AH339" s="183"/>
      <c r="AI339" s="183"/>
      <c r="AJ339" s="183"/>
      <c r="AK339" s="9" t="s">
        <v>654</v>
      </c>
      <c r="AL339" s="183"/>
      <c r="AM339" s="186" t="str">
        <f>IF(AF339="","","Q"&amp;INT((MONTH(AF339)-1)/3)+1&amp;YEAR(AF339)&amp;#REF!&amp;T339)</f>
        <v/>
      </c>
      <c r="AN339" s="186" t="e">
        <f>IF(K339="","","Q"&amp;INT((MONTH(K339)-1)/3)+1&amp;YEAR(K339)&amp;#REF!)</f>
        <v>#REF!</v>
      </c>
    </row>
    <row r="340" spans="1:40" ht="20.100000000000001" customHeight="1" x14ac:dyDescent="0.25">
      <c r="A340" s="8">
        <v>338</v>
      </c>
      <c r="B340" s="8" t="s">
        <v>399</v>
      </c>
      <c r="C340" s="8" t="s">
        <v>1997</v>
      </c>
      <c r="D340" s="8" t="s">
        <v>2416</v>
      </c>
      <c r="E340" s="8" t="s">
        <v>1998</v>
      </c>
      <c r="F340" s="183" t="s">
        <v>2297</v>
      </c>
      <c r="G340" s="183"/>
      <c r="H340" s="183" t="s">
        <v>2298</v>
      </c>
      <c r="I340" s="183" t="s">
        <v>579</v>
      </c>
      <c r="J340" s="183"/>
      <c r="K340" s="184">
        <v>46041</v>
      </c>
      <c r="L340" s="183">
        <v>13</v>
      </c>
      <c r="M340" s="185" t="str">
        <f>IF(phc_8[[#This Row],[Register No.]]="","",C340&amp;"-"&amp;D340&amp;"-"&amp;"BHA-PHC-"&amp;phc_8[[#This Row],[Register No.]])</f>
        <v>Shining Star-Mobile Clinic-BHA-PHC-13</v>
      </c>
      <c r="N340" s="9" t="s">
        <v>401</v>
      </c>
      <c r="O340" s="183" t="s">
        <v>3745</v>
      </c>
      <c r="P340" s="183">
        <v>24</v>
      </c>
      <c r="Q340" s="183"/>
      <c r="R340" s="183"/>
      <c r="S340" s="186" t="str">
        <f t="shared" si="12"/>
        <v>19 - 49 yrs</v>
      </c>
      <c r="T340" s="183" t="s">
        <v>603</v>
      </c>
      <c r="U340" s="183" t="s">
        <v>2298</v>
      </c>
      <c r="V340" s="183" t="s">
        <v>3752</v>
      </c>
      <c r="W340" s="183" t="s">
        <v>242</v>
      </c>
      <c r="X340" s="183" t="s">
        <v>242</v>
      </c>
      <c r="Y340" s="186" t="str">
        <f>INDEX(info!$Y$2:$Y$192,MATCH(phc_8[[#This Row],[Sub_Category]],info!$X$2:$X$192,0))</f>
        <v>Accident/minor sugical and injuries</v>
      </c>
      <c r="Z340" s="186" t="str">
        <f t="array" ref="Z340">INDEX(info!$AA$2:$AA$192,MATCH(PHC!$X340&amp;PHC!$Y340,info!$X$2:$X$192&amp;info!$Y$2:$Y$192,0))</f>
        <v>Injury related</v>
      </c>
      <c r="AA340" s="183" t="s">
        <v>3763</v>
      </c>
      <c r="AB340" s="9" t="s">
        <v>654</v>
      </c>
      <c r="AC340" s="9" t="s">
        <v>654</v>
      </c>
      <c r="AD340" s="9" t="s">
        <v>654</v>
      </c>
      <c r="AE340" s="9" t="s">
        <v>654</v>
      </c>
      <c r="AF340" s="184"/>
      <c r="AG340" s="183"/>
      <c r="AH340" s="183"/>
      <c r="AI340" s="183"/>
      <c r="AJ340" s="183"/>
      <c r="AK340" s="9" t="s">
        <v>654</v>
      </c>
      <c r="AL340" s="183"/>
      <c r="AM340" s="186" t="str">
        <f>IF(AF340="","","Q"&amp;INT((MONTH(AF340)-1)/3)+1&amp;YEAR(AF340)&amp;#REF!&amp;T340)</f>
        <v/>
      </c>
      <c r="AN340" s="186" t="e">
        <f>IF(K340="","","Q"&amp;INT((MONTH(K340)-1)/3)+1&amp;YEAR(K340)&amp;#REF!)</f>
        <v>#REF!</v>
      </c>
    </row>
    <row r="341" spans="1:40" ht="20.100000000000001" customHeight="1" x14ac:dyDescent="0.25">
      <c r="A341" s="8">
        <v>339</v>
      </c>
      <c r="B341" s="8" t="s">
        <v>399</v>
      </c>
      <c r="C341" s="8" t="s">
        <v>1997</v>
      </c>
      <c r="D341" s="8" t="s">
        <v>2416</v>
      </c>
      <c r="E341" s="8" t="s">
        <v>1998</v>
      </c>
      <c r="F341" s="183" t="s">
        <v>2297</v>
      </c>
      <c r="G341" s="183"/>
      <c r="H341" s="183" t="s">
        <v>2298</v>
      </c>
      <c r="I341" s="183" t="s">
        <v>579</v>
      </c>
      <c r="J341" s="183"/>
      <c r="K341" s="184">
        <v>46041</v>
      </c>
      <c r="L341" s="183">
        <v>14</v>
      </c>
      <c r="M341" s="185" t="str">
        <f>IF(phc_8[[#This Row],[Register No.]]="","",C341&amp;"-"&amp;D341&amp;"-"&amp;"BHA-PHC-"&amp;phc_8[[#This Row],[Register No.]])</f>
        <v>Shining Star-Mobile Clinic-BHA-PHC-14</v>
      </c>
      <c r="N341" s="9" t="s">
        <v>401</v>
      </c>
      <c r="O341" s="183" t="s">
        <v>3746</v>
      </c>
      <c r="P341" s="183">
        <v>37</v>
      </c>
      <c r="Q341" s="183"/>
      <c r="R341" s="183"/>
      <c r="S341" s="186" t="str">
        <f t="shared" ref="S341:S372" si="13">IF(AND(ISBLANK(P341),ISBLANK(Q341),ISBLANK(R341))," ",
IF(OR(P341&lt;5,AND(P341=" ",Q341&lt;&gt;" ",R341&lt;&gt;" ")),"&lt;5 yrs",
IF(AND(P341&gt;=5,P341&lt;=14),"5 - 14 yrs",
IF(AND(P341&gt;=15,P341&lt;=18),"15 - 18 yrs",
IF(AND(P341&gt;=19,P341&lt;=49),"19 - 49 yrs","50 yrs +")))))</f>
        <v>19 - 49 yrs</v>
      </c>
      <c r="T341" s="183" t="s">
        <v>603</v>
      </c>
      <c r="U341" s="183" t="s">
        <v>2298</v>
      </c>
      <c r="V341" s="183" t="s">
        <v>3753</v>
      </c>
      <c r="W341" s="183" t="s">
        <v>178</v>
      </c>
      <c r="X341" s="183" t="s">
        <v>178</v>
      </c>
      <c r="Y341" s="186" t="str">
        <f>INDEX(info!$Y$2:$Y$192,MATCH(phc_8[[#This Row],[Sub_Category]],info!$X$2:$X$192,0))</f>
        <v>Chronic medical disease</v>
      </c>
      <c r="Z341" s="186" t="str">
        <f t="array" ref="Z341">INDEX(info!$AA$2:$AA$192,MATCH(PHC!$X341&amp;PHC!$Y341,info!$X$2:$X$192&amp;info!$Y$2:$Y$192,0))</f>
        <v>Non-communicable disease</v>
      </c>
      <c r="AA341" s="183" t="s">
        <v>3764</v>
      </c>
      <c r="AB341" s="9" t="s">
        <v>654</v>
      </c>
      <c r="AC341" s="9" t="s">
        <v>654</v>
      </c>
      <c r="AD341" s="9" t="s">
        <v>654</v>
      </c>
      <c r="AE341" s="9" t="s">
        <v>654</v>
      </c>
      <c r="AF341" s="184"/>
      <c r="AG341" s="183"/>
      <c r="AH341" s="183"/>
      <c r="AI341" s="183"/>
      <c r="AJ341" s="183"/>
      <c r="AK341" s="9" t="s">
        <v>654</v>
      </c>
      <c r="AL341" s="183"/>
      <c r="AM341" s="186" t="str">
        <f>IF(AF341="","","Q"&amp;INT((MONTH(AF341)-1)/3)+1&amp;YEAR(AF341)&amp;#REF!&amp;T341)</f>
        <v/>
      </c>
      <c r="AN341" s="186" t="e">
        <f>IF(K341="","","Q"&amp;INT((MONTH(K341)-1)/3)+1&amp;YEAR(K341)&amp;#REF!)</f>
        <v>#REF!</v>
      </c>
    </row>
    <row r="342" spans="1:40" ht="20.100000000000001" customHeight="1" x14ac:dyDescent="0.25">
      <c r="A342" s="8">
        <v>340</v>
      </c>
      <c r="B342" s="8" t="s">
        <v>399</v>
      </c>
      <c r="C342" s="8" t="s">
        <v>1997</v>
      </c>
      <c r="D342" s="8" t="s">
        <v>2416</v>
      </c>
      <c r="E342" s="8" t="s">
        <v>1998</v>
      </c>
      <c r="F342" s="183" t="s">
        <v>2297</v>
      </c>
      <c r="G342" s="183"/>
      <c r="H342" s="183" t="s">
        <v>2298</v>
      </c>
      <c r="I342" s="183" t="s">
        <v>579</v>
      </c>
      <c r="J342" s="183"/>
      <c r="K342" s="184">
        <v>46041</v>
      </c>
      <c r="L342" s="183">
        <v>15</v>
      </c>
      <c r="M342" s="185" t="str">
        <f>IF(phc_8[[#This Row],[Register No.]]="","",C342&amp;"-"&amp;D342&amp;"-"&amp;"BHA-PHC-"&amp;phc_8[[#This Row],[Register No.]])</f>
        <v>Shining Star-Mobile Clinic-BHA-PHC-15</v>
      </c>
      <c r="N342" s="9" t="s">
        <v>401</v>
      </c>
      <c r="O342" s="183" t="s">
        <v>3747</v>
      </c>
      <c r="P342" s="183">
        <v>61</v>
      </c>
      <c r="Q342" s="183"/>
      <c r="R342" s="183"/>
      <c r="S342" s="186" t="str">
        <f t="shared" si="13"/>
        <v>50 yrs +</v>
      </c>
      <c r="T342" s="183" t="s">
        <v>603</v>
      </c>
      <c r="U342" s="183" t="s">
        <v>2298</v>
      </c>
      <c r="V342" s="183" t="s">
        <v>3754</v>
      </c>
      <c r="W342" s="183" t="s">
        <v>178</v>
      </c>
      <c r="X342" s="183" t="s">
        <v>178</v>
      </c>
      <c r="Y342" s="186" t="str">
        <f>INDEX(info!$Y$2:$Y$192,MATCH(phc_8[[#This Row],[Sub_Category]],info!$X$2:$X$192,0))</f>
        <v>Chronic medical disease</v>
      </c>
      <c r="Z342" s="186" t="str">
        <f t="array" ref="Z342">INDEX(info!$AA$2:$AA$192,MATCH(PHC!$X342&amp;PHC!$Y342,info!$X$2:$X$192&amp;info!$Y$2:$Y$192,0))</f>
        <v>Non-communicable disease</v>
      </c>
      <c r="AA342" s="183" t="s">
        <v>3765</v>
      </c>
      <c r="AB342" s="9" t="s">
        <v>654</v>
      </c>
      <c r="AC342" s="9" t="s">
        <v>654</v>
      </c>
      <c r="AD342" s="9" t="s">
        <v>654</v>
      </c>
      <c r="AE342" s="9" t="s">
        <v>654</v>
      </c>
      <c r="AF342" s="184"/>
      <c r="AG342" s="183"/>
      <c r="AH342" s="183"/>
      <c r="AI342" s="183"/>
      <c r="AJ342" s="183"/>
      <c r="AK342" s="9" t="s">
        <v>654</v>
      </c>
      <c r="AL342" s="183"/>
      <c r="AM342" s="186" t="str">
        <f>IF(AF342="","","Q"&amp;INT((MONTH(AF342)-1)/3)+1&amp;YEAR(AF342)&amp;#REF!&amp;T342)</f>
        <v/>
      </c>
      <c r="AN342" s="186" t="e">
        <f>IF(K342="","","Q"&amp;INT((MONTH(K342)-1)/3)+1&amp;YEAR(K342)&amp;#REF!)</f>
        <v>#REF!</v>
      </c>
    </row>
    <row r="343" spans="1:40" ht="20.100000000000001" customHeight="1" x14ac:dyDescent="0.25">
      <c r="A343" s="8">
        <v>341</v>
      </c>
      <c r="B343" s="8" t="s">
        <v>399</v>
      </c>
      <c r="C343" s="8" t="s">
        <v>1997</v>
      </c>
      <c r="D343" s="8" t="s">
        <v>2416</v>
      </c>
      <c r="E343" s="8" t="s">
        <v>1998</v>
      </c>
      <c r="F343" s="183" t="s">
        <v>2297</v>
      </c>
      <c r="G343" s="183"/>
      <c r="H343" s="183" t="s">
        <v>2298</v>
      </c>
      <c r="I343" s="183" t="s">
        <v>579</v>
      </c>
      <c r="J343" s="183"/>
      <c r="K343" s="184">
        <v>46041</v>
      </c>
      <c r="L343" s="183">
        <v>16</v>
      </c>
      <c r="M343" s="185" t="str">
        <f>IF(phc_8[[#This Row],[Register No.]]="","",C343&amp;"-"&amp;D343&amp;"-"&amp;"BHA-PHC-"&amp;phc_8[[#This Row],[Register No.]])</f>
        <v>Shining Star-Mobile Clinic-BHA-PHC-16</v>
      </c>
      <c r="N343" s="9" t="s">
        <v>401</v>
      </c>
      <c r="O343" s="183" t="s">
        <v>3766</v>
      </c>
      <c r="P343" s="183">
        <v>68</v>
      </c>
      <c r="Q343" s="183"/>
      <c r="R343" s="183"/>
      <c r="S343" s="186" t="str">
        <f t="shared" si="13"/>
        <v>50 yrs +</v>
      </c>
      <c r="T343" s="183" t="s">
        <v>603</v>
      </c>
      <c r="U343" s="183" t="s">
        <v>2298</v>
      </c>
      <c r="V343" s="183" t="s">
        <v>3776</v>
      </c>
      <c r="W343" s="183" t="s">
        <v>2003</v>
      </c>
      <c r="X343" s="183" t="s">
        <v>181</v>
      </c>
      <c r="Y343" s="186" t="str">
        <f>INDEX(info!$Y$2:$Y$192,MATCH(phc_8[[#This Row],[Sub_Category]],info!$X$2:$X$192,0))</f>
        <v>Chronic medical disease</v>
      </c>
      <c r="Z343" s="186" t="str">
        <f t="array" ref="Z343">INDEX(info!$AA$2:$AA$192,MATCH(PHC!$X343&amp;PHC!$Y343,info!$X$2:$X$192&amp;info!$Y$2:$Y$192,0))</f>
        <v>Non-communicable disease</v>
      </c>
      <c r="AA343" s="183" t="s">
        <v>3785</v>
      </c>
      <c r="AB343" s="9" t="s">
        <v>654</v>
      </c>
      <c r="AC343" s="9" t="s">
        <v>654</v>
      </c>
      <c r="AD343" s="9" t="s">
        <v>654</v>
      </c>
      <c r="AE343" s="9" t="s">
        <v>654</v>
      </c>
      <c r="AF343" s="184"/>
      <c r="AG343" s="183"/>
      <c r="AH343" s="183"/>
      <c r="AI343" s="183"/>
      <c r="AJ343" s="183"/>
      <c r="AK343" s="9" t="s">
        <v>654</v>
      </c>
      <c r="AL343" s="183"/>
      <c r="AM343" s="186" t="str">
        <f>IF(AF343="","","Q"&amp;INT((MONTH(AF343)-1)/3)+1&amp;YEAR(AF343)&amp;#REF!&amp;T343)</f>
        <v/>
      </c>
      <c r="AN343" s="186" t="e">
        <f>IF(K343="","","Q"&amp;INT((MONTH(K343)-1)/3)+1&amp;YEAR(K343)&amp;#REF!)</f>
        <v>#REF!</v>
      </c>
    </row>
    <row r="344" spans="1:40" ht="20.100000000000001" customHeight="1" x14ac:dyDescent="0.25">
      <c r="A344" s="8">
        <v>342</v>
      </c>
      <c r="B344" s="8" t="s">
        <v>399</v>
      </c>
      <c r="C344" s="8" t="s">
        <v>1997</v>
      </c>
      <c r="D344" s="8" t="s">
        <v>2416</v>
      </c>
      <c r="E344" s="8" t="s">
        <v>1998</v>
      </c>
      <c r="F344" s="183" t="s">
        <v>2297</v>
      </c>
      <c r="G344" s="183"/>
      <c r="H344" s="183" t="s">
        <v>2298</v>
      </c>
      <c r="I344" s="183" t="s">
        <v>579</v>
      </c>
      <c r="J344" s="183"/>
      <c r="K344" s="184">
        <v>46041</v>
      </c>
      <c r="L344" s="183">
        <v>17</v>
      </c>
      <c r="M344" s="185" t="str">
        <f>IF(phc_8[[#This Row],[Register No.]]="","",C344&amp;"-"&amp;D344&amp;"-"&amp;"BHA-PHC-"&amp;phc_8[[#This Row],[Register No.]])</f>
        <v>Shining Star-Mobile Clinic-BHA-PHC-17</v>
      </c>
      <c r="N344" s="9" t="s">
        <v>401</v>
      </c>
      <c r="O344" s="183" t="s">
        <v>3767</v>
      </c>
      <c r="P344" s="183">
        <v>7</v>
      </c>
      <c r="Q344" s="183"/>
      <c r="R344" s="183"/>
      <c r="S344" s="186" t="str">
        <f t="shared" si="13"/>
        <v>5 - 14 yrs</v>
      </c>
      <c r="T344" s="183" t="s">
        <v>402</v>
      </c>
      <c r="U344" s="183" t="s">
        <v>2298</v>
      </c>
      <c r="V344" s="183" t="s">
        <v>3777</v>
      </c>
      <c r="W344" s="183" t="s">
        <v>3071</v>
      </c>
      <c r="X344" s="183" t="s">
        <v>113</v>
      </c>
      <c r="Y344" s="186" t="str">
        <f>INDEX(info!$Y$2:$Y$192,MATCH(phc_8[[#This Row],[Sub_Category]],info!$X$2:$X$192,0))</f>
        <v>ARI/RTI</v>
      </c>
      <c r="Z344" s="186" t="str">
        <f t="array" ref="Z344">INDEX(info!$AA$2:$AA$192,MATCH(PHC!$X344&amp;PHC!$Y344,info!$X$2:$X$192&amp;info!$Y$2:$Y$192,0))</f>
        <v>Communicable disease</v>
      </c>
      <c r="AA344" s="183" t="s">
        <v>3786</v>
      </c>
      <c r="AB344" s="9" t="s">
        <v>654</v>
      </c>
      <c r="AC344" s="9" t="s">
        <v>654</v>
      </c>
      <c r="AD344" s="9" t="s">
        <v>654</v>
      </c>
      <c r="AE344" s="9" t="s">
        <v>654</v>
      </c>
      <c r="AF344" s="184"/>
      <c r="AG344" s="183"/>
      <c r="AH344" s="183"/>
      <c r="AI344" s="183"/>
      <c r="AJ344" s="183"/>
      <c r="AK344" s="9" t="s">
        <v>654</v>
      </c>
      <c r="AL344" s="183"/>
      <c r="AM344" s="186" t="str">
        <f>IF(AF344="","","Q"&amp;INT((MONTH(AF344)-1)/3)+1&amp;YEAR(AF344)&amp;#REF!&amp;T344)</f>
        <v/>
      </c>
      <c r="AN344" s="186" t="e">
        <f>IF(K344="","","Q"&amp;INT((MONTH(K344)-1)/3)+1&amp;YEAR(K344)&amp;#REF!)</f>
        <v>#REF!</v>
      </c>
    </row>
    <row r="345" spans="1:40" ht="20.100000000000001" customHeight="1" x14ac:dyDescent="0.25">
      <c r="A345" s="8">
        <v>343</v>
      </c>
      <c r="B345" s="8" t="s">
        <v>399</v>
      </c>
      <c r="C345" s="8" t="s">
        <v>1997</v>
      </c>
      <c r="D345" s="8" t="s">
        <v>2416</v>
      </c>
      <c r="E345" s="8" t="s">
        <v>1998</v>
      </c>
      <c r="F345" s="183" t="s">
        <v>2297</v>
      </c>
      <c r="G345" s="183"/>
      <c r="H345" s="183" t="s">
        <v>2298</v>
      </c>
      <c r="I345" s="183" t="s">
        <v>579</v>
      </c>
      <c r="J345" s="183"/>
      <c r="K345" s="184">
        <v>46041</v>
      </c>
      <c r="L345" s="183">
        <v>18</v>
      </c>
      <c r="M345" s="185" t="str">
        <f>IF(phc_8[[#This Row],[Register No.]]="","",C345&amp;"-"&amp;D345&amp;"-"&amp;"BHA-PHC-"&amp;phc_8[[#This Row],[Register No.]])</f>
        <v>Shining Star-Mobile Clinic-BHA-PHC-18</v>
      </c>
      <c r="N345" s="9" t="s">
        <v>401</v>
      </c>
      <c r="O345" s="183" t="s">
        <v>3768</v>
      </c>
      <c r="P345" s="183">
        <v>55</v>
      </c>
      <c r="Q345" s="183"/>
      <c r="R345" s="183"/>
      <c r="S345" s="186" t="str">
        <f t="shared" si="13"/>
        <v>50 yrs +</v>
      </c>
      <c r="T345" s="183" t="s">
        <v>603</v>
      </c>
      <c r="U345" s="183" t="s">
        <v>2298</v>
      </c>
      <c r="V345" s="183" t="s">
        <v>3778</v>
      </c>
      <c r="W345" s="183" t="s">
        <v>3659</v>
      </c>
      <c r="X345" s="183" t="s">
        <v>103</v>
      </c>
      <c r="Y345" s="186" t="str">
        <f>INDEX(info!$Y$2:$Y$192,MATCH(phc_8[[#This Row],[Sub_Category]],info!$X$2:$X$192,0))</f>
        <v>ARI/RTI</v>
      </c>
      <c r="Z345" s="186" t="str">
        <f t="array" ref="Z345">INDEX(info!$AA$2:$AA$192,MATCH(PHC!$X345&amp;PHC!$Y345,info!$X$2:$X$192&amp;info!$Y$2:$Y$192,0))</f>
        <v>Communicable disease</v>
      </c>
      <c r="AA345" s="183" t="s">
        <v>3787</v>
      </c>
      <c r="AB345" s="9" t="s">
        <v>654</v>
      </c>
      <c r="AC345" s="9" t="s">
        <v>654</v>
      </c>
      <c r="AD345" s="9" t="s">
        <v>654</v>
      </c>
      <c r="AE345" s="9" t="s">
        <v>654</v>
      </c>
      <c r="AF345" s="184"/>
      <c r="AG345" s="183"/>
      <c r="AH345" s="183"/>
      <c r="AI345" s="183"/>
      <c r="AJ345" s="183"/>
      <c r="AK345" s="9" t="s">
        <v>654</v>
      </c>
      <c r="AL345" s="183"/>
      <c r="AM345" s="186" t="str">
        <f>IF(AF345="","","Q"&amp;INT((MONTH(AF345)-1)/3)+1&amp;YEAR(AF345)&amp;#REF!&amp;T345)</f>
        <v/>
      </c>
      <c r="AN345" s="186" t="e">
        <f>IF(K345="","","Q"&amp;INT((MONTH(K345)-1)/3)+1&amp;YEAR(K345)&amp;#REF!)</f>
        <v>#REF!</v>
      </c>
    </row>
    <row r="346" spans="1:40" ht="20.100000000000001" customHeight="1" x14ac:dyDescent="0.25">
      <c r="A346" s="8">
        <v>344</v>
      </c>
      <c r="B346" s="8" t="s">
        <v>399</v>
      </c>
      <c r="C346" s="8" t="s">
        <v>1997</v>
      </c>
      <c r="D346" s="8" t="s">
        <v>2416</v>
      </c>
      <c r="E346" s="8" t="s">
        <v>1998</v>
      </c>
      <c r="F346" s="183" t="s">
        <v>2297</v>
      </c>
      <c r="G346" s="183"/>
      <c r="H346" s="183" t="s">
        <v>2298</v>
      </c>
      <c r="I346" s="183" t="s">
        <v>579</v>
      </c>
      <c r="J346" s="183"/>
      <c r="K346" s="184">
        <v>46041</v>
      </c>
      <c r="L346" s="183">
        <v>19</v>
      </c>
      <c r="M346" s="185" t="str">
        <f>IF(phc_8[[#This Row],[Register No.]]="","",C346&amp;"-"&amp;D346&amp;"-"&amp;"BHA-PHC-"&amp;phc_8[[#This Row],[Register No.]])</f>
        <v>Shining Star-Mobile Clinic-BHA-PHC-19</v>
      </c>
      <c r="N346" s="9" t="s">
        <v>401</v>
      </c>
      <c r="O346" s="183" t="s">
        <v>3769</v>
      </c>
      <c r="P346" s="183">
        <v>60</v>
      </c>
      <c r="Q346" s="183"/>
      <c r="R346" s="183"/>
      <c r="S346" s="186" t="str">
        <f t="shared" si="13"/>
        <v>50 yrs +</v>
      </c>
      <c r="T346" s="183" t="s">
        <v>603</v>
      </c>
      <c r="U346" s="183" t="s">
        <v>2298</v>
      </c>
      <c r="V346" s="183" t="s">
        <v>3778</v>
      </c>
      <c r="W346" s="183" t="s">
        <v>178</v>
      </c>
      <c r="X346" s="183" t="s">
        <v>178</v>
      </c>
      <c r="Y346" s="186" t="str">
        <f>INDEX(info!$Y$2:$Y$192,MATCH(phc_8[[#This Row],[Sub_Category]],info!$X$2:$X$192,0))</f>
        <v>Chronic medical disease</v>
      </c>
      <c r="Z346" s="186" t="str">
        <f t="array" ref="Z346">INDEX(info!$AA$2:$AA$192,MATCH(PHC!$X346&amp;PHC!$Y346,info!$X$2:$X$192&amp;info!$Y$2:$Y$192,0))</f>
        <v>Non-communicable disease</v>
      </c>
      <c r="AA346" s="183" t="s">
        <v>3788</v>
      </c>
      <c r="AB346" s="9" t="s">
        <v>654</v>
      </c>
      <c r="AC346" s="9" t="s">
        <v>654</v>
      </c>
      <c r="AD346" s="9" t="s">
        <v>654</v>
      </c>
      <c r="AE346" s="9" t="s">
        <v>654</v>
      </c>
      <c r="AF346" s="184"/>
      <c r="AG346" s="183"/>
      <c r="AH346" s="183"/>
      <c r="AI346" s="183"/>
      <c r="AJ346" s="183"/>
      <c r="AK346" s="9" t="s">
        <v>654</v>
      </c>
      <c r="AL346" s="183"/>
      <c r="AM346" s="186" t="str">
        <f>IF(AF346="","","Q"&amp;INT((MONTH(AF346)-1)/3)+1&amp;YEAR(AF346)&amp;#REF!&amp;T346)</f>
        <v/>
      </c>
      <c r="AN346" s="186" t="e">
        <f>IF(K346="","","Q"&amp;INT((MONTH(K346)-1)/3)+1&amp;YEAR(K346)&amp;#REF!)</f>
        <v>#REF!</v>
      </c>
    </row>
    <row r="347" spans="1:40" ht="20.100000000000001" customHeight="1" x14ac:dyDescent="0.25">
      <c r="A347" s="8">
        <v>345</v>
      </c>
      <c r="B347" s="8" t="s">
        <v>399</v>
      </c>
      <c r="C347" s="8" t="s">
        <v>1997</v>
      </c>
      <c r="D347" s="8" t="s">
        <v>2416</v>
      </c>
      <c r="E347" s="8" t="s">
        <v>1998</v>
      </c>
      <c r="F347" s="183" t="s">
        <v>2297</v>
      </c>
      <c r="G347" s="183"/>
      <c r="H347" s="183" t="s">
        <v>2298</v>
      </c>
      <c r="I347" s="183" t="s">
        <v>579</v>
      </c>
      <c r="J347" s="183"/>
      <c r="K347" s="184">
        <v>46041</v>
      </c>
      <c r="L347" s="183">
        <v>20</v>
      </c>
      <c r="M347" s="185" t="str">
        <f>IF(phc_8[[#This Row],[Register No.]]="","",C347&amp;"-"&amp;D347&amp;"-"&amp;"BHA-PHC-"&amp;phc_8[[#This Row],[Register No.]])</f>
        <v>Shining Star-Mobile Clinic-BHA-PHC-20</v>
      </c>
      <c r="N347" s="9" t="s">
        <v>401</v>
      </c>
      <c r="O347" s="183" t="s">
        <v>3770</v>
      </c>
      <c r="P347" s="183">
        <v>62</v>
      </c>
      <c r="Q347" s="183"/>
      <c r="R347" s="183"/>
      <c r="S347" s="186" t="str">
        <f t="shared" si="13"/>
        <v>50 yrs +</v>
      </c>
      <c r="T347" s="183" t="s">
        <v>603</v>
      </c>
      <c r="U347" s="183" t="s">
        <v>2298</v>
      </c>
      <c r="V347" s="183" t="s">
        <v>3779</v>
      </c>
      <c r="W347" s="183" t="s">
        <v>178</v>
      </c>
      <c r="X347" s="183" t="s">
        <v>178</v>
      </c>
      <c r="Y347" s="186" t="str">
        <f>INDEX(info!$Y$2:$Y$192,MATCH(phc_8[[#This Row],[Sub_Category]],info!$X$2:$X$192,0))</f>
        <v>Chronic medical disease</v>
      </c>
      <c r="Z347" s="186" t="str">
        <f t="array" ref="Z347">INDEX(info!$AA$2:$AA$192,MATCH(PHC!$X347&amp;PHC!$Y347,info!$X$2:$X$192&amp;info!$Y$2:$Y$192,0))</f>
        <v>Non-communicable disease</v>
      </c>
      <c r="AA347" s="183" t="s">
        <v>3789</v>
      </c>
      <c r="AB347" s="9" t="s">
        <v>654</v>
      </c>
      <c r="AC347" s="9" t="s">
        <v>654</v>
      </c>
      <c r="AD347" s="9" t="s">
        <v>654</v>
      </c>
      <c r="AE347" s="9" t="s">
        <v>654</v>
      </c>
      <c r="AF347" s="184"/>
      <c r="AG347" s="183"/>
      <c r="AH347" s="183"/>
      <c r="AI347" s="183"/>
      <c r="AJ347" s="183"/>
      <c r="AK347" s="9" t="s">
        <v>654</v>
      </c>
      <c r="AL347" s="183"/>
      <c r="AM347" s="186" t="str">
        <f>IF(AF347="","","Q"&amp;INT((MONTH(AF347)-1)/3)+1&amp;YEAR(AF347)&amp;#REF!&amp;T347)</f>
        <v/>
      </c>
      <c r="AN347" s="186" t="e">
        <f>IF(K347="","","Q"&amp;INT((MONTH(K347)-1)/3)+1&amp;YEAR(K347)&amp;#REF!)</f>
        <v>#REF!</v>
      </c>
    </row>
    <row r="348" spans="1:40" ht="20.100000000000001" customHeight="1" x14ac:dyDescent="0.25">
      <c r="A348" s="8">
        <v>346</v>
      </c>
      <c r="B348" s="8" t="s">
        <v>399</v>
      </c>
      <c r="C348" s="8" t="s">
        <v>1997</v>
      </c>
      <c r="D348" s="8" t="s">
        <v>2416</v>
      </c>
      <c r="E348" s="8" t="s">
        <v>1998</v>
      </c>
      <c r="F348" s="183" t="s">
        <v>2297</v>
      </c>
      <c r="G348" s="183"/>
      <c r="H348" s="183" t="s">
        <v>2298</v>
      </c>
      <c r="I348" s="183" t="s">
        <v>579</v>
      </c>
      <c r="J348" s="183"/>
      <c r="K348" s="184">
        <v>46041</v>
      </c>
      <c r="L348" s="183">
        <v>21</v>
      </c>
      <c r="M348" s="185" t="str">
        <f>IF(phc_8[[#This Row],[Register No.]]="","",C348&amp;"-"&amp;D348&amp;"-"&amp;"BHA-PHC-"&amp;phc_8[[#This Row],[Register No.]])</f>
        <v>Shining Star-Mobile Clinic-BHA-PHC-21</v>
      </c>
      <c r="N348" s="9" t="s">
        <v>401</v>
      </c>
      <c r="O348" s="183" t="s">
        <v>3771</v>
      </c>
      <c r="P348" s="183">
        <v>86</v>
      </c>
      <c r="Q348" s="183"/>
      <c r="R348" s="183"/>
      <c r="S348" s="186" t="str">
        <f t="shared" si="13"/>
        <v>50 yrs +</v>
      </c>
      <c r="T348" s="183" t="s">
        <v>402</v>
      </c>
      <c r="U348" s="183" t="s">
        <v>2298</v>
      </c>
      <c r="V348" s="183" t="s">
        <v>3780</v>
      </c>
      <c r="W348" s="183" t="s">
        <v>178</v>
      </c>
      <c r="X348" s="183" t="s">
        <v>178</v>
      </c>
      <c r="Y348" s="186" t="str">
        <f>INDEX(info!$Y$2:$Y$192,MATCH(phc_8[[#This Row],[Sub_Category]],info!$X$2:$X$192,0))</f>
        <v>Chronic medical disease</v>
      </c>
      <c r="Z348" s="186" t="str">
        <f t="array" ref="Z348">INDEX(info!$AA$2:$AA$192,MATCH(PHC!$X348&amp;PHC!$Y348,info!$X$2:$X$192&amp;info!$Y$2:$Y$192,0))</f>
        <v>Non-communicable disease</v>
      </c>
      <c r="AA348" s="183" t="s">
        <v>3790</v>
      </c>
      <c r="AB348" s="9" t="s">
        <v>654</v>
      </c>
      <c r="AC348" s="9" t="s">
        <v>654</v>
      </c>
      <c r="AD348" s="9" t="s">
        <v>654</v>
      </c>
      <c r="AE348" s="9" t="s">
        <v>654</v>
      </c>
      <c r="AF348" s="184"/>
      <c r="AG348" s="183"/>
      <c r="AH348" s="183"/>
      <c r="AI348" s="183"/>
      <c r="AJ348" s="183"/>
      <c r="AK348" s="9" t="s">
        <v>654</v>
      </c>
      <c r="AL348" s="183"/>
      <c r="AM348" s="186" t="str">
        <f>IF(AF348="","","Q"&amp;INT((MONTH(AF348)-1)/3)+1&amp;YEAR(AF348)&amp;#REF!&amp;T348)</f>
        <v/>
      </c>
      <c r="AN348" s="186" t="e">
        <f>IF(K348="","","Q"&amp;INT((MONTH(K348)-1)/3)+1&amp;YEAR(K348)&amp;#REF!)</f>
        <v>#REF!</v>
      </c>
    </row>
    <row r="349" spans="1:40" ht="20.100000000000001" customHeight="1" x14ac:dyDescent="0.25">
      <c r="A349" s="8">
        <v>347</v>
      </c>
      <c r="B349" s="8" t="s">
        <v>399</v>
      </c>
      <c r="C349" s="8" t="s">
        <v>1997</v>
      </c>
      <c r="D349" s="8" t="s">
        <v>2416</v>
      </c>
      <c r="E349" s="8" t="s">
        <v>1998</v>
      </c>
      <c r="F349" s="183" t="s">
        <v>2297</v>
      </c>
      <c r="G349" s="183"/>
      <c r="H349" s="183" t="s">
        <v>2298</v>
      </c>
      <c r="I349" s="183" t="s">
        <v>579</v>
      </c>
      <c r="J349" s="183"/>
      <c r="K349" s="184">
        <v>46041</v>
      </c>
      <c r="L349" s="183">
        <v>22</v>
      </c>
      <c r="M349" s="185" t="str">
        <f>IF(phc_8[[#This Row],[Register No.]]="","",C349&amp;"-"&amp;D349&amp;"-"&amp;"BHA-PHC-"&amp;phc_8[[#This Row],[Register No.]])</f>
        <v>Shining Star-Mobile Clinic-BHA-PHC-22</v>
      </c>
      <c r="N349" s="9" t="s">
        <v>401</v>
      </c>
      <c r="O349" s="183" t="s">
        <v>3772</v>
      </c>
      <c r="P349" s="183">
        <v>80</v>
      </c>
      <c r="Q349" s="183"/>
      <c r="R349" s="183"/>
      <c r="S349" s="186" t="str">
        <f t="shared" si="13"/>
        <v>50 yrs +</v>
      </c>
      <c r="T349" s="183" t="s">
        <v>402</v>
      </c>
      <c r="U349" s="183" t="s">
        <v>2298</v>
      </c>
      <c r="V349" s="183" t="s">
        <v>3781</v>
      </c>
      <c r="W349" s="183" t="s">
        <v>2003</v>
      </c>
      <c r="X349" s="183" t="s">
        <v>181</v>
      </c>
      <c r="Y349" s="186" t="str">
        <f>INDEX(info!$Y$2:$Y$192,MATCH(phc_8[[#This Row],[Sub_Category]],info!$X$2:$X$192,0))</f>
        <v>Chronic medical disease</v>
      </c>
      <c r="Z349" s="186" t="str">
        <f t="array" ref="Z349">INDEX(info!$AA$2:$AA$192,MATCH(PHC!$X349&amp;PHC!$Y349,info!$X$2:$X$192&amp;info!$Y$2:$Y$192,0))</f>
        <v>Non-communicable disease</v>
      </c>
      <c r="AA349" s="183" t="s">
        <v>3791</v>
      </c>
      <c r="AB349" s="9" t="s">
        <v>654</v>
      </c>
      <c r="AC349" s="9" t="s">
        <v>654</v>
      </c>
      <c r="AD349" s="9" t="s">
        <v>654</v>
      </c>
      <c r="AE349" s="9" t="s">
        <v>654</v>
      </c>
      <c r="AF349" s="184"/>
      <c r="AG349" s="183"/>
      <c r="AH349" s="183"/>
      <c r="AI349" s="183"/>
      <c r="AJ349" s="183"/>
      <c r="AK349" s="9" t="s">
        <v>654</v>
      </c>
      <c r="AL349" s="183"/>
      <c r="AM349" s="186" t="str">
        <f>IF(AF349="","","Q"&amp;INT((MONTH(AF349)-1)/3)+1&amp;YEAR(AF349)&amp;#REF!&amp;T349)</f>
        <v/>
      </c>
      <c r="AN349" s="186" t="e">
        <f>IF(K349="","","Q"&amp;INT((MONTH(K349)-1)/3)+1&amp;YEAR(K349)&amp;#REF!)</f>
        <v>#REF!</v>
      </c>
    </row>
    <row r="350" spans="1:40" ht="20.100000000000001" customHeight="1" x14ac:dyDescent="0.25">
      <c r="A350" s="8">
        <v>348</v>
      </c>
      <c r="B350" s="8" t="s">
        <v>399</v>
      </c>
      <c r="C350" s="8" t="s">
        <v>1997</v>
      </c>
      <c r="D350" s="8" t="s">
        <v>2416</v>
      </c>
      <c r="E350" s="8" t="s">
        <v>1998</v>
      </c>
      <c r="F350" s="183" t="s">
        <v>2297</v>
      </c>
      <c r="G350" s="183"/>
      <c r="H350" s="183" t="s">
        <v>2298</v>
      </c>
      <c r="I350" s="183" t="s">
        <v>579</v>
      </c>
      <c r="J350" s="183"/>
      <c r="K350" s="184">
        <v>46041</v>
      </c>
      <c r="L350" s="183">
        <v>23</v>
      </c>
      <c r="M350" s="185" t="str">
        <f>IF(phc_8[[#This Row],[Register No.]]="","",C350&amp;"-"&amp;D350&amp;"-"&amp;"BHA-PHC-"&amp;phc_8[[#This Row],[Register No.]])</f>
        <v>Shining Star-Mobile Clinic-BHA-PHC-23</v>
      </c>
      <c r="N350" s="9" t="s">
        <v>401</v>
      </c>
      <c r="O350" s="183" t="s">
        <v>3773</v>
      </c>
      <c r="P350" s="183">
        <v>11</v>
      </c>
      <c r="Q350" s="183"/>
      <c r="R350" s="183"/>
      <c r="S350" s="186" t="str">
        <f t="shared" si="13"/>
        <v>5 - 14 yrs</v>
      </c>
      <c r="T350" s="183" t="s">
        <v>402</v>
      </c>
      <c r="U350" s="183" t="s">
        <v>2298</v>
      </c>
      <c r="V350" s="183" t="s">
        <v>3782</v>
      </c>
      <c r="W350" s="183" t="s">
        <v>3249</v>
      </c>
      <c r="X350" s="183" t="s">
        <v>196</v>
      </c>
      <c r="Y350" s="186" t="str">
        <f>INDEX(info!$Y$2:$Y$192,MATCH(phc_8[[#This Row],[Sub_Category]],info!$X$2:$X$192,0))</f>
        <v>Skin infection/disease</v>
      </c>
      <c r="Z350" s="186" t="str">
        <f t="array" ref="Z350">INDEX(info!$AA$2:$AA$192,MATCH(PHC!$X350&amp;PHC!$Y350,info!$X$2:$X$192&amp;info!$Y$2:$Y$192,0))</f>
        <v>Non-communicable disease</v>
      </c>
      <c r="AA350" s="183" t="s">
        <v>3792</v>
      </c>
      <c r="AB350" s="9" t="s">
        <v>654</v>
      </c>
      <c r="AC350" s="9" t="s">
        <v>654</v>
      </c>
      <c r="AD350" s="9" t="s">
        <v>654</v>
      </c>
      <c r="AE350" s="9" t="s">
        <v>654</v>
      </c>
      <c r="AF350" s="184"/>
      <c r="AG350" s="183"/>
      <c r="AH350" s="183"/>
      <c r="AI350" s="183"/>
      <c r="AJ350" s="183"/>
      <c r="AK350" s="9" t="s">
        <v>654</v>
      </c>
      <c r="AL350" s="183"/>
      <c r="AM350" s="186" t="str">
        <f>IF(AF350="","","Q"&amp;INT((MONTH(AF350)-1)/3)+1&amp;YEAR(AF350)&amp;#REF!&amp;T350)</f>
        <v/>
      </c>
      <c r="AN350" s="186" t="e">
        <f>IF(K350="","","Q"&amp;INT((MONTH(K350)-1)/3)+1&amp;YEAR(K350)&amp;#REF!)</f>
        <v>#REF!</v>
      </c>
    </row>
    <row r="351" spans="1:40" ht="20.100000000000001" customHeight="1" x14ac:dyDescent="0.25">
      <c r="A351" s="8">
        <v>349</v>
      </c>
      <c r="B351" s="8" t="s">
        <v>399</v>
      </c>
      <c r="C351" s="8" t="s">
        <v>1997</v>
      </c>
      <c r="D351" s="8" t="s">
        <v>2416</v>
      </c>
      <c r="E351" s="8" t="s">
        <v>1998</v>
      </c>
      <c r="F351" s="183" t="s">
        <v>2297</v>
      </c>
      <c r="G351" s="183"/>
      <c r="H351" s="183" t="s">
        <v>2298</v>
      </c>
      <c r="I351" s="183" t="s">
        <v>579</v>
      </c>
      <c r="J351" s="183"/>
      <c r="K351" s="184">
        <v>46041</v>
      </c>
      <c r="L351" s="183">
        <v>24</v>
      </c>
      <c r="M351" s="185" t="str">
        <f>IF(phc_8[[#This Row],[Register No.]]="","",C351&amp;"-"&amp;D351&amp;"-"&amp;"BHA-PHC-"&amp;phc_8[[#This Row],[Register No.]])</f>
        <v>Shining Star-Mobile Clinic-BHA-PHC-24</v>
      </c>
      <c r="N351" s="9" t="s">
        <v>401</v>
      </c>
      <c r="O351" s="183" t="s">
        <v>3774</v>
      </c>
      <c r="P351" s="183">
        <v>93</v>
      </c>
      <c r="Q351" s="183"/>
      <c r="R351" s="183"/>
      <c r="S351" s="186" t="str">
        <f t="shared" si="13"/>
        <v>50 yrs +</v>
      </c>
      <c r="T351" s="183" t="s">
        <v>603</v>
      </c>
      <c r="U351" s="183" t="s">
        <v>2298</v>
      </c>
      <c r="V351" s="183" t="s">
        <v>3783</v>
      </c>
      <c r="W351" s="183" t="s">
        <v>294</v>
      </c>
      <c r="X351" s="183" t="s">
        <v>294</v>
      </c>
      <c r="Y351" s="186" t="str">
        <f>INDEX(info!$Y$2:$Y$192,MATCH(phc_8[[#This Row],[Sub_Category]],info!$X$2:$X$192,0))</f>
        <v>Other (non-communicable)</v>
      </c>
      <c r="Z351" s="186" t="str">
        <f t="array" ref="Z351">INDEX(info!$AA$2:$AA$192,MATCH(PHC!$X351&amp;PHC!$Y351,info!$X$2:$X$192&amp;info!$Y$2:$Y$192,0))</f>
        <v>Other</v>
      </c>
      <c r="AA351" s="183" t="s">
        <v>3793</v>
      </c>
      <c r="AB351" s="9" t="s">
        <v>654</v>
      </c>
      <c r="AC351" s="9" t="s">
        <v>654</v>
      </c>
      <c r="AD351" s="9" t="s">
        <v>654</v>
      </c>
      <c r="AE351" s="9" t="s">
        <v>654</v>
      </c>
      <c r="AF351" s="184"/>
      <c r="AG351" s="183"/>
      <c r="AH351" s="183"/>
      <c r="AI351" s="183"/>
      <c r="AJ351" s="183"/>
      <c r="AK351" s="9" t="s">
        <v>654</v>
      </c>
      <c r="AL351" s="183"/>
      <c r="AM351" s="186" t="str">
        <f>IF(AF351="","","Q"&amp;INT((MONTH(AF351)-1)/3)+1&amp;YEAR(AF351)&amp;#REF!&amp;T351)</f>
        <v/>
      </c>
      <c r="AN351" s="186" t="e">
        <f>IF(K351="","","Q"&amp;INT((MONTH(K351)-1)/3)+1&amp;YEAR(K351)&amp;#REF!)</f>
        <v>#REF!</v>
      </c>
    </row>
    <row r="352" spans="1:40" ht="20.100000000000001" customHeight="1" x14ac:dyDescent="0.25">
      <c r="A352" s="8">
        <v>350</v>
      </c>
      <c r="B352" s="8" t="s">
        <v>399</v>
      </c>
      <c r="C352" s="8" t="s">
        <v>1997</v>
      </c>
      <c r="D352" s="8" t="s">
        <v>2416</v>
      </c>
      <c r="E352" s="8" t="s">
        <v>1998</v>
      </c>
      <c r="F352" s="183" t="s">
        <v>2297</v>
      </c>
      <c r="G352" s="183"/>
      <c r="H352" s="183" t="s">
        <v>2298</v>
      </c>
      <c r="I352" s="183" t="s">
        <v>579</v>
      </c>
      <c r="J352" s="183"/>
      <c r="K352" s="184">
        <v>46041</v>
      </c>
      <c r="L352" s="183">
        <v>25</v>
      </c>
      <c r="M352" s="185" t="str">
        <f>IF(phc_8[[#This Row],[Register No.]]="","",C352&amp;"-"&amp;D352&amp;"-"&amp;"BHA-PHC-"&amp;phc_8[[#This Row],[Register No.]])</f>
        <v>Shining Star-Mobile Clinic-BHA-PHC-25</v>
      </c>
      <c r="N352" s="9" t="s">
        <v>401</v>
      </c>
      <c r="O352" s="183" t="s">
        <v>3775</v>
      </c>
      <c r="P352" s="183">
        <v>29</v>
      </c>
      <c r="Q352" s="183"/>
      <c r="R352" s="183"/>
      <c r="S352" s="186" t="str">
        <f t="shared" si="13"/>
        <v>19 - 49 yrs</v>
      </c>
      <c r="T352" s="183" t="s">
        <v>603</v>
      </c>
      <c r="U352" s="183" t="s">
        <v>2298</v>
      </c>
      <c r="V352" s="183" t="s">
        <v>3784</v>
      </c>
      <c r="W352" s="183" t="s">
        <v>3733</v>
      </c>
      <c r="X352" s="183" t="s">
        <v>195</v>
      </c>
      <c r="Y352" s="186" t="str">
        <f>INDEX(info!$Y$2:$Y$192,MATCH(phc_8[[#This Row],[Sub_Category]],info!$X$2:$X$192,0))</f>
        <v>Bacteria disease</v>
      </c>
      <c r="Z352" s="186" t="str">
        <f t="array" ref="Z352">INDEX(info!$AA$2:$AA$192,MATCH(PHC!$X352&amp;PHC!$Y352,info!$X$2:$X$192&amp;info!$Y$2:$Y$192,0))</f>
        <v>Communicable disease</v>
      </c>
      <c r="AA352" s="183" t="s">
        <v>3794</v>
      </c>
      <c r="AB352" s="9" t="s">
        <v>654</v>
      </c>
      <c r="AC352" s="9" t="s">
        <v>654</v>
      </c>
      <c r="AD352" s="9" t="s">
        <v>654</v>
      </c>
      <c r="AE352" s="9" t="s">
        <v>654</v>
      </c>
      <c r="AF352" s="184"/>
      <c r="AG352" s="183"/>
      <c r="AH352" s="183"/>
      <c r="AI352" s="183"/>
      <c r="AJ352" s="183"/>
      <c r="AK352" s="9" t="s">
        <v>654</v>
      </c>
      <c r="AL352" s="183"/>
      <c r="AM352" s="186" t="str">
        <f>IF(AF352="","","Q"&amp;INT((MONTH(AF352)-1)/3)+1&amp;YEAR(AF352)&amp;#REF!&amp;T352)</f>
        <v/>
      </c>
      <c r="AN352" s="186" t="e">
        <f>IF(K352="","","Q"&amp;INT((MONTH(K352)-1)/3)+1&amp;YEAR(K352)&amp;#REF!)</f>
        <v>#REF!</v>
      </c>
    </row>
    <row r="353" spans="1:40" ht="20.100000000000001" customHeight="1" x14ac:dyDescent="0.25">
      <c r="A353" s="8">
        <v>351</v>
      </c>
      <c r="B353" s="8" t="s">
        <v>399</v>
      </c>
      <c r="C353" s="8" t="s">
        <v>1997</v>
      </c>
      <c r="D353" s="8" t="s">
        <v>2416</v>
      </c>
      <c r="E353" s="8" t="s">
        <v>1998</v>
      </c>
      <c r="F353" s="183" t="s">
        <v>2297</v>
      </c>
      <c r="G353" s="183"/>
      <c r="H353" s="183" t="s">
        <v>2298</v>
      </c>
      <c r="I353" s="183" t="s">
        <v>579</v>
      </c>
      <c r="J353" s="183"/>
      <c r="K353" s="184">
        <v>46041</v>
      </c>
      <c r="L353" s="183">
        <v>26</v>
      </c>
      <c r="M353" s="185" t="str">
        <f>IF(phc_8[[#This Row],[Register No.]]="","",C353&amp;"-"&amp;D353&amp;"-"&amp;"BHA-PHC-"&amp;phc_8[[#This Row],[Register No.]])</f>
        <v>Shining Star-Mobile Clinic-BHA-PHC-26</v>
      </c>
      <c r="N353" s="9" t="s">
        <v>401</v>
      </c>
      <c r="O353" s="183" t="s">
        <v>3795</v>
      </c>
      <c r="P353" s="183">
        <v>4</v>
      </c>
      <c r="Q353" s="183"/>
      <c r="R353" s="183"/>
      <c r="S353" s="186" t="str">
        <f t="shared" si="13"/>
        <v>&lt;5 yrs</v>
      </c>
      <c r="T353" s="183" t="s">
        <v>603</v>
      </c>
      <c r="U353" s="183" t="s">
        <v>2298</v>
      </c>
      <c r="V353" s="183" t="s">
        <v>3805</v>
      </c>
      <c r="W353" s="183" t="s">
        <v>3071</v>
      </c>
      <c r="X353" s="183" t="s">
        <v>113</v>
      </c>
      <c r="Y353" s="186" t="str">
        <f>INDEX(info!$Y$2:$Y$192,MATCH(phc_8[[#This Row],[Sub_Category]],info!$X$2:$X$192,0))</f>
        <v>ARI/RTI</v>
      </c>
      <c r="Z353" s="186" t="str">
        <f t="array" ref="Z353">INDEX(info!$AA$2:$AA$192,MATCH(PHC!$X353&amp;PHC!$Y353,info!$X$2:$X$192&amp;info!$Y$2:$Y$192,0))</f>
        <v>Communicable disease</v>
      </c>
      <c r="AA353" s="183" t="s">
        <v>3814</v>
      </c>
      <c r="AB353" s="9" t="s">
        <v>654</v>
      </c>
      <c r="AC353" s="9" t="s">
        <v>654</v>
      </c>
      <c r="AD353" s="9" t="s">
        <v>654</v>
      </c>
      <c r="AE353" s="9" t="s">
        <v>654</v>
      </c>
      <c r="AF353" s="184"/>
      <c r="AG353" s="183"/>
      <c r="AH353" s="183"/>
      <c r="AI353" s="183"/>
      <c r="AJ353" s="183"/>
      <c r="AK353" s="9" t="s">
        <v>654</v>
      </c>
      <c r="AL353" s="183"/>
      <c r="AM353" s="186" t="str">
        <f>IF(AF353="","","Q"&amp;INT((MONTH(AF353)-1)/3)+1&amp;YEAR(AF353)&amp;#REF!&amp;T353)</f>
        <v/>
      </c>
      <c r="AN353" s="186" t="e">
        <f>IF(K353="","","Q"&amp;INT((MONTH(K353)-1)/3)+1&amp;YEAR(K353)&amp;#REF!)</f>
        <v>#REF!</v>
      </c>
    </row>
    <row r="354" spans="1:40" ht="20.100000000000001" customHeight="1" x14ac:dyDescent="0.25">
      <c r="A354" s="8">
        <v>352</v>
      </c>
      <c r="B354" s="8" t="s">
        <v>399</v>
      </c>
      <c r="C354" s="8" t="s">
        <v>1997</v>
      </c>
      <c r="D354" s="8" t="s">
        <v>2416</v>
      </c>
      <c r="E354" s="8" t="s">
        <v>1998</v>
      </c>
      <c r="F354" s="183" t="s">
        <v>2297</v>
      </c>
      <c r="G354" s="183"/>
      <c r="H354" s="183" t="s">
        <v>2298</v>
      </c>
      <c r="I354" s="183" t="s">
        <v>579</v>
      </c>
      <c r="J354" s="183"/>
      <c r="K354" s="184">
        <v>46041</v>
      </c>
      <c r="L354" s="183">
        <v>27</v>
      </c>
      <c r="M354" s="185" t="str">
        <f>IF(phc_8[[#This Row],[Register No.]]="","",C354&amp;"-"&amp;D354&amp;"-"&amp;"BHA-PHC-"&amp;phc_8[[#This Row],[Register No.]])</f>
        <v>Shining Star-Mobile Clinic-BHA-PHC-27</v>
      </c>
      <c r="N354" s="9" t="s">
        <v>401</v>
      </c>
      <c r="O354" s="183" t="s">
        <v>3796</v>
      </c>
      <c r="P354" s="183"/>
      <c r="Q354" s="183">
        <v>10</v>
      </c>
      <c r="R354" s="183"/>
      <c r="S354" s="186" t="str">
        <f t="shared" si="13"/>
        <v>&lt;5 yrs</v>
      </c>
      <c r="T354" s="183" t="s">
        <v>603</v>
      </c>
      <c r="U354" s="183" t="s">
        <v>2298</v>
      </c>
      <c r="V354" s="183" t="s">
        <v>3805</v>
      </c>
      <c r="W354" s="183" t="s">
        <v>3079</v>
      </c>
      <c r="X354" s="183" t="s">
        <v>113</v>
      </c>
      <c r="Y354" s="186" t="str">
        <f>INDEX(info!$Y$2:$Y$192,MATCH(phc_8[[#This Row],[Sub_Category]],info!$X$2:$X$192,0))</f>
        <v>ARI/RTI</v>
      </c>
      <c r="Z354" s="186" t="str">
        <f t="array" ref="Z354">INDEX(info!$AA$2:$AA$192,MATCH(PHC!$X354&amp;PHC!$Y354,info!$X$2:$X$192&amp;info!$Y$2:$Y$192,0))</f>
        <v>Communicable disease</v>
      </c>
      <c r="AA354" s="183" t="s">
        <v>3815</v>
      </c>
      <c r="AB354" s="9" t="s">
        <v>654</v>
      </c>
      <c r="AC354" s="9" t="s">
        <v>654</v>
      </c>
      <c r="AD354" s="9" t="s">
        <v>654</v>
      </c>
      <c r="AE354" s="9" t="s">
        <v>654</v>
      </c>
      <c r="AF354" s="184"/>
      <c r="AG354" s="183"/>
      <c r="AH354" s="183"/>
      <c r="AI354" s="183"/>
      <c r="AJ354" s="183"/>
      <c r="AK354" s="9" t="s">
        <v>654</v>
      </c>
      <c r="AL354" s="183"/>
      <c r="AM354" s="186" t="str">
        <f>IF(AF354="","","Q"&amp;INT((MONTH(AF354)-1)/3)+1&amp;YEAR(AF354)&amp;#REF!&amp;T354)</f>
        <v/>
      </c>
      <c r="AN354" s="186" t="e">
        <f>IF(K354="","","Q"&amp;INT((MONTH(K354)-1)/3)+1&amp;YEAR(K354)&amp;#REF!)</f>
        <v>#REF!</v>
      </c>
    </row>
    <row r="355" spans="1:40" ht="20.100000000000001" customHeight="1" x14ac:dyDescent="0.25">
      <c r="A355" s="8">
        <v>353</v>
      </c>
      <c r="B355" s="8" t="s">
        <v>399</v>
      </c>
      <c r="C355" s="8" t="s">
        <v>1997</v>
      </c>
      <c r="D355" s="8" t="s">
        <v>2416</v>
      </c>
      <c r="E355" s="8" t="s">
        <v>1998</v>
      </c>
      <c r="F355" s="183" t="s">
        <v>2297</v>
      </c>
      <c r="G355" s="183"/>
      <c r="H355" s="183" t="s">
        <v>2298</v>
      </c>
      <c r="I355" s="183" t="s">
        <v>579</v>
      </c>
      <c r="J355" s="183"/>
      <c r="K355" s="184">
        <v>46041</v>
      </c>
      <c r="L355" s="183">
        <v>28</v>
      </c>
      <c r="M355" s="185" t="str">
        <f>IF(phc_8[[#This Row],[Register No.]]="","",C355&amp;"-"&amp;D355&amp;"-"&amp;"BHA-PHC-"&amp;phc_8[[#This Row],[Register No.]])</f>
        <v>Shining Star-Mobile Clinic-BHA-PHC-28</v>
      </c>
      <c r="N355" s="9" t="s">
        <v>401</v>
      </c>
      <c r="O355" s="183" t="s">
        <v>3797</v>
      </c>
      <c r="P355" s="183">
        <v>53</v>
      </c>
      <c r="Q355" s="183"/>
      <c r="R355" s="183"/>
      <c r="S355" s="186" t="str">
        <f t="shared" si="13"/>
        <v>50 yrs +</v>
      </c>
      <c r="T355" s="183" t="s">
        <v>603</v>
      </c>
      <c r="U355" s="183" t="s">
        <v>2298</v>
      </c>
      <c r="V355" s="183" t="s">
        <v>3806</v>
      </c>
      <c r="W355" s="183" t="s">
        <v>2003</v>
      </c>
      <c r="X355" s="183" t="s">
        <v>181</v>
      </c>
      <c r="Y355" s="186" t="str">
        <f>INDEX(info!$Y$2:$Y$192,MATCH(phc_8[[#This Row],[Sub_Category]],info!$X$2:$X$192,0))</f>
        <v>Chronic medical disease</v>
      </c>
      <c r="Z355" s="186" t="str">
        <f t="array" ref="Z355">INDEX(info!$AA$2:$AA$192,MATCH(PHC!$X355&amp;PHC!$Y355,info!$X$2:$X$192&amp;info!$Y$2:$Y$192,0))</f>
        <v>Non-communicable disease</v>
      </c>
      <c r="AA355" s="183" t="s">
        <v>3816</v>
      </c>
      <c r="AB355" s="9" t="s">
        <v>654</v>
      </c>
      <c r="AC355" s="9" t="s">
        <v>654</v>
      </c>
      <c r="AD355" s="9" t="s">
        <v>654</v>
      </c>
      <c r="AE355" s="9" t="s">
        <v>654</v>
      </c>
      <c r="AF355" s="184"/>
      <c r="AG355" s="183"/>
      <c r="AH355" s="183"/>
      <c r="AI355" s="183"/>
      <c r="AJ355" s="183"/>
      <c r="AK355" s="9" t="s">
        <v>654</v>
      </c>
      <c r="AL355" s="183"/>
      <c r="AM355" s="186" t="str">
        <f>IF(AF355="","","Q"&amp;INT((MONTH(AF355)-1)/3)+1&amp;YEAR(AF355)&amp;#REF!&amp;T355)</f>
        <v/>
      </c>
      <c r="AN355" s="186" t="e">
        <f>IF(K355="","","Q"&amp;INT((MONTH(K355)-1)/3)+1&amp;YEAR(K355)&amp;#REF!)</f>
        <v>#REF!</v>
      </c>
    </row>
    <row r="356" spans="1:40" ht="20.100000000000001" customHeight="1" x14ac:dyDescent="0.25">
      <c r="A356" s="8">
        <v>354</v>
      </c>
      <c r="B356" s="8" t="s">
        <v>399</v>
      </c>
      <c r="C356" s="8" t="s">
        <v>1997</v>
      </c>
      <c r="D356" s="8" t="s">
        <v>2416</v>
      </c>
      <c r="E356" s="8" t="s">
        <v>1998</v>
      </c>
      <c r="F356" s="183" t="s">
        <v>2297</v>
      </c>
      <c r="G356" s="183"/>
      <c r="H356" s="183" t="s">
        <v>2298</v>
      </c>
      <c r="I356" s="183" t="s">
        <v>579</v>
      </c>
      <c r="J356" s="183"/>
      <c r="K356" s="184">
        <v>46041</v>
      </c>
      <c r="L356" s="183">
        <v>29</v>
      </c>
      <c r="M356" s="185" t="str">
        <f>IF(phc_8[[#This Row],[Register No.]]="","",C356&amp;"-"&amp;D356&amp;"-"&amp;"BHA-PHC-"&amp;phc_8[[#This Row],[Register No.]])</f>
        <v>Shining Star-Mobile Clinic-BHA-PHC-29</v>
      </c>
      <c r="N356" s="9" t="s">
        <v>401</v>
      </c>
      <c r="O356" s="183" t="s">
        <v>3798</v>
      </c>
      <c r="P356" s="183">
        <v>55</v>
      </c>
      <c r="Q356" s="183"/>
      <c r="R356" s="183"/>
      <c r="S356" s="186" t="str">
        <f t="shared" si="13"/>
        <v>50 yrs +</v>
      </c>
      <c r="T356" s="183" t="s">
        <v>402</v>
      </c>
      <c r="U356" s="183" t="s">
        <v>2298</v>
      </c>
      <c r="V356" s="183" t="s">
        <v>3807</v>
      </c>
      <c r="W356" s="183" t="s">
        <v>2003</v>
      </c>
      <c r="X356" s="183" t="s">
        <v>181</v>
      </c>
      <c r="Y356" s="186" t="str">
        <f>INDEX(info!$Y$2:$Y$192,MATCH(phc_8[[#This Row],[Sub_Category]],info!$X$2:$X$192,0))</f>
        <v>Chronic medical disease</v>
      </c>
      <c r="Z356" s="186" t="str">
        <f t="array" ref="Z356">INDEX(info!$AA$2:$AA$192,MATCH(PHC!$X356&amp;PHC!$Y356,info!$X$2:$X$192&amp;info!$Y$2:$Y$192,0))</f>
        <v>Non-communicable disease</v>
      </c>
      <c r="AA356" s="183" t="s">
        <v>3817</v>
      </c>
      <c r="AB356" s="9" t="s">
        <v>654</v>
      </c>
      <c r="AC356" s="9" t="s">
        <v>654</v>
      </c>
      <c r="AD356" s="9" t="s">
        <v>654</v>
      </c>
      <c r="AE356" s="9" t="s">
        <v>654</v>
      </c>
      <c r="AF356" s="184"/>
      <c r="AG356" s="183"/>
      <c r="AH356" s="183"/>
      <c r="AI356" s="183"/>
      <c r="AJ356" s="183"/>
      <c r="AK356" s="9" t="s">
        <v>654</v>
      </c>
      <c r="AL356" s="183"/>
      <c r="AM356" s="186" t="str">
        <f>IF(AF356="","","Q"&amp;INT((MONTH(AF356)-1)/3)+1&amp;YEAR(AF356)&amp;#REF!&amp;T356)</f>
        <v/>
      </c>
      <c r="AN356" s="186" t="e">
        <f>IF(K356="","","Q"&amp;INT((MONTH(K356)-1)/3)+1&amp;YEAR(K356)&amp;#REF!)</f>
        <v>#REF!</v>
      </c>
    </row>
    <row r="357" spans="1:40" ht="20.100000000000001" customHeight="1" x14ac:dyDescent="0.25">
      <c r="A357" s="8">
        <v>355</v>
      </c>
      <c r="B357" s="8" t="s">
        <v>399</v>
      </c>
      <c r="C357" s="8" t="s">
        <v>1997</v>
      </c>
      <c r="D357" s="8" t="s">
        <v>2416</v>
      </c>
      <c r="E357" s="8" t="s">
        <v>1998</v>
      </c>
      <c r="F357" s="183" t="s">
        <v>2297</v>
      </c>
      <c r="G357" s="183"/>
      <c r="H357" s="183" t="s">
        <v>2298</v>
      </c>
      <c r="I357" s="183" t="s">
        <v>579</v>
      </c>
      <c r="J357" s="183"/>
      <c r="K357" s="184">
        <v>46041</v>
      </c>
      <c r="L357" s="183">
        <v>30</v>
      </c>
      <c r="M357" s="185" t="str">
        <f>IF(phc_8[[#This Row],[Register No.]]="","",C357&amp;"-"&amp;D357&amp;"-"&amp;"BHA-PHC-"&amp;phc_8[[#This Row],[Register No.]])</f>
        <v>Shining Star-Mobile Clinic-BHA-PHC-30</v>
      </c>
      <c r="N357" s="9" t="s">
        <v>401</v>
      </c>
      <c r="O357" s="183" t="s">
        <v>3799</v>
      </c>
      <c r="P357" s="183">
        <v>33</v>
      </c>
      <c r="Q357" s="183"/>
      <c r="R357" s="183"/>
      <c r="S357" s="186" t="str">
        <f t="shared" si="13"/>
        <v>19 - 49 yrs</v>
      </c>
      <c r="T357" s="183" t="s">
        <v>603</v>
      </c>
      <c r="U357" s="183" t="s">
        <v>2298</v>
      </c>
      <c r="V357" s="183" t="s">
        <v>3808</v>
      </c>
      <c r="W357" s="183" t="s">
        <v>3197</v>
      </c>
      <c r="X357" s="183"/>
      <c r="Y357" s="186" t="e">
        <f>INDEX(info!$Y$2:$Y$192,MATCH(phc_8[[#This Row],[Sub_Category]],info!$X$2:$X$192,0))</f>
        <v>#N/A</v>
      </c>
      <c r="Z357" s="186" t="e">
        <f t="array" ref="Z357">INDEX(info!$AA$2:$AA$192,MATCH(PHC!$X357&amp;PHC!$Y357,info!$X$2:$X$192&amp;info!$Y$2:$Y$192,0))</f>
        <v>#N/A</v>
      </c>
      <c r="AA357" s="183" t="s">
        <v>3818</v>
      </c>
      <c r="AB357" s="9" t="s">
        <v>654</v>
      </c>
      <c r="AC357" s="9" t="s">
        <v>654</v>
      </c>
      <c r="AD357" s="9" t="s">
        <v>654</v>
      </c>
      <c r="AE357" s="9" t="s">
        <v>654</v>
      </c>
      <c r="AF357" s="184"/>
      <c r="AG357" s="183"/>
      <c r="AH357" s="183"/>
      <c r="AI357" s="183"/>
      <c r="AJ357" s="183"/>
      <c r="AK357" s="9" t="s">
        <v>654</v>
      </c>
      <c r="AL357" s="183"/>
      <c r="AM357" s="186" t="str">
        <f>IF(AF357="","","Q"&amp;INT((MONTH(AF357)-1)/3)+1&amp;YEAR(AF357)&amp;#REF!&amp;T357)</f>
        <v/>
      </c>
      <c r="AN357" s="186" t="e">
        <f>IF(K357="","","Q"&amp;INT((MONTH(K357)-1)/3)+1&amp;YEAR(K357)&amp;#REF!)</f>
        <v>#REF!</v>
      </c>
    </row>
    <row r="358" spans="1:40" ht="20.100000000000001" customHeight="1" x14ac:dyDescent="0.25">
      <c r="A358" s="8">
        <v>356</v>
      </c>
      <c r="B358" s="8" t="s">
        <v>399</v>
      </c>
      <c r="C358" s="8" t="s">
        <v>1997</v>
      </c>
      <c r="D358" s="8" t="s">
        <v>2416</v>
      </c>
      <c r="E358" s="8" t="s">
        <v>1998</v>
      </c>
      <c r="F358" s="183" t="s">
        <v>2297</v>
      </c>
      <c r="G358" s="183"/>
      <c r="H358" s="183" t="s">
        <v>2298</v>
      </c>
      <c r="I358" s="183" t="s">
        <v>579</v>
      </c>
      <c r="J358" s="183"/>
      <c r="K358" s="184">
        <v>46041</v>
      </c>
      <c r="L358" s="183">
        <v>31</v>
      </c>
      <c r="M358" s="185" t="str">
        <f>IF(phc_8[[#This Row],[Register No.]]="","",C358&amp;"-"&amp;D358&amp;"-"&amp;"BHA-PHC-"&amp;phc_8[[#This Row],[Register No.]])</f>
        <v>Shining Star-Mobile Clinic-BHA-PHC-31</v>
      </c>
      <c r="N358" s="9" t="s">
        <v>401</v>
      </c>
      <c r="O358" s="183" t="s">
        <v>3800</v>
      </c>
      <c r="P358" s="183">
        <v>34</v>
      </c>
      <c r="Q358" s="183"/>
      <c r="R358" s="183"/>
      <c r="S358" s="186" t="str">
        <f t="shared" si="13"/>
        <v>19 - 49 yrs</v>
      </c>
      <c r="T358" s="183" t="s">
        <v>603</v>
      </c>
      <c r="U358" s="183" t="s">
        <v>2298</v>
      </c>
      <c r="V358" s="183" t="s">
        <v>3289</v>
      </c>
      <c r="W358" s="183" t="s">
        <v>3813</v>
      </c>
      <c r="X358" s="183" t="s">
        <v>275</v>
      </c>
      <c r="Y358" s="186" t="str">
        <f>INDEX(info!$Y$2:$Y$192,MATCH(phc_8[[#This Row],[Sub_Category]],info!$X$2:$X$192,0))</f>
        <v>STI</v>
      </c>
      <c r="Z358" s="186" t="str">
        <f t="array" ref="Z358">INDEX(info!$AA$2:$AA$192,MATCH(PHC!$X358&amp;PHC!$Y358,info!$X$2:$X$192&amp;info!$Y$2:$Y$192,0))</f>
        <v>Reproductive Health</v>
      </c>
      <c r="AA358" s="183" t="s">
        <v>3819</v>
      </c>
      <c r="AB358" s="9" t="s">
        <v>654</v>
      </c>
      <c r="AC358" s="9" t="s">
        <v>654</v>
      </c>
      <c r="AD358" s="9" t="s">
        <v>654</v>
      </c>
      <c r="AE358" s="9" t="s">
        <v>654</v>
      </c>
      <c r="AF358" s="184"/>
      <c r="AG358" s="183"/>
      <c r="AH358" s="183"/>
      <c r="AI358" s="183"/>
      <c r="AJ358" s="183"/>
      <c r="AK358" s="9" t="s">
        <v>654</v>
      </c>
      <c r="AL358" s="183"/>
      <c r="AM358" s="186" t="str">
        <f>IF(AF358="","","Q"&amp;INT((MONTH(AF358)-1)/3)+1&amp;YEAR(AF358)&amp;#REF!&amp;T358)</f>
        <v/>
      </c>
      <c r="AN358" s="186" t="e">
        <f>IF(K358="","","Q"&amp;INT((MONTH(K358)-1)/3)+1&amp;YEAR(K358)&amp;#REF!)</f>
        <v>#REF!</v>
      </c>
    </row>
    <row r="359" spans="1:40" ht="20.100000000000001" customHeight="1" x14ac:dyDescent="0.25">
      <c r="A359" s="8">
        <v>357</v>
      </c>
      <c r="B359" s="8" t="s">
        <v>399</v>
      </c>
      <c r="C359" s="8" t="s">
        <v>1997</v>
      </c>
      <c r="D359" s="8" t="s">
        <v>2416</v>
      </c>
      <c r="E359" s="8" t="s">
        <v>1998</v>
      </c>
      <c r="F359" s="183" t="s">
        <v>2297</v>
      </c>
      <c r="G359" s="183"/>
      <c r="H359" s="183" t="s">
        <v>2298</v>
      </c>
      <c r="I359" s="183" t="s">
        <v>579</v>
      </c>
      <c r="J359" s="183"/>
      <c r="K359" s="184">
        <v>46041</v>
      </c>
      <c r="L359" s="183">
        <v>32</v>
      </c>
      <c r="M359" s="185" t="str">
        <f>IF(phc_8[[#This Row],[Register No.]]="","",C359&amp;"-"&amp;D359&amp;"-"&amp;"BHA-PHC-"&amp;phc_8[[#This Row],[Register No.]])</f>
        <v>Shining Star-Mobile Clinic-BHA-PHC-32</v>
      </c>
      <c r="N359" s="9" t="s">
        <v>401</v>
      </c>
      <c r="O359" s="183" t="s">
        <v>3801</v>
      </c>
      <c r="P359" s="183">
        <v>42</v>
      </c>
      <c r="Q359" s="183"/>
      <c r="R359" s="183"/>
      <c r="S359" s="186" t="str">
        <f t="shared" si="13"/>
        <v>19 - 49 yrs</v>
      </c>
      <c r="T359" s="183" t="s">
        <v>603</v>
      </c>
      <c r="U359" s="183" t="s">
        <v>2298</v>
      </c>
      <c r="V359" s="183" t="s">
        <v>3809</v>
      </c>
      <c r="W359" s="183" t="s">
        <v>294</v>
      </c>
      <c r="X359" s="183" t="s">
        <v>294</v>
      </c>
      <c r="Y359" s="186" t="str">
        <f>INDEX(info!$Y$2:$Y$192,MATCH(phc_8[[#This Row],[Sub_Category]],info!$X$2:$X$192,0))</f>
        <v>Other (non-communicable)</v>
      </c>
      <c r="Z359" s="186" t="str">
        <f t="array" ref="Z359">INDEX(info!$AA$2:$AA$192,MATCH(PHC!$X359&amp;PHC!$Y359,info!$X$2:$X$192&amp;info!$Y$2:$Y$192,0))</f>
        <v>Other</v>
      </c>
      <c r="AA359" s="183" t="s">
        <v>3820</v>
      </c>
      <c r="AB359" s="9" t="s">
        <v>654</v>
      </c>
      <c r="AC359" s="9" t="s">
        <v>654</v>
      </c>
      <c r="AD359" s="9" t="s">
        <v>654</v>
      </c>
      <c r="AE359" s="9" t="s">
        <v>654</v>
      </c>
      <c r="AF359" s="184"/>
      <c r="AG359" s="183"/>
      <c r="AH359" s="183"/>
      <c r="AI359" s="183"/>
      <c r="AJ359" s="183"/>
      <c r="AK359" s="9" t="s">
        <v>654</v>
      </c>
      <c r="AL359" s="183"/>
      <c r="AM359" s="186" t="str">
        <f>IF(AF359="","","Q"&amp;INT((MONTH(AF359)-1)/3)+1&amp;YEAR(AF359)&amp;#REF!&amp;T359)</f>
        <v/>
      </c>
      <c r="AN359" s="186" t="e">
        <f>IF(K359="","","Q"&amp;INT((MONTH(K359)-1)/3)+1&amp;YEAR(K359)&amp;#REF!)</f>
        <v>#REF!</v>
      </c>
    </row>
    <row r="360" spans="1:40" ht="20.100000000000001" customHeight="1" x14ac:dyDescent="0.25">
      <c r="A360" s="8">
        <v>358</v>
      </c>
      <c r="B360" s="8" t="s">
        <v>399</v>
      </c>
      <c r="C360" s="8" t="s">
        <v>1997</v>
      </c>
      <c r="D360" s="8" t="s">
        <v>2416</v>
      </c>
      <c r="E360" s="8" t="s">
        <v>1998</v>
      </c>
      <c r="F360" s="183" t="s">
        <v>2297</v>
      </c>
      <c r="G360" s="183"/>
      <c r="H360" s="183" t="s">
        <v>2298</v>
      </c>
      <c r="I360" s="183" t="s">
        <v>579</v>
      </c>
      <c r="J360" s="183"/>
      <c r="K360" s="184">
        <v>46041</v>
      </c>
      <c r="L360" s="183">
        <v>33</v>
      </c>
      <c r="M360" s="185" t="str">
        <f>IF(phc_8[[#This Row],[Register No.]]="","",C360&amp;"-"&amp;D360&amp;"-"&amp;"BHA-PHC-"&amp;phc_8[[#This Row],[Register No.]])</f>
        <v>Shining Star-Mobile Clinic-BHA-PHC-33</v>
      </c>
      <c r="N360" s="9" t="s">
        <v>401</v>
      </c>
      <c r="O360" s="183" t="s">
        <v>3802</v>
      </c>
      <c r="P360" s="183">
        <v>71</v>
      </c>
      <c r="Q360" s="183"/>
      <c r="R360" s="183"/>
      <c r="S360" s="186" t="str">
        <f t="shared" si="13"/>
        <v>50 yrs +</v>
      </c>
      <c r="T360" s="183" t="s">
        <v>402</v>
      </c>
      <c r="U360" s="183" t="s">
        <v>2298</v>
      </c>
      <c r="V360" s="183" t="s">
        <v>3810</v>
      </c>
      <c r="W360" s="183" t="s">
        <v>294</v>
      </c>
      <c r="X360" s="183" t="s">
        <v>294</v>
      </c>
      <c r="Y360" s="186" t="str">
        <f>INDEX(info!$Y$2:$Y$192,MATCH(phc_8[[#This Row],[Sub_Category]],info!$X$2:$X$192,0))</f>
        <v>Other (non-communicable)</v>
      </c>
      <c r="Z360" s="186" t="str">
        <f t="array" ref="Z360">INDEX(info!$AA$2:$AA$192,MATCH(PHC!$X360&amp;PHC!$Y360,info!$X$2:$X$192&amp;info!$Y$2:$Y$192,0))</f>
        <v>Other</v>
      </c>
      <c r="AA360" s="183" t="s">
        <v>3821</v>
      </c>
      <c r="AB360" s="9" t="s">
        <v>654</v>
      </c>
      <c r="AC360" s="9" t="s">
        <v>654</v>
      </c>
      <c r="AD360" s="9" t="s">
        <v>654</v>
      </c>
      <c r="AE360" s="9" t="s">
        <v>654</v>
      </c>
      <c r="AF360" s="184"/>
      <c r="AG360" s="183"/>
      <c r="AH360" s="183"/>
      <c r="AI360" s="183"/>
      <c r="AJ360" s="183"/>
      <c r="AK360" s="9" t="s">
        <v>654</v>
      </c>
      <c r="AL360" s="183"/>
      <c r="AM360" s="186" t="str">
        <f>IF(AF360="","","Q"&amp;INT((MONTH(AF360)-1)/3)+1&amp;YEAR(AF360)&amp;#REF!&amp;T360)</f>
        <v/>
      </c>
      <c r="AN360" s="186" t="e">
        <f>IF(K360="","","Q"&amp;INT((MONTH(K360)-1)/3)+1&amp;YEAR(K360)&amp;#REF!)</f>
        <v>#REF!</v>
      </c>
    </row>
    <row r="361" spans="1:40" ht="20.100000000000001" customHeight="1" x14ac:dyDescent="0.25">
      <c r="A361" s="8">
        <v>359</v>
      </c>
      <c r="B361" s="8" t="s">
        <v>399</v>
      </c>
      <c r="C361" s="8" t="s">
        <v>1997</v>
      </c>
      <c r="D361" s="8" t="s">
        <v>2416</v>
      </c>
      <c r="E361" s="8" t="s">
        <v>1998</v>
      </c>
      <c r="F361" s="183" t="s">
        <v>2297</v>
      </c>
      <c r="G361" s="183"/>
      <c r="H361" s="183" t="s">
        <v>2298</v>
      </c>
      <c r="I361" s="183" t="s">
        <v>579</v>
      </c>
      <c r="J361" s="183"/>
      <c r="K361" s="184">
        <v>46041</v>
      </c>
      <c r="L361" s="183">
        <v>34</v>
      </c>
      <c r="M361" s="185" t="str">
        <f>IF(phc_8[[#This Row],[Register No.]]="","",C361&amp;"-"&amp;D361&amp;"-"&amp;"BHA-PHC-"&amp;phc_8[[#This Row],[Register No.]])</f>
        <v>Shining Star-Mobile Clinic-BHA-PHC-34</v>
      </c>
      <c r="N361" s="9" t="s">
        <v>401</v>
      </c>
      <c r="O361" s="183" t="s">
        <v>3803</v>
      </c>
      <c r="P361" s="183">
        <v>35</v>
      </c>
      <c r="Q361" s="183"/>
      <c r="R361" s="183"/>
      <c r="S361" s="186" t="str">
        <f t="shared" si="13"/>
        <v>19 - 49 yrs</v>
      </c>
      <c r="T361" s="183" t="s">
        <v>603</v>
      </c>
      <c r="U361" s="183" t="s">
        <v>2298</v>
      </c>
      <c r="V361" s="183" t="s">
        <v>3811</v>
      </c>
      <c r="W361" s="183" t="s">
        <v>225</v>
      </c>
      <c r="X361" s="183" t="s">
        <v>225</v>
      </c>
      <c r="Y361" s="186" t="str">
        <f>INDEX(info!$Y$2:$Y$192,MATCH(phc_8[[#This Row],[Sub_Category]],info!$X$2:$X$192,0))</f>
        <v>GI problem</v>
      </c>
      <c r="Z361" s="186" t="str">
        <f t="array" ref="Z361">INDEX(info!$AA$2:$AA$192,MATCH(PHC!$X361&amp;PHC!$Y361,info!$X$2:$X$192&amp;info!$Y$2:$Y$192,0))</f>
        <v>Non-communicable disease</v>
      </c>
      <c r="AA361" s="183" t="s">
        <v>3822</v>
      </c>
      <c r="AB361" s="9" t="s">
        <v>654</v>
      </c>
      <c r="AC361" s="9" t="s">
        <v>654</v>
      </c>
      <c r="AD361" s="9" t="s">
        <v>654</v>
      </c>
      <c r="AE361" s="9" t="s">
        <v>654</v>
      </c>
      <c r="AF361" s="184"/>
      <c r="AG361" s="183"/>
      <c r="AH361" s="183"/>
      <c r="AI361" s="183"/>
      <c r="AJ361" s="183"/>
      <c r="AK361" s="9" t="s">
        <v>654</v>
      </c>
      <c r="AL361" s="183"/>
      <c r="AM361" s="186" t="str">
        <f>IF(AF361="","","Q"&amp;INT((MONTH(AF361)-1)/3)+1&amp;YEAR(AF361)&amp;#REF!&amp;T361)</f>
        <v/>
      </c>
      <c r="AN361" s="186" t="e">
        <f>IF(K361="","","Q"&amp;INT((MONTH(K361)-1)/3)+1&amp;YEAR(K361)&amp;#REF!)</f>
        <v>#REF!</v>
      </c>
    </row>
    <row r="362" spans="1:40" ht="20.100000000000001" customHeight="1" x14ac:dyDescent="0.25">
      <c r="A362" s="8">
        <v>360</v>
      </c>
      <c r="B362" s="8" t="s">
        <v>399</v>
      </c>
      <c r="C362" s="8" t="s">
        <v>1997</v>
      </c>
      <c r="D362" s="8" t="s">
        <v>2416</v>
      </c>
      <c r="E362" s="8" t="s">
        <v>1998</v>
      </c>
      <c r="F362" s="183" t="s">
        <v>2297</v>
      </c>
      <c r="G362" s="183"/>
      <c r="H362" s="183" t="s">
        <v>2298</v>
      </c>
      <c r="I362" s="183" t="s">
        <v>579</v>
      </c>
      <c r="J362" s="183"/>
      <c r="K362" s="184">
        <v>46041</v>
      </c>
      <c r="L362" s="183">
        <v>35</v>
      </c>
      <c r="M362" s="185" t="str">
        <f>IF(phc_8[[#This Row],[Register No.]]="","",C362&amp;"-"&amp;D362&amp;"-"&amp;"BHA-PHC-"&amp;phc_8[[#This Row],[Register No.]])</f>
        <v>Shining Star-Mobile Clinic-BHA-PHC-35</v>
      </c>
      <c r="N362" s="9" t="s">
        <v>401</v>
      </c>
      <c r="O362" s="183" t="s">
        <v>3804</v>
      </c>
      <c r="P362" s="183">
        <v>71</v>
      </c>
      <c r="Q362" s="183"/>
      <c r="R362" s="183"/>
      <c r="S362" s="186" t="str">
        <f t="shared" si="13"/>
        <v>50 yrs +</v>
      </c>
      <c r="T362" s="183" t="s">
        <v>603</v>
      </c>
      <c r="U362" s="183" t="s">
        <v>2298</v>
      </c>
      <c r="V362" s="183" t="s">
        <v>3812</v>
      </c>
      <c r="W362" s="183" t="s">
        <v>178</v>
      </c>
      <c r="X362" s="183" t="s">
        <v>178</v>
      </c>
      <c r="Y362" s="186" t="str">
        <f>INDEX(info!$Y$2:$Y$192,MATCH(phc_8[[#This Row],[Sub_Category]],info!$X$2:$X$192,0))</f>
        <v>Chronic medical disease</v>
      </c>
      <c r="Z362" s="186" t="str">
        <f t="array" ref="Z362">INDEX(info!$AA$2:$AA$192,MATCH(PHC!$X362&amp;PHC!$Y362,info!$X$2:$X$192&amp;info!$Y$2:$Y$192,0))</f>
        <v>Non-communicable disease</v>
      </c>
      <c r="AA362" s="183" t="s">
        <v>3823</v>
      </c>
      <c r="AB362" s="9" t="s">
        <v>654</v>
      </c>
      <c r="AC362" s="9" t="s">
        <v>654</v>
      </c>
      <c r="AD362" s="9" t="s">
        <v>654</v>
      </c>
      <c r="AE362" s="9" t="s">
        <v>654</v>
      </c>
      <c r="AF362" s="184"/>
      <c r="AG362" s="183"/>
      <c r="AH362" s="183"/>
      <c r="AI362" s="183"/>
      <c r="AJ362" s="183"/>
      <c r="AK362" s="9" t="s">
        <v>654</v>
      </c>
      <c r="AL362" s="183"/>
      <c r="AM362" s="186" t="str">
        <f>IF(AF362="","","Q"&amp;INT((MONTH(AF362)-1)/3)+1&amp;YEAR(AF362)&amp;#REF!&amp;T362)</f>
        <v/>
      </c>
      <c r="AN362" s="186" t="e">
        <f>IF(K362="","","Q"&amp;INT((MONTH(K362)-1)/3)+1&amp;YEAR(K362)&amp;#REF!)</f>
        <v>#REF!</v>
      </c>
    </row>
    <row r="363" spans="1:40" ht="20.100000000000001" customHeight="1" x14ac:dyDescent="0.25">
      <c r="A363" s="8">
        <v>361</v>
      </c>
      <c r="B363" s="8" t="s">
        <v>399</v>
      </c>
      <c r="C363" s="8" t="s">
        <v>1997</v>
      </c>
      <c r="D363" s="8" t="s">
        <v>2416</v>
      </c>
      <c r="E363" s="8" t="s">
        <v>1998</v>
      </c>
      <c r="F363" s="183" t="s">
        <v>2297</v>
      </c>
      <c r="G363" s="183"/>
      <c r="H363" s="183" t="s">
        <v>2298</v>
      </c>
      <c r="I363" s="183" t="s">
        <v>579</v>
      </c>
      <c r="J363" s="183"/>
      <c r="K363" s="184">
        <v>46041</v>
      </c>
      <c r="L363" s="183">
        <v>36</v>
      </c>
      <c r="M363" s="185" t="str">
        <f>IF(phc_8[[#This Row],[Register No.]]="","",C363&amp;"-"&amp;D363&amp;"-"&amp;"BHA-PHC-"&amp;phc_8[[#This Row],[Register No.]])</f>
        <v>Shining Star-Mobile Clinic-BHA-PHC-36</v>
      </c>
      <c r="N363" s="9" t="s">
        <v>401</v>
      </c>
      <c r="O363" s="183" t="s">
        <v>3824</v>
      </c>
      <c r="P363" s="183">
        <v>74</v>
      </c>
      <c r="Q363" s="183"/>
      <c r="R363" s="183"/>
      <c r="S363" s="186" t="str">
        <f t="shared" si="13"/>
        <v>50 yrs +</v>
      </c>
      <c r="T363" s="183" t="s">
        <v>603</v>
      </c>
      <c r="U363" s="183" t="s">
        <v>2298</v>
      </c>
      <c r="V363" s="183" t="s">
        <v>3812</v>
      </c>
      <c r="W363" s="183" t="s">
        <v>178</v>
      </c>
      <c r="X363" s="183" t="s">
        <v>178</v>
      </c>
      <c r="Y363" s="186" t="str">
        <f>INDEX(info!$Y$2:$Y$192,MATCH(phc_8[[#This Row],[Sub_Category]],info!$X$2:$X$192,0))</f>
        <v>Chronic medical disease</v>
      </c>
      <c r="Z363" s="186" t="str">
        <f t="array" ref="Z363">INDEX(info!$AA$2:$AA$192,MATCH(PHC!$X363&amp;PHC!$Y363,info!$X$2:$X$192&amp;info!$Y$2:$Y$192,0))</f>
        <v>Non-communicable disease</v>
      </c>
      <c r="AA363" s="183" t="s">
        <v>3838</v>
      </c>
      <c r="AB363" s="9" t="s">
        <v>654</v>
      </c>
      <c r="AC363" s="9" t="s">
        <v>654</v>
      </c>
      <c r="AD363" s="9" t="s">
        <v>654</v>
      </c>
      <c r="AE363" s="9" t="s">
        <v>654</v>
      </c>
      <c r="AF363" s="184"/>
      <c r="AG363" s="183"/>
      <c r="AH363" s="183"/>
      <c r="AI363" s="183"/>
      <c r="AJ363" s="183"/>
      <c r="AK363" s="9" t="s">
        <v>654</v>
      </c>
      <c r="AL363" s="183"/>
      <c r="AM363" s="186" t="str">
        <f>IF(AF363="","","Q"&amp;INT((MONTH(AF363)-1)/3)+1&amp;YEAR(AF363)&amp;#REF!&amp;T363)</f>
        <v/>
      </c>
      <c r="AN363" s="186" t="e">
        <f>IF(K363="","","Q"&amp;INT((MONTH(K363)-1)/3)+1&amp;YEAR(K363)&amp;#REF!)</f>
        <v>#REF!</v>
      </c>
    </row>
    <row r="364" spans="1:40" ht="20.100000000000001" customHeight="1" x14ac:dyDescent="0.25">
      <c r="A364" s="8">
        <v>362</v>
      </c>
      <c r="B364" s="8" t="s">
        <v>399</v>
      </c>
      <c r="C364" s="8" t="s">
        <v>1997</v>
      </c>
      <c r="D364" s="8" t="s">
        <v>2416</v>
      </c>
      <c r="E364" s="8" t="s">
        <v>1998</v>
      </c>
      <c r="F364" s="183" t="s">
        <v>2297</v>
      </c>
      <c r="G364" s="183"/>
      <c r="H364" s="183" t="s">
        <v>2298</v>
      </c>
      <c r="I364" s="183" t="s">
        <v>579</v>
      </c>
      <c r="J364" s="183"/>
      <c r="K364" s="184">
        <v>46041</v>
      </c>
      <c r="L364" s="183">
        <v>37</v>
      </c>
      <c r="M364" s="185" t="str">
        <f>IF(phc_8[[#This Row],[Register No.]]="","",C364&amp;"-"&amp;D364&amp;"-"&amp;"BHA-PHC-"&amp;phc_8[[#This Row],[Register No.]])</f>
        <v>Shining Star-Mobile Clinic-BHA-PHC-37</v>
      </c>
      <c r="N364" s="9" t="s">
        <v>401</v>
      </c>
      <c r="O364" s="183" t="s">
        <v>3825</v>
      </c>
      <c r="P364" s="183">
        <v>72</v>
      </c>
      <c r="Q364" s="183"/>
      <c r="R364" s="183"/>
      <c r="S364" s="186" t="str">
        <f t="shared" si="13"/>
        <v>50 yrs +</v>
      </c>
      <c r="T364" s="183" t="s">
        <v>603</v>
      </c>
      <c r="U364" s="183" t="s">
        <v>2298</v>
      </c>
      <c r="V364" s="183" t="s">
        <v>3812</v>
      </c>
      <c r="W364" s="183" t="s">
        <v>178</v>
      </c>
      <c r="X364" s="183" t="s">
        <v>178</v>
      </c>
      <c r="Y364" s="186" t="str">
        <f>INDEX(info!$Y$2:$Y$192,MATCH(phc_8[[#This Row],[Sub_Category]],info!$X$2:$X$192,0))</f>
        <v>Chronic medical disease</v>
      </c>
      <c r="Z364" s="186" t="str">
        <f t="array" ref="Z364">INDEX(info!$AA$2:$AA$192,MATCH(PHC!$X364&amp;PHC!$Y364,info!$X$2:$X$192&amp;info!$Y$2:$Y$192,0))</f>
        <v>Non-communicable disease</v>
      </c>
      <c r="AA364" s="183" t="s">
        <v>3839</v>
      </c>
      <c r="AB364" s="9" t="s">
        <v>654</v>
      </c>
      <c r="AC364" s="9" t="s">
        <v>654</v>
      </c>
      <c r="AD364" s="9" t="s">
        <v>654</v>
      </c>
      <c r="AE364" s="9" t="s">
        <v>654</v>
      </c>
      <c r="AF364" s="184"/>
      <c r="AG364" s="183"/>
      <c r="AH364" s="183"/>
      <c r="AI364" s="183"/>
      <c r="AJ364" s="183"/>
      <c r="AK364" s="9" t="s">
        <v>654</v>
      </c>
      <c r="AL364" s="183"/>
      <c r="AM364" s="186" t="str">
        <f>IF(AF364="","","Q"&amp;INT((MONTH(AF364)-1)/3)+1&amp;YEAR(AF364)&amp;#REF!&amp;T364)</f>
        <v/>
      </c>
      <c r="AN364" s="186" t="e">
        <f>IF(K364="","","Q"&amp;INT((MONTH(K364)-1)/3)+1&amp;YEAR(K364)&amp;#REF!)</f>
        <v>#REF!</v>
      </c>
    </row>
    <row r="365" spans="1:40" ht="20.100000000000001" customHeight="1" x14ac:dyDescent="0.25">
      <c r="A365" s="8">
        <v>363</v>
      </c>
      <c r="B365" s="8" t="s">
        <v>399</v>
      </c>
      <c r="C365" s="8" t="s">
        <v>1997</v>
      </c>
      <c r="D365" s="8" t="s">
        <v>2416</v>
      </c>
      <c r="E365" s="8" t="s">
        <v>1998</v>
      </c>
      <c r="F365" s="183" t="s">
        <v>2297</v>
      </c>
      <c r="G365" s="183"/>
      <c r="H365" s="183" t="s">
        <v>2298</v>
      </c>
      <c r="I365" s="183" t="s">
        <v>579</v>
      </c>
      <c r="J365" s="183"/>
      <c r="K365" s="184">
        <v>46041</v>
      </c>
      <c r="L365" s="183">
        <v>38</v>
      </c>
      <c r="M365" s="185" t="str">
        <f>IF(phc_8[[#This Row],[Register No.]]="","",C365&amp;"-"&amp;D365&amp;"-"&amp;"BHA-PHC-"&amp;phc_8[[#This Row],[Register No.]])</f>
        <v>Shining Star-Mobile Clinic-BHA-PHC-38</v>
      </c>
      <c r="N365" s="9" t="s">
        <v>401</v>
      </c>
      <c r="O365" s="183" t="s">
        <v>3826</v>
      </c>
      <c r="P365" s="183">
        <v>64</v>
      </c>
      <c r="Q365" s="183"/>
      <c r="R365" s="183"/>
      <c r="S365" s="186" t="str">
        <f t="shared" si="13"/>
        <v>50 yrs +</v>
      </c>
      <c r="T365" s="183" t="s">
        <v>402</v>
      </c>
      <c r="U365" s="183" t="s">
        <v>2298</v>
      </c>
      <c r="V365" s="183" t="s">
        <v>3831</v>
      </c>
      <c r="W365" s="183" t="s">
        <v>294</v>
      </c>
      <c r="X365" s="183" t="s">
        <v>294</v>
      </c>
      <c r="Y365" s="186" t="str">
        <f>INDEX(info!$Y$2:$Y$192,MATCH(phc_8[[#This Row],[Sub_Category]],info!$X$2:$X$192,0))</f>
        <v>Other (non-communicable)</v>
      </c>
      <c r="Z365" s="186" t="str">
        <f t="array" ref="Z365">INDEX(info!$AA$2:$AA$192,MATCH(PHC!$X365&amp;PHC!$Y365,info!$X$2:$X$192&amp;info!$Y$2:$Y$192,0))</f>
        <v>Other</v>
      </c>
      <c r="AA365" s="183" t="s">
        <v>3840</v>
      </c>
      <c r="AB365" s="9" t="s">
        <v>654</v>
      </c>
      <c r="AC365" s="9" t="s">
        <v>654</v>
      </c>
      <c r="AD365" s="9" t="s">
        <v>654</v>
      </c>
      <c r="AE365" s="9" t="s">
        <v>654</v>
      </c>
      <c r="AF365" s="184"/>
      <c r="AG365" s="183"/>
      <c r="AH365" s="183"/>
      <c r="AI365" s="183"/>
      <c r="AJ365" s="183"/>
      <c r="AK365" s="9" t="s">
        <v>654</v>
      </c>
      <c r="AL365" s="183"/>
      <c r="AM365" s="186" t="str">
        <f>IF(AF365="","","Q"&amp;INT((MONTH(AF365)-1)/3)+1&amp;YEAR(AF365)&amp;#REF!&amp;T365)</f>
        <v/>
      </c>
      <c r="AN365" s="186" t="e">
        <f>IF(K365="","","Q"&amp;INT((MONTH(K365)-1)/3)+1&amp;YEAR(K365)&amp;#REF!)</f>
        <v>#REF!</v>
      </c>
    </row>
    <row r="366" spans="1:40" ht="20.100000000000001" customHeight="1" x14ac:dyDescent="0.25">
      <c r="A366" s="8">
        <v>364</v>
      </c>
      <c r="B366" s="8" t="s">
        <v>399</v>
      </c>
      <c r="C366" s="8" t="s">
        <v>1997</v>
      </c>
      <c r="D366" s="8" t="s">
        <v>2416</v>
      </c>
      <c r="E366" s="8" t="s">
        <v>1998</v>
      </c>
      <c r="F366" s="183" t="s">
        <v>2297</v>
      </c>
      <c r="G366" s="183"/>
      <c r="H366" s="183" t="s">
        <v>2298</v>
      </c>
      <c r="I366" s="183" t="s">
        <v>579</v>
      </c>
      <c r="J366" s="183"/>
      <c r="K366" s="184">
        <v>46041</v>
      </c>
      <c r="L366" s="183">
        <v>39</v>
      </c>
      <c r="M366" s="185" t="str">
        <f>IF(phc_8[[#This Row],[Register No.]]="","",C366&amp;"-"&amp;D366&amp;"-"&amp;"BHA-PHC-"&amp;phc_8[[#This Row],[Register No.]])</f>
        <v>Shining Star-Mobile Clinic-BHA-PHC-39</v>
      </c>
      <c r="N366" s="9" t="s">
        <v>401</v>
      </c>
      <c r="O366" s="183" t="s">
        <v>3827</v>
      </c>
      <c r="P366" s="183">
        <v>67</v>
      </c>
      <c r="Q366" s="183"/>
      <c r="R366" s="183"/>
      <c r="S366" s="186" t="str">
        <f t="shared" si="13"/>
        <v>50 yrs +</v>
      </c>
      <c r="T366" s="183" t="s">
        <v>603</v>
      </c>
      <c r="U366" s="183" t="s">
        <v>2298</v>
      </c>
      <c r="V366" s="183" t="s">
        <v>3305</v>
      </c>
      <c r="W366" s="183" t="s">
        <v>3698</v>
      </c>
      <c r="X366" s="183" t="s">
        <v>178</v>
      </c>
      <c r="Y366" s="186" t="str">
        <f>INDEX(info!$Y$2:$Y$192,MATCH(phc_8[[#This Row],[Sub_Category]],info!$X$2:$X$192,0))</f>
        <v>Chronic medical disease</v>
      </c>
      <c r="Z366" s="186" t="str">
        <f t="array" ref="Z366">INDEX(info!$AA$2:$AA$192,MATCH(PHC!$X366&amp;PHC!$Y366,info!$X$2:$X$192&amp;info!$Y$2:$Y$192,0))</f>
        <v>Non-communicable disease</v>
      </c>
      <c r="AA366" s="183" t="s">
        <v>3841</v>
      </c>
      <c r="AB366" s="9" t="s">
        <v>654</v>
      </c>
      <c r="AC366" s="9" t="s">
        <v>654</v>
      </c>
      <c r="AD366" s="9" t="s">
        <v>654</v>
      </c>
      <c r="AE366" s="9" t="s">
        <v>654</v>
      </c>
      <c r="AF366" s="184"/>
      <c r="AG366" s="183"/>
      <c r="AH366" s="183"/>
      <c r="AI366" s="183"/>
      <c r="AJ366" s="183"/>
      <c r="AK366" s="9" t="s">
        <v>654</v>
      </c>
      <c r="AL366" s="183"/>
      <c r="AM366" s="186" t="str">
        <f>IF(AF366="","","Q"&amp;INT((MONTH(AF366)-1)/3)+1&amp;YEAR(AF366)&amp;#REF!&amp;T366)</f>
        <v/>
      </c>
      <c r="AN366" s="186" t="e">
        <f>IF(K366="","","Q"&amp;INT((MONTH(K366)-1)/3)+1&amp;YEAR(K366)&amp;#REF!)</f>
        <v>#REF!</v>
      </c>
    </row>
    <row r="367" spans="1:40" ht="20.100000000000001" customHeight="1" x14ac:dyDescent="0.25">
      <c r="A367" s="8">
        <v>365</v>
      </c>
      <c r="B367" s="8" t="s">
        <v>399</v>
      </c>
      <c r="C367" s="8" t="s">
        <v>1997</v>
      </c>
      <c r="D367" s="8" t="s">
        <v>2416</v>
      </c>
      <c r="E367" s="8" t="s">
        <v>1998</v>
      </c>
      <c r="F367" s="183" t="s">
        <v>2297</v>
      </c>
      <c r="G367" s="183"/>
      <c r="H367" s="183" t="s">
        <v>2298</v>
      </c>
      <c r="I367" s="183" t="s">
        <v>579</v>
      </c>
      <c r="J367" s="183"/>
      <c r="K367" s="184">
        <v>46041</v>
      </c>
      <c r="L367" s="183">
        <v>40</v>
      </c>
      <c r="M367" s="185" t="str">
        <f>IF(phc_8[[#This Row],[Register No.]]="","",C367&amp;"-"&amp;D367&amp;"-"&amp;"BHA-PHC-"&amp;phc_8[[#This Row],[Register No.]])</f>
        <v>Shining Star-Mobile Clinic-BHA-PHC-40</v>
      </c>
      <c r="N367" s="9" t="s">
        <v>401</v>
      </c>
      <c r="O367" s="183" t="s">
        <v>2754</v>
      </c>
      <c r="P367" s="183">
        <v>66</v>
      </c>
      <c r="Q367" s="183"/>
      <c r="R367" s="183"/>
      <c r="S367" s="186" t="str">
        <f t="shared" si="13"/>
        <v>50 yrs +</v>
      </c>
      <c r="T367" s="183" t="s">
        <v>603</v>
      </c>
      <c r="U367" s="183" t="s">
        <v>2298</v>
      </c>
      <c r="V367" s="183" t="s">
        <v>3305</v>
      </c>
      <c r="W367" s="183" t="s">
        <v>3836</v>
      </c>
      <c r="X367" s="183" t="s">
        <v>181</v>
      </c>
      <c r="Y367" s="186" t="str">
        <f>INDEX(info!$Y$2:$Y$192,MATCH(phc_8[[#This Row],[Sub_Category]],info!$X$2:$X$192,0))</f>
        <v>Chronic medical disease</v>
      </c>
      <c r="Z367" s="186" t="str">
        <f t="array" ref="Z367">INDEX(info!$AA$2:$AA$192,MATCH(PHC!$X367&amp;PHC!$Y367,info!$X$2:$X$192&amp;info!$Y$2:$Y$192,0))</f>
        <v>Non-communicable disease</v>
      </c>
      <c r="AA367" s="183" t="s">
        <v>3842</v>
      </c>
      <c r="AB367" s="9" t="s">
        <v>654</v>
      </c>
      <c r="AC367" s="9" t="s">
        <v>654</v>
      </c>
      <c r="AD367" s="9" t="s">
        <v>654</v>
      </c>
      <c r="AE367" s="9" t="s">
        <v>654</v>
      </c>
      <c r="AF367" s="184"/>
      <c r="AG367" s="183"/>
      <c r="AH367" s="183"/>
      <c r="AI367" s="183"/>
      <c r="AJ367" s="183"/>
      <c r="AK367" s="9" t="s">
        <v>654</v>
      </c>
      <c r="AL367" s="183"/>
      <c r="AM367" s="186" t="str">
        <f>IF(AF367="","","Q"&amp;INT((MONTH(AF367)-1)/3)+1&amp;YEAR(AF367)&amp;#REF!&amp;T367)</f>
        <v/>
      </c>
      <c r="AN367" s="186" t="e">
        <f>IF(K367="","","Q"&amp;INT((MONTH(K367)-1)/3)+1&amp;YEAR(K367)&amp;#REF!)</f>
        <v>#REF!</v>
      </c>
    </row>
    <row r="368" spans="1:40" ht="20.100000000000001" customHeight="1" x14ac:dyDescent="0.25">
      <c r="A368" s="8">
        <v>366</v>
      </c>
      <c r="B368" s="8" t="s">
        <v>399</v>
      </c>
      <c r="C368" s="8" t="s">
        <v>1997</v>
      </c>
      <c r="D368" s="8" t="s">
        <v>2416</v>
      </c>
      <c r="E368" s="8" t="s">
        <v>1998</v>
      </c>
      <c r="F368" s="183" t="s">
        <v>2297</v>
      </c>
      <c r="G368" s="183"/>
      <c r="H368" s="183" t="s">
        <v>2298</v>
      </c>
      <c r="I368" s="183" t="s">
        <v>579</v>
      </c>
      <c r="J368" s="183"/>
      <c r="K368" s="184">
        <v>46041</v>
      </c>
      <c r="L368" s="183">
        <v>41</v>
      </c>
      <c r="M368" s="185" t="str">
        <f>IF(phc_8[[#This Row],[Register No.]]="","",C368&amp;"-"&amp;D368&amp;"-"&amp;"BHA-PHC-"&amp;phc_8[[#This Row],[Register No.]])</f>
        <v>Shining Star-Mobile Clinic-BHA-PHC-41</v>
      </c>
      <c r="N368" s="9" t="s">
        <v>401</v>
      </c>
      <c r="O368" s="183" t="s">
        <v>3423</v>
      </c>
      <c r="P368" s="183">
        <v>73</v>
      </c>
      <c r="Q368" s="183"/>
      <c r="R368" s="183"/>
      <c r="S368" s="186" t="str">
        <f t="shared" si="13"/>
        <v>50 yrs +</v>
      </c>
      <c r="T368" s="183" t="s">
        <v>603</v>
      </c>
      <c r="U368" s="183" t="s">
        <v>2298</v>
      </c>
      <c r="V368" s="183" t="s">
        <v>3832</v>
      </c>
      <c r="W368" s="183" t="s">
        <v>3634</v>
      </c>
      <c r="X368" s="183" t="s">
        <v>242</v>
      </c>
      <c r="Y368" s="186" t="str">
        <f>INDEX(info!$Y$2:$Y$192,MATCH(phc_8[[#This Row],[Sub_Category]],info!$X$2:$X$192,0))</f>
        <v>Accident/minor sugical and injuries</v>
      </c>
      <c r="Z368" s="186" t="str">
        <f t="array" ref="Z368">INDEX(info!$AA$2:$AA$192,MATCH(PHC!$X368&amp;PHC!$Y368,info!$X$2:$X$192&amp;info!$Y$2:$Y$192,0))</f>
        <v>Injury related</v>
      </c>
      <c r="AA368" s="183" t="s">
        <v>3843</v>
      </c>
      <c r="AB368" s="9" t="s">
        <v>654</v>
      </c>
      <c r="AC368" s="9" t="s">
        <v>654</v>
      </c>
      <c r="AD368" s="9" t="s">
        <v>654</v>
      </c>
      <c r="AE368" s="9" t="s">
        <v>654</v>
      </c>
      <c r="AF368" s="184"/>
      <c r="AG368" s="183"/>
      <c r="AH368" s="183"/>
      <c r="AI368" s="183"/>
      <c r="AJ368" s="183"/>
      <c r="AK368" s="9" t="s">
        <v>654</v>
      </c>
      <c r="AL368" s="183"/>
      <c r="AM368" s="186" t="str">
        <f>IF(AF368="","","Q"&amp;INT((MONTH(AF368)-1)/3)+1&amp;YEAR(AF368)&amp;#REF!&amp;T368)</f>
        <v/>
      </c>
      <c r="AN368" s="186" t="e">
        <f>IF(K368="","","Q"&amp;INT((MONTH(K368)-1)/3)+1&amp;YEAR(K368)&amp;#REF!)</f>
        <v>#REF!</v>
      </c>
    </row>
    <row r="369" spans="1:40" ht="20.100000000000001" customHeight="1" x14ac:dyDescent="0.25">
      <c r="A369" s="8">
        <v>367</v>
      </c>
      <c r="B369" s="8" t="s">
        <v>399</v>
      </c>
      <c r="C369" s="8" t="s">
        <v>1997</v>
      </c>
      <c r="D369" s="8" t="s">
        <v>2416</v>
      </c>
      <c r="E369" s="8" t="s">
        <v>1998</v>
      </c>
      <c r="F369" s="183" t="s">
        <v>2297</v>
      </c>
      <c r="G369" s="183"/>
      <c r="H369" s="183" t="s">
        <v>2298</v>
      </c>
      <c r="I369" s="183" t="s">
        <v>579</v>
      </c>
      <c r="J369" s="183"/>
      <c r="K369" s="184">
        <v>46041</v>
      </c>
      <c r="L369" s="183">
        <v>42</v>
      </c>
      <c r="M369" s="185" t="str">
        <f>IF(phc_8[[#This Row],[Register No.]]="","",C369&amp;"-"&amp;D369&amp;"-"&amp;"BHA-PHC-"&amp;phc_8[[#This Row],[Register No.]])</f>
        <v>Shining Star-Mobile Clinic-BHA-PHC-42</v>
      </c>
      <c r="N369" s="9" t="s">
        <v>401</v>
      </c>
      <c r="O369" s="183" t="s">
        <v>3828</v>
      </c>
      <c r="P369" s="183">
        <v>58</v>
      </c>
      <c r="Q369" s="183"/>
      <c r="R369" s="183"/>
      <c r="S369" s="186" t="str">
        <f t="shared" si="13"/>
        <v>50 yrs +</v>
      </c>
      <c r="T369" s="183" t="s">
        <v>603</v>
      </c>
      <c r="U369" s="183" t="s">
        <v>2298</v>
      </c>
      <c r="V369" s="183" t="s">
        <v>3833</v>
      </c>
      <c r="W369" s="183" t="s">
        <v>294</v>
      </c>
      <c r="X369" s="183" t="s">
        <v>294</v>
      </c>
      <c r="Y369" s="186" t="str">
        <f>INDEX(info!$Y$2:$Y$192,MATCH(phc_8[[#This Row],[Sub_Category]],info!$X$2:$X$192,0))</f>
        <v>Other (non-communicable)</v>
      </c>
      <c r="Z369" s="186" t="str">
        <f t="array" ref="Z369">INDEX(info!$AA$2:$AA$192,MATCH(PHC!$X369&amp;PHC!$Y369,info!$X$2:$X$192&amp;info!$Y$2:$Y$192,0))</f>
        <v>Other</v>
      </c>
      <c r="AA369" s="183" t="s">
        <v>3844</v>
      </c>
      <c r="AB369" s="9" t="s">
        <v>654</v>
      </c>
      <c r="AC369" s="9" t="s">
        <v>654</v>
      </c>
      <c r="AD369" s="9" t="s">
        <v>654</v>
      </c>
      <c r="AE369" s="9" t="s">
        <v>654</v>
      </c>
      <c r="AF369" s="184"/>
      <c r="AG369" s="183"/>
      <c r="AH369" s="183"/>
      <c r="AI369" s="183"/>
      <c r="AJ369" s="183"/>
      <c r="AK369" s="9" t="s">
        <v>654</v>
      </c>
      <c r="AL369" s="183"/>
      <c r="AM369" s="186" t="str">
        <f>IF(AF369="","","Q"&amp;INT((MONTH(AF369)-1)/3)+1&amp;YEAR(AF369)&amp;#REF!&amp;T369)</f>
        <v/>
      </c>
      <c r="AN369" s="186" t="e">
        <f>IF(K369="","","Q"&amp;INT((MONTH(K369)-1)/3)+1&amp;YEAR(K369)&amp;#REF!)</f>
        <v>#REF!</v>
      </c>
    </row>
    <row r="370" spans="1:40" ht="20.100000000000001" customHeight="1" x14ac:dyDescent="0.25">
      <c r="A370" s="8">
        <v>368</v>
      </c>
      <c r="B370" s="8" t="s">
        <v>399</v>
      </c>
      <c r="C370" s="8" t="s">
        <v>1997</v>
      </c>
      <c r="D370" s="8" t="s">
        <v>2416</v>
      </c>
      <c r="E370" s="8" t="s">
        <v>1998</v>
      </c>
      <c r="F370" s="183" t="s">
        <v>2297</v>
      </c>
      <c r="G370" s="183"/>
      <c r="H370" s="183" t="s">
        <v>2298</v>
      </c>
      <c r="I370" s="183" t="s">
        <v>579</v>
      </c>
      <c r="J370" s="183"/>
      <c r="K370" s="184">
        <v>46041</v>
      </c>
      <c r="L370" s="183">
        <v>43</v>
      </c>
      <c r="M370" s="185" t="str">
        <f>IF(phc_8[[#This Row],[Register No.]]="","",C370&amp;"-"&amp;D370&amp;"-"&amp;"BHA-PHC-"&amp;phc_8[[#This Row],[Register No.]])</f>
        <v>Shining Star-Mobile Clinic-BHA-PHC-43</v>
      </c>
      <c r="N370" s="9" t="s">
        <v>401</v>
      </c>
      <c r="O370" s="183" t="s">
        <v>3829</v>
      </c>
      <c r="P370" s="183">
        <v>75</v>
      </c>
      <c r="Q370" s="183"/>
      <c r="R370" s="183"/>
      <c r="S370" s="186" t="str">
        <f t="shared" si="13"/>
        <v>50 yrs +</v>
      </c>
      <c r="T370" s="183" t="s">
        <v>402</v>
      </c>
      <c r="U370" s="183" t="s">
        <v>2298</v>
      </c>
      <c r="V370" s="183" t="s">
        <v>3834</v>
      </c>
      <c r="W370" s="183" t="s">
        <v>2014</v>
      </c>
      <c r="X370" s="183" t="s">
        <v>2014</v>
      </c>
      <c r="Y370" s="186" t="str">
        <f>INDEX(info!$Y$2:$Y$192,MATCH(phc_8[[#This Row],[Sub_Category]],info!$X$2:$X$192,0))</f>
        <v>Other (non-communicable)</v>
      </c>
      <c r="Z370" s="186" t="str">
        <f t="array" ref="Z370">INDEX(info!$AA$2:$AA$192,MATCH(PHC!$X370&amp;PHC!$Y370,info!$X$2:$X$192&amp;info!$Y$2:$Y$192,0))</f>
        <v>Other</v>
      </c>
      <c r="AA370" s="183" t="s">
        <v>3845</v>
      </c>
      <c r="AB370" s="9" t="s">
        <v>654</v>
      </c>
      <c r="AC370" s="9" t="s">
        <v>654</v>
      </c>
      <c r="AD370" s="9" t="s">
        <v>654</v>
      </c>
      <c r="AE370" s="9" t="s">
        <v>654</v>
      </c>
      <c r="AF370" s="184"/>
      <c r="AG370" s="183"/>
      <c r="AH370" s="183"/>
      <c r="AI370" s="183"/>
      <c r="AJ370" s="183"/>
      <c r="AK370" s="9" t="s">
        <v>654</v>
      </c>
      <c r="AL370" s="183"/>
      <c r="AM370" s="186" t="str">
        <f>IF(AF370="","","Q"&amp;INT((MONTH(AF370)-1)/3)+1&amp;YEAR(AF370)&amp;#REF!&amp;T370)</f>
        <v/>
      </c>
      <c r="AN370" s="186" t="e">
        <f>IF(K370="","","Q"&amp;INT((MONTH(K370)-1)/3)+1&amp;YEAR(K370)&amp;#REF!)</f>
        <v>#REF!</v>
      </c>
    </row>
    <row r="371" spans="1:40" ht="20.100000000000001" customHeight="1" x14ac:dyDescent="0.25">
      <c r="A371" s="8">
        <v>369</v>
      </c>
      <c r="B371" s="8" t="s">
        <v>399</v>
      </c>
      <c r="C371" s="8" t="s">
        <v>1997</v>
      </c>
      <c r="D371" s="8" t="s">
        <v>2416</v>
      </c>
      <c r="E371" s="8" t="s">
        <v>1998</v>
      </c>
      <c r="F371" s="183" t="s">
        <v>2297</v>
      </c>
      <c r="G371" s="183"/>
      <c r="H371" s="183" t="s">
        <v>2298</v>
      </c>
      <c r="I371" s="183" t="s">
        <v>579</v>
      </c>
      <c r="J371" s="183"/>
      <c r="K371" s="184">
        <v>46041</v>
      </c>
      <c r="L371" s="183">
        <v>44</v>
      </c>
      <c r="M371" s="185" t="str">
        <f>IF(phc_8[[#This Row],[Register No.]]="","",C371&amp;"-"&amp;D371&amp;"-"&amp;"BHA-PHC-"&amp;phc_8[[#This Row],[Register No.]])</f>
        <v>Shining Star-Mobile Clinic-BHA-PHC-44</v>
      </c>
      <c r="N371" s="9" t="s">
        <v>401</v>
      </c>
      <c r="O371" s="183" t="s">
        <v>3769</v>
      </c>
      <c r="P371" s="183">
        <v>64</v>
      </c>
      <c r="Q371" s="183"/>
      <c r="R371" s="183"/>
      <c r="S371" s="186" t="str">
        <f t="shared" si="13"/>
        <v>50 yrs +</v>
      </c>
      <c r="T371" s="183" t="s">
        <v>603</v>
      </c>
      <c r="U371" s="183" t="s">
        <v>2298</v>
      </c>
      <c r="V371" s="183" t="s">
        <v>3807</v>
      </c>
      <c r="W371" s="183" t="s">
        <v>3837</v>
      </c>
      <c r="X371" s="183" t="s">
        <v>3105</v>
      </c>
      <c r="Y371" s="186" t="str">
        <f>INDEX(info!$Y$2:$Y$192,MATCH(phc_8[[#This Row],[Sub_Category]],info!$X$2:$X$192,0))</f>
        <v>Chronic medical disease</v>
      </c>
      <c r="Z371" s="186" t="str">
        <f t="array" ref="Z371">INDEX(info!$AA$2:$AA$192,MATCH(PHC!$X371&amp;PHC!$Y371,info!$X$2:$X$192&amp;info!$Y$2:$Y$192,0))</f>
        <v>Non-communicable disease</v>
      </c>
      <c r="AA371" s="183" t="s">
        <v>3846</v>
      </c>
      <c r="AB371" s="9" t="s">
        <v>654</v>
      </c>
      <c r="AC371" s="9" t="s">
        <v>654</v>
      </c>
      <c r="AD371" s="9" t="s">
        <v>654</v>
      </c>
      <c r="AE371" s="9" t="s">
        <v>654</v>
      </c>
      <c r="AF371" s="184"/>
      <c r="AG371" s="183"/>
      <c r="AH371" s="183"/>
      <c r="AI371" s="183"/>
      <c r="AJ371" s="183"/>
      <c r="AK371" s="9" t="s">
        <v>654</v>
      </c>
      <c r="AL371" s="183"/>
      <c r="AM371" s="186" t="str">
        <f>IF(AF371="","","Q"&amp;INT((MONTH(AF371)-1)/3)+1&amp;YEAR(AF371)&amp;#REF!&amp;T371)</f>
        <v/>
      </c>
      <c r="AN371" s="186" t="e">
        <f>IF(K371="","","Q"&amp;INT((MONTH(K371)-1)/3)+1&amp;YEAR(K371)&amp;#REF!)</f>
        <v>#REF!</v>
      </c>
    </row>
    <row r="372" spans="1:40" ht="20.100000000000001" customHeight="1" x14ac:dyDescent="0.25">
      <c r="A372" s="8">
        <v>370</v>
      </c>
      <c r="B372" s="8" t="s">
        <v>399</v>
      </c>
      <c r="C372" s="8" t="s">
        <v>1997</v>
      </c>
      <c r="D372" s="8" t="s">
        <v>2416</v>
      </c>
      <c r="E372" s="8" t="s">
        <v>1998</v>
      </c>
      <c r="F372" s="183" t="s">
        <v>2297</v>
      </c>
      <c r="G372" s="183"/>
      <c r="H372" s="183" t="s">
        <v>2298</v>
      </c>
      <c r="I372" s="183" t="s">
        <v>579</v>
      </c>
      <c r="J372" s="183"/>
      <c r="K372" s="184">
        <v>46041</v>
      </c>
      <c r="L372" s="183">
        <v>45</v>
      </c>
      <c r="M372" s="185" t="str">
        <f>IF(phc_8[[#This Row],[Register No.]]="","",C372&amp;"-"&amp;D372&amp;"-"&amp;"BHA-PHC-"&amp;phc_8[[#This Row],[Register No.]])</f>
        <v>Shining Star-Mobile Clinic-BHA-PHC-45</v>
      </c>
      <c r="N372" s="9" t="s">
        <v>401</v>
      </c>
      <c r="O372" s="183" t="s">
        <v>3830</v>
      </c>
      <c r="P372" s="183">
        <v>69</v>
      </c>
      <c r="Q372" s="183"/>
      <c r="R372" s="183"/>
      <c r="S372" s="186" t="str">
        <f t="shared" si="13"/>
        <v>50 yrs +</v>
      </c>
      <c r="T372" s="183" t="s">
        <v>402</v>
      </c>
      <c r="U372" s="183" t="s">
        <v>2298</v>
      </c>
      <c r="V372" s="183" t="s">
        <v>3835</v>
      </c>
      <c r="W372" s="183" t="s">
        <v>2003</v>
      </c>
      <c r="X372" s="183" t="s">
        <v>181</v>
      </c>
      <c r="Y372" s="186" t="str">
        <f>INDEX(info!$Y$2:$Y$192,MATCH(phc_8[[#This Row],[Sub_Category]],info!$X$2:$X$192,0))</f>
        <v>Chronic medical disease</v>
      </c>
      <c r="Z372" s="186" t="str">
        <f t="array" ref="Z372">INDEX(info!$AA$2:$AA$192,MATCH(PHC!$X372&amp;PHC!$Y372,info!$X$2:$X$192&amp;info!$Y$2:$Y$192,0))</f>
        <v>Non-communicable disease</v>
      </c>
      <c r="AA372" s="183" t="s">
        <v>3847</v>
      </c>
      <c r="AB372" s="9" t="s">
        <v>654</v>
      </c>
      <c r="AC372" s="9" t="s">
        <v>654</v>
      </c>
      <c r="AD372" s="9" t="s">
        <v>654</v>
      </c>
      <c r="AE372" s="9" t="s">
        <v>654</v>
      </c>
      <c r="AF372" s="184"/>
      <c r="AG372" s="183"/>
      <c r="AH372" s="183"/>
      <c r="AI372" s="183"/>
      <c r="AJ372" s="183"/>
      <c r="AK372" s="9" t="s">
        <v>654</v>
      </c>
      <c r="AL372" s="183"/>
      <c r="AM372" s="186" t="str">
        <f>IF(AF372="","","Q"&amp;INT((MONTH(AF372)-1)/3)+1&amp;YEAR(AF372)&amp;#REF!&amp;T372)</f>
        <v/>
      </c>
      <c r="AN372" s="186" t="e">
        <f>IF(K372="","","Q"&amp;INT((MONTH(K372)-1)/3)+1&amp;YEAR(K372)&amp;#REF!)</f>
        <v>#REF!</v>
      </c>
    </row>
    <row r="373" spans="1:40" ht="20.100000000000001" customHeight="1" x14ac:dyDescent="0.25">
      <c r="A373" s="8">
        <v>371</v>
      </c>
      <c r="B373" s="8" t="s">
        <v>399</v>
      </c>
      <c r="C373" s="8" t="s">
        <v>1997</v>
      </c>
      <c r="D373" s="8" t="s">
        <v>2416</v>
      </c>
      <c r="E373" s="8" t="s">
        <v>1998</v>
      </c>
      <c r="F373" s="183" t="s">
        <v>2297</v>
      </c>
      <c r="G373" s="183"/>
      <c r="H373" s="183" t="s">
        <v>2298</v>
      </c>
      <c r="I373" s="183" t="s">
        <v>579</v>
      </c>
      <c r="J373" s="183"/>
      <c r="K373" s="184">
        <v>46041</v>
      </c>
      <c r="L373" s="183">
        <v>46</v>
      </c>
      <c r="M373" s="185" t="str">
        <f>IF(phc_8[[#This Row],[Register No.]]="","",C373&amp;"-"&amp;D373&amp;"-"&amp;"BHA-PHC-"&amp;phc_8[[#This Row],[Register No.]])</f>
        <v>Shining Star-Mobile Clinic-BHA-PHC-46</v>
      </c>
      <c r="N373" s="9" t="s">
        <v>401</v>
      </c>
      <c r="O373" s="183" t="s">
        <v>3848</v>
      </c>
      <c r="P373" s="183">
        <v>63</v>
      </c>
      <c r="Q373" s="183"/>
      <c r="R373" s="183"/>
      <c r="S373" s="186" t="str">
        <f t="shared" ref="S373:S404" si="14">IF(AND(ISBLANK(P373),ISBLANK(Q373),ISBLANK(R373))," ",
IF(OR(P373&lt;5,AND(P373=" ",Q373&lt;&gt;" ",R373&lt;&gt;" ")),"&lt;5 yrs",
IF(AND(P373&gt;=5,P373&lt;=14),"5 - 14 yrs",
IF(AND(P373&gt;=15,P373&lt;=18),"15 - 18 yrs",
IF(AND(P373&gt;=19,P373&lt;=49),"19 - 49 yrs","50 yrs +")))))</f>
        <v>50 yrs +</v>
      </c>
      <c r="T373" s="183" t="s">
        <v>603</v>
      </c>
      <c r="U373" s="183" t="s">
        <v>2298</v>
      </c>
      <c r="V373" s="183" t="s">
        <v>3855</v>
      </c>
      <c r="W373" s="183" t="s">
        <v>178</v>
      </c>
      <c r="X373" s="183" t="s">
        <v>178</v>
      </c>
      <c r="Y373" s="186" t="str">
        <f>INDEX(info!$Y$2:$Y$192,MATCH(phc_8[[#This Row],[Sub_Category]],info!$X$2:$X$192,0))</f>
        <v>Chronic medical disease</v>
      </c>
      <c r="Z373" s="186" t="str">
        <f t="array" ref="Z373">INDEX(info!$AA$2:$AA$192,MATCH(PHC!$X373&amp;PHC!$Y373,info!$X$2:$X$192&amp;info!$Y$2:$Y$192,0))</f>
        <v>Non-communicable disease</v>
      </c>
      <c r="AA373" s="183" t="s">
        <v>3863</v>
      </c>
      <c r="AB373" s="9" t="s">
        <v>654</v>
      </c>
      <c r="AC373" s="9" t="s">
        <v>654</v>
      </c>
      <c r="AD373" s="9" t="s">
        <v>654</v>
      </c>
      <c r="AE373" s="9" t="s">
        <v>654</v>
      </c>
      <c r="AF373" s="184"/>
      <c r="AG373" s="183"/>
      <c r="AH373" s="183"/>
      <c r="AI373" s="183"/>
      <c r="AJ373" s="183"/>
      <c r="AK373" s="9" t="s">
        <v>654</v>
      </c>
      <c r="AL373" s="183"/>
      <c r="AM373" s="186" t="str">
        <f>IF(AF373="","","Q"&amp;INT((MONTH(AF373)-1)/3)+1&amp;YEAR(AF373)&amp;#REF!&amp;T373)</f>
        <v/>
      </c>
      <c r="AN373" s="186" t="e">
        <f>IF(K373="","","Q"&amp;INT((MONTH(K373)-1)/3)+1&amp;YEAR(K373)&amp;#REF!)</f>
        <v>#REF!</v>
      </c>
    </row>
    <row r="374" spans="1:40" ht="20.100000000000001" customHeight="1" x14ac:dyDescent="0.25">
      <c r="A374" s="8">
        <v>372</v>
      </c>
      <c r="B374" s="8" t="s">
        <v>399</v>
      </c>
      <c r="C374" s="8" t="s">
        <v>1997</v>
      </c>
      <c r="D374" s="8" t="s">
        <v>2416</v>
      </c>
      <c r="E374" s="8" t="s">
        <v>1998</v>
      </c>
      <c r="F374" s="183" t="s">
        <v>2297</v>
      </c>
      <c r="G374" s="183"/>
      <c r="H374" s="183" t="s">
        <v>2298</v>
      </c>
      <c r="I374" s="183" t="s">
        <v>579</v>
      </c>
      <c r="J374" s="183"/>
      <c r="K374" s="184">
        <v>46041</v>
      </c>
      <c r="L374" s="183">
        <v>47</v>
      </c>
      <c r="M374" s="185" t="str">
        <f>IF(phc_8[[#This Row],[Register No.]]="","",C374&amp;"-"&amp;D374&amp;"-"&amp;"BHA-PHC-"&amp;phc_8[[#This Row],[Register No.]])</f>
        <v>Shining Star-Mobile Clinic-BHA-PHC-47</v>
      </c>
      <c r="N374" s="9" t="s">
        <v>401</v>
      </c>
      <c r="O374" s="183" t="s">
        <v>3849</v>
      </c>
      <c r="P374" s="183">
        <v>35</v>
      </c>
      <c r="Q374" s="183"/>
      <c r="R374" s="183"/>
      <c r="S374" s="186" t="str">
        <f t="shared" si="14"/>
        <v>19 - 49 yrs</v>
      </c>
      <c r="T374" s="183" t="s">
        <v>603</v>
      </c>
      <c r="U374" s="183" t="s">
        <v>2298</v>
      </c>
      <c r="V374" s="183" t="s">
        <v>3856</v>
      </c>
      <c r="W374" s="183" t="s">
        <v>3079</v>
      </c>
      <c r="X374" s="183" t="s">
        <v>113</v>
      </c>
      <c r="Y374" s="186" t="str">
        <f>INDEX(info!$Y$2:$Y$192,MATCH(phc_8[[#This Row],[Sub_Category]],info!$X$2:$X$192,0))</f>
        <v>ARI/RTI</v>
      </c>
      <c r="Z374" s="186" t="str">
        <f t="array" ref="Z374">INDEX(info!$AA$2:$AA$192,MATCH(PHC!$X374&amp;PHC!$Y374,info!$X$2:$X$192&amp;info!$Y$2:$Y$192,0))</f>
        <v>Communicable disease</v>
      </c>
      <c r="AA374" s="183" t="s">
        <v>3864</v>
      </c>
      <c r="AB374" s="9" t="s">
        <v>654</v>
      </c>
      <c r="AC374" s="9" t="s">
        <v>654</v>
      </c>
      <c r="AD374" s="9" t="s">
        <v>654</v>
      </c>
      <c r="AE374" s="9" t="s">
        <v>654</v>
      </c>
      <c r="AF374" s="184"/>
      <c r="AG374" s="183"/>
      <c r="AH374" s="183"/>
      <c r="AI374" s="183"/>
      <c r="AJ374" s="183"/>
      <c r="AK374" s="9" t="s">
        <v>654</v>
      </c>
      <c r="AL374" s="183"/>
      <c r="AM374" s="186" t="str">
        <f>IF(AF374="","","Q"&amp;INT((MONTH(AF374)-1)/3)+1&amp;YEAR(AF374)&amp;#REF!&amp;T374)</f>
        <v/>
      </c>
      <c r="AN374" s="186" t="e">
        <f>IF(K374="","","Q"&amp;INT((MONTH(K374)-1)/3)+1&amp;YEAR(K374)&amp;#REF!)</f>
        <v>#REF!</v>
      </c>
    </row>
    <row r="375" spans="1:40" ht="20.100000000000001" customHeight="1" x14ac:dyDescent="0.25">
      <c r="A375" s="8">
        <v>373</v>
      </c>
      <c r="B375" s="8" t="s">
        <v>399</v>
      </c>
      <c r="C375" s="8" t="s">
        <v>1997</v>
      </c>
      <c r="D375" s="8" t="s">
        <v>2416</v>
      </c>
      <c r="E375" s="8" t="s">
        <v>1998</v>
      </c>
      <c r="F375" s="183" t="s">
        <v>2297</v>
      </c>
      <c r="G375" s="183"/>
      <c r="H375" s="183" t="s">
        <v>2298</v>
      </c>
      <c r="I375" s="183" t="s">
        <v>579</v>
      </c>
      <c r="J375" s="183"/>
      <c r="K375" s="184">
        <v>46041</v>
      </c>
      <c r="L375" s="183">
        <v>48</v>
      </c>
      <c r="M375" s="185" t="str">
        <f>IF(phc_8[[#This Row],[Register No.]]="","",C375&amp;"-"&amp;D375&amp;"-"&amp;"BHA-PHC-"&amp;phc_8[[#This Row],[Register No.]])</f>
        <v>Shining Star-Mobile Clinic-BHA-PHC-48</v>
      </c>
      <c r="N375" s="9" t="s">
        <v>401</v>
      </c>
      <c r="O375" s="183" t="s">
        <v>3850</v>
      </c>
      <c r="P375" s="183">
        <v>77</v>
      </c>
      <c r="Q375" s="183"/>
      <c r="R375" s="183"/>
      <c r="S375" s="186" t="str">
        <f t="shared" si="14"/>
        <v>50 yrs +</v>
      </c>
      <c r="T375" s="183" t="s">
        <v>603</v>
      </c>
      <c r="U375" s="183" t="s">
        <v>2298</v>
      </c>
      <c r="V375" s="183" t="s">
        <v>3857</v>
      </c>
      <c r="W375" s="183" t="s">
        <v>2003</v>
      </c>
      <c r="X375" s="183" t="s">
        <v>181</v>
      </c>
      <c r="Y375" s="186" t="str">
        <f>INDEX(info!$Y$2:$Y$192,MATCH(phc_8[[#This Row],[Sub_Category]],info!$X$2:$X$192,0))</f>
        <v>Chronic medical disease</v>
      </c>
      <c r="Z375" s="186" t="str">
        <f t="array" ref="Z375">INDEX(info!$AA$2:$AA$192,MATCH(PHC!$X375&amp;PHC!$Y375,info!$X$2:$X$192&amp;info!$Y$2:$Y$192,0))</f>
        <v>Non-communicable disease</v>
      </c>
      <c r="AA375" s="183" t="s">
        <v>3865</v>
      </c>
      <c r="AB375" s="9" t="s">
        <v>654</v>
      </c>
      <c r="AC375" s="9" t="s">
        <v>654</v>
      </c>
      <c r="AD375" s="9" t="s">
        <v>654</v>
      </c>
      <c r="AE375" s="9" t="s">
        <v>654</v>
      </c>
      <c r="AF375" s="184"/>
      <c r="AG375" s="183"/>
      <c r="AH375" s="183"/>
      <c r="AI375" s="183"/>
      <c r="AJ375" s="183"/>
      <c r="AK375" s="9" t="s">
        <v>654</v>
      </c>
      <c r="AL375" s="183"/>
      <c r="AM375" s="186" t="str">
        <f>IF(AF375="","","Q"&amp;INT((MONTH(AF375)-1)/3)+1&amp;YEAR(AF375)&amp;#REF!&amp;T375)</f>
        <v/>
      </c>
      <c r="AN375" s="186" t="e">
        <f>IF(K375="","","Q"&amp;INT((MONTH(K375)-1)/3)+1&amp;YEAR(K375)&amp;#REF!)</f>
        <v>#REF!</v>
      </c>
    </row>
    <row r="376" spans="1:40" ht="20.100000000000001" customHeight="1" x14ac:dyDescent="0.25">
      <c r="A376" s="8">
        <v>374</v>
      </c>
      <c r="B376" s="8" t="s">
        <v>399</v>
      </c>
      <c r="C376" s="8" t="s">
        <v>1997</v>
      </c>
      <c r="D376" s="8" t="s">
        <v>2416</v>
      </c>
      <c r="E376" s="8" t="s">
        <v>1998</v>
      </c>
      <c r="F376" s="183" t="s">
        <v>2297</v>
      </c>
      <c r="G376" s="183"/>
      <c r="H376" s="183" t="s">
        <v>2298</v>
      </c>
      <c r="I376" s="183" t="s">
        <v>579</v>
      </c>
      <c r="J376" s="183"/>
      <c r="K376" s="184">
        <v>46041</v>
      </c>
      <c r="L376" s="183">
        <v>49</v>
      </c>
      <c r="M376" s="185" t="str">
        <f>IF(phc_8[[#This Row],[Register No.]]="","",C376&amp;"-"&amp;D376&amp;"-"&amp;"BHA-PHC-"&amp;phc_8[[#This Row],[Register No.]])</f>
        <v>Shining Star-Mobile Clinic-BHA-PHC-49</v>
      </c>
      <c r="N376" s="9" t="s">
        <v>401</v>
      </c>
      <c r="O376" s="183" t="s">
        <v>3851</v>
      </c>
      <c r="P376" s="183">
        <v>50</v>
      </c>
      <c r="Q376" s="183"/>
      <c r="R376" s="183"/>
      <c r="S376" s="186" t="str">
        <f t="shared" si="14"/>
        <v>50 yrs +</v>
      </c>
      <c r="T376" s="183" t="s">
        <v>603</v>
      </c>
      <c r="U376" s="183" t="s">
        <v>2298</v>
      </c>
      <c r="V376" s="183" t="s">
        <v>3858</v>
      </c>
      <c r="W376" s="183" t="s">
        <v>3861</v>
      </c>
      <c r="X376" s="183" t="s">
        <v>181</v>
      </c>
      <c r="Y376" s="186" t="str">
        <f>INDEX(info!$Y$2:$Y$192,MATCH(phc_8[[#This Row],[Sub_Category]],info!$X$2:$X$192,0))</f>
        <v>Chronic medical disease</v>
      </c>
      <c r="Z376" s="186" t="str">
        <f t="array" ref="Z376">INDEX(info!$AA$2:$AA$192,MATCH(PHC!$X376&amp;PHC!$Y376,info!$X$2:$X$192&amp;info!$Y$2:$Y$192,0))</f>
        <v>Non-communicable disease</v>
      </c>
      <c r="AA376" s="183" t="s">
        <v>3187</v>
      </c>
      <c r="AB376" s="9" t="s">
        <v>654</v>
      </c>
      <c r="AC376" s="9" t="s">
        <v>654</v>
      </c>
      <c r="AD376" s="9" t="s">
        <v>654</v>
      </c>
      <c r="AE376" s="9" t="s">
        <v>654</v>
      </c>
      <c r="AF376" s="184"/>
      <c r="AG376" s="183"/>
      <c r="AH376" s="183"/>
      <c r="AI376" s="183"/>
      <c r="AJ376" s="183"/>
      <c r="AK376" s="9" t="s">
        <v>654</v>
      </c>
      <c r="AL376" s="183"/>
      <c r="AM376" s="186" t="str">
        <f>IF(AF376="","","Q"&amp;INT((MONTH(AF376)-1)/3)+1&amp;YEAR(AF376)&amp;#REF!&amp;T376)</f>
        <v/>
      </c>
      <c r="AN376" s="186" t="e">
        <f>IF(K376="","","Q"&amp;INT((MONTH(K376)-1)/3)+1&amp;YEAR(K376)&amp;#REF!)</f>
        <v>#REF!</v>
      </c>
    </row>
    <row r="377" spans="1:40" ht="20.100000000000001" customHeight="1" x14ac:dyDescent="0.25">
      <c r="A377" s="8">
        <v>375</v>
      </c>
      <c r="B377" s="8" t="s">
        <v>399</v>
      </c>
      <c r="C377" s="8" t="s">
        <v>1997</v>
      </c>
      <c r="D377" s="8" t="s">
        <v>2416</v>
      </c>
      <c r="E377" s="8" t="s">
        <v>1998</v>
      </c>
      <c r="F377" s="183" t="s">
        <v>2297</v>
      </c>
      <c r="G377" s="183"/>
      <c r="H377" s="183" t="s">
        <v>2298</v>
      </c>
      <c r="I377" s="183" t="s">
        <v>579</v>
      </c>
      <c r="J377" s="183"/>
      <c r="K377" s="184">
        <v>46041</v>
      </c>
      <c r="L377" s="183">
        <v>50</v>
      </c>
      <c r="M377" s="185" t="str">
        <f>IF(phc_8[[#This Row],[Register No.]]="","",C377&amp;"-"&amp;D377&amp;"-"&amp;"BHA-PHC-"&amp;phc_8[[#This Row],[Register No.]])</f>
        <v>Shining Star-Mobile Clinic-BHA-PHC-50</v>
      </c>
      <c r="N377" s="9" t="s">
        <v>401</v>
      </c>
      <c r="O377" s="183" t="s">
        <v>2836</v>
      </c>
      <c r="P377" s="183">
        <v>78</v>
      </c>
      <c r="Q377" s="183"/>
      <c r="R377" s="183"/>
      <c r="S377" s="186" t="str">
        <f t="shared" si="14"/>
        <v>50 yrs +</v>
      </c>
      <c r="T377" s="183" t="s">
        <v>603</v>
      </c>
      <c r="U377" s="183" t="s">
        <v>2298</v>
      </c>
      <c r="V377" s="183" t="s">
        <v>3104</v>
      </c>
      <c r="W377" s="183" t="s">
        <v>2003</v>
      </c>
      <c r="X377" s="183" t="s">
        <v>181</v>
      </c>
      <c r="Y377" s="186" t="str">
        <f>INDEX(info!$Y$2:$Y$192,MATCH(phc_8[[#This Row],[Sub_Category]],info!$X$2:$X$192,0))</f>
        <v>Chronic medical disease</v>
      </c>
      <c r="Z377" s="186" t="str">
        <f t="array" ref="Z377">INDEX(info!$AA$2:$AA$192,MATCH(PHC!$X377&amp;PHC!$Y377,info!$X$2:$X$192&amp;info!$Y$2:$Y$192,0))</f>
        <v>Non-communicable disease</v>
      </c>
      <c r="AA377" s="183" t="s">
        <v>3866</v>
      </c>
      <c r="AB377" s="9" t="s">
        <v>654</v>
      </c>
      <c r="AC377" s="9" t="s">
        <v>654</v>
      </c>
      <c r="AD377" s="9" t="s">
        <v>654</v>
      </c>
      <c r="AE377" s="9" t="s">
        <v>654</v>
      </c>
      <c r="AF377" s="184"/>
      <c r="AG377" s="183"/>
      <c r="AH377" s="183"/>
      <c r="AI377" s="183"/>
      <c r="AJ377" s="183"/>
      <c r="AK377" s="9" t="s">
        <v>654</v>
      </c>
      <c r="AL377" s="183"/>
      <c r="AM377" s="186" t="str">
        <f>IF(AF377="","","Q"&amp;INT((MONTH(AF377)-1)/3)+1&amp;YEAR(AF377)&amp;#REF!&amp;T377)</f>
        <v/>
      </c>
      <c r="AN377" s="186" t="e">
        <f>IF(K377="","","Q"&amp;INT((MONTH(K377)-1)/3)+1&amp;YEAR(K377)&amp;#REF!)</f>
        <v>#REF!</v>
      </c>
    </row>
    <row r="378" spans="1:40" ht="20.100000000000001" customHeight="1" x14ac:dyDescent="0.25">
      <c r="A378" s="8">
        <v>376</v>
      </c>
      <c r="B378" s="8" t="s">
        <v>399</v>
      </c>
      <c r="C378" s="8" t="s">
        <v>1997</v>
      </c>
      <c r="D378" s="8" t="s">
        <v>2416</v>
      </c>
      <c r="E378" s="8" t="s">
        <v>1998</v>
      </c>
      <c r="F378" s="183" t="s">
        <v>2297</v>
      </c>
      <c r="G378" s="183"/>
      <c r="H378" s="183" t="s">
        <v>2298</v>
      </c>
      <c r="I378" s="183" t="s">
        <v>579</v>
      </c>
      <c r="J378" s="183"/>
      <c r="K378" s="184">
        <v>46041</v>
      </c>
      <c r="L378" s="183">
        <v>51</v>
      </c>
      <c r="M378" s="185" t="str">
        <f>IF(phc_8[[#This Row],[Register No.]]="","",C378&amp;"-"&amp;D378&amp;"-"&amp;"BHA-PHC-"&amp;phc_8[[#This Row],[Register No.]])</f>
        <v>Shining Star-Mobile Clinic-BHA-PHC-51</v>
      </c>
      <c r="N378" s="9" t="s">
        <v>401</v>
      </c>
      <c r="O378" s="183" t="s">
        <v>3852</v>
      </c>
      <c r="P378" s="183">
        <v>43</v>
      </c>
      <c r="Q378" s="183"/>
      <c r="R378" s="183"/>
      <c r="S378" s="186" t="str">
        <f t="shared" si="14"/>
        <v>19 - 49 yrs</v>
      </c>
      <c r="T378" s="183" t="s">
        <v>603</v>
      </c>
      <c r="U378" s="183" t="s">
        <v>2298</v>
      </c>
      <c r="V378" s="183" t="s">
        <v>3859</v>
      </c>
      <c r="W378" s="183" t="s">
        <v>3862</v>
      </c>
      <c r="X378" s="183"/>
      <c r="Y378" s="186" t="e">
        <f>INDEX(info!$Y$2:$Y$192,MATCH(phc_8[[#This Row],[Sub_Category]],info!$X$2:$X$192,0))</f>
        <v>#N/A</v>
      </c>
      <c r="Z378" s="186" t="e">
        <f t="array" ref="Z378">INDEX(info!$AA$2:$AA$192,MATCH(PHC!$X378&amp;PHC!$Y378,info!$X$2:$X$192&amp;info!$Y$2:$Y$192,0))</f>
        <v>#N/A</v>
      </c>
      <c r="AA378" s="183" t="s">
        <v>3867</v>
      </c>
      <c r="AB378" s="9" t="s">
        <v>654</v>
      </c>
      <c r="AC378" s="9" t="s">
        <v>654</v>
      </c>
      <c r="AD378" s="9" t="s">
        <v>654</v>
      </c>
      <c r="AE378" s="9" t="s">
        <v>654</v>
      </c>
      <c r="AF378" s="184"/>
      <c r="AG378" s="183"/>
      <c r="AH378" s="183"/>
      <c r="AI378" s="183"/>
      <c r="AJ378" s="183"/>
      <c r="AK378" s="9" t="s">
        <v>654</v>
      </c>
      <c r="AL378" s="183"/>
      <c r="AM378" s="186" t="str">
        <f>IF(AF378="","","Q"&amp;INT((MONTH(AF378)-1)/3)+1&amp;YEAR(AF378)&amp;#REF!&amp;T378)</f>
        <v/>
      </c>
      <c r="AN378" s="186" t="e">
        <f>IF(K378="","","Q"&amp;INT((MONTH(K378)-1)/3)+1&amp;YEAR(K378)&amp;#REF!)</f>
        <v>#REF!</v>
      </c>
    </row>
    <row r="379" spans="1:40" ht="20.100000000000001" customHeight="1" x14ac:dyDescent="0.25">
      <c r="A379" s="8">
        <v>377</v>
      </c>
      <c r="B379" s="8" t="s">
        <v>399</v>
      </c>
      <c r="C379" s="8" t="s">
        <v>1997</v>
      </c>
      <c r="D379" s="8" t="s">
        <v>2416</v>
      </c>
      <c r="E379" s="8" t="s">
        <v>1998</v>
      </c>
      <c r="F379" s="183" t="s">
        <v>2297</v>
      </c>
      <c r="G379" s="183"/>
      <c r="H379" s="183" t="s">
        <v>2298</v>
      </c>
      <c r="I379" s="183" t="s">
        <v>579</v>
      </c>
      <c r="J379" s="183"/>
      <c r="K379" s="184">
        <v>46041</v>
      </c>
      <c r="L379" s="183">
        <v>52</v>
      </c>
      <c r="M379" s="185" t="str">
        <f>IF(phc_8[[#This Row],[Register No.]]="","",C379&amp;"-"&amp;D379&amp;"-"&amp;"BHA-PHC-"&amp;phc_8[[#This Row],[Register No.]])</f>
        <v>Shining Star-Mobile Clinic-BHA-PHC-52</v>
      </c>
      <c r="N379" s="9" t="s">
        <v>401</v>
      </c>
      <c r="O379" s="183" t="s">
        <v>3853</v>
      </c>
      <c r="P379" s="183">
        <v>73</v>
      </c>
      <c r="Q379" s="183"/>
      <c r="R379" s="183"/>
      <c r="S379" s="186" t="str">
        <f t="shared" si="14"/>
        <v>50 yrs +</v>
      </c>
      <c r="T379" s="183" t="s">
        <v>603</v>
      </c>
      <c r="U379" s="183" t="s">
        <v>2298</v>
      </c>
      <c r="V379" s="183" t="s">
        <v>3860</v>
      </c>
      <c r="W379" s="183" t="s">
        <v>294</v>
      </c>
      <c r="X379" s="183" t="s">
        <v>294</v>
      </c>
      <c r="Y379" s="186" t="str">
        <f>INDEX(info!$Y$2:$Y$192,MATCH(phc_8[[#This Row],[Sub_Category]],info!$X$2:$X$192,0))</f>
        <v>Other (non-communicable)</v>
      </c>
      <c r="Z379" s="186" t="str">
        <f t="array" ref="Z379">INDEX(info!$AA$2:$AA$192,MATCH(PHC!$X379&amp;PHC!$Y379,info!$X$2:$X$192&amp;info!$Y$2:$Y$192,0))</f>
        <v>Other</v>
      </c>
      <c r="AA379" s="183" t="s">
        <v>3868</v>
      </c>
      <c r="AB379" s="9" t="s">
        <v>654</v>
      </c>
      <c r="AC379" s="9" t="s">
        <v>654</v>
      </c>
      <c r="AD379" s="9" t="s">
        <v>654</v>
      </c>
      <c r="AE379" s="9" t="s">
        <v>654</v>
      </c>
      <c r="AF379" s="184"/>
      <c r="AG379" s="183"/>
      <c r="AH379" s="183"/>
      <c r="AI379" s="183"/>
      <c r="AJ379" s="183"/>
      <c r="AK379" s="9" t="s">
        <v>654</v>
      </c>
      <c r="AL379" s="183"/>
      <c r="AM379" s="186" t="str">
        <f>IF(AF379="","","Q"&amp;INT((MONTH(AF379)-1)/3)+1&amp;YEAR(AF379)&amp;#REF!&amp;T379)</f>
        <v/>
      </c>
      <c r="AN379" s="186" t="e">
        <f>IF(K379="","","Q"&amp;INT((MONTH(K379)-1)/3)+1&amp;YEAR(K379)&amp;#REF!)</f>
        <v>#REF!</v>
      </c>
    </row>
    <row r="380" spans="1:40" ht="20.100000000000001" customHeight="1" x14ac:dyDescent="0.25">
      <c r="A380" s="8">
        <v>378</v>
      </c>
      <c r="B380" s="8" t="s">
        <v>399</v>
      </c>
      <c r="C380" s="8" t="s">
        <v>1997</v>
      </c>
      <c r="D380" s="8" t="s">
        <v>2416</v>
      </c>
      <c r="E380" s="8" t="s">
        <v>1998</v>
      </c>
      <c r="F380" s="183" t="s">
        <v>2297</v>
      </c>
      <c r="G380" s="183"/>
      <c r="H380" s="183" t="s">
        <v>2298</v>
      </c>
      <c r="I380" s="183" t="s">
        <v>579</v>
      </c>
      <c r="J380" s="183"/>
      <c r="K380" s="184">
        <v>46041</v>
      </c>
      <c r="L380" s="183">
        <v>53</v>
      </c>
      <c r="M380" s="185" t="str">
        <f>IF(phc_8[[#This Row],[Register No.]]="","",C380&amp;"-"&amp;D380&amp;"-"&amp;"BHA-PHC-"&amp;phc_8[[#This Row],[Register No.]])</f>
        <v>Shining Star-Mobile Clinic-BHA-PHC-53</v>
      </c>
      <c r="N380" s="9" t="s">
        <v>401</v>
      </c>
      <c r="O380" s="183" t="s">
        <v>2129</v>
      </c>
      <c r="P380" s="183">
        <v>78</v>
      </c>
      <c r="Q380" s="183"/>
      <c r="R380" s="183"/>
      <c r="S380" s="186" t="str">
        <f t="shared" si="14"/>
        <v>50 yrs +</v>
      </c>
      <c r="T380" s="183" t="s">
        <v>402</v>
      </c>
      <c r="U380" s="183" t="s">
        <v>2298</v>
      </c>
      <c r="V380" s="183" t="s">
        <v>2041</v>
      </c>
      <c r="W380" s="183" t="s">
        <v>2003</v>
      </c>
      <c r="X380" s="183" t="s">
        <v>181</v>
      </c>
      <c r="Y380" s="186" t="str">
        <f>INDEX(info!$Y$2:$Y$192,MATCH(phc_8[[#This Row],[Sub_Category]],info!$X$2:$X$192,0))</f>
        <v>Chronic medical disease</v>
      </c>
      <c r="Z380" s="186" t="str">
        <f t="array" ref="Z380">INDEX(info!$AA$2:$AA$192,MATCH(PHC!$X380&amp;PHC!$Y380,info!$X$2:$X$192&amp;info!$Y$2:$Y$192,0))</f>
        <v>Non-communicable disease</v>
      </c>
      <c r="AA380" s="183" t="s">
        <v>3187</v>
      </c>
      <c r="AB380" s="9" t="s">
        <v>654</v>
      </c>
      <c r="AC380" s="9" t="s">
        <v>654</v>
      </c>
      <c r="AD380" s="9" t="s">
        <v>654</v>
      </c>
      <c r="AE380" s="9" t="s">
        <v>654</v>
      </c>
      <c r="AF380" s="184"/>
      <c r="AG380" s="183"/>
      <c r="AH380" s="183"/>
      <c r="AI380" s="183"/>
      <c r="AJ380" s="183"/>
      <c r="AK380" s="9" t="s">
        <v>654</v>
      </c>
      <c r="AL380" s="183"/>
      <c r="AM380" s="186" t="str">
        <f>IF(AF380="","","Q"&amp;INT((MONTH(AF380)-1)/3)+1&amp;YEAR(AF380)&amp;#REF!&amp;T380)</f>
        <v/>
      </c>
      <c r="AN380" s="186" t="e">
        <f>IF(K380="","","Q"&amp;INT((MONTH(K380)-1)/3)+1&amp;YEAR(K380)&amp;#REF!)</f>
        <v>#REF!</v>
      </c>
    </row>
    <row r="381" spans="1:40" ht="20.100000000000001" customHeight="1" x14ac:dyDescent="0.25">
      <c r="A381" s="8">
        <v>379</v>
      </c>
      <c r="B381" s="8" t="s">
        <v>399</v>
      </c>
      <c r="C381" s="8" t="s">
        <v>1997</v>
      </c>
      <c r="D381" s="8" t="s">
        <v>2416</v>
      </c>
      <c r="E381" s="8" t="s">
        <v>1998</v>
      </c>
      <c r="F381" s="183" t="s">
        <v>2297</v>
      </c>
      <c r="G381" s="183"/>
      <c r="H381" s="183" t="s">
        <v>2298</v>
      </c>
      <c r="I381" s="183" t="s">
        <v>579</v>
      </c>
      <c r="J381" s="183"/>
      <c r="K381" s="184">
        <v>46041</v>
      </c>
      <c r="L381" s="183">
        <v>54</v>
      </c>
      <c r="M381" s="185" t="str">
        <f>IF(phc_8[[#This Row],[Register No.]]="","",C381&amp;"-"&amp;D381&amp;"-"&amp;"BHA-PHC-"&amp;phc_8[[#This Row],[Register No.]])</f>
        <v>Shining Star-Mobile Clinic-BHA-PHC-54</v>
      </c>
      <c r="N381" s="9" t="s">
        <v>401</v>
      </c>
      <c r="O381" s="183" t="s">
        <v>3497</v>
      </c>
      <c r="P381" s="183">
        <v>72</v>
      </c>
      <c r="Q381" s="183"/>
      <c r="R381" s="183"/>
      <c r="S381" s="186" t="str">
        <f t="shared" si="14"/>
        <v>50 yrs +</v>
      </c>
      <c r="T381" s="183" t="s">
        <v>603</v>
      </c>
      <c r="U381" s="183" t="s">
        <v>2298</v>
      </c>
      <c r="V381" s="183" t="s">
        <v>3857</v>
      </c>
      <c r="W381" s="183" t="s">
        <v>2003</v>
      </c>
      <c r="X381" s="183" t="s">
        <v>181</v>
      </c>
      <c r="Y381" s="186" t="str">
        <f>INDEX(info!$Y$2:$Y$192,MATCH(phc_8[[#This Row],[Sub_Category]],info!$X$2:$X$192,0))</f>
        <v>Chronic medical disease</v>
      </c>
      <c r="Z381" s="186" t="str">
        <f t="array" ref="Z381">INDEX(info!$AA$2:$AA$192,MATCH(PHC!$X381&amp;PHC!$Y381,info!$X$2:$X$192&amp;info!$Y$2:$Y$192,0))</f>
        <v>Non-communicable disease</v>
      </c>
      <c r="AA381" s="183" t="s">
        <v>3869</v>
      </c>
      <c r="AB381" s="9" t="s">
        <v>654</v>
      </c>
      <c r="AC381" s="9" t="s">
        <v>654</v>
      </c>
      <c r="AD381" s="9" t="s">
        <v>654</v>
      </c>
      <c r="AE381" s="9" t="s">
        <v>654</v>
      </c>
      <c r="AF381" s="184"/>
      <c r="AG381" s="183"/>
      <c r="AH381" s="183"/>
      <c r="AI381" s="183"/>
      <c r="AJ381" s="183"/>
      <c r="AK381" s="9" t="s">
        <v>654</v>
      </c>
      <c r="AL381" s="183"/>
      <c r="AM381" s="186" t="str">
        <f>IF(AF381="","","Q"&amp;INT((MONTH(AF381)-1)/3)+1&amp;YEAR(AF381)&amp;#REF!&amp;T381)</f>
        <v/>
      </c>
      <c r="AN381" s="186" t="e">
        <f>IF(K381="","","Q"&amp;INT((MONTH(K381)-1)/3)+1&amp;YEAR(K381)&amp;#REF!)</f>
        <v>#REF!</v>
      </c>
    </row>
    <row r="382" spans="1:40" ht="20.100000000000001" customHeight="1" x14ac:dyDescent="0.25">
      <c r="A382" s="8">
        <v>380</v>
      </c>
      <c r="B382" s="8" t="s">
        <v>399</v>
      </c>
      <c r="C382" s="8" t="s">
        <v>1997</v>
      </c>
      <c r="D382" s="8" t="s">
        <v>2416</v>
      </c>
      <c r="E382" s="8" t="s">
        <v>1998</v>
      </c>
      <c r="F382" s="183" t="s">
        <v>2297</v>
      </c>
      <c r="G382" s="183"/>
      <c r="H382" s="183" t="s">
        <v>2298</v>
      </c>
      <c r="I382" s="183" t="s">
        <v>579</v>
      </c>
      <c r="J382" s="183"/>
      <c r="K382" s="184">
        <v>46041</v>
      </c>
      <c r="L382" s="183">
        <v>55</v>
      </c>
      <c r="M382" s="185" t="str">
        <f>IF(phc_8[[#This Row],[Register No.]]="","",C382&amp;"-"&amp;D382&amp;"-"&amp;"BHA-PHC-"&amp;phc_8[[#This Row],[Register No.]])</f>
        <v>Shining Star-Mobile Clinic-BHA-PHC-55</v>
      </c>
      <c r="N382" s="9" t="s">
        <v>401</v>
      </c>
      <c r="O382" s="183" t="s">
        <v>3854</v>
      </c>
      <c r="P382" s="183">
        <v>32</v>
      </c>
      <c r="Q382" s="183"/>
      <c r="R382" s="183"/>
      <c r="S382" s="186" t="str">
        <f t="shared" si="14"/>
        <v>19 - 49 yrs</v>
      </c>
      <c r="T382" s="183" t="s">
        <v>603</v>
      </c>
      <c r="U382" s="183" t="s">
        <v>2298</v>
      </c>
      <c r="V382" s="183" t="s">
        <v>3461</v>
      </c>
      <c r="W382" s="183" t="s">
        <v>3195</v>
      </c>
      <c r="X382" s="183"/>
      <c r="Y382" s="186" t="e">
        <f>INDEX(info!$Y$2:$Y$192,MATCH(phc_8[[#This Row],[Sub_Category]],info!$X$2:$X$192,0))</f>
        <v>#N/A</v>
      </c>
      <c r="Z382" s="186" t="e">
        <f t="array" ref="Z382">INDEX(info!$AA$2:$AA$192,MATCH(PHC!$X382&amp;PHC!$Y382,info!$X$2:$X$192&amp;info!$Y$2:$Y$192,0))</f>
        <v>#N/A</v>
      </c>
      <c r="AA382" s="183" t="s">
        <v>3575</v>
      </c>
      <c r="AB382" s="9" t="s">
        <v>654</v>
      </c>
      <c r="AC382" s="9" t="s">
        <v>654</v>
      </c>
      <c r="AD382" s="9" t="s">
        <v>654</v>
      </c>
      <c r="AE382" s="9" t="s">
        <v>654</v>
      </c>
      <c r="AF382" s="184"/>
      <c r="AG382" s="183"/>
      <c r="AH382" s="183"/>
      <c r="AI382" s="183"/>
      <c r="AJ382" s="183"/>
      <c r="AK382" s="9" t="s">
        <v>654</v>
      </c>
      <c r="AL382" s="183"/>
      <c r="AM382" s="186" t="str">
        <f>IF(AF382="","","Q"&amp;INT((MONTH(AF382)-1)/3)+1&amp;YEAR(AF382)&amp;#REF!&amp;T382)</f>
        <v/>
      </c>
      <c r="AN382" s="186" t="e">
        <f>IF(K382="","","Q"&amp;INT((MONTH(K382)-1)/3)+1&amp;YEAR(K382)&amp;#REF!)</f>
        <v>#REF!</v>
      </c>
    </row>
    <row r="383" spans="1:40" ht="20.100000000000001" customHeight="1" x14ac:dyDescent="0.25">
      <c r="A383" s="8">
        <v>381</v>
      </c>
      <c r="B383" s="8" t="s">
        <v>399</v>
      </c>
      <c r="C383" s="8" t="s">
        <v>1997</v>
      </c>
      <c r="D383" s="8" t="s">
        <v>2416</v>
      </c>
      <c r="E383" s="8" t="s">
        <v>1998</v>
      </c>
      <c r="F383" s="183" t="s">
        <v>2297</v>
      </c>
      <c r="G383" s="183"/>
      <c r="H383" s="183" t="s">
        <v>2298</v>
      </c>
      <c r="I383" s="183" t="s">
        <v>579</v>
      </c>
      <c r="J383" s="183"/>
      <c r="K383" s="184">
        <v>46041</v>
      </c>
      <c r="L383" s="183">
        <v>56</v>
      </c>
      <c r="M383" s="185" t="str">
        <f>IF(phc_8[[#This Row],[Register No.]]="","",C383&amp;"-"&amp;D383&amp;"-"&amp;"BHA-PHC-"&amp;phc_8[[#This Row],[Register No.]])</f>
        <v>Shining Star-Mobile Clinic-BHA-PHC-56</v>
      </c>
      <c r="N383" s="9" t="s">
        <v>401</v>
      </c>
      <c r="O383" s="183" t="s">
        <v>3870</v>
      </c>
      <c r="P383" s="183">
        <v>76</v>
      </c>
      <c r="Q383" s="183"/>
      <c r="R383" s="183"/>
      <c r="S383" s="186" t="str">
        <f t="shared" si="14"/>
        <v>50 yrs +</v>
      </c>
      <c r="T383" s="183" t="s">
        <v>402</v>
      </c>
      <c r="U383" s="183" t="s">
        <v>2298</v>
      </c>
      <c r="V383" s="183" t="s">
        <v>2743</v>
      </c>
      <c r="W383" s="183" t="s">
        <v>3888</v>
      </c>
      <c r="X383" s="183"/>
      <c r="Y383" s="186" t="e">
        <f>INDEX(info!$Y$2:$Y$192,MATCH(phc_8[[#This Row],[Sub_Category]],info!$X$2:$X$192,0))</f>
        <v>#N/A</v>
      </c>
      <c r="Z383" s="186" t="e">
        <f t="array" ref="Z383">INDEX(info!$AA$2:$AA$192,MATCH(PHC!$X383&amp;PHC!$Y383,info!$X$2:$X$192&amp;info!$Y$2:$Y$192,0))</f>
        <v>#N/A</v>
      </c>
      <c r="AA383" s="183" t="s">
        <v>3890</v>
      </c>
      <c r="AB383" s="9" t="s">
        <v>654</v>
      </c>
      <c r="AC383" s="9" t="s">
        <v>654</v>
      </c>
      <c r="AD383" s="9" t="s">
        <v>654</v>
      </c>
      <c r="AE383" s="9" t="s">
        <v>654</v>
      </c>
      <c r="AF383" s="184"/>
      <c r="AG383" s="183"/>
      <c r="AH383" s="183"/>
      <c r="AI383" s="183"/>
      <c r="AJ383" s="183"/>
      <c r="AK383" s="9" t="s">
        <v>654</v>
      </c>
      <c r="AL383" s="183"/>
      <c r="AM383" s="186" t="str">
        <f>IF(AF383="","","Q"&amp;INT((MONTH(AF383)-1)/3)+1&amp;YEAR(AF383)&amp;#REF!&amp;T383)</f>
        <v/>
      </c>
      <c r="AN383" s="186" t="e">
        <f>IF(K383="","","Q"&amp;INT((MONTH(K383)-1)/3)+1&amp;YEAR(K383)&amp;#REF!)</f>
        <v>#REF!</v>
      </c>
    </row>
    <row r="384" spans="1:40" ht="20.100000000000001" customHeight="1" x14ac:dyDescent="0.25">
      <c r="A384" s="8">
        <v>382</v>
      </c>
      <c r="B384" s="8" t="s">
        <v>399</v>
      </c>
      <c r="C384" s="8" t="s">
        <v>1997</v>
      </c>
      <c r="D384" s="8" t="s">
        <v>2416</v>
      </c>
      <c r="E384" s="8" t="s">
        <v>1998</v>
      </c>
      <c r="F384" s="183" t="s">
        <v>2297</v>
      </c>
      <c r="G384" s="183"/>
      <c r="H384" s="183" t="s">
        <v>2298</v>
      </c>
      <c r="I384" s="183" t="s">
        <v>579</v>
      </c>
      <c r="J384" s="183"/>
      <c r="K384" s="184">
        <v>46041</v>
      </c>
      <c r="L384" s="183">
        <v>57</v>
      </c>
      <c r="M384" s="185" t="str">
        <f>IF(phc_8[[#This Row],[Register No.]]="","",C384&amp;"-"&amp;D384&amp;"-"&amp;"BHA-PHC-"&amp;phc_8[[#This Row],[Register No.]])</f>
        <v>Shining Star-Mobile Clinic-BHA-PHC-57</v>
      </c>
      <c r="N384" s="9" t="s">
        <v>401</v>
      </c>
      <c r="O384" s="183" t="s">
        <v>3871</v>
      </c>
      <c r="P384" s="183">
        <v>60</v>
      </c>
      <c r="Q384" s="183"/>
      <c r="R384" s="183"/>
      <c r="S384" s="186" t="str">
        <f t="shared" si="14"/>
        <v>50 yrs +</v>
      </c>
      <c r="T384" s="183" t="s">
        <v>603</v>
      </c>
      <c r="U384" s="183" t="s">
        <v>2298</v>
      </c>
      <c r="V384" s="183" t="s">
        <v>3880</v>
      </c>
      <c r="W384" s="183" t="s">
        <v>3889</v>
      </c>
      <c r="X384" s="183" t="s">
        <v>242</v>
      </c>
      <c r="Y384" s="186" t="str">
        <f>INDEX(info!$Y$2:$Y$192,MATCH(phc_8[[#This Row],[Sub_Category]],info!$X$2:$X$192,0))</f>
        <v>Accident/minor sugical and injuries</v>
      </c>
      <c r="Z384" s="186" t="str">
        <f t="array" ref="Z384">INDEX(info!$AA$2:$AA$192,MATCH(PHC!$X384&amp;PHC!$Y384,info!$X$2:$X$192&amp;info!$Y$2:$Y$192,0))</f>
        <v>Injury related</v>
      </c>
      <c r="AA384" s="183" t="s">
        <v>3891</v>
      </c>
      <c r="AB384" s="9" t="s">
        <v>654</v>
      </c>
      <c r="AC384" s="9" t="s">
        <v>654</v>
      </c>
      <c r="AD384" s="9" t="s">
        <v>654</v>
      </c>
      <c r="AE384" s="9" t="s">
        <v>654</v>
      </c>
      <c r="AF384" s="184"/>
      <c r="AG384" s="183"/>
      <c r="AH384" s="183"/>
      <c r="AI384" s="183"/>
      <c r="AJ384" s="183"/>
      <c r="AK384" s="9" t="s">
        <v>654</v>
      </c>
      <c r="AL384" s="183"/>
      <c r="AM384" s="186" t="str">
        <f>IF(AF384="","","Q"&amp;INT((MONTH(AF384)-1)/3)+1&amp;YEAR(AF384)&amp;#REF!&amp;T384)</f>
        <v/>
      </c>
      <c r="AN384" s="186" t="e">
        <f>IF(K384="","","Q"&amp;INT((MONTH(K384)-1)/3)+1&amp;YEAR(K384)&amp;#REF!)</f>
        <v>#REF!</v>
      </c>
    </row>
    <row r="385" spans="1:40" ht="20.100000000000001" customHeight="1" x14ac:dyDescent="0.25">
      <c r="A385" s="8">
        <v>383</v>
      </c>
      <c r="B385" s="8" t="s">
        <v>399</v>
      </c>
      <c r="C385" s="8" t="s">
        <v>1997</v>
      </c>
      <c r="D385" s="8" t="s">
        <v>2416</v>
      </c>
      <c r="E385" s="8" t="s">
        <v>1998</v>
      </c>
      <c r="F385" s="183" t="s">
        <v>2297</v>
      </c>
      <c r="G385" s="183"/>
      <c r="H385" s="183" t="s">
        <v>2298</v>
      </c>
      <c r="I385" s="183" t="s">
        <v>579</v>
      </c>
      <c r="J385" s="183"/>
      <c r="K385" s="184">
        <v>46041</v>
      </c>
      <c r="L385" s="183">
        <v>58</v>
      </c>
      <c r="M385" s="185" t="str">
        <f>IF(phc_8[[#This Row],[Register No.]]="","",C385&amp;"-"&amp;D385&amp;"-"&amp;"BHA-PHC-"&amp;phc_8[[#This Row],[Register No.]])</f>
        <v>Shining Star-Mobile Clinic-BHA-PHC-58</v>
      </c>
      <c r="N385" s="9" t="s">
        <v>401</v>
      </c>
      <c r="O385" s="183" t="s">
        <v>3872</v>
      </c>
      <c r="P385" s="183">
        <v>18</v>
      </c>
      <c r="Q385" s="183"/>
      <c r="R385" s="183"/>
      <c r="S385" s="186" t="str">
        <f t="shared" si="14"/>
        <v>15 - 18 yrs</v>
      </c>
      <c r="T385" s="183" t="s">
        <v>402</v>
      </c>
      <c r="U385" s="183" t="s">
        <v>2298</v>
      </c>
      <c r="V385" s="183" t="s">
        <v>3732</v>
      </c>
      <c r="W385" s="183" t="s">
        <v>2059</v>
      </c>
      <c r="X385" s="183" t="s">
        <v>242</v>
      </c>
      <c r="Y385" s="186" t="str">
        <f>INDEX(info!$Y$2:$Y$192,MATCH(phc_8[[#This Row],[Sub_Category]],info!$X$2:$X$192,0))</f>
        <v>Accident/minor sugical and injuries</v>
      </c>
      <c r="Z385" s="186" t="str">
        <f t="array" ref="Z385">INDEX(info!$AA$2:$AA$192,MATCH(PHC!$X385&amp;PHC!$Y385,info!$X$2:$X$192&amp;info!$Y$2:$Y$192,0))</f>
        <v>Injury related</v>
      </c>
      <c r="AA385" s="183" t="s">
        <v>3892</v>
      </c>
      <c r="AB385" s="9" t="s">
        <v>654</v>
      </c>
      <c r="AC385" s="9" t="s">
        <v>654</v>
      </c>
      <c r="AD385" s="9" t="s">
        <v>654</v>
      </c>
      <c r="AE385" s="9" t="s">
        <v>654</v>
      </c>
      <c r="AF385" s="184"/>
      <c r="AG385" s="183"/>
      <c r="AH385" s="183"/>
      <c r="AI385" s="183"/>
      <c r="AJ385" s="183"/>
      <c r="AK385" s="9" t="s">
        <v>654</v>
      </c>
      <c r="AL385" s="183"/>
      <c r="AM385" s="186" t="str">
        <f>IF(AF385="","","Q"&amp;INT((MONTH(AF385)-1)/3)+1&amp;YEAR(AF385)&amp;#REF!&amp;T385)</f>
        <v/>
      </c>
      <c r="AN385" s="186" t="e">
        <f>IF(K385="","","Q"&amp;INT((MONTH(K385)-1)/3)+1&amp;YEAR(K385)&amp;#REF!)</f>
        <v>#REF!</v>
      </c>
    </row>
    <row r="386" spans="1:40" ht="20.100000000000001" customHeight="1" x14ac:dyDescent="0.25">
      <c r="A386" s="8">
        <v>384</v>
      </c>
      <c r="B386" s="8" t="s">
        <v>399</v>
      </c>
      <c r="C386" s="8" t="s">
        <v>1997</v>
      </c>
      <c r="D386" s="8" t="s">
        <v>2416</v>
      </c>
      <c r="E386" s="8" t="s">
        <v>1998</v>
      </c>
      <c r="F386" s="183" t="s">
        <v>2297</v>
      </c>
      <c r="G386" s="183"/>
      <c r="H386" s="183" t="s">
        <v>2298</v>
      </c>
      <c r="I386" s="183" t="s">
        <v>579</v>
      </c>
      <c r="J386" s="183"/>
      <c r="K386" s="184">
        <v>46041</v>
      </c>
      <c r="L386" s="183">
        <v>59</v>
      </c>
      <c r="M386" s="185" t="str">
        <f>IF(phc_8[[#This Row],[Register No.]]="","",C386&amp;"-"&amp;D386&amp;"-"&amp;"BHA-PHC-"&amp;phc_8[[#This Row],[Register No.]])</f>
        <v>Shining Star-Mobile Clinic-BHA-PHC-59</v>
      </c>
      <c r="N386" s="9" t="s">
        <v>401</v>
      </c>
      <c r="O386" s="183" t="s">
        <v>3873</v>
      </c>
      <c r="P386" s="183">
        <v>75</v>
      </c>
      <c r="Q386" s="183"/>
      <c r="R386" s="183"/>
      <c r="S386" s="186" t="str">
        <f t="shared" si="14"/>
        <v>50 yrs +</v>
      </c>
      <c r="T386" s="183" t="s">
        <v>603</v>
      </c>
      <c r="U386" s="183" t="s">
        <v>2298</v>
      </c>
      <c r="V386" s="183" t="s">
        <v>3881</v>
      </c>
      <c r="W386" s="183" t="s">
        <v>2003</v>
      </c>
      <c r="X386" s="183" t="s">
        <v>181</v>
      </c>
      <c r="Y386" s="186" t="str">
        <f>INDEX(info!$Y$2:$Y$192,MATCH(phc_8[[#This Row],[Sub_Category]],info!$X$2:$X$192,0))</f>
        <v>Chronic medical disease</v>
      </c>
      <c r="Z386" s="186" t="str">
        <f t="array" ref="Z386">INDEX(info!$AA$2:$AA$192,MATCH(PHC!$X386&amp;PHC!$Y386,info!$X$2:$X$192&amp;info!$Y$2:$Y$192,0))</f>
        <v>Non-communicable disease</v>
      </c>
      <c r="AA386" s="183" t="s">
        <v>3893</v>
      </c>
      <c r="AB386" s="9" t="s">
        <v>654</v>
      </c>
      <c r="AC386" s="9" t="s">
        <v>654</v>
      </c>
      <c r="AD386" s="9" t="s">
        <v>654</v>
      </c>
      <c r="AE386" s="9" t="s">
        <v>654</v>
      </c>
      <c r="AF386" s="184"/>
      <c r="AG386" s="183"/>
      <c r="AH386" s="183"/>
      <c r="AI386" s="183"/>
      <c r="AJ386" s="183"/>
      <c r="AK386" s="9" t="s">
        <v>654</v>
      </c>
      <c r="AL386" s="183"/>
      <c r="AM386" s="186" t="str">
        <f>IF(AF386="","","Q"&amp;INT((MONTH(AF386)-1)/3)+1&amp;YEAR(AF386)&amp;#REF!&amp;T386)</f>
        <v/>
      </c>
      <c r="AN386" s="186" t="e">
        <f>IF(K386="","","Q"&amp;INT((MONTH(K386)-1)/3)+1&amp;YEAR(K386)&amp;#REF!)</f>
        <v>#REF!</v>
      </c>
    </row>
    <row r="387" spans="1:40" ht="20.100000000000001" customHeight="1" x14ac:dyDescent="0.25">
      <c r="A387" s="8">
        <v>385</v>
      </c>
      <c r="B387" s="8" t="s">
        <v>399</v>
      </c>
      <c r="C387" s="8" t="s">
        <v>1997</v>
      </c>
      <c r="D387" s="8" t="s">
        <v>2416</v>
      </c>
      <c r="E387" s="8" t="s">
        <v>1998</v>
      </c>
      <c r="F387" s="183" t="s">
        <v>2297</v>
      </c>
      <c r="G387" s="183"/>
      <c r="H387" s="183" t="s">
        <v>2298</v>
      </c>
      <c r="I387" s="183" t="s">
        <v>579</v>
      </c>
      <c r="J387" s="183"/>
      <c r="K387" s="184">
        <v>46041</v>
      </c>
      <c r="L387" s="183">
        <v>60</v>
      </c>
      <c r="M387" s="185" t="str">
        <f>IF(phc_8[[#This Row],[Register No.]]="","",C387&amp;"-"&amp;D387&amp;"-"&amp;"BHA-PHC-"&amp;phc_8[[#This Row],[Register No.]])</f>
        <v>Shining Star-Mobile Clinic-BHA-PHC-60</v>
      </c>
      <c r="N387" s="9" t="s">
        <v>401</v>
      </c>
      <c r="O387" s="183" t="s">
        <v>3874</v>
      </c>
      <c r="P387" s="183">
        <v>79</v>
      </c>
      <c r="Q387" s="183"/>
      <c r="R387" s="183"/>
      <c r="S387" s="186" t="str">
        <f t="shared" si="14"/>
        <v>50 yrs +</v>
      </c>
      <c r="T387" s="183" t="s">
        <v>603</v>
      </c>
      <c r="U387" s="183" t="s">
        <v>2298</v>
      </c>
      <c r="V387" s="183" t="s">
        <v>3882</v>
      </c>
      <c r="W387" s="183" t="s">
        <v>3182</v>
      </c>
      <c r="X387" s="183" t="s">
        <v>242</v>
      </c>
      <c r="Y387" s="186" t="str">
        <f>INDEX(info!$Y$2:$Y$192,MATCH(phc_8[[#This Row],[Sub_Category]],info!$X$2:$X$192,0))</f>
        <v>Accident/minor sugical and injuries</v>
      </c>
      <c r="Z387" s="186" t="str">
        <f t="array" ref="Z387">INDEX(info!$AA$2:$AA$192,MATCH(PHC!$X387&amp;PHC!$Y387,info!$X$2:$X$192&amp;info!$Y$2:$Y$192,0))</f>
        <v>Injury related</v>
      </c>
      <c r="AA387" s="183" t="s">
        <v>3894</v>
      </c>
      <c r="AB387" s="9" t="s">
        <v>654</v>
      </c>
      <c r="AC387" s="9" t="s">
        <v>654</v>
      </c>
      <c r="AD387" s="9" t="s">
        <v>654</v>
      </c>
      <c r="AE387" s="9" t="s">
        <v>654</v>
      </c>
      <c r="AF387" s="184"/>
      <c r="AG387" s="183"/>
      <c r="AH387" s="183"/>
      <c r="AI387" s="183"/>
      <c r="AJ387" s="183"/>
      <c r="AK387" s="9" t="s">
        <v>654</v>
      </c>
      <c r="AL387" s="183"/>
      <c r="AM387" s="186" t="str">
        <f>IF(AF387="","","Q"&amp;INT((MONTH(AF387)-1)/3)+1&amp;YEAR(AF387)&amp;#REF!&amp;T387)</f>
        <v/>
      </c>
      <c r="AN387" s="186" t="e">
        <f>IF(K387="","","Q"&amp;INT((MONTH(K387)-1)/3)+1&amp;YEAR(K387)&amp;#REF!)</f>
        <v>#REF!</v>
      </c>
    </row>
    <row r="388" spans="1:40" ht="20.100000000000001" customHeight="1" x14ac:dyDescent="0.25">
      <c r="A388" s="8">
        <v>386</v>
      </c>
      <c r="B388" s="8" t="s">
        <v>399</v>
      </c>
      <c r="C388" s="8" t="s">
        <v>1997</v>
      </c>
      <c r="D388" s="8" t="s">
        <v>2416</v>
      </c>
      <c r="E388" s="8" t="s">
        <v>1998</v>
      </c>
      <c r="F388" s="183" t="s">
        <v>2297</v>
      </c>
      <c r="G388" s="183"/>
      <c r="H388" s="183" t="s">
        <v>2298</v>
      </c>
      <c r="I388" s="183" t="s">
        <v>579</v>
      </c>
      <c r="J388" s="183"/>
      <c r="K388" s="184">
        <v>46041</v>
      </c>
      <c r="L388" s="183">
        <v>61</v>
      </c>
      <c r="M388" s="185" t="str">
        <f>IF(phc_8[[#This Row],[Register No.]]="","",C388&amp;"-"&amp;D388&amp;"-"&amp;"BHA-PHC-"&amp;phc_8[[#This Row],[Register No.]])</f>
        <v>Shining Star-Mobile Clinic-BHA-PHC-61</v>
      </c>
      <c r="N388" s="9" t="s">
        <v>401</v>
      </c>
      <c r="O388" s="183" t="s">
        <v>3875</v>
      </c>
      <c r="P388" s="183">
        <v>74</v>
      </c>
      <c r="Q388" s="183"/>
      <c r="R388" s="183"/>
      <c r="S388" s="186" t="str">
        <f t="shared" si="14"/>
        <v>50 yrs +</v>
      </c>
      <c r="T388" s="183" t="s">
        <v>603</v>
      </c>
      <c r="U388" s="183" t="s">
        <v>2298</v>
      </c>
      <c r="V388" s="183" t="s">
        <v>3883</v>
      </c>
      <c r="W388" s="183" t="s">
        <v>2003</v>
      </c>
      <c r="X388" s="183" t="s">
        <v>181</v>
      </c>
      <c r="Y388" s="186" t="str">
        <f>INDEX(info!$Y$2:$Y$192,MATCH(phc_8[[#This Row],[Sub_Category]],info!$X$2:$X$192,0))</f>
        <v>Chronic medical disease</v>
      </c>
      <c r="Z388" s="186" t="str">
        <f t="array" ref="Z388">INDEX(info!$AA$2:$AA$192,MATCH(PHC!$X388&amp;PHC!$Y388,info!$X$2:$X$192&amp;info!$Y$2:$Y$192,0))</f>
        <v>Non-communicable disease</v>
      </c>
      <c r="AA388" s="183" t="s">
        <v>3895</v>
      </c>
      <c r="AB388" s="9" t="s">
        <v>654</v>
      </c>
      <c r="AC388" s="9" t="s">
        <v>654</v>
      </c>
      <c r="AD388" s="9" t="s">
        <v>654</v>
      </c>
      <c r="AE388" s="9" t="s">
        <v>654</v>
      </c>
      <c r="AF388" s="184"/>
      <c r="AG388" s="183"/>
      <c r="AH388" s="183"/>
      <c r="AI388" s="183"/>
      <c r="AJ388" s="183"/>
      <c r="AK388" s="9" t="s">
        <v>654</v>
      </c>
      <c r="AL388" s="183"/>
      <c r="AM388" s="186" t="str">
        <f>IF(AF388="","","Q"&amp;INT((MONTH(AF388)-1)/3)+1&amp;YEAR(AF388)&amp;#REF!&amp;T388)</f>
        <v/>
      </c>
      <c r="AN388" s="186" t="e">
        <f>IF(K388="","","Q"&amp;INT((MONTH(K388)-1)/3)+1&amp;YEAR(K388)&amp;#REF!)</f>
        <v>#REF!</v>
      </c>
    </row>
    <row r="389" spans="1:40" ht="20.100000000000001" customHeight="1" x14ac:dyDescent="0.25">
      <c r="A389" s="8">
        <v>387</v>
      </c>
      <c r="B389" s="8" t="s">
        <v>399</v>
      </c>
      <c r="C389" s="8" t="s">
        <v>1997</v>
      </c>
      <c r="D389" s="8" t="s">
        <v>2416</v>
      </c>
      <c r="E389" s="8" t="s">
        <v>1998</v>
      </c>
      <c r="F389" s="183" t="s">
        <v>2297</v>
      </c>
      <c r="G389" s="183"/>
      <c r="H389" s="183" t="s">
        <v>2298</v>
      </c>
      <c r="I389" s="183" t="s">
        <v>579</v>
      </c>
      <c r="J389" s="183"/>
      <c r="K389" s="184">
        <v>46041</v>
      </c>
      <c r="L389" s="183">
        <v>62</v>
      </c>
      <c r="M389" s="185" t="str">
        <f>IF(phc_8[[#This Row],[Register No.]]="","",C389&amp;"-"&amp;D389&amp;"-"&amp;"BHA-PHC-"&amp;phc_8[[#This Row],[Register No.]])</f>
        <v>Shining Star-Mobile Clinic-BHA-PHC-62</v>
      </c>
      <c r="N389" s="9" t="s">
        <v>401</v>
      </c>
      <c r="O389" s="183" t="s">
        <v>3876</v>
      </c>
      <c r="P389" s="183">
        <v>63</v>
      </c>
      <c r="Q389" s="183"/>
      <c r="R389" s="183"/>
      <c r="S389" s="186" t="str">
        <f t="shared" si="14"/>
        <v>50 yrs +</v>
      </c>
      <c r="T389" s="183" t="s">
        <v>603</v>
      </c>
      <c r="U389" s="183" t="s">
        <v>2298</v>
      </c>
      <c r="V389" s="183" t="s">
        <v>3884</v>
      </c>
      <c r="W389" s="183" t="s">
        <v>2003</v>
      </c>
      <c r="X389" s="183" t="s">
        <v>181</v>
      </c>
      <c r="Y389" s="186" t="str">
        <f>INDEX(info!$Y$2:$Y$192,MATCH(phc_8[[#This Row],[Sub_Category]],info!$X$2:$X$192,0))</f>
        <v>Chronic medical disease</v>
      </c>
      <c r="Z389" s="186" t="str">
        <f t="array" ref="Z389">INDEX(info!$AA$2:$AA$192,MATCH(PHC!$X389&amp;PHC!$Y389,info!$X$2:$X$192&amp;info!$Y$2:$Y$192,0))</f>
        <v>Non-communicable disease</v>
      </c>
      <c r="AA389" s="183" t="s">
        <v>3896</v>
      </c>
      <c r="AB389" s="9" t="s">
        <v>654</v>
      </c>
      <c r="AC389" s="9" t="s">
        <v>654</v>
      </c>
      <c r="AD389" s="9" t="s">
        <v>654</v>
      </c>
      <c r="AE389" s="9" t="s">
        <v>654</v>
      </c>
      <c r="AF389" s="184"/>
      <c r="AG389" s="183"/>
      <c r="AH389" s="183"/>
      <c r="AI389" s="183"/>
      <c r="AJ389" s="183"/>
      <c r="AK389" s="9" t="s">
        <v>654</v>
      </c>
      <c r="AL389" s="183"/>
      <c r="AM389" s="186" t="str">
        <f>IF(AF389="","","Q"&amp;INT((MONTH(AF389)-1)/3)+1&amp;YEAR(AF389)&amp;#REF!&amp;T389)</f>
        <v/>
      </c>
      <c r="AN389" s="186" t="e">
        <f>IF(K389="","","Q"&amp;INT((MONTH(K389)-1)/3)+1&amp;YEAR(K389)&amp;#REF!)</f>
        <v>#REF!</v>
      </c>
    </row>
    <row r="390" spans="1:40" ht="20.100000000000001" customHeight="1" x14ac:dyDescent="0.25">
      <c r="A390" s="8">
        <v>388</v>
      </c>
      <c r="B390" s="8" t="s">
        <v>399</v>
      </c>
      <c r="C390" s="8" t="s">
        <v>1997</v>
      </c>
      <c r="D390" s="8" t="s">
        <v>2416</v>
      </c>
      <c r="E390" s="8" t="s">
        <v>1998</v>
      </c>
      <c r="F390" s="183" t="s">
        <v>2297</v>
      </c>
      <c r="G390" s="183"/>
      <c r="H390" s="183" t="s">
        <v>2298</v>
      </c>
      <c r="I390" s="183" t="s">
        <v>579</v>
      </c>
      <c r="J390" s="183"/>
      <c r="K390" s="184">
        <v>46041</v>
      </c>
      <c r="L390" s="183">
        <v>63</v>
      </c>
      <c r="M390" s="185" t="str">
        <f>IF(phc_8[[#This Row],[Register No.]]="","",C390&amp;"-"&amp;D390&amp;"-"&amp;"BHA-PHC-"&amp;phc_8[[#This Row],[Register No.]])</f>
        <v>Shining Star-Mobile Clinic-BHA-PHC-63</v>
      </c>
      <c r="N390" s="9" t="s">
        <v>401</v>
      </c>
      <c r="O390" s="183" t="s">
        <v>3877</v>
      </c>
      <c r="P390" s="183">
        <v>82</v>
      </c>
      <c r="Q390" s="183"/>
      <c r="R390" s="183"/>
      <c r="S390" s="186" t="str">
        <f t="shared" si="14"/>
        <v>50 yrs +</v>
      </c>
      <c r="T390" s="183" t="s">
        <v>603</v>
      </c>
      <c r="U390" s="183" t="s">
        <v>2298</v>
      </c>
      <c r="V390" s="183" t="s">
        <v>3885</v>
      </c>
      <c r="W390" s="183" t="s">
        <v>2003</v>
      </c>
      <c r="X390" s="183" t="s">
        <v>181</v>
      </c>
      <c r="Y390" s="186" t="str">
        <f>INDEX(info!$Y$2:$Y$192,MATCH(phc_8[[#This Row],[Sub_Category]],info!$X$2:$X$192,0))</f>
        <v>Chronic medical disease</v>
      </c>
      <c r="Z390" s="186" t="str">
        <f t="array" ref="Z390">INDEX(info!$AA$2:$AA$192,MATCH(PHC!$X390&amp;PHC!$Y390,info!$X$2:$X$192&amp;info!$Y$2:$Y$192,0))</f>
        <v>Non-communicable disease</v>
      </c>
      <c r="AA390" s="183" t="s">
        <v>3897</v>
      </c>
      <c r="AB390" s="9" t="s">
        <v>654</v>
      </c>
      <c r="AC390" s="9" t="s">
        <v>654</v>
      </c>
      <c r="AD390" s="9" t="s">
        <v>654</v>
      </c>
      <c r="AE390" s="9" t="s">
        <v>654</v>
      </c>
      <c r="AF390" s="184"/>
      <c r="AG390" s="183"/>
      <c r="AH390" s="183"/>
      <c r="AI390" s="183"/>
      <c r="AJ390" s="183"/>
      <c r="AK390" s="9" t="s">
        <v>654</v>
      </c>
      <c r="AL390" s="183"/>
      <c r="AM390" s="186" t="str">
        <f>IF(AF390="","","Q"&amp;INT((MONTH(AF390)-1)/3)+1&amp;YEAR(AF390)&amp;#REF!&amp;T390)</f>
        <v/>
      </c>
      <c r="AN390" s="186" t="e">
        <f>IF(K390="","","Q"&amp;INT((MONTH(K390)-1)/3)+1&amp;YEAR(K390)&amp;#REF!)</f>
        <v>#REF!</v>
      </c>
    </row>
    <row r="391" spans="1:40" ht="20.100000000000001" customHeight="1" x14ac:dyDescent="0.25">
      <c r="A391" s="8">
        <v>389</v>
      </c>
      <c r="B391" s="8" t="s">
        <v>399</v>
      </c>
      <c r="C391" s="8" t="s">
        <v>1997</v>
      </c>
      <c r="D391" s="8" t="s">
        <v>2416</v>
      </c>
      <c r="E391" s="8" t="s">
        <v>1998</v>
      </c>
      <c r="F391" s="183" t="s">
        <v>2297</v>
      </c>
      <c r="G391" s="183"/>
      <c r="H391" s="183" t="s">
        <v>2298</v>
      </c>
      <c r="I391" s="183" t="s">
        <v>579</v>
      </c>
      <c r="J391" s="183"/>
      <c r="K391" s="184">
        <v>46041</v>
      </c>
      <c r="L391" s="183">
        <v>64</v>
      </c>
      <c r="M391" s="185" t="str">
        <f>IF(phc_8[[#This Row],[Register No.]]="","",C391&amp;"-"&amp;D391&amp;"-"&amp;"BHA-PHC-"&amp;phc_8[[#This Row],[Register No.]])</f>
        <v>Shining Star-Mobile Clinic-BHA-PHC-64</v>
      </c>
      <c r="N391" s="9" t="s">
        <v>401</v>
      </c>
      <c r="O391" s="183" t="s">
        <v>3878</v>
      </c>
      <c r="P391" s="183">
        <v>65</v>
      </c>
      <c r="Q391" s="183"/>
      <c r="R391" s="183"/>
      <c r="S391" s="186" t="str">
        <f t="shared" si="14"/>
        <v>50 yrs +</v>
      </c>
      <c r="T391" s="183" t="s">
        <v>603</v>
      </c>
      <c r="U391" s="183" t="s">
        <v>2298</v>
      </c>
      <c r="V391" s="183" t="s">
        <v>3886</v>
      </c>
      <c r="W391" s="183" t="s">
        <v>178</v>
      </c>
      <c r="X391" s="183" t="s">
        <v>178</v>
      </c>
      <c r="Y391" s="186" t="str">
        <f>INDEX(info!$Y$2:$Y$192,MATCH(phc_8[[#This Row],[Sub_Category]],info!$X$2:$X$192,0))</f>
        <v>Chronic medical disease</v>
      </c>
      <c r="Z391" s="186" t="str">
        <f t="array" ref="Z391">INDEX(info!$AA$2:$AA$192,MATCH(PHC!$X391&amp;PHC!$Y391,info!$X$2:$X$192&amp;info!$Y$2:$Y$192,0))</f>
        <v>Non-communicable disease</v>
      </c>
      <c r="AA391" s="183" t="s">
        <v>3898</v>
      </c>
      <c r="AB391" s="9" t="s">
        <v>654</v>
      </c>
      <c r="AC391" s="9" t="s">
        <v>654</v>
      </c>
      <c r="AD391" s="9" t="s">
        <v>654</v>
      </c>
      <c r="AE391" s="9" t="s">
        <v>654</v>
      </c>
      <c r="AF391" s="184"/>
      <c r="AG391" s="183"/>
      <c r="AH391" s="183"/>
      <c r="AI391" s="183"/>
      <c r="AJ391" s="183"/>
      <c r="AK391" s="9" t="s">
        <v>654</v>
      </c>
      <c r="AL391" s="183"/>
      <c r="AM391" s="186" t="str">
        <f>IF(AF391="","","Q"&amp;INT((MONTH(AF391)-1)/3)+1&amp;YEAR(AF391)&amp;#REF!&amp;T391)</f>
        <v/>
      </c>
      <c r="AN391" s="186" t="e">
        <f>IF(K391="","","Q"&amp;INT((MONTH(K391)-1)/3)+1&amp;YEAR(K391)&amp;#REF!)</f>
        <v>#REF!</v>
      </c>
    </row>
    <row r="392" spans="1:40" ht="20.100000000000001" customHeight="1" x14ac:dyDescent="0.25">
      <c r="A392" s="8">
        <v>390</v>
      </c>
      <c r="B392" s="8" t="s">
        <v>399</v>
      </c>
      <c r="C392" s="8" t="s">
        <v>1997</v>
      </c>
      <c r="D392" s="8" t="s">
        <v>2416</v>
      </c>
      <c r="E392" s="8" t="s">
        <v>1998</v>
      </c>
      <c r="F392" s="183" t="s">
        <v>2297</v>
      </c>
      <c r="G392" s="183"/>
      <c r="H392" s="183" t="s">
        <v>2298</v>
      </c>
      <c r="I392" s="183" t="s">
        <v>579</v>
      </c>
      <c r="J392" s="183"/>
      <c r="K392" s="184">
        <v>46041</v>
      </c>
      <c r="L392" s="183">
        <v>65</v>
      </c>
      <c r="M392" s="185" t="str">
        <f>IF(phc_8[[#This Row],[Register No.]]="","",C392&amp;"-"&amp;D392&amp;"-"&amp;"BHA-PHC-"&amp;phc_8[[#This Row],[Register No.]])</f>
        <v>Shining Star-Mobile Clinic-BHA-PHC-65</v>
      </c>
      <c r="N392" s="9" t="s">
        <v>401</v>
      </c>
      <c r="O392" s="183" t="s">
        <v>3879</v>
      </c>
      <c r="P392" s="183">
        <v>77</v>
      </c>
      <c r="Q392" s="183"/>
      <c r="R392" s="183"/>
      <c r="S392" s="186" t="str">
        <f t="shared" si="14"/>
        <v>50 yrs +</v>
      </c>
      <c r="T392" s="183" t="s">
        <v>603</v>
      </c>
      <c r="U392" s="183" t="s">
        <v>2298</v>
      </c>
      <c r="V392" s="183" t="s">
        <v>3887</v>
      </c>
      <c r="W392" s="183" t="s">
        <v>2003</v>
      </c>
      <c r="X392" s="183" t="s">
        <v>181</v>
      </c>
      <c r="Y392" s="186" t="str">
        <f>INDEX(info!$Y$2:$Y$192,MATCH(phc_8[[#This Row],[Sub_Category]],info!$X$2:$X$192,0))</f>
        <v>Chronic medical disease</v>
      </c>
      <c r="Z392" s="186" t="str">
        <f t="array" ref="Z392">INDEX(info!$AA$2:$AA$192,MATCH(PHC!$X392&amp;PHC!$Y392,info!$X$2:$X$192&amp;info!$Y$2:$Y$192,0))</f>
        <v>Non-communicable disease</v>
      </c>
      <c r="AA392" s="183" t="s">
        <v>3899</v>
      </c>
      <c r="AB392" s="9" t="s">
        <v>654</v>
      </c>
      <c r="AC392" s="9" t="s">
        <v>654</v>
      </c>
      <c r="AD392" s="9" t="s">
        <v>654</v>
      </c>
      <c r="AE392" s="9" t="s">
        <v>654</v>
      </c>
      <c r="AF392" s="184"/>
      <c r="AG392" s="183"/>
      <c r="AH392" s="183"/>
      <c r="AI392" s="183"/>
      <c r="AJ392" s="183"/>
      <c r="AK392" s="9" t="s">
        <v>654</v>
      </c>
      <c r="AL392" s="183"/>
      <c r="AM392" s="186" t="str">
        <f>IF(AF392="","","Q"&amp;INT((MONTH(AF392)-1)/3)+1&amp;YEAR(AF392)&amp;#REF!&amp;T392)</f>
        <v/>
      </c>
      <c r="AN392" s="186" t="e">
        <f>IF(K392="","","Q"&amp;INT((MONTH(K392)-1)/3)+1&amp;YEAR(K392)&amp;#REF!)</f>
        <v>#REF!</v>
      </c>
    </row>
    <row r="393" spans="1:40" ht="20.100000000000001" customHeight="1" x14ac:dyDescent="0.25">
      <c r="A393" s="8">
        <v>391</v>
      </c>
      <c r="B393" s="8" t="s">
        <v>399</v>
      </c>
      <c r="C393" s="8" t="s">
        <v>1997</v>
      </c>
      <c r="D393" s="8" t="s">
        <v>2416</v>
      </c>
      <c r="E393" s="8" t="s">
        <v>1998</v>
      </c>
      <c r="F393" s="183" t="s">
        <v>2297</v>
      </c>
      <c r="G393" s="183"/>
      <c r="H393" s="183" t="s">
        <v>2298</v>
      </c>
      <c r="I393" s="183" t="s">
        <v>579</v>
      </c>
      <c r="J393" s="183"/>
      <c r="K393" s="184">
        <v>46041</v>
      </c>
      <c r="L393" s="183">
        <v>66</v>
      </c>
      <c r="M393" s="185" t="str">
        <f>IF(phc_8[[#This Row],[Register No.]]="","",C393&amp;"-"&amp;D393&amp;"-"&amp;"BHA-PHC-"&amp;phc_8[[#This Row],[Register No.]])</f>
        <v>Shining Star-Mobile Clinic-BHA-PHC-66</v>
      </c>
      <c r="N393" s="9" t="s">
        <v>401</v>
      </c>
      <c r="O393" s="183" t="s">
        <v>3849</v>
      </c>
      <c r="P393" s="183">
        <v>57</v>
      </c>
      <c r="Q393" s="183"/>
      <c r="R393" s="183"/>
      <c r="S393" s="186" t="str">
        <f t="shared" si="14"/>
        <v>50 yrs +</v>
      </c>
      <c r="T393" s="183" t="s">
        <v>603</v>
      </c>
      <c r="U393" s="183" t="s">
        <v>2298</v>
      </c>
      <c r="V393" s="183" t="s">
        <v>3908</v>
      </c>
      <c r="W393" s="183" t="s">
        <v>3914</v>
      </c>
      <c r="X393" s="183" t="s">
        <v>243</v>
      </c>
      <c r="Y393" s="186" t="str">
        <f>INDEX(info!$Y$2:$Y$192,MATCH(phc_8[[#This Row],[Sub_Category]],info!$X$2:$X$192,0))</f>
        <v>Mental disorders</v>
      </c>
      <c r="Z393" s="186" t="str">
        <f t="array" ref="Z393">INDEX(info!$AA$2:$AA$192,MATCH(PHC!$X393&amp;PHC!$Y393,info!$X$2:$X$192&amp;info!$Y$2:$Y$192,0))</f>
        <v>mental health condition</v>
      </c>
      <c r="AA393" s="183" t="s">
        <v>3915</v>
      </c>
      <c r="AB393" s="9" t="s">
        <v>654</v>
      </c>
      <c r="AC393" s="9" t="s">
        <v>654</v>
      </c>
      <c r="AD393" s="9" t="s">
        <v>654</v>
      </c>
      <c r="AE393" s="9" t="s">
        <v>654</v>
      </c>
      <c r="AF393" s="184"/>
      <c r="AG393" s="183"/>
      <c r="AH393" s="183"/>
      <c r="AI393" s="183"/>
      <c r="AJ393" s="183"/>
      <c r="AK393" s="9" t="s">
        <v>654</v>
      </c>
      <c r="AL393" s="183"/>
      <c r="AM393" s="186" t="str">
        <f>IF(AF393="","","Q"&amp;INT((MONTH(AF393)-1)/3)+1&amp;YEAR(AF393)&amp;#REF!&amp;T393)</f>
        <v/>
      </c>
      <c r="AN393" s="186" t="e">
        <f>IF(K393="","","Q"&amp;INT((MONTH(K393)-1)/3)+1&amp;YEAR(K393)&amp;#REF!)</f>
        <v>#REF!</v>
      </c>
    </row>
    <row r="394" spans="1:40" ht="20.100000000000001" customHeight="1" x14ac:dyDescent="0.25">
      <c r="A394" s="8">
        <v>392</v>
      </c>
      <c r="B394" s="8" t="s">
        <v>399</v>
      </c>
      <c r="C394" s="8" t="s">
        <v>1997</v>
      </c>
      <c r="D394" s="8" t="s">
        <v>2416</v>
      </c>
      <c r="E394" s="8" t="s">
        <v>1998</v>
      </c>
      <c r="F394" s="183" t="s">
        <v>2297</v>
      </c>
      <c r="G394" s="183"/>
      <c r="H394" s="183" t="s">
        <v>2298</v>
      </c>
      <c r="I394" s="183" t="s">
        <v>579</v>
      </c>
      <c r="J394" s="183"/>
      <c r="K394" s="184">
        <v>46041</v>
      </c>
      <c r="L394" s="183">
        <v>67</v>
      </c>
      <c r="M394" s="185" t="str">
        <f>IF(phc_8[[#This Row],[Register No.]]="","",C394&amp;"-"&amp;D394&amp;"-"&amp;"BHA-PHC-"&amp;phc_8[[#This Row],[Register No.]])</f>
        <v>Shining Star-Mobile Clinic-BHA-PHC-67</v>
      </c>
      <c r="N394" s="9" t="s">
        <v>401</v>
      </c>
      <c r="O394" s="183" t="s">
        <v>3497</v>
      </c>
      <c r="P394" s="183">
        <v>67</v>
      </c>
      <c r="Q394" s="183"/>
      <c r="R394" s="183"/>
      <c r="S394" s="186" t="str">
        <f t="shared" si="14"/>
        <v>50 yrs +</v>
      </c>
      <c r="T394" s="183" t="s">
        <v>603</v>
      </c>
      <c r="U394" s="183" t="s">
        <v>2298</v>
      </c>
      <c r="V394" s="183" t="s">
        <v>3909</v>
      </c>
      <c r="W394" s="183" t="s">
        <v>2003</v>
      </c>
      <c r="X394" s="183" t="s">
        <v>181</v>
      </c>
      <c r="Y394" s="186" t="str">
        <f>INDEX(info!$Y$2:$Y$192,MATCH(phc_8[[#This Row],[Sub_Category]],info!$X$2:$X$192,0))</f>
        <v>Chronic medical disease</v>
      </c>
      <c r="Z394" s="186" t="str">
        <f t="array" ref="Z394">INDEX(info!$AA$2:$AA$192,MATCH(PHC!$X394&amp;PHC!$Y394,info!$X$2:$X$192&amp;info!$Y$2:$Y$192,0))</f>
        <v>Non-communicable disease</v>
      </c>
      <c r="AA394" s="183" t="s">
        <v>3916</v>
      </c>
      <c r="AB394" s="9" t="s">
        <v>654</v>
      </c>
      <c r="AC394" s="9" t="s">
        <v>654</v>
      </c>
      <c r="AD394" s="9" t="s">
        <v>654</v>
      </c>
      <c r="AE394" s="9" t="s">
        <v>654</v>
      </c>
      <c r="AF394" s="184"/>
      <c r="AG394" s="183"/>
      <c r="AH394" s="183"/>
      <c r="AI394" s="183"/>
      <c r="AJ394" s="183"/>
      <c r="AK394" s="9" t="s">
        <v>654</v>
      </c>
      <c r="AL394" s="183"/>
      <c r="AM394" s="186" t="str">
        <f>IF(AF394="","","Q"&amp;INT((MONTH(AF394)-1)/3)+1&amp;YEAR(AF394)&amp;#REF!&amp;T394)</f>
        <v/>
      </c>
      <c r="AN394" s="186" t="e">
        <f>IF(K394="","","Q"&amp;INT((MONTH(K394)-1)/3)+1&amp;YEAR(K394)&amp;#REF!)</f>
        <v>#REF!</v>
      </c>
    </row>
    <row r="395" spans="1:40" ht="20.100000000000001" customHeight="1" x14ac:dyDescent="0.25">
      <c r="A395" s="8">
        <v>393</v>
      </c>
      <c r="B395" s="8" t="s">
        <v>399</v>
      </c>
      <c r="C395" s="8" t="s">
        <v>1997</v>
      </c>
      <c r="D395" s="8" t="s">
        <v>2416</v>
      </c>
      <c r="E395" s="8" t="s">
        <v>1998</v>
      </c>
      <c r="F395" s="183" t="s">
        <v>2297</v>
      </c>
      <c r="G395" s="183"/>
      <c r="H395" s="183" t="s">
        <v>2298</v>
      </c>
      <c r="I395" s="183" t="s">
        <v>579</v>
      </c>
      <c r="J395" s="183"/>
      <c r="K395" s="184">
        <v>46041</v>
      </c>
      <c r="L395" s="183">
        <v>68</v>
      </c>
      <c r="M395" s="185" t="str">
        <f>IF(phc_8[[#This Row],[Register No.]]="","",C395&amp;"-"&amp;D395&amp;"-"&amp;"BHA-PHC-"&amp;phc_8[[#This Row],[Register No.]])</f>
        <v>Shining Star-Mobile Clinic-BHA-PHC-68</v>
      </c>
      <c r="N395" s="9" t="s">
        <v>401</v>
      </c>
      <c r="O395" s="183" t="s">
        <v>3900</v>
      </c>
      <c r="P395" s="183">
        <v>68</v>
      </c>
      <c r="Q395" s="183"/>
      <c r="R395" s="183"/>
      <c r="S395" s="186" t="str">
        <f t="shared" si="14"/>
        <v>50 yrs +</v>
      </c>
      <c r="T395" s="183" t="s">
        <v>603</v>
      </c>
      <c r="U395" s="183" t="s">
        <v>2298</v>
      </c>
      <c r="V395" s="183" t="s">
        <v>3344</v>
      </c>
      <c r="W395" s="183" t="s">
        <v>178</v>
      </c>
      <c r="X395" s="183" t="s">
        <v>178</v>
      </c>
      <c r="Y395" s="186" t="str">
        <f>INDEX(info!$Y$2:$Y$192,MATCH(phc_8[[#This Row],[Sub_Category]],info!$X$2:$X$192,0))</f>
        <v>Chronic medical disease</v>
      </c>
      <c r="Z395" s="186" t="str">
        <f t="array" ref="Z395">INDEX(info!$AA$2:$AA$192,MATCH(PHC!$X395&amp;PHC!$Y395,info!$X$2:$X$192&amp;info!$Y$2:$Y$192,0))</f>
        <v>Non-communicable disease</v>
      </c>
      <c r="AA395" s="183" t="s">
        <v>3917</v>
      </c>
      <c r="AB395" s="9" t="s">
        <v>654</v>
      </c>
      <c r="AC395" s="9" t="s">
        <v>654</v>
      </c>
      <c r="AD395" s="9" t="s">
        <v>654</v>
      </c>
      <c r="AE395" s="9" t="s">
        <v>654</v>
      </c>
      <c r="AF395" s="184"/>
      <c r="AG395" s="183"/>
      <c r="AH395" s="183"/>
      <c r="AI395" s="183"/>
      <c r="AJ395" s="183"/>
      <c r="AK395" s="9" t="s">
        <v>654</v>
      </c>
      <c r="AL395" s="183"/>
      <c r="AM395" s="186" t="str">
        <f>IF(AF395="","","Q"&amp;INT((MONTH(AF395)-1)/3)+1&amp;YEAR(AF395)&amp;#REF!&amp;T395)</f>
        <v/>
      </c>
      <c r="AN395" s="186" t="e">
        <f>IF(K395="","","Q"&amp;INT((MONTH(K395)-1)/3)+1&amp;YEAR(K395)&amp;#REF!)</f>
        <v>#REF!</v>
      </c>
    </row>
    <row r="396" spans="1:40" ht="20.100000000000001" customHeight="1" x14ac:dyDescent="0.25">
      <c r="A396" s="8">
        <v>394</v>
      </c>
      <c r="B396" s="8" t="s">
        <v>399</v>
      </c>
      <c r="C396" s="8" t="s">
        <v>1997</v>
      </c>
      <c r="D396" s="8" t="s">
        <v>2416</v>
      </c>
      <c r="E396" s="8" t="s">
        <v>1998</v>
      </c>
      <c r="F396" s="183" t="s">
        <v>2297</v>
      </c>
      <c r="G396" s="183"/>
      <c r="H396" s="183" t="s">
        <v>2298</v>
      </c>
      <c r="I396" s="183" t="s">
        <v>579</v>
      </c>
      <c r="J396" s="183"/>
      <c r="K396" s="184">
        <v>46041</v>
      </c>
      <c r="L396" s="183">
        <v>69</v>
      </c>
      <c r="M396" s="185" t="str">
        <f>IF(phc_8[[#This Row],[Register No.]]="","",C396&amp;"-"&amp;D396&amp;"-"&amp;"BHA-PHC-"&amp;phc_8[[#This Row],[Register No.]])</f>
        <v>Shining Star-Mobile Clinic-BHA-PHC-69</v>
      </c>
      <c r="N396" s="9" t="s">
        <v>401</v>
      </c>
      <c r="O396" s="183" t="s">
        <v>3901</v>
      </c>
      <c r="P396" s="183">
        <v>62</v>
      </c>
      <c r="Q396" s="183"/>
      <c r="R396" s="183"/>
      <c r="S396" s="186" t="str">
        <f t="shared" si="14"/>
        <v>50 yrs +</v>
      </c>
      <c r="T396" s="183" t="s">
        <v>402</v>
      </c>
      <c r="U396" s="183" t="s">
        <v>2298</v>
      </c>
      <c r="V396" s="183" t="s">
        <v>2041</v>
      </c>
      <c r="W396" s="183" t="s">
        <v>178</v>
      </c>
      <c r="X396" s="183" t="s">
        <v>178</v>
      </c>
      <c r="Y396" s="186" t="str">
        <f>INDEX(info!$Y$2:$Y$192,MATCH(phc_8[[#This Row],[Sub_Category]],info!$X$2:$X$192,0))</f>
        <v>Chronic medical disease</v>
      </c>
      <c r="Z396" s="186" t="str">
        <f t="array" ref="Z396">INDEX(info!$AA$2:$AA$192,MATCH(PHC!$X396&amp;PHC!$Y396,info!$X$2:$X$192&amp;info!$Y$2:$Y$192,0))</f>
        <v>Non-communicable disease</v>
      </c>
      <c r="AA396" s="183" t="s">
        <v>3918</v>
      </c>
      <c r="AB396" s="9" t="s">
        <v>654</v>
      </c>
      <c r="AC396" s="9" t="s">
        <v>654</v>
      </c>
      <c r="AD396" s="9" t="s">
        <v>654</v>
      </c>
      <c r="AE396" s="9" t="s">
        <v>654</v>
      </c>
      <c r="AF396" s="184"/>
      <c r="AG396" s="183"/>
      <c r="AH396" s="183"/>
      <c r="AI396" s="183"/>
      <c r="AJ396" s="183"/>
      <c r="AK396" s="9" t="s">
        <v>654</v>
      </c>
      <c r="AL396" s="183"/>
      <c r="AM396" s="186" t="str">
        <f>IF(AF396="","","Q"&amp;INT((MONTH(AF396)-1)/3)+1&amp;YEAR(AF396)&amp;#REF!&amp;T396)</f>
        <v/>
      </c>
      <c r="AN396" s="186" t="e">
        <f>IF(K396="","","Q"&amp;INT((MONTH(K396)-1)/3)+1&amp;YEAR(K396)&amp;#REF!)</f>
        <v>#REF!</v>
      </c>
    </row>
    <row r="397" spans="1:40" ht="20.100000000000001" customHeight="1" x14ac:dyDescent="0.25">
      <c r="A397" s="8">
        <v>395</v>
      </c>
      <c r="B397" s="8" t="s">
        <v>399</v>
      </c>
      <c r="C397" s="8" t="s">
        <v>1997</v>
      </c>
      <c r="D397" s="8" t="s">
        <v>2416</v>
      </c>
      <c r="E397" s="8" t="s">
        <v>1998</v>
      </c>
      <c r="F397" s="183" t="s">
        <v>2297</v>
      </c>
      <c r="G397" s="183"/>
      <c r="H397" s="183" t="s">
        <v>2298</v>
      </c>
      <c r="I397" s="183" t="s">
        <v>579</v>
      </c>
      <c r="J397" s="183"/>
      <c r="K397" s="184">
        <v>46041</v>
      </c>
      <c r="L397" s="183">
        <v>70</v>
      </c>
      <c r="M397" s="185" t="str">
        <f>IF(phc_8[[#This Row],[Register No.]]="","",C397&amp;"-"&amp;D397&amp;"-"&amp;"BHA-PHC-"&amp;phc_8[[#This Row],[Register No.]])</f>
        <v>Shining Star-Mobile Clinic-BHA-PHC-70</v>
      </c>
      <c r="N397" s="9" t="s">
        <v>401</v>
      </c>
      <c r="O397" s="183" t="s">
        <v>3902</v>
      </c>
      <c r="P397" s="183">
        <v>62</v>
      </c>
      <c r="Q397" s="183"/>
      <c r="R397" s="183"/>
      <c r="S397" s="186" t="str">
        <f t="shared" si="14"/>
        <v>50 yrs +</v>
      </c>
      <c r="T397" s="183" t="s">
        <v>603</v>
      </c>
      <c r="U397" s="183" t="s">
        <v>2298</v>
      </c>
      <c r="V397" s="183" t="s">
        <v>3908</v>
      </c>
      <c r="W397" s="183" t="s">
        <v>2003</v>
      </c>
      <c r="X397" s="183" t="s">
        <v>181</v>
      </c>
      <c r="Y397" s="186" t="str">
        <f>INDEX(info!$Y$2:$Y$192,MATCH(phc_8[[#This Row],[Sub_Category]],info!$X$2:$X$192,0))</f>
        <v>Chronic medical disease</v>
      </c>
      <c r="Z397" s="186" t="str">
        <f t="array" ref="Z397">INDEX(info!$AA$2:$AA$192,MATCH(PHC!$X397&amp;PHC!$Y397,info!$X$2:$X$192&amp;info!$Y$2:$Y$192,0))</f>
        <v>Non-communicable disease</v>
      </c>
      <c r="AA397" s="183" t="s">
        <v>3919</v>
      </c>
      <c r="AB397" s="9" t="s">
        <v>654</v>
      </c>
      <c r="AC397" s="9" t="s">
        <v>654</v>
      </c>
      <c r="AD397" s="9" t="s">
        <v>654</v>
      </c>
      <c r="AE397" s="9" t="s">
        <v>654</v>
      </c>
      <c r="AF397" s="184"/>
      <c r="AG397" s="183"/>
      <c r="AH397" s="183"/>
      <c r="AI397" s="183"/>
      <c r="AJ397" s="183"/>
      <c r="AK397" s="9" t="s">
        <v>654</v>
      </c>
      <c r="AL397" s="183"/>
      <c r="AM397" s="186" t="str">
        <f>IF(AF397="","","Q"&amp;INT((MONTH(AF397)-1)/3)+1&amp;YEAR(AF397)&amp;#REF!&amp;T397)</f>
        <v/>
      </c>
      <c r="AN397" s="186" t="e">
        <f>IF(K397="","","Q"&amp;INT((MONTH(K397)-1)/3)+1&amp;YEAR(K397)&amp;#REF!)</f>
        <v>#REF!</v>
      </c>
    </row>
    <row r="398" spans="1:40" ht="20.100000000000001" customHeight="1" x14ac:dyDescent="0.25">
      <c r="A398" s="8">
        <v>396</v>
      </c>
      <c r="B398" s="8" t="s">
        <v>399</v>
      </c>
      <c r="C398" s="8" t="s">
        <v>1997</v>
      </c>
      <c r="D398" s="8" t="s">
        <v>2416</v>
      </c>
      <c r="E398" s="8" t="s">
        <v>1998</v>
      </c>
      <c r="F398" s="183" t="s">
        <v>2297</v>
      </c>
      <c r="G398" s="183"/>
      <c r="H398" s="183" t="s">
        <v>2298</v>
      </c>
      <c r="I398" s="183" t="s">
        <v>579</v>
      </c>
      <c r="J398" s="183"/>
      <c r="K398" s="184">
        <v>46041</v>
      </c>
      <c r="L398" s="183">
        <v>71</v>
      </c>
      <c r="M398" s="185" t="str">
        <f>IF(phc_8[[#This Row],[Register No.]]="","",C398&amp;"-"&amp;D398&amp;"-"&amp;"BHA-PHC-"&amp;phc_8[[#This Row],[Register No.]])</f>
        <v>Shining Star-Mobile Clinic-BHA-PHC-71</v>
      </c>
      <c r="N398" s="9" t="s">
        <v>401</v>
      </c>
      <c r="O398" s="183" t="s">
        <v>3903</v>
      </c>
      <c r="P398" s="183">
        <v>8</v>
      </c>
      <c r="Q398" s="183"/>
      <c r="R398" s="183"/>
      <c r="S398" s="186" t="str">
        <f t="shared" si="14"/>
        <v>5 - 14 yrs</v>
      </c>
      <c r="T398" s="183" t="s">
        <v>402</v>
      </c>
      <c r="U398" s="183" t="s">
        <v>2298</v>
      </c>
      <c r="V398" s="183" t="s">
        <v>3910</v>
      </c>
      <c r="W398" s="183" t="s">
        <v>3071</v>
      </c>
      <c r="X398" s="183" t="s">
        <v>113</v>
      </c>
      <c r="Y398" s="186" t="str">
        <f>INDEX(info!$Y$2:$Y$192,MATCH(phc_8[[#This Row],[Sub_Category]],info!$X$2:$X$192,0))</f>
        <v>ARI/RTI</v>
      </c>
      <c r="Z398" s="186" t="str">
        <f t="array" ref="Z398">INDEX(info!$AA$2:$AA$192,MATCH(PHC!$X398&amp;PHC!$Y398,info!$X$2:$X$192&amp;info!$Y$2:$Y$192,0))</f>
        <v>Communicable disease</v>
      </c>
      <c r="AA398" s="183" t="s">
        <v>2033</v>
      </c>
      <c r="AB398" s="9" t="s">
        <v>654</v>
      </c>
      <c r="AC398" s="9" t="s">
        <v>654</v>
      </c>
      <c r="AD398" s="9" t="s">
        <v>654</v>
      </c>
      <c r="AE398" s="9" t="s">
        <v>654</v>
      </c>
      <c r="AF398" s="184"/>
      <c r="AG398" s="183"/>
      <c r="AH398" s="183"/>
      <c r="AI398" s="183"/>
      <c r="AJ398" s="183"/>
      <c r="AK398" s="9" t="s">
        <v>654</v>
      </c>
      <c r="AL398" s="183"/>
      <c r="AM398" s="186" t="str">
        <f>IF(AF398="","","Q"&amp;INT((MONTH(AF398)-1)/3)+1&amp;YEAR(AF398)&amp;#REF!&amp;T398)</f>
        <v/>
      </c>
      <c r="AN398" s="186" t="e">
        <f>IF(K398="","","Q"&amp;INT((MONTH(K398)-1)/3)+1&amp;YEAR(K398)&amp;#REF!)</f>
        <v>#REF!</v>
      </c>
    </row>
    <row r="399" spans="1:40" ht="20.100000000000001" customHeight="1" x14ac:dyDescent="0.25">
      <c r="A399" s="8">
        <v>397</v>
      </c>
      <c r="B399" s="8" t="s">
        <v>399</v>
      </c>
      <c r="C399" s="8" t="s">
        <v>1997</v>
      </c>
      <c r="D399" s="8" t="s">
        <v>2416</v>
      </c>
      <c r="E399" s="8" t="s">
        <v>1998</v>
      </c>
      <c r="F399" s="183" t="s">
        <v>2297</v>
      </c>
      <c r="G399" s="183"/>
      <c r="H399" s="183" t="s">
        <v>2298</v>
      </c>
      <c r="I399" s="183" t="s">
        <v>579</v>
      </c>
      <c r="J399" s="183"/>
      <c r="K399" s="184">
        <v>46041</v>
      </c>
      <c r="L399" s="183">
        <v>72</v>
      </c>
      <c r="M399" s="185" t="str">
        <f>IF(phc_8[[#This Row],[Register No.]]="","",C399&amp;"-"&amp;D399&amp;"-"&amp;"BHA-PHC-"&amp;phc_8[[#This Row],[Register No.]])</f>
        <v>Shining Star-Mobile Clinic-BHA-PHC-72</v>
      </c>
      <c r="N399" s="9" t="s">
        <v>401</v>
      </c>
      <c r="O399" s="183" t="s">
        <v>3904</v>
      </c>
      <c r="P399" s="183">
        <v>33</v>
      </c>
      <c r="Q399" s="183"/>
      <c r="R399" s="183"/>
      <c r="S399" s="186" t="str">
        <f t="shared" si="14"/>
        <v>19 - 49 yrs</v>
      </c>
      <c r="T399" s="183" t="s">
        <v>603</v>
      </c>
      <c r="U399" s="183" t="s">
        <v>2298</v>
      </c>
      <c r="V399" s="183" t="s">
        <v>3911</v>
      </c>
      <c r="W399" s="183" t="s">
        <v>3416</v>
      </c>
      <c r="X399" s="183" t="s">
        <v>103</v>
      </c>
      <c r="Y399" s="186" t="str">
        <f>INDEX(info!$Y$2:$Y$192,MATCH(phc_8[[#This Row],[Sub_Category]],info!$X$2:$X$192,0))</f>
        <v>ARI/RTI</v>
      </c>
      <c r="Z399" s="186" t="str">
        <f t="array" ref="Z399">INDEX(info!$AA$2:$AA$192,MATCH(PHC!$X399&amp;PHC!$Y399,info!$X$2:$X$192&amp;info!$Y$2:$Y$192,0))</f>
        <v>Communicable disease</v>
      </c>
      <c r="AA399" s="183" t="s">
        <v>3920</v>
      </c>
      <c r="AB399" s="9" t="s">
        <v>654</v>
      </c>
      <c r="AC399" s="9" t="s">
        <v>654</v>
      </c>
      <c r="AD399" s="9" t="s">
        <v>654</v>
      </c>
      <c r="AE399" s="9" t="s">
        <v>654</v>
      </c>
      <c r="AF399" s="184"/>
      <c r="AG399" s="183"/>
      <c r="AH399" s="183"/>
      <c r="AI399" s="183"/>
      <c r="AJ399" s="183"/>
      <c r="AK399" s="9" t="s">
        <v>654</v>
      </c>
      <c r="AL399" s="183"/>
      <c r="AM399" s="186" t="str">
        <f>IF(AF399="","","Q"&amp;INT((MONTH(AF399)-1)/3)+1&amp;YEAR(AF399)&amp;#REF!&amp;T399)</f>
        <v/>
      </c>
      <c r="AN399" s="186" t="e">
        <f>IF(K399="","","Q"&amp;INT((MONTH(K399)-1)/3)+1&amp;YEAR(K399)&amp;#REF!)</f>
        <v>#REF!</v>
      </c>
    </row>
    <row r="400" spans="1:40" ht="20.100000000000001" customHeight="1" x14ac:dyDescent="0.25">
      <c r="A400" s="8">
        <v>398</v>
      </c>
      <c r="B400" s="8" t="s">
        <v>399</v>
      </c>
      <c r="C400" s="8" t="s">
        <v>1997</v>
      </c>
      <c r="D400" s="8" t="s">
        <v>2416</v>
      </c>
      <c r="E400" s="8" t="s">
        <v>1998</v>
      </c>
      <c r="F400" s="183" t="s">
        <v>2297</v>
      </c>
      <c r="G400" s="183"/>
      <c r="H400" s="183" t="s">
        <v>2298</v>
      </c>
      <c r="I400" s="183" t="s">
        <v>579</v>
      </c>
      <c r="J400" s="183"/>
      <c r="K400" s="184">
        <v>46041</v>
      </c>
      <c r="L400" s="183">
        <v>73</v>
      </c>
      <c r="M400" s="185" t="str">
        <f>IF(phc_8[[#This Row],[Register No.]]="","",C400&amp;"-"&amp;D400&amp;"-"&amp;"BHA-PHC-"&amp;phc_8[[#This Row],[Register No.]])</f>
        <v>Shining Star-Mobile Clinic-BHA-PHC-73</v>
      </c>
      <c r="N400" s="9" t="s">
        <v>401</v>
      </c>
      <c r="O400" s="183" t="s">
        <v>3905</v>
      </c>
      <c r="P400" s="183">
        <v>57</v>
      </c>
      <c r="Q400" s="183"/>
      <c r="R400" s="183"/>
      <c r="S400" s="186" t="str">
        <f t="shared" si="14"/>
        <v>50 yrs +</v>
      </c>
      <c r="T400" s="183" t="s">
        <v>402</v>
      </c>
      <c r="U400" s="183" t="s">
        <v>2298</v>
      </c>
      <c r="V400" s="183" t="s">
        <v>3912</v>
      </c>
      <c r="W400" s="183" t="s">
        <v>112</v>
      </c>
      <c r="X400" s="183" t="s">
        <v>112</v>
      </c>
      <c r="Y400" s="186" t="str">
        <f>INDEX(info!$Y$2:$Y$192,MATCH(phc_8[[#This Row],[Sub_Category]],info!$X$2:$X$192,0))</f>
        <v>Asthma</v>
      </c>
      <c r="Z400" s="186" t="str">
        <f t="array" ref="Z400">INDEX(info!$AA$2:$AA$192,MATCH(PHC!$X400&amp;PHC!$Y400,info!$X$2:$X$192&amp;info!$Y$2:$Y$192,0))</f>
        <v>Non-communicable disease</v>
      </c>
      <c r="AA400" s="183" t="s">
        <v>3921</v>
      </c>
      <c r="AB400" s="9" t="s">
        <v>654</v>
      </c>
      <c r="AC400" s="9" t="s">
        <v>654</v>
      </c>
      <c r="AD400" s="9" t="s">
        <v>654</v>
      </c>
      <c r="AE400" s="9" t="s">
        <v>654</v>
      </c>
      <c r="AF400" s="184"/>
      <c r="AG400" s="183"/>
      <c r="AH400" s="183"/>
      <c r="AI400" s="183"/>
      <c r="AJ400" s="183"/>
      <c r="AK400" s="9" t="s">
        <v>654</v>
      </c>
      <c r="AL400" s="183"/>
      <c r="AM400" s="186" t="str">
        <f>IF(AF400="","","Q"&amp;INT((MONTH(AF400)-1)/3)+1&amp;YEAR(AF400)&amp;#REF!&amp;T400)</f>
        <v/>
      </c>
      <c r="AN400" s="186" t="e">
        <f>IF(K400="","","Q"&amp;INT((MONTH(K400)-1)/3)+1&amp;YEAR(K400)&amp;#REF!)</f>
        <v>#REF!</v>
      </c>
    </row>
    <row r="401" spans="1:40" ht="20.100000000000001" customHeight="1" x14ac:dyDescent="0.25">
      <c r="A401" s="8">
        <v>399</v>
      </c>
      <c r="B401" s="8" t="s">
        <v>399</v>
      </c>
      <c r="C401" s="8" t="s">
        <v>1997</v>
      </c>
      <c r="D401" s="8" t="s">
        <v>2416</v>
      </c>
      <c r="E401" s="8" t="s">
        <v>1998</v>
      </c>
      <c r="F401" s="183" t="s">
        <v>2297</v>
      </c>
      <c r="G401" s="183"/>
      <c r="H401" s="183" t="s">
        <v>2298</v>
      </c>
      <c r="I401" s="183" t="s">
        <v>579</v>
      </c>
      <c r="J401" s="183"/>
      <c r="K401" s="184">
        <v>46041</v>
      </c>
      <c r="L401" s="183">
        <v>74</v>
      </c>
      <c r="M401" s="185" t="str">
        <f>IF(phc_8[[#This Row],[Register No.]]="","",C401&amp;"-"&amp;D401&amp;"-"&amp;"BHA-PHC-"&amp;phc_8[[#This Row],[Register No.]])</f>
        <v>Shining Star-Mobile Clinic-BHA-PHC-74</v>
      </c>
      <c r="N401" s="9" t="s">
        <v>401</v>
      </c>
      <c r="O401" s="183" t="s">
        <v>3906</v>
      </c>
      <c r="P401" s="183">
        <v>67</v>
      </c>
      <c r="Q401" s="183"/>
      <c r="R401" s="183"/>
      <c r="S401" s="186" t="str">
        <f t="shared" si="14"/>
        <v>50 yrs +</v>
      </c>
      <c r="T401" s="183" t="s">
        <v>402</v>
      </c>
      <c r="U401" s="183" t="s">
        <v>2298</v>
      </c>
      <c r="V401" s="183" t="s">
        <v>3179</v>
      </c>
      <c r="W401" s="183" t="s">
        <v>3372</v>
      </c>
      <c r="X401" s="183" t="s">
        <v>2014</v>
      </c>
      <c r="Y401" s="186" t="str">
        <f>INDEX(info!$Y$2:$Y$192,MATCH(phc_8[[#This Row],[Sub_Category]],info!$X$2:$X$192,0))</f>
        <v>Other (non-communicable)</v>
      </c>
      <c r="Z401" s="186" t="str">
        <f t="array" ref="Z401">INDEX(info!$AA$2:$AA$192,MATCH(PHC!$X401&amp;PHC!$Y401,info!$X$2:$X$192&amp;info!$Y$2:$Y$192,0))</f>
        <v>Other</v>
      </c>
      <c r="AA401" s="183" t="s">
        <v>3922</v>
      </c>
      <c r="AB401" s="9" t="s">
        <v>654</v>
      </c>
      <c r="AC401" s="9" t="s">
        <v>654</v>
      </c>
      <c r="AD401" s="9" t="s">
        <v>654</v>
      </c>
      <c r="AE401" s="9" t="s">
        <v>654</v>
      </c>
      <c r="AF401" s="184"/>
      <c r="AG401" s="183"/>
      <c r="AH401" s="183"/>
      <c r="AI401" s="183"/>
      <c r="AJ401" s="183"/>
      <c r="AK401" s="9" t="s">
        <v>654</v>
      </c>
      <c r="AL401" s="183"/>
      <c r="AM401" s="186" t="str">
        <f>IF(AF401="","","Q"&amp;INT((MONTH(AF401)-1)/3)+1&amp;YEAR(AF401)&amp;#REF!&amp;T401)</f>
        <v/>
      </c>
      <c r="AN401" s="186" t="e">
        <f>IF(K401="","","Q"&amp;INT((MONTH(K401)-1)/3)+1&amp;YEAR(K401)&amp;#REF!)</f>
        <v>#REF!</v>
      </c>
    </row>
    <row r="402" spans="1:40" ht="20.100000000000001" customHeight="1" x14ac:dyDescent="0.25">
      <c r="A402" s="8">
        <v>400</v>
      </c>
      <c r="B402" s="8" t="s">
        <v>399</v>
      </c>
      <c r="C402" s="8" t="s">
        <v>1997</v>
      </c>
      <c r="D402" s="8" t="s">
        <v>2416</v>
      </c>
      <c r="E402" s="8" t="s">
        <v>1998</v>
      </c>
      <c r="F402" s="183" t="s">
        <v>2297</v>
      </c>
      <c r="G402" s="183"/>
      <c r="H402" s="183" t="s">
        <v>2298</v>
      </c>
      <c r="I402" s="183" t="s">
        <v>579</v>
      </c>
      <c r="J402" s="183"/>
      <c r="K402" s="184">
        <v>46041</v>
      </c>
      <c r="L402" s="183">
        <v>75</v>
      </c>
      <c r="M402" s="185" t="str">
        <f>IF(phc_8[[#This Row],[Register No.]]="","",C402&amp;"-"&amp;D402&amp;"-"&amp;"BHA-PHC-"&amp;phc_8[[#This Row],[Register No.]])</f>
        <v>Shining Star-Mobile Clinic-BHA-PHC-75</v>
      </c>
      <c r="N402" s="9" t="s">
        <v>401</v>
      </c>
      <c r="O402" s="183" t="s">
        <v>3907</v>
      </c>
      <c r="P402" s="183">
        <v>47</v>
      </c>
      <c r="Q402" s="183"/>
      <c r="R402" s="183"/>
      <c r="S402" s="186" t="str">
        <f t="shared" si="14"/>
        <v>19 - 49 yrs</v>
      </c>
      <c r="T402" s="183" t="s">
        <v>603</v>
      </c>
      <c r="U402" s="183" t="s">
        <v>2298</v>
      </c>
      <c r="V402" s="183" t="s">
        <v>3913</v>
      </c>
      <c r="W402" s="183" t="s">
        <v>2003</v>
      </c>
      <c r="X402" s="183" t="s">
        <v>181</v>
      </c>
      <c r="Y402" s="186" t="str">
        <f>INDEX(info!$Y$2:$Y$192,MATCH(phc_8[[#This Row],[Sub_Category]],info!$X$2:$X$192,0))</f>
        <v>Chronic medical disease</v>
      </c>
      <c r="Z402" s="186" t="str">
        <f t="array" ref="Z402">INDEX(info!$AA$2:$AA$192,MATCH(PHC!$X402&amp;PHC!$Y402,info!$X$2:$X$192&amp;info!$Y$2:$Y$192,0))</f>
        <v>Non-communicable disease</v>
      </c>
      <c r="AA402" s="183" t="s">
        <v>3923</v>
      </c>
      <c r="AB402" s="9" t="s">
        <v>654</v>
      </c>
      <c r="AC402" s="9" t="s">
        <v>654</v>
      </c>
      <c r="AD402" s="9" t="s">
        <v>654</v>
      </c>
      <c r="AE402" s="9" t="s">
        <v>654</v>
      </c>
      <c r="AF402" s="184"/>
      <c r="AG402" s="183"/>
      <c r="AH402" s="183"/>
      <c r="AI402" s="183"/>
      <c r="AJ402" s="183"/>
      <c r="AK402" s="9" t="s">
        <v>654</v>
      </c>
      <c r="AL402" s="183"/>
      <c r="AM402" s="186" t="str">
        <f>IF(AF402="","","Q"&amp;INT((MONTH(AF402)-1)/3)+1&amp;YEAR(AF402)&amp;#REF!&amp;T402)</f>
        <v/>
      </c>
      <c r="AN402" s="186" t="e">
        <f>IF(K402="","","Q"&amp;INT((MONTH(K402)-1)/3)+1&amp;YEAR(K402)&amp;#REF!)</f>
        <v>#REF!</v>
      </c>
    </row>
    <row r="403" spans="1:40" ht="20.100000000000001" customHeight="1" x14ac:dyDescent="0.25">
      <c r="A403" s="8">
        <v>401</v>
      </c>
      <c r="B403" s="8" t="s">
        <v>399</v>
      </c>
      <c r="C403" s="8" t="s">
        <v>1997</v>
      </c>
      <c r="D403" s="8" t="s">
        <v>2416</v>
      </c>
      <c r="E403" s="8" t="s">
        <v>1998</v>
      </c>
      <c r="F403" s="183" t="s">
        <v>2297</v>
      </c>
      <c r="G403" s="183"/>
      <c r="H403" s="183" t="s">
        <v>2298</v>
      </c>
      <c r="I403" s="183" t="s">
        <v>579</v>
      </c>
      <c r="J403" s="183"/>
      <c r="K403" s="184">
        <v>46041</v>
      </c>
      <c r="L403" s="183">
        <v>76</v>
      </c>
      <c r="M403" s="185" t="str">
        <f>IF(phc_8[[#This Row],[Register No.]]="","",C403&amp;"-"&amp;D403&amp;"-"&amp;"BHA-PHC-"&amp;phc_8[[#This Row],[Register No.]])</f>
        <v>Shining Star-Mobile Clinic-BHA-PHC-76</v>
      </c>
      <c r="N403" s="9" t="s">
        <v>401</v>
      </c>
      <c r="O403" s="183" t="s">
        <v>3924</v>
      </c>
      <c r="P403" s="183">
        <v>56</v>
      </c>
      <c r="Q403" s="183"/>
      <c r="R403" s="183"/>
      <c r="S403" s="186" t="str">
        <f t="shared" si="14"/>
        <v>50 yrs +</v>
      </c>
      <c r="T403" s="183" t="s">
        <v>603</v>
      </c>
      <c r="U403" s="183" t="s">
        <v>2298</v>
      </c>
      <c r="V403" s="183" t="s">
        <v>3933</v>
      </c>
      <c r="W403" s="183" t="s">
        <v>178</v>
      </c>
      <c r="X403" s="183" t="s">
        <v>178</v>
      </c>
      <c r="Y403" s="186" t="str">
        <f>INDEX(info!$Y$2:$Y$192,MATCH(phc_8[[#This Row],[Sub_Category]],info!$X$2:$X$192,0))</f>
        <v>Chronic medical disease</v>
      </c>
      <c r="Z403" s="186" t="str">
        <f t="array" ref="Z403">INDEX(info!$AA$2:$AA$192,MATCH(PHC!$X403&amp;PHC!$Y403,info!$X$2:$X$192&amp;info!$Y$2:$Y$192,0))</f>
        <v>Non-communicable disease</v>
      </c>
      <c r="AA403" s="183" t="s">
        <v>3942</v>
      </c>
      <c r="AB403" s="9" t="s">
        <v>654</v>
      </c>
      <c r="AC403" s="9" t="s">
        <v>654</v>
      </c>
      <c r="AD403" s="9" t="s">
        <v>654</v>
      </c>
      <c r="AE403" s="9" t="s">
        <v>654</v>
      </c>
      <c r="AF403" s="184"/>
      <c r="AG403" s="183"/>
      <c r="AH403" s="183"/>
      <c r="AI403" s="183"/>
      <c r="AJ403" s="183"/>
      <c r="AK403" s="9" t="s">
        <v>654</v>
      </c>
      <c r="AL403" s="183"/>
      <c r="AM403" s="186" t="str">
        <f>IF(AF403="","","Q"&amp;INT((MONTH(AF403)-1)/3)+1&amp;YEAR(AF403)&amp;#REF!&amp;T403)</f>
        <v/>
      </c>
      <c r="AN403" s="186" t="e">
        <f>IF(K403="","","Q"&amp;INT((MONTH(K403)-1)/3)+1&amp;YEAR(K403)&amp;#REF!)</f>
        <v>#REF!</v>
      </c>
    </row>
    <row r="404" spans="1:40" ht="20.100000000000001" customHeight="1" x14ac:dyDescent="0.25">
      <c r="A404" s="8">
        <v>402</v>
      </c>
      <c r="B404" s="8" t="s">
        <v>399</v>
      </c>
      <c r="C404" s="8" t="s">
        <v>1997</v>
      </c>
      <c r="D404" s="8" t="s">
        <v>2416</v>
      </c>
      <c r="E404" s="8" t="s">
        <v>1998</v>
      </c>
      <c r="F404" s="183" t="s">
        <v>2297</v>
      </c>
      <c r="G404" s="183"/>
      <c r="H404" s="183" t="s">
        <v>2298</v>
      </c>
      <c r="I404" s="183" t="s">
        <v>579</v>
      </c>
      <c r="J404" s="183"/>
      <c r="K404" s="184">
        <v>46041</v>
      </c>
      <c r="L404" s="183">
        <v>77</v>
      </c>
      <c r="M404" s="185" t="str">
        <f>IF(phc_8[[#This Row],[Register No.]]="","",C404&amp;"-"&amp;D404&amp;"-"&amp;"BHA-PHC-"&amp;phc_8[[#This Row],[Register No.]])</f>
        <v>Shining Star-Mobile Clinic-BHA-PHC-77</v>
      </c>
      <c r="N404" s="9" t="s">
        <v>401</v>
      </c>
      <c r="O404" s="183" t="s">
        <v>3925</v>
      </c>
      <c r="P404" s="183">
        <v>45</v>
      </c>
      <c r="Q404" s="183"/>
      <c r="R404" s="183"/>
      <c r="S404" s="186" t="str">
        <f t="shared" si="14"/>
        <v>19 - 49 yrs</v>
      </c>
      <c r="T404" s="183" t="s">
        <v>603</v>
      </c>
      <c r="U404" s="183" t="s">
        <v>2298</v>
      </c>
      <c r="V404" s="183" t="s">
        <v>3934</v>
      </c>
      <c r="W404" s="183" t="s">
        <v>3940</v>
      </c>
      <c r="X404" s="183" t="s">
        <v>108</v>
      </c>
      <c r="Y404" s="186" t="str">
        <f>INDEX(info!$Y$2:$Y$192,MATCH(phc_8[[#This Row],[Sub_Category]],info!$X$2:$X$192,0))</f>
        <v>ARI/RTI</v>
      </c>
      <c r="Z404" s="186" t="str">
        <f t="array" ref="Z404">INDEX(info!$AA$2:$AA$192,MATCH(PHC!$X404&amp;PHC!$Y404,info!$X$2:$X$192&amp;info!$Y$2:$Y$192,0))</f>
        <v>Communicable disease</v>
      </c>
      <c r="AA404" s="183" t="s">
        <v>3943</v>
      </c>
      <c r="AB404" s="9" t="s">
        <v>654</v>
      </c>
      <c r="AC404" s="9" t="s">
        <v>654</v>
      </c>
      <c r="AD404" s="9" t="s">
        <v>654</v>
      </c>
      <c r="AE404" s="9" t="s">
        <v>654</v>
      </c>
      <c r="AF404" s="184"/>
      <c r="AG404" s="183"/>
      <c r="AH404" s="183"/>
      <c r="AI404" s="183"/>
      <c r="AJ404" s="183"/>
      <c r="AK404" s="9" t="s">
        <v>654</v>
      </c>
      <c r="AL404" s="183"/>
      <c r="AM404" s="186" t="str">
        <f>IF(AF404="","","Q"&amp;INT((MONTH(AF404)-1)/3)+1&amp;YEAR(AF404)&amp;#REF!&amp;T404)</f>
        <v/>
      </c>
      <c r="AN404" s="186" t="e">
        <f>IF(K404="","","Q"&amp;INT((MONTH(K404)-1)/3)+1&amp;YEAR(K404)&amp;#REF!)</f>
        <v>#REF!</v>
      </c>
    </row>
    <row r="405" spans="1:40" ht="20.100000000000001" customHeight="1" x14ac:dyDescent="0.25">
      <c r="A405" s="8">
        <v>403</v>
      </c>
      <c r="B405" s="8" t="s">
        <v>399</v>
      </c>
      <c r="C405" s="8" t="s">
        <v>1997</v>
      </c>
      <c r="D405" s="8" t="s">
        <v>2416</v>
      </c>
      <c r="E405" s="8" t="s">
        <v>1998</v>
      </c>
      <c r="F405" s="183" t="s">
        <v>2297</v>
      </c>
      <c r="G405" s="183"/>
      <c r="H405" s="183" t="s">
        <v>2298</v>
      </c>
      <c r="I405" s="183" t="s">
        <v>579</v>
      </c>
      <c r="J405" s="183"/>
      <c r="K405" s="184">
        <v>46041</v>
      </c>
      <c r="L405" s="183">
        <v>78</v>
      </c>
      <c r="M405" s="185" t="str">
        <f>IF(phc_8[[#This Row],[Register No.]]="","",C405&amp;"-"&amp;D405&amp;"-"&amp;"BHA-PHC-"&amp;phc_8[[#This Row],[Register No.]])</f>
        <v>Shining Star-Mobile Clinic-BHA-PHC-78</v>
      </c>
      <c r="N405" s="9" t="s">
        <v>401</v>
      </c>
      <c r="O405" s="183" t="s">
        <v>3926</v>
      </c>
      <c r="P405" s="183">
        <v>59</v>
      </c>
      <c r="Q405" s="183"/>
      <c r="R405" s="183"/>
      <c r="S405" s="186" t="str">
        <f t="shared" ref="S405:S414" si="15">IF(AND(ISBLANK(P405),ISBLANK(Q405),ISBLANK(R405))," ",
IF(OR(P405&lt;5,AND(P405=" ",Q405&lt;&gt;" ",R405&lt;&gt;" ")),"&lt;5 yrs",
IF(AND(P405&gt;=5,P405&lt;=14),"5 - 14 yrs",
IF(AND(P405&gt;=15,P405&lt;=18),"15 - 18 yrs",
IF(AND(P405&gt;=19,P405&lt;=49),"19 - 49 yrs","50 yrs +")))))</f>
        <v>50 yrs +</v>
      </c>
      <c r="T405" s="183" t="s">
        <v>402</v>
      </c>
      <c r="U405" s="183" t="s">
        <v>2298</v>
      </c>
      <c r="V405" s="183" t="s">
        <v>3935</v>
      </c>
      <c r="W405" s="183" t="s">
        <v>3941</v>
      </c>
      <c r="X405" s="183"/>
      <c r="Y405" s="186" t="e">
        <f>INDEX(info!$Y$2:$Y$192,MATCH(phc_8[[#This Row],[Sub_Category]],info!$X$2:$X$192,0))</f>
        <v>#N/A</v>
      </c>
      <c r="Z405" s="186" t="e">
        <f t="array" ref="Z405">INDEX(info!$AA$2:$AA$192,MATCH(PHC!$X405&amp;PHC!$Y405,info!$X$2:$X$192&amp;info!$Y$2:$Y$192,0))</f>
        <v>#N/A</v>
      </c>
      <c r="AA405" s="183" t="s">
        <v>3944</v>
      </c>
      <c r="AB405" s="9" t="s">
        <v>654</v>
      </c>
      <c r="AC405" s="9" t="s">
        <v>654</v>
      </c>
      <c r="AD405" s="9" t="s">
        <v>654</v>
      </c>
      <c r="AE405" s="9" t="s">
        <v>654</v>
      </c>
      <c r="AF405" s="184"/>
      <c r="AG405" s="183"/>
      <c r="AH405" s="183"/>
      <c r="AI405" s="183"/>
      <c r="AJ405" s="183"/>
      <c r="AK405" s="9" t="s">
        <v>654</v>
      </c>
      <c r="AL405" s="183"/>
      <c r="AM405" s="186" t="str">
        <f>IF(AF405="","","Q"&amp;INT((MONTH(AF405)-1)/3)+1&amp;YEAR(AF405)&amp;#REF!&amp;T405)</f>
        <v/>
      </c>
      <c r="AN405" s="186" t="e">
        <f>IF(K405="","","Q"&amp;INT((MONTH(K405)-1)/3)+1&amp;YEAR(K405)&amp;#REF!)</f>
        <v>#REF!</v>
      </c>
    </row>
    <row r="406" spans="1:40" ht="20.100000000000001" customHeight="1" x14ac:dyDescent="0.25">
      <c r="A406" s="8">
        <v>404</v>
      </c>
      <c r="B406" s="8" t="s">
        <v>399</v>
      </c>
      <c r="C406" s="8" t="s">
        <v>1997</v>
      </c>
      <c r="D406" s="8" t="s">
        <v>2416</v>
      </c>
      <c r="E406" s="8" t="s">
        <v>1998</v>
      </c>
      <c r="F406" s="183" t="s">
        <v>2297</v>
      </c>
      <c r="G406" s="183"/>
      <c r="H406" s="183" t="s">
        <v>2298</v>
      </c>
      <c r="I406" s="183" t="s">
        <v>579</v>
      </c>
      <c r="J406" s="183"/>
      <c r="K406" s="184">
        <v>46041</v>
      </c>
      <c r="L406" s="183">
        <v>79</v>
      </c>
      <c r="M406" s="185" t="str">
        <f>IF(phc_8[[#This Row],[Register No.]]="","",C406&amp;"-"&amp;D406&amp;"-"&amp;"BHA-PHC-"&amp;phc_8[[#This Row],[Register No.]])</f>
        <v>Shining Star-Mobile Clinic-BHA-PHC-79</v>
      </c>
      <c r="N406" s="9" t="s">
        <v>401</v>
      </c>
      <c r="O406" s="183" t="s">
        <v>3927</v>
      </c>
      <c r="P406" s="183">
        <v>53</v>
      </c>
      <c r="Q406" s="183"/>
      <c r="R406" s="183"/>
      <c r="S406" s="186" t="str">
        <f t="shared" si="15"/>
        <v>50 yrs +</v>
      </c>
      <c r="T406" s="183" t="s">
        <v>603</v>
      </c>
      <c r="U406" s="183" t="s">
        <v>2298</v>
      </c>
      <c r="V406" s="183" t="s">
        <v>3933</v>
      </c>
      <c r="W406" s="183" t="s">
        <v>2014</v>
      </c>
      <c r="X406" s="183" t="s">
        <v>2014</v>
      </c>
      <c r="Y406" s="186" t="str">
        <f>INDEX(info!$Y$2:$Y$192,MATCH(phc_8[[#This Row],[Sub_Category]],info!$X$2:$X$192,0))</f>
        <v>Other (non-communicable)</v>
      </c>
      <c r="Z406" s="186" t="str">
        <f t="array" ref="Z406">INDEX(info!$AA$2:$AA$192,MATCH(PHC!$X406&amp;PHC!$Y406,info!$X$2:$X$192&amp;info!$Y$2:$Y$192,0))</f>
        <v>Other</v>
      </c>
      <c r="AA406" s="183" t="s">
        <v>3945</v>
      </c>
      <c r="AB406" s="9" t="s">
        <v>654</v>
      </c>
      <c r="AC406" s="9" t="s">
        <v>654</v>
      </c>
      <c r="AD406" s="9" t="s">
        <v>654</v>
      </c>
      <c r="AE406" s="9" t="s">
        <v>654</v>
      </c>
      <c r="AF406" s="184"/>
      <c r="AG406" s="183"/>
      <c r="AH406" s="183"/>
      <c r="AI406" s="183"/>
      <c r="AJ406" s="183"/>
      <c r="AK406" s="9" t="s">
        <v>654</v>
      </c>
      <c r="AL406" s="183"/>
      <c r="AM406" s="186" t="str">
        <f>IF(AF406="","","Q"&amp;INT((MONTH(AF406)-1)/3)+1&amp;YEAR(AF406)&amp;#REF!&amp;T406)</f>
        <v/>
      </c>
      <c r="AN406" s="186" t="e">
        <f>IF(K406="","","Q"&amp;INT((MONTH(K406)-1)/3)+1&amp;YEAR(K406)&amp;#REF!)</f>
        <v>#REF!</v>
      </c>
    </row>
    <row r="407" spans="1:40" ht="20.100000000000001" customHeight="1" x14ac:dyDescent="0.25">
      <c r="A407" s="8">
        <v>405</v>
      </c>
      <c r="B407" s="8" t="s">
        <v>399</v>
      </c>
      <c r="C407" s="8" t="s">
        <v>1997</v>
      </c>
      <c r="D407" s="8" t="s">
        <v>2416</v>
      </c>
      <c r="E407" s="8" t="s">
        <v>1998</v>
      </c>
      <c r="F407" s="183" t="s">
        <v>2297</v>
      </c>
      <c r="G407" s="183"/>
      <c r="H407" s="183" t="s">
        <v>2298</v>
      </c>
      <c r="I407" s="183" t="s">
        <v>579</v>
      </c>
      <c r="J407" s="183"/>
      <c r="K407" s="184">
        <v>46041</v>
      </c>
      <c r="L407" s="183">
        <v>80</v>
      </c>
      <c r="M407" s="185" t="str">
        <f>IF(phc_8[[#This Row],[Register No.]]="","",C407&amp;"-"&amp;D407&amp;"-"&amp;"BHA-PHC-"&amp;phc_8[[#This Row],[Register No.]])</f>
        <v>Shining Star-Mobile Clinic-BHA-PHC-80</v>
      </c>
      <c r="N407" s="9" t="s">
        <v>401</v>
      </c>
      <c r="O407" s="183" t="s">
        <v>3438</v>
      </c>
      <c r="P407" s="183">
        <v>67</v>
      </c>
      <c r="Q407" s="183"/>
      <c r="R407" s="183"/>
      <c r="S407" s="186" t="str">
        <f t="shared" si="15"/>
        <v>50 yrs +</v>
      </c>
      <c r="T407" s="183" t="s">
        <v>402</v>
      </c>
      <c r="U407" s="183" t="s">
        <v>2298</v>
      </c>
      <c r="V407" s="183" t="s">
        <v>3233</v>
      </c>
      <c r="W407" s="183" t="s">
        <v>3659</v>
      </c>
      <c r="X407" s="183" t="s">
        <v>103</v>
      </c>
      <c r="Y407" s="186" t="str">
        <f>INDEX(info!$Y$2:$Y$192,MATCH(phc_8[[#This Row],[Sub_Category]],info!$X$2:$X$192,0))</f>
        <v>ARI/RTI</v>
      </c>
      <c r="Z407" s="186" t="str">
        <f t="array" ref="Z407">INDEX(info!$AA$2:$AA$192,MATCH(PHC!$X407&amp;PHC!$Y407,info!$X$2:$X$192&amp;info!$Y$2:$Y$192,0))</f>
        <v>Communicable disease</v>
      </c>
      <c r="AA407" s="183" t="s">
        <v>3946</v>
      </c>
      <c r="AB407" s="9" t="s">
        <v>654</v>
      </c>
      <c r="AC407" s="9" t="s">
        <v>654</v>
      </c>
      <c r="AD407" s="9" t="s">
        <v>654</v>
      </c>
      <c r="AE407" s="9" t="s">
        <v>654</v>
      </c>
      <c r="AF407" s="184"/>
      <c r="AG407" s="183"/>
      <c r="AH407" s="183"/>
      <c r="AI407" s="183"/>
      <c r="AJ407" s="183"/>
      <c r="AK407" s="9" t="s">
        <v>654</v>
      </c>
      <c r="AL407" s="183"/>
      <c r="AM407" s="186" t="str">
        <f>IF(AF407="","","Q"&amp;INT((MONTH(AF407)-1)/3)+1&amp;YEAR(AF407)&amp;#REF!&amp;T407)</f>
        <v/>
      </c>
      <c r="AN407" s="186" t="e">
        <f>IF(K407="","","Q"&amp;INT((MONTH(K407)-1)/3)+1&amp;YEAR(K407)&amp;#REF!)</f>
        <v>#REF!</v>
      </c>
    </row>
    <row r="408" spans="1:40" ht="20.100000000000001" customHeight="1" x14ac:dyDescent="0.25">
      <c r="A408" s="8">
        <v>406</v>
      </c>
      <c r="B408" s="8" t="s">
        <v>399</v>
      </c>
      <c r="C408" s="8" t="s">
        <v>1997</v>
      </c>
      <c r="D408" s="8" t="s">
        <v>2416</v>
      </c>
      <c r="E408" s="8" t="s">
        <v>1998</v>
      </c>
      <c r="F408" s="183" t="s">
        <v>2297</v>
      </c>
      <c r="G408" s="183"/>
      <c r="H408" s="183" t="s">
        <v>2298</v>
      </c>
      <c r="I408" s="183" t="s">
        <v>579</v>
      </c>
      <c r="J408" s="183"/>
      <c r="K408" s="184">
        <v>46041</v>
      </c>
      <c r="L408" s="183">
        <v>81</v>
      </c>
      <c r="M408" s="185" t="str">
        <f>IF(phc_8[[#This Row],[Register No.]]="","",C408&amp;"-"&amp;D408&amp;"-"&amp;"BHA-PHC-"&amp;phc_8[[#This Row],[Register No.]])</f>
        <v>Shining Star-Mobile Clinic-BHA-PHC-81</v>
      </c>
      <c r="N408" s="9" t="s">
        <v>401</v>
      </c>
      <c r="O408" s="183" t="s">
        <v>3928</v>
      </c>
      <c r="P408" s="183">
        <v>22</v>
      </c>
      <c r="Q408" s="183"/>
      <c r="R408" s="183"/>
      <c r="S408" s="186" t="str">
        <f t="shared" si="15"/>
        <v>19 - 49 yrs</v>
      </c>
      <c r="T408" s="183" t="s">
        <v>603</v>
      </c>
      <c r="U408" s="183" t="s">
        <v>2298</v>
      </c>
      <c r="V408" s="183" t="s">
        <v>2187</v>
      </c>
      <c r="W408" s="183" t="s">
        <v>3197</v>
      </c>
      <c r="X408" s="183"/>
      <c r="Y408" s="186" t="e">
        <f>INDEX(info!$Y$2:$Y$192,MATCH(phc_8[[#This Row],[Sub_Category]],info!$X$2:$X$192,0))</f>
        <v>#N/A</v>
      </c>
      <c r="Z408" s="186" t="e">
        <f t="array" ref="Z408">INDEX(info!$AA$2:$AA$192,MATCH(PHC!$X408&amp;PHC!$Y408,info!$X$2:$X$192&amp;info!$Y$2:$Y$192,0))</f>
        <v>#N/A</v>
      </c>
      <c r="AA408" s="183" t="s">
        <v>3947</v>
      </c>
      <c r="AB408" s="9" t="s">
        <v>654</v>
      </c>
      <c r="AC408" s="9" t="s">
        <v>654</v>
      </c>
      <c r="AD408" s="9" t="s">
        <v>654</v>
      </c>
      <c r="AE408" s="9" t="s">
        <v>654</v>
      </c>
      <c r="AF408" s="184"/>
      <c r="AG408" s="183"/>
      <c r="AH408" s="183"/>
      <c r="AI408" s="183"/>
      <c r="AJ408" s="183"/>
      <c r="AK408" s="9" t="s">
        <v>654</v>
      </c>
      <c r="AL408" s="183"/>
      <c r="AM408" s="186" t="str">
        <f>IF(AF408="","","Q"&amp;INT((MONTH(AF408)-1)/3)+1&amp;YEAR(AF408)&amp;#REF!&amp;T408)</f>
        <v/>
      </c>
      <c r="AN408" s="186" t="e">
        <f>IF(K408="","","Q"&amp;INT((MONTH(K408)-1)/3)+1&amp;YEAR(K408)&amp;#REF!)</f>
        <v>#REF!</v>
      </c>
    </row>
    <row r="409" spans="1:40" ht="20.100000000000001" customHeight="1" x14ac:dyDescent="0.25">
      <c r="A409" s="8">
        <v>407</v>
      </c>
      <c r="B409" s="8" t="s">
        <v>399</v>
      </c>
      <c r="C409" s="8" t="s">
        <v>1997</v>
      </c>
      <c r="D409" s="8" t="s">
        <v>2416</v>
      </c>
      <c r="E409" s="8" t="s">
        <v>1998</v>
      </c>
      <c r="F409" s="183" t="s">
        <v>2297</v>
      </c>
      <c r="G409" s="183"/>
      <c r="H409" s="183" t="s">
        <v>2298</v>
      </c>
      <c r="I409" s="183" t="s">
        <v>579</v>
      </c>
      <c r="J409" s="183"/>
      <c r="K409" s="184">
        <v>46041</v>
      </c>
      <c r="L409" s="183">
        <v>82</v>
      </c>
      <c r="M409" s="185" t="str">
        <f>IF(phc_8[[#This Row],[Register No.]]="","",C409&amp;"-"&amp;D409&amp;"-"&amp;"BHA-PHC-"&amp;phc_8[[#This Row],[Register No.]])</f>
        <v>Shining Star-Mobile Clinic-BHA-PHC-82</v>
      </c>
      <c r="N409" s="9" t="s">
        <v>401</v>
      </c>
      <c r="O409" s="183" t="s">
        <v>3929</v>
      </c>
      <c r="P409" s="183"/>
      <c r="Q409" s="183">
        <v>4</v>
      </c>
      <c r="R409" s="183"/>
      <c r="S409" s="186" t="str">
        <f t="shared" si="15"/>
        <v>&lt;5 yrs</v>
      </c>
      <c r="T409" s="183" t="s">
        <v>603</v>
      </c>
      <c r="U409" s="183" t="s">
        <v>2298</v>
      </c>
      <c r="V409" s="183" t="s">
        <v>3936</v>
      </c>
      <c r="W409" s="183" t="s">
        <v>3249</v>
      </c>
      <c r="X409" s="183" t="s">
        <v>196</v>
      </c>
      <c r="Y409" s="186" t="str">
        <f>INDEX(info!$Y$2:$Y$192,MATCH(phc_8[[#This Row],[Sub_Category]],info!$X$2:$X$192,0))</f>
        <v>Skin infection/disease</v>
      </c>
      <c r="Z409" s="186" t="str">
        <f t="array" ref="Z409">INDEX(info!$AA$2:$AA$192,MATCH(PHC!$X409&amp;PHC!$Y409,info!$X$2:$X$192&amp;info!$Y$2:$Y$192,0))</f>
        <v>Non-communicable disease</v>
      </c>
      <c r="AA409" s="183" t="s">
        <v>3948</v>
      </c>
      <c r="AB409" s="9" t="s">
        <v>654</v>
      </c>
      <c r="AC409" s="9" t="s">
        <v>654</v>
      </c>
      <c r="AD409" s="9" t="s">
        <v>654</v>
      </c>
      <c r="AE409" s="9" t="s">
        <v>654</v>
      </c>
      <c r="AF409" s="184"/>
      <c r="AG409" s="183"/>
      <c r="AH409" s="183"/>
      <c r="AI409" s="183"/>
      <c r="AJ409" s="183"/>
      <c r="AK409" s="9" t="s">
        <v>654</v>
      </c>
      <c r="AL409" s="183"/>
      <c r="AM409" s="186" t="str">
        <f>IF(AF409="","","Q"&amp;INT((MONTH(AF409)-1)/3)+1&amp;YEAR(AF409)&amp;#REF!&amp;T409)</f>
        <v/>
      </c>
      <c r="AN409" s="186" t="e">
        <f>IF(K409="","","Q"&amp;INT((MONTH(K409)-1)/3)+1&amp;YEAR(K409)&amp;#REF!)</f>
        <v>#REF!</v>
      </c>
    </row>
    <row r="410" spans="1:40" ht="20.100000000000001" customHeight="1" x14ac:dyDescent="0.25">
      <c r="A410" s="8">
        <v>408</v>
      </c>
      <c r="B410" s="8" t="s">
        <v>399</v>
      </c>
      <c r="C410" s="8" t="s">
        <v>1997</v>
      </c>
      <c r="D410" s="8" t="s">
        <v>2416</v>
      </c>
      <c r="E410" s="8" t="s">
        <v>1998</v>
      </c>
      <c r="F410" s="183" t="s">
        <v>2297</v>
      </c>
      <c r="G410" s="183"/>
      <c r="H410" s="183" t="s">
        <v>2298</v>
      </c>
      <c r="I410" s="183" t="s">
        <v>579</v>
      </c>
      <c r="J410" s="183"/>
      <c r="K410" s="184">
        <v>46041</v>
      </c>
      <c r="L410" s="183">
        <v>83</v>
      </c>
      <c r="M410" s="185" t="str">
        <f>IF(phc_8[[#This Row],[Register No.]]="","",C410&amp;"-"&amp;D410&amp;"-"&amp;"BHA-PHC-"&amp;phc_8[[#This Row],[Register No.]])</f>
        <v>Shining Star-Mobile Clinic-BHA-PHC-83</v>
      </c>
      <c r="N410" s="9" t="s">
        <v>401</v>
      </c>
      <c r="O410" s="183" t="s">
        <v>3930</v>
      </c>
      <c r="P410" s="183">
        <v>32</v>
      </c>
      <c r="Q410" s="183"/>
      <c r="R410" s="183"/>
      <c r="S410" s="186" t="str">
        <f t="shared" si="15"/>
        <v>19 - 49 yrs</v>
      </c>
      <c r="T410" s="183" t="s">
        <v>603</v>
      </c>
      <c r="U410" s="183" t="s">
        <v>2298</v>
      </c>
      <c r="V410" s="183" t="s">
        <v>3937</v>
      </c>
      <c r="W410" s="183" t="s">
        <v>3197</v>
      </c>
      <c r="X410" s="183"/>
      <c r="Y410" s="186" t="e">
        <f>INDEX(info!$Y$2:$Y$192,MATCH(phc_8[[#This Row],[Sub_Category]],info!$X$2:$X$192,0))</f>
        <v>#N/A</v>
      </c>
      <c r="Z410" s="186" t="e">
        <f t="array" ref="Z410">INDEX(info!$AA$2:$AA$192,MATCH(PHC!$X410&amp;PHC!$Y410,info!$X$2:$X$192&amp;info!$Y$2:$Y$192,0))</f>
        <v>#N/A</v>
      </c>
      <c r="AA410" s="183" t="s">
        <v>2192</v>
      </c>
      <c r="AB410" s="9" t="s">
        <v>654</v>
      </c>
      <c r="AC410" s="9" t="s">
        <v>654</v>
      </c>
      <c r="AD410" s="9" t="s">
        <v>654</v>
      </c>
      <c r="AE410" s="9" t="s">
        <v>654</v>
      </c>
      <c r="AF410" s="184"/>
      <c r="AG410" s="183"/>
      <c r="AH410" s="183"/>
      <c r="AI410" s="183"/>
      <c r="AJ410" s="183"/>
      <c r="AK410" s="9" t="s">
        <v>654</v>
      </c>
      <c r="AL410" s="183"/>
      <c r="AM410" s="186" t="str">
        <f>IF(AF410="","","Q"&amp;INT((MONTH(AF410)-1)/3)+1&amp;YEAR(AF410)&amp;#REF!&amp;T410)</f>
        <v/>
      </c>
      <c r="AN410" s="186" t="e">
        <f>IF(K410="","","Q"&amp;INT((MONTH(K410)-1)/3)+1&amp;YEAR(K410)&amp;#REF!)</f>
        <v>#REF!</v>
      </c>
    </row>
    <row r="411" spans="1:40" ht="20.100000000000001" customHeight="1" x14ac:dyDescent="0.25">
      <c r="A411" s="8">
        <v>409</v>
      </c>
      <c r="B411" s="8" t="s">
        <v>399</v>
      </c>
      <c r="C411" s="8" t="s">
        <v>1997</v>
      </c>
      <c r="D411" s="8" t="s">
        <v>2416</v>
      </c>
      <c r="E411" s="8" t="s">
        <v>1998</v>
      </c>
      <c r="F411" s="183" t="s">
        <v>2297</v>
      </c>
      <c r="G411" s="183"/>
      <c r="H411" s="183" t="s">
        <v>2298</v>
      </c>
      <c r="I411" s="183" t="s">
        <v>579</v>
      </c>
      <c r="J411" s="183"/>
      <c r="K411" s="184">
        <v>46041</v>
      </c>
      <c r="L411" s="183">
        <v>84</v>
      </c>
      <c r="M411" s="185" t="str">
        <f>IF(phc_8[[#This Row],[Register No.]]="","",C411&amp;"-"&amp;D411&amp;"-"&amp;"BHA-PHC-"&amp;phc_8[[#This Row],[Register No.]])</f>
        <v>Shining Star-Mobile Clinic-BHA-PHC-84</v>
      </c>
      <c r="N411" s="9" t="s">
        <v>401</v>
      </c>
      <c r="O411" s="183" t="s">
        <v>3931</v>
      </c>
      <c r="P411" s="183">
        <v>22</v>
      </c>
      <c r="Q411" s="183"/>
      <c r="R411" s="183"/>
      <c r="S411" s="186" t="str">
        <f t="shared" si="15"/>
        <v>19 - 49 yrs</v>
      </c>
      <c r="T411" s="183" t="s">
        <v>603</v>
      </c>
      <c r="U411" s="183" t="s">
        <v>2298</v>
      </c>
      <c r="V411" s="183" t="s">
        <v>3938</v>
      </c>
      <c r="W411" s="183" t="s">
        <v>3197</v>
      </c>
      <c r="X411" s="183"/>
      <c r="Y411" s="186" t="e">
        <f>INDEX(info!$Y$2:$Y$192,MATCH(phc_8[[#This Row],[Sub_Category]],info!$X$2:$X$192,0))</f>
        <v>#N/A</v>
      </c>
      <c r="Z411" s="186" t="e">
        <f t="array" ref="Z411">INDEX(info!$AA$2:$AA$192,MATCH(PHC!$X411&amp;PHC!$Y411,info!$X$2:$X$192&amp;info!$Y$2:$Y$192,0))</f>
        <v>#N/A</v>
      </c>
      <c r="AA411" s="183" t="s">
        <v>3947</v>
      </c>
      <c r="AB411" s="9" t="s">
        <v>654</v>
      </c>
      <c r="AC411" s="9" t="s">
        <v>654</v>
      </c>
      <c r="AD411" s="9" t="s">
        <v>654</v>
      </c>
      <c r="AE411" s="9" t="s">
        <v>654</v>
      </c>
      <c r="AF411" s="184"/>
      <c r="AG411" s="183"/>
      <c r="AH411" s="183"/>
      <c r="AI411" s="183"/>
      <c r="AJ411" s="183"/>
      <c r="AK411" s="9" t="s">
        <v>654</v>
      </c>
      <c r="AL411" s="183"/>
      <c r="AM411" s="186" t="str">
        <f>IF(AF411="","","Q"&amp;INT((MONTH(AF411)-1)/3)+1&amp;YEAR(AF411)&amp;#REF!&amp;T411)</f>
        <v/>
      </c>
      <c r="AN411" s="186" t="e">
        <f>IF(K411="","","Q"&amp;INT((MONTH(K411)-1)/3)+1&amp;YEAR(K411)&amp;#REF!)</f>
        <v>#REF!</v>
      </c>
    </row>
    <row r="412" spans="1:40" ht="20.100000000000001" customHeight="1" x14ac:dyDescent="0.25">
      <c r="A412" s="8">
        <v>410</v>
      </c>
      <c r="B412" s="8" t="s">
        <v>399</v>
      </c>
      <c r="C412" s="8" t="s">
        <v>1997</v>
      </c>
      <c r="D412" s="8" t="s">
        <v>2416</v>
      </c>
      <c r="E412" s="8" t="s">
        <v>1998</v>
      </c>
      <c r="F412" s="183" t="s">
        <v>2297</v>
      </c>
      <c r="G412" s="183"/>
      <c r="H412" s="183" t="s">
        <v>2298</v>
      </c>
      <c r="I412" s="183" t="s">
        <v>579</v>
      </c>
      <c r="J412" s="183"/>
      <c r="K412" s="184">
        <v>46041</v>
      </c>
      <c r="L412" s="183">
        <v>85</v>
      </c>
      <c r="M412" s="185" t="str">
        <f>IF(phc_8[[#This Row],[Register No.]]="","",C412&amp;"-"&amp;D412&amp;"-"&amp;"BHA-PHC-"&amp;phc_8[[#This Row],[Register No.]])</f>
        <v>Shining Star-Mobile Clinic-BHA-PHC-85</v>
      </c>
      <c r="N412" s="9" t="s">
        <v>401</v>
      </c>
      <c r="O412" s="183" t="s">
        <v>3932</v>
      </c>
      <c r="P412" s="183">
        <v>30</v>
      </c>
      <c r="Q412" s="183"/>
      <c r="R412" s="183"/>
      <c r="S412" s="186" t="str">
        <f t="shared" si="15"/>
        <v>19 - 49 yrs</v>
      </c>
      <c r="T412" s="183" t="s">
        <v>603</v>
      </c>
      <c r="U412" s="183" t="s">
        <v>2298</v>
      </c>
      <c r="V412" s="183" t="s">
        <v>3939</v>
      </c>
      <c r="W412" s="183" t="s">
        <v>3197</v>
      </c>
      <c r="X412" s="183"/>
      <c r="Y412" s="186" t="e">
        <f>INDEX(info!$Y$2:$Y$192,MATCH(phc_8[[#This Row],[Sub_Category]],info!$X$2:$X$192,0))</f>
        <v>#N/A</v>
      </c>
      <c r="Z412" s="186" t="e">
        <f t="array" ref="Z412">INDEX(info!$AA$2:$AA$192,MATCH(PHC!$X412&amp;PHC!$Y412,info!$X$2:$X$192&amp;info!$Y$2:$Y$192,0))</f>
        <v>#N/A</v>
      </c>
      <c r="AA412" s="183" t="s">
        <v>3949</v>
      </c>
      <c r="AB412" s="9" t="s">
        <v>654</v>
      </c>
      <c r="AC412" s="9" t="s">
        <v>654</v>
      </c>
      <c r="AD412" s="9" t="s">
        <v>654</v>
      </c>
      <c r="AE412" s="9" t="s">
        <v>654</v>
      </c>
      <c r="AF412" s="184"/>
      <c r="AG412" s="183"/>
      <c r="AH412" s="183"/>
      <c r="AI412" s="183"/>
      <c r="AJ412" s="183"/>
      <c r="AK412" s="9" t="s">
        <v>654</v>
      </c>
      <c r="AL412" s="183"/>
      <c r="AM412" s="186" t="str">
        <f>IF(AF412="","","Q"&amp;INT((MONTH(AF412)-1)/3)+1&amp;YEAR(AF412)&amp;#REF!&amp;T412)</f>
        <v/>
      </c>
      <c r="AN412" s="186" t="e">
        <f>IF(K412="","","Q"&amp;INT((MONTH(K412)-1)/3)+1&amp;YEAR(K412)&amp;#REF!)</f>
        <v>#REF!</v>
      </c>
    </row>
    <row r="413" spans="1:40" ht="20.100000000000001" customHeight="1" x14ac:dyDescent="0.25">
      <c r="A413" s="8">
        <v>411</v>
      </c>
      <c r="B413" s="8" t="s">
        <v>399</v>
      </c>
      <c r="C413" s="8" t="s">
        <v>1997</v>
      </c>
      <c r="D413" s="8" t="s">
        <v>2416</v>
      </c>
      <c r="E413" s="8" t="s">
        <v>1998</v>
      </c>
      <c r="F413" s="183" t="s">
        <v>2297</v>
      </c>
      <c r="G413" s="183"/>
      <c r="H413" s="183" t="s">
        <v>2298</v>
      </c>
      <c r="I413" s="183" t="s">
        <v>579</v>
      </c>
      <c r="J413" s="183"/>
      <c r="K413" s="184">
        <v>46041</v>
      </c>
      <c r="L413" s="183">
        <v>86</v>
      </c>
      <c r="M413" s="185" t="str">
        <f>IF(phc_8[[#This Row],[Register No.]]="","",C413&amp;"-"&amp;D413&amp;"-"&amp;"BHA-PHC-"&amp;phc_8[[#This Row],[Register No.]])</f>
        <v>Shining Star-Mobile Clinic-BHA-PHC-86</v>
      </c>
      <c r="N413" s="9" t="s">
        <v>401</v>
      </c>
      <c r="O413" s="183" t="s">
        <v>2054</v>
      </c>
      <c r="P413" s="183">
        <v>34</v>
      </c>
      <c r="Q413" s="183"/>
      <c r="R413" s="183"/>
      <c r="S413" s="186" t="str">
        <f t="shared" si="15"/>
        <v>19 - 49 yrs</v>
      </c>
      <c r="T413" s="183" t="s">
        <v>603</v>
      </c>
      <c r="U413" s="183" t="s">
        <v>2298</v>
      </c>
      <c r="V413" s="183" t="s">
        <v>3958</v>
      </c>
      <c r="W413" s="183" t="s">
        <v>3940</v>
      </c>
      <c r="X413" s="183" t="s">
        <v>108</v>
      </c>
      <c r="Y413" s="186" t="str">
        <f>INDEX(info!$Y$2:$Y$192,MATCH(phc_8[[#This Row],[Sub_Category]],info!$X$2:$X$192,0))</f>
        <v>ARI/RTI</v>
      </c>
      <c r="Z413" s="186" t="str">
        <f t="array" ref="Z413">INDEX(info!$AA$2:$AA$192,MATCH(PHC!$X413&amp;PHC!$Y413,info!$X$2:$X$192&amp;info!$Y$2:$Y$192,0))</f>
        <v>Communicable disease</v>
      </c>
      <c r="AA413" s="183" t="s">
        <v>3967</v>
      </c>
      <c r="AB413" s="9" t="s">
        <v>654</v>
      </c>
      <c r="AC413" s="9" t="s">
        <v>654</v>
      </c>
      <c r="AD413" s="9" t="s">
        <v>654</v>
      </c>
      <c r="AE413" s="9" t="s">
        <v>654</v>
      </c>
      <c r="AF413" s="184"/>
      <c r="AG413" s="183"/>
      <c r="AH413" s="183"/>
      <c r="AI413" s="183"/>
      <c r="AJ413" s="183"/>
      <c r="AK413" s="9" t="s">
        <v>654</v>
      </c>
      <c r="AL413" s="183"/>
      <c r="AM413" s="186" t="str">
        <f>IF(AF413="","","Q"&amp;INT((MONTH(AF413)-1)/3)+1&amp;YEAR(AF413)&amp;#REF!&amp;T413)</f>
        <v/>
      </c>
      <c r="AN413" s="186" t="e">
        <f>IF(K413="","","Q"&amp;INT((MONTH(K413)-1)/3)+1&amp;YEAR(K413)&amp;#REF!)</f>
        <v>#REF!</v>
      </c>
    </row>
    <row r="414" spans="1:40" ht="20.100000000000001" customHeight="1" x14ac:dyDescent="0.25">
      <c r="A414" s="8">
        <v>412</v>
      </c>
      <c r="B414" s="8" t="s">
        <v>399</v>
      </c>
      <c r="C414" s="8" t="s">
        <v>1997</v>
      </c>
      <c r="D414" s="8" t="s">
        <v>2416</v>
      </c>
      <c r="E414" s="8" t="s">
        <v>1998</v>
      </c>
      <c r="F414" s="183" t="s">
        <v>2297</v>
      </c>
      <c r="G414" s="183"/>
      <c r="H414" s="183" t="s">
        <v>2298</v>
      </c>
      <c r="I414" s="183" t="s">
        <v>579</v>
      </c>
      <c r="J414" s="183"/>
      <c r="K414" s="184">
        <v>46041</v>
      </c>
      <c r="L414" s="183">
        <v>87</v>
      </c>
      <c r="M414" s="185" t="str">
        <f>IF(phc_8[[#This Row],[Register No.]]="","",C414&amp;"-"&amp;D414&amp;"-"&amp;"BHA-PHC-"&amp;phc_8[[#This Row],[Register No.]])</f>
        <v>Shining Star-Mobile Clinic-BHA-PHC-87</v>
      </c>
      <c r="N414" s="9" t="s">
        <v>401</v>
      </c>
      <c r="O414" s="183" t="s">
        <v>3950</v>
      </c>
      <c r="P414" s="183">
        <v>20</v>
      </c>
      <c r="Q414" s="183"/>
      <c r="R414" s="183"/>
      <c r="S414" s="186" t="str">
        <f t="shared" si="15"/>
        <v>19 - 49 yrs</v>
      </c>
      <c r="T414" s="183" t="s">
        <v>603</v>
      </c>
      <c r="U414" s="183" t="s">
        <v>2298</v>
      </c>
      <c r="V414" s="183" t="s">
        <v>3959</v>
      </c>
      <c r="W414" s="183" t="s">
        <v>3197</v>
      </c>
      <c r="X414" s="183"/>
      <c r="Y414" s="186" t="e">
        <f>INDEX(info!$Y$2:$Y$192,MATCH(phc_8[[#This Row],[Sub_Category]],info!$X$2:$X$192,0))</f>
        <v>#N/A</v>
      </c>
      <c r="Z414" s="186" t="e">
        <f t="array" ref="Z414">INDEX(info!$AA$2:$AA$192,MATCH(PHC!$X414&amp;PHC!$Y414,info!$X$2:$X$192&amp;info!$Y$2:$Y$192,0))</f>
        <v>#N/A</v>
      </c>
      <c r="AA414" s="183" t="s">
        <v>3968</v>
      </c>
      <c r="AB414" s="9" t="s">
        <v>654</v>
      </c>
      <c r="AC414" s="9" t="s">
        <v>654</v>
      </c>
      <c r="AD414" s="9" t="s">
        <v>654</v>
      </c>
      <c r="AE414" s="9" t="s">
        <v>654</v>
      </c>
      <c r="AF414" s="184"/>
      <c r="AG414" s="183"/>
      <c r="AH414" s="183"/>
      <c r="AI414" s="183"/>
      <c r="AJ414" s="183"/>
      <c r="AK414" s="9" t="s">
        <v>654</v>
      </c>
      <c r="AL414" s="183"/>
      <c r="AM414" s="186" t="str">
        <f>IF(AF414="","","Q"&amp;INT((MONTH(AF414)-1)/3)+1&amp;YEAR(AF414)&amp;#REF!&amp;T414)</f>
        <v/>
      </c>
      <c r="AN414" s="186" t="e">
        <f>IF(K414="","","Q"&amp;INT((MONTH(K414)-1)/3)+1&amp;YEAR(K414)&amp;#REF!)</f>
        <v>#REF!</v>
      </c>
    </row>
    <row r="415" spans="1:40" ht="20.100000000000001" customHeight="1" x14ac:dyDescent="0.25">
      <c r="A415" s="8">
        <v>413</v>
      </c>
      <c r="B415" s="8" t="s">
        <v>399</v>
      </c>
      <c r="C415" s="8" t="s">
        <v>1997</v>
      </c>
      <c r="D415" s="8" t="s">
        <v>2416</v>
      </c>
      <c r="E415" s="8" t="s">
        <v>1998</v>
      </c>
      <c r="F415" s="183" t="s">
        <v>2297</v>
      </c>
      <c r="G415" s="183"/>
      <c r="H415" s="183" t="s">
        <v>2298</v>
      </c>
      <c r="I415" s="183" t="s">
        <v>579</v>
      </c>
      <c r="J415" s="183"/>
      <c r="K415" s="184">
        <v>46041</v>
      </c>
      <c r="L415" s="183">
        <v>88</v>
      </c>
      <c r="M415" s="185" t="str">
        <f>IF(phc_8[[#This Row],[Register No.]]="","",C415&amp;"-"&amp;D415&amp;"-"&amp;"BHA-PHC-"&amp;phc_8[[#This Row],[Register No.]])</f>
        <v>Shining Star-Mobile Clinic-BHA-PHC-88</v>
      </c>
      <c r="N415" s="9" t="s">
        <v>401</v>
      </c>
      <c r="O415" s="183" t="s">
        <v>3951</v>
      </c>
      <c r="P415" s="183"/>
      <c r="Q415" s="183"/>
      <c r="R415" s="183">
        <v>11</v>
      </c>
      <c r="S415" s="186" t="str">
        <f t="shared" ref="S415:S458" si="16">IF(AND(ISBLANK(P415),ISBLANK(Q415),ISBLANK(R415))," ",
IF(OR(P415&lt;5,AND(P415=" ",Q415&lt;&gt;" ",R415&lt;&gt;" ")),"&lt;5 yrs",
IF(AND(P415&gt;=5,P415&lt;=14),"5 - 14 yrs",
IF(AND(P415&gt;=15,P415&lt;=18),"15 - 18 yrs",
IF(AND(P415&gt;=19,P415&lt;=49),"19 - 49 yrs","50 yrs +")))))</f>
        <v>&lt;5 yrs</v>
      </c>
      <c r="T415" s="183" t="s">
        <v>603</v>
      </c>
      <c r="U415" s="183" t="s">
        <v>2298</v>
      </c>
      <c r="V415" s="183" t="s">
        <v>3960</v>
      </c>
      <c r="W415" s="183" t="s">
        <v>3965</v>
      </c>
      <c r="X415" s="183"/>
      <c r="Y415" s="186" t="e">
        <f>INDEX(info!$Y$2:$Y$192,MATCH(phc_8[[#This Row],[Sub_Category]],info!$X$2:$X$192,0))</f>
        <v>#N/A</v>
      </c>
      <c r="Z415" s="186" t="e">
        <f t="array" ref="Z415">INDEX(info!$AA$2:$AA$192,MATCH(PHC!$X415&amp;PHC!$Y415,info!$X$2:$X$192&amp;info!$Y$2:$Y$192,0))</f>
        <v>#N/A</v>
      </c>
      <c r="AA415" s="183" t="s">
        <v>3969</v>
      </c>
      <c r="AB415" s="9" t="s">
        <v>654</v>
      </c>
      <c r="AC415" s="9" t="s">
        <v>654</v>
      </c>
      <c r="AD415" s="9" t="s">
        <v>654</v>
      </c>
      <c r="AE415" s="9" t="s">
        <v>654</v>
      </c>
      <c r="AF415" s="184"/>
      <c r="AG415" s="183"/>
      <c r="AH415" s="183"/>
      <c r="AI415" s="183"/>
      <c r="AJ415" s="183"/>
      <c r="AK415" s="9" t="s">
        <v>654</v>
      </c>
      <c r="AL415" s="183"/>
      <c r="AM415" s="186" t="str">
        <f>IF(AF415="","","Q"&amp;INT((MONTH(AF415)-1)/3)+1&amp;YEAR(AF415)&amp;#REF!&amp;T415)</f>
        <v/>
      </c>
      <c r="AN415" s="186" t="e">
        <f>IF(K415="","","Q"&amp;INT((MONTH(K415)-1)/3)+1&amp;YEAR(K415)&amp;#REF!)</f>
        <v>#REF!</v>
      </c>
    </row>
    <row r="416" spans="1:40" ht="20.100000000000001" customHeight="1" x14ac:dyDescent="0.25">
      <c r="A416" s="8">
        <v>414</v>
      </c>
      <c r="B416" s="8" t="s">
        <v>399</v>
      </c>
      <c r="C416" s="8" t="s">
        <v>1997</v>
      </c>
      <c r="D416" s="8" t="s">
        <v>2416</v>
      </c>
      <c r="E416" s="8" t="s">
        <v>1998</v>
      </c>
      <c r="F416" s="183" t="s">
        <v>2297</v>
      </c>
      <c r="G416" s="183"/>
      <c r="H416" s="183" t="s">
        <v>2298</v>
      </c>
      <c r="I416" s="183" t="s">
        <v>579</v>
      </c>
      <c r="J416" s="183"/>
      <c r="K416" s="184">
        <v>46041</v>
      </c>
      <c r="L416" s="183">
        <v>89</v>
      </c>
      <c r="M416" s="185" t="str">
        <f>IF(phc_8[[#This Row],[Register No.]]="","",C416&amp;"-"&amp;D416&amp;"-"&amp;"BHA-PHC-"&amp;phc_8[[#This Row],[Register No.]])</f>
        <v>Shining Star-Mobile Clinic-BHA-PHC-89</v>
      </c>
      <c r="N416" s="9" t="s">
        <v>401</v>
      </c>
      <c r="O416" s="183" t="s">
        <v>2127</v>
      </c>
      <c r="P416" s="183">
        <v>42</v>
      </c>
      <c r="Q416" s="183"/>
      <c r="R416" s="183"/>
      <c r="S416" s="186" t="str">
        <f t="shared" si="16"/>
        <v>19 - 49 yrs</v>
      </c>
      <c r="T416" s="183" t="s">
        <v>603</v>
      </c>
      <c r="U416" s="183" t="s">
        <v>2298</v>
      </c>
      <c r="V416" s="183" t="s">
        <v>3508</v>
      </c>
      <c r="W416" s="183" t="s">
        <v>2014</v>
      </c>
      <c r="X416" s="183" t="s">
        <v>2014</v>
      </c>
      <c r="Y416" s="186" t="str">
        <f>INDEX(info!$Y$2:$Y$192,MATCH(phc_8[[#This Row],[Sub_Category]],info!$X$2:$X$192,0))</f>
        <v>Other (non-communicable)</v>
      </c>
      <c r="Z416" s="186" t="str">
        <f t="array" ref="Z416">INDEX(info!$AA$2:$AA$192,MATCH(PHC!$X416&amp;PHC!$Y416,info!$X$2:$X$192&amp;info!$Y$2:$Y$192,0))</f>
        <v>Other</v>
      </c>
      <c r="AA416" s="183" t="s">
        <v>3970</v>
      </c>
      <c r="AB416" s="9" t="s">
        <v>654</v>
      </c>
      <c r="AC416" s="9" t="s">
        <v>654</v>
      </c>
      <c r="AD416" s="9" t="s">
        <v>654</v>
      </c>
      <c r="AE416" s="9" t="s">
        <v>654</v>
      </c>
      <c r="AF416" s="184"/>
      <c r="AG416" s="183"/>
      <c r="AH416" s="183"/>
      <c r="AI416" s="183"/>
      <c r="AJ416" s="183"/>
      <c r="AK416" s="9" t="s">
        <v>654</v>
      </c>
      <c r="AL416" s="183"/>
      <c r="AM416" s="186" t="str">
        <f>IF(AF416="","","Q"&amp;INT((MONTH(AF416)-1)/3)+1&amp;YEAR(AF416)&amp;#REF!&amp;T416)</f>
        <v/>
      </c>
      <c r="AN416" s="186" t="e">
        <f>IF(K416="","","Q"&amp;INT((MONTH(K416)-1)/3)+1&amp;YEAR(K416)&amp;#REF!)</f>
        <v>#REF!</v>
      </c>
    </row>
    <row r="417" spans="1:40" ht="20.100000000000001" customHeight="1" x14ac:dyDescent="0.25">
      <c r="A417" s="8">
        <v>415</v>
      </c>
      <c r="B417" s="8" t="s">
        <v>399</v>
      </c>
      <c r="C417" s="8" t="s">
        <v>1997</v>
      </c>
      <c r="D417" s="8" t="s">
        <v>2416</v>
      </c>
      <c r="E417" s="8" t="s">
        <v>1998</v>
      </c>
      <c r="F417" s="183" t="s">
        <v>2297</v>
      </c>
      <c r="G417" s="183"/>
      <c r="H417" s="183" t="s">
        <v>2298</v>
      </c>
      <c r="I417" s="183" t="s">
        <v>579</v>
      </c>
      <c r="J417" s="183"/>
      <c r="K417" s="184">
        <v>46041</v>
      </c>
      <c r="L417" s="183">
        <v>90</v>
      </c>
      <c r="M417" s="185" t="str">
        <f>IF(phc_8[[#This Row],[Register No.]]="","",C417&amp;"-"&amp;D417&amp;"-"&amp;"BHA-PHC-"&amp;phc_8[[#This Row],[Register No.]])</f>
        <v>Shining Star-Mobile Clinic-BHA-PHC-90</v>
      </c>
      <c r="N417" s="9" t="s">
        <v>401</v>
      </c>
      <c r="O417" s="183" t="s">
        <v>3952</v>
      </c>
      <c r="P417" s="183"/>
      <c r="Q417" s="183">
        <v>2</v>
      </c>
      <c r="R417" s="183"/>
      <c r="S417" s="186" t="str">
        <f t="shared" si="16"/>
        <v>&lt;5 yrs</v>
      </c>
      <c r="T417" s="183" t="s">
        <v>402</v>
      </c>
      <c r="U417" s="183" t="s">
        <v>2298</v>
      </c>
      <c r="V417" s="183" t="s">
        <v>3438</v>
      </c>
      <c r="W417" s="183" t="s">
        <v>3966</v>
      </c>
      <c r="X417" s="183" t="s">
        <v>113</v>
      </c>
      <c r="Y417" s="186" t="str">
        <f>INDEX(info!$Y$2:$Y$192,MATCH(phc_8[[#This Row],[Sub_Category]],info!$X$2:$X$192,0))</f>
        <v>ARI/RTI</v>
      </c>
      <c r="Z417" s="186" t="str">
        <f t="array" ref="Z417">INDEX(info!$AA$2:$AA$192,MATCH(PHC!$X417&amp;PHC!$Y417,info!$X$2:$X$192&amp;info!$Y$2:$Y$192,0))</f>
        <v>Communicable disease</v>
      </c>
      <c r="AA417" s="183" t="s">
        <v>3971</v>
      </c>
      <c r="AB417" s="9" t="s">
        <v>654</v>
      </c>
      <c r="AC417" s="9" t="s">
        <v>654</v>
      </c>
      <c r="AD417" s="9" t="s">
        <v>654</v>
      </c>
      <c r="AE417" s="9" t="s">
        <v>654</v>
      </c>
      <c r="AF417" s="184"/>
      <c r="AG417" s="183"/>
      <c r="AH417" s="183"/>
      <c r="AI417" s="183"/>
      <c r="AJ417" s="183"/>
      <c r="AK417" s="9" t="s">
        <v>654</v>
      </c>
      <c r="AL417" s="183"/>
      <c r="AM417" s="186" t="str">
        <f>IF(AF417="","","Q"&amp;INT((MONTH(AF417)-1)/3)+1&amp;YEAR(AF417)&amp;#REF!&amp;T417)</f>
        <v/>
      </c>
      <c r="AN417" s="186" t="e">
        <f>IF(K417="","","Q"&amp;INT((MONTH(K417)-1)/3)+1&amp;YEAR(K417)&amp;#REF!)</f>
        <v>#REF!</v>
      </c>
    </row>
    <row r="418" spans="1:40" ht="20.100000000000001" customHeight="1" x14ac:dyDescent="0.25">
      <c r="A418" s="8">
        <v>416</v>
      </c>
      <c r="B418" s="8" t="s">
        <v>399</v>
      </c>
      <c r="C418" s="8" t="s">
        <v>1997</v>
      </c>
      <c r="D418" s="8" t="s">
        <v>2416</v>
      </c>
      <c r="E418" s="8" t="s">
        <v>1998</v>
      </c>
      <c r="F418" s="183" t="s">
        <v>2297</v>
      </c>
      <c r="G418" s="183"/>
      <c r="H418" s="183" t="s">
        <v>2298</v>
      </c>
      <c r="I418" s="183" t="s">
        <v>579</v>
      </c>
      <c r="J418" s="183"/>
      <c r="K418" s="184">
        <v>46041</v>
      </c>
      <c r="L418" s="183">
        <v>91</v>
      </c>
      <c r="M418" s="185" t="str">
        <f>IF(phc_8[[#This Row],[Register No.]]="","",C418&amp;"-"&amp;D418&amp;"-"&amp;"BHA-PHC-"&amp;phc_8[[#This Row],[Register No.]])</f>
        <v>Shining Star-Mobile Clinic-BHA-PHC-91</v>
      </c>
      <c r="N418" s="9" t="s">
        <v>401</v>
      </c>
      <c r="O418" s="183" t="s">
        <v>3953</v>
      </c>
      <c r="P418" s="183">
        <v>5</v>
      </c>
      <c r="Q418" s="183"/>
      <c r="R418" s="183"/>
      <c r="S418" s="186" t="str">
        <f t="shared" si="16"/>
        <v>5 - 14 yrs</v>
      </c>
      <c r="T418" s="183" t="s">
        <v>603</v>
      </c>
      <c r="U418" s="183" t="s">
        <v>2298</v>
      </c>
      <c r="V418" s="183" t="s">
        <v>3961</v>
      </c>
      <c r="W418" s="183" t="s">
        <v>3071</v>
      </c>
      <c r="X418" s="183" t="s">
        <v>113</v>
      </c>
      <c r="Y418" s="186" t="str">
        <f>INDEX(info!$Y$2:$Y$192,MATCH(phc_8[[#This Row],[Sub_Category]],info!$X$2:$X$192,0))</f>
        <v>ARI/RTI</v>
      </c>
      <c r="Z418" s="186" t="str">
        <f t="array" ref="Z418">INDEX(info!$AA$2:$AA$192,MATCH(PHC!$X418&amp;PHC!$Y418,info!$X$2:$X$192&amp;info!$Y$2:$Y$192,0))</f>
        <v>Communicable disease</v>
      </c>
      <c r="AA418" s="183" t="s">
        <v>3972</v>
      </c>
      <c r="AB418" s="9" t="s">
        <v>654</v>
      </c>
      <c r="AC418" s="9" t="s">
        <v>654</v>
      </c>
      <c r="AD418" s="9" t="s">
        <v>654</v>
      </c>
      <c r="AE418" s="9" t="s">
        <v>654</v>
      </c>
      <c r="AF418" s="184"/>
      <c r="AG418" s="183"/>
      <c r="AH418" s="183"/>
      <c r="AI418" s="183"/>
      <c r="AJ418" s="183"/>
      <c r="AK418" s="9" t="s">
        <v>654</v>
      </c>
      <c r="AL418" s="183"/>
      <c r="AM418" s="186" t="str">
        <f>IF(AF418="","","Q"&amp;INT((MONTH(AF418)-1)/3)+1&amp;YEAR(AF418)&amp;#REF!&amp;T418)</f>
        <v/>
      </c>
      <c r="AN418" s="186" t="e">
        <f>IF(K418="","","Q"&amp;INT((MONTH(K418)-1)/3)+1&amp;YEAR(K418)&amp;#REF!)</f>
        <v>#REF!</v>
      </c>
    </row>
    <row r="419" spans="1:40" ht="20.100000000000001" customHeight="1" x14ac:dyDescent="0.25">
      <c r="A419" s="8">
        <v>417</v>
      </c>
      <c r="B419" s="8" t="s">
        <v>399</v>
      </c>
      <c r="C419" s="8" t="s">
        <v>1997</v>
      </c>
      <c r="D419" s="8" t="s">
        <v>2416</v>
      </c>
      <c r="E419" s="8" t="s">
        <v>1998</v>
      </c>
      <c r="F419" s="183" t="s">
        <v>2297</v>
      </c>
      <c r="G419" s="183"/>
      <c r="H419" s="183" t="s">
        <v>2298</v>
      </c>
      <c r="I419" s="183" t="s">
        <v>579</v>
      </c>
      <c r="J419" s="183"/>
      <c r="K419" s="184">
        <v>46041</v>
      </c>
      <c r="L419" s="183">
        <v>92</v>
      </c>
      <c r="M419" s="185" t="str">
        <f>IF(phc_8[[#This Row],[Register No.]]="","",C419&amp;"-"&amp;D419&amp;"-"&amp;"BHA-PHC-"&amp;phc_8[[#This Row],[Register No.]])</f>
        <v>Shining Star-Mobile Clinic-BHA-PHC-92</v>
      </c>
      <c r="N419" s="9" t="s">
        <v>401</v>
      </c>
      <c r="O419" s="183" t="s">
        <v>3954</v>
      </c>
      <c r="P419" s="183">
        <v>16</v>
      </c>
      <c r="Q419" s="183"/>
      <c r="R419" s="183"/>
      <c r="S419" s="186" t="str">
        <f t="shared" si="16"/>
        <v>15 - 18 yrs</v>
      </c>
      <c r="T419" s="183" t="s">
        <v>603</v>
      </c>
      <c r="U419" s="183" t="s">
        <v>2298</v>
      </c>
      <c r="V419" s="183" t="s">
        <v>3962</v>
      </c>
      <c r="W419" s="183" t="s">
        <v>3372</v>
      </c>
      <c r="X419" s="183" t="s">
        <v>2014</v>
      </c>
      <c r="Y419" s="186" t="str">
        <f>INDEX(info!$Y$2:$Y$192,MATCH(phc_8[[#This Row],[Sub_Category]],info!$X$2:$X$192,0))</f>
        <v>Other (non-communicable)</v>
      </c>
      <c r="Z419" s="186" t="str">
        <f t="array" ref="Z419">INDEX(info!$AA$2:$AA$192,MATCH(PHC!$X419&amp;PHC!$Y419,info!$X$2:$X$192&amp;info!$Y$2:$Y$192,0))</f>
        <v>Other</v>
      </c>
      <c r="AA419" s="183" t="s">
        <v>3973</v>
      </c>
      <c r="AB419" s="9" t="s">
        <v>654</v>
      </c>
      <c r="AC419" s="9" t="s">
        <v>654</v>
      </c>
      <c r="AD419" s="9" t="s">
        <v>654</v>
      </c>
      <c r="AE419" s="9" t="s">
        <v>654</v>
      </c>
      <c r="AF419" s="184"/>
      <c r="AG419" s="183"/>
      <c r="AH419" s="183"/>
      <c r="AI419" s="183"/>
      <c r="AJ419" s="183"/>
      <c r="AK419" s="9" t="s">
        <v>654</v>
      </c>
      <c r="AL419" s="183"/>
      <c r="AM419" s="186" t="str">
        <f>IF(AF419="","","Q"&amp;INT((MONTH(AF419)-1)/3)+1&amp;YEAR(AF419)&amp;#REF!&amp;T419)</f>
        <v/>
      </c>
      <c r="AN419" s="186" t="e">
        <f>IF(K419="","","Q"&amp;INT((MONTH(K419)-1)/3)+1&amp;YEAR(K419)&amp;#REF!)</f>
        <v>#REF!</v>
      </c>
    </row>
    <row r="420" spans="1:40" ht="20.100000000000001" customHeight="1" x14ac:dyDescent="0.25">
      <c r="A420" s="8">
        <v>418</v>
      </c>
      <c r="B420" s="8" t="s">
        <v>399</v>
      </c>
      <c r="C420" s="8" t="s">
        <v>1997</v>
      </c>
      <c r="D420" s="8" t="s">
        <v>2416</v>
      </c>
      <c r="E420" s="8" t="s">
        <v>1998</v>
      </c>
      <c r="F420" s="183" t="s">
        <v>2297</v>
      </c>
      <c r="G420" s="183"/>
      <c r="H420" s="183" t="s">
        <v>2298</v>
      </c>
      <c r="I420" s="183" t="s">
        <v>579</v>
      </c>
      <c r="J420" s="183"/>
      <c r="K420" s="184">
        <v>46041</v>
      </c>
      <c r="L420" s="183">
        <v>93</v>
      </c>
      <c r="M420" s="185" t="str">
        <f>IF(phc_8[[#This Row],[Register No.]]="","",C420&amp;"-"&amp;D420&amp;"-"&amp;"BHA-PHC-"&amp;phc_8[[#This Row],[Register No.]])</f>
        <v>Shining Star-Mobile Clinic-BHA-PHC-93</v>
      </c>
      <c r="N420" s="9" t="s">
        <v>401</v>
      </c>
      <c r="O420" s="183" t="s">
        <v>3955</v>
      </c>
      <c r="P420" s="183">
        <v>16</v>
      </c>
      <c r="Q420" s="183"/>
      <c r="R420" s="183"/>
      <c r="S420" s="186" t="str">
        <f t="shared" si="16"/>
        <v>15 - 18 yrs</v>
      </c>
      <c r="T420" s="183" t="s">
        <v>603</v>
      </c>
      <c r="U420" s="183" t="s">
        <v>2298</v>
      </c>
      <c r="V420" s="183" t="s">
        <v>3751</v>
      </c>
      <c r="W420" s="183" t="s">
        <v>294</v>
      </c>
      <c r="X420" s="183" t="s">
        <v>294</v>
      </c>
      <c r="Y420" s="186" t="str">
        <f>INDEX(info!$Y$2:$Y$192,MATCH(phc_8[[#This Row],[Sub_Category]],info!$X$2:$X$192,0))</f>
        <v>Other (non-communicable)</v>
      </c>
      <c r="Z420" s="186" t="str">
        <f t="array" ref="Z420">INDEX(info!$AA$2:$AA$192,MATCH(PHC!$X420&amp;PHC!$Y420,info!$X$2:$X$192&amp;info!$Y$2:$Y$192,0))</f>
        <v>Other</v>
      </c>
      <c r="AA420" s="183" t="s">
        <v>3974</v>
      </c>
      <c r="AB420" s="9" t="s">
        <v>654</v>
      </c>
      <c r="AC420" s="9" t="s">
        <v>654</v>
      </c>
      <c r="AD420" s="9" t="s">
        <v>654</v>
      </c>
      <c r="AE420" s="9" t="s">
        <v>654</v>
      </c>
      <c r="AF420" s="184"/>
      <c r="AG420" s="183"/>
      <c r="AH420" s="183"/>
      <c r="AI420" s="183"/>
      <c r="AJ420" s="183"/>
      <c r="AK420" s="9" t="s">
        <v>654</v>
      </c>
      <c r="AL420" s="183"/>
      <c r="AM420" s="186" t="str">
        <f>IF(AF420="","","Q"&amp;INT((MONTH(AF420)-1)/3)+1&amp;YEAR(AF420)&amp;#REF!&amp;T420)</f>
        <v/>
      </c>
      <c r="AN420" s="186" t="e">
        <f>IF(K420="","","Q"&amp;INT((MONTH(K420)-1)/3)+1&amp;YEAR(K420)&amp;#REF!)</f>
        <v>#REF!</v>
      </c>
    </row>
    <row r="421" spans="1:40" ht="20.100000000000001" customHeight="1" x14ac:dyDescent="0.25">
      <c r="A421" s="8">
        <v>419</v>
      </c>
      <c r="B421" s="8" t="s">
        <v>399</v>
      </c>
      <c r="C421" s="8" t="s">
        <v>1997</v>
      </c>
      <c r="D421" s="8" t="s">
        <v>2416</v>
      </c>
      <c r="E421" s="8" t="s">
        <v>1998</v>
      </c>
      <c r="F421" s="183" t="s">
        <v>2297</v>
      </c>
      <c r="G421" s="183"/>
      <c r="H421" s="183" t="s">
        <v>2298</v>
      </c>
      <c r="I421" s="183" t="s">
        <v>579</v>
      </c>
      <c r="J421" s="183"/>
      <c r="K421" s="184">
        <v>46041</v>
      </c>
      <c r="L421" s="183">
        <v>94</v>
      </c>
      <c r="M421" s="185" t="str">
        <f>IF(phc_8[[#This Row],[Register No.]]="","",C421&amp;"-"&amp;D421&amp;"-"&amp;"BHA-PHC-"&amp;phc_8[[#This Row],[Register No.]])</f>
        <v>Shining Star-Mobile Clinic-BHA-PHC-94</v>
      </c>
      <c r="N421" s="9" t="s">
        <v>401</v>
      </c>
      <c r="O421" s="183" t="s">
        <v>3956</v>
      </c>
      <c r="P421" s="183">
        <v>72</v>
      </c>
      <c r="Q421" s="183"/>
      <c r="R421" s="183"/>
      <c r="S421" s="186" t="str">
        <f t="shared" si="16"/>
        <v>50 yrs +</v>
      </c>
      <c r="T421" s="183" t="s">
        <v>402</v>
      </c>
      <c r="U421" s="183" t="s">
        <v>2298</v>
      </c>
      <c r="V421" s="183" t="s">
        <v>3963</v>
      </c>
      <c r="W421" s="183" t="s">
        <v>3182</v>
      </c>
      <c r="X421" s="183" t="s">
        <v>242</v>
      </c>
      <c r="Y421" s="186" t="str">
        <f>INDEX(info!$Y$2:$Y$192,MATCH(phc_8[[#This Row],[Sub_Category]],info!$X$2:$X$192,0))</f>
        <v>Accident/minor sugical and injuries</v>
      </c>
      <c r="Z421" s="186" t="str">
        <f t="array" ref="Z421">INDEX(info!$AA$2:$AA$192,MATCH(PHC!$X421&amp;PHC!$Y421,info!$X$2:$X$192&amp;info!$Y$2:$Y$192,0))</f>
        <v>Injury related</v>
      </c>
      <c r="AA421" s="183" t="s">
        <v>3975</v>
      </c>
      <c r="AB421" s="9" t="s">
        <v>654</v>
      </c>
      <c r="AC421" s="9" t="s">
        <v>654</v>
      </c>
      <c r="AD421" s="9" t="s">
        <v>654</v>
      </c>
      <c r="AE421" s="9" t="s">
        <v>654</v>
      </c>
      <c r="AF421" s="184"/>
      <c r="AG421" s="183"/>
      <c r="AH421" s="183"/>
      <c r="AI421" s="183"/>
      <c r="AJ421" s="183"/>
      <c r="AK421" s="9" t="s">
        <v>654</v>
      </c>
      <c r="AL421" s="183"/>
      <c r="AM421" s="186" t="str">
        <f>IF(AF421="","","Q"&amp;INT((MONTH(AF421)-1)/3)+1&amp;YEAR(AF421)&amp;#REF!&amp;T421)</f>
        <v/>
      </c>
      <c r="AN421" s="186" t="e">
        <f>IF(K421="","","Q"&amp;INT((MONTH(K421)-1)/3)+1&amp;YEAR(K421)&amp;#REF!)</f>
        <v>#REF!</v>
      </c>
    </row>
    <row r="422" spans="1:40" ht="20.100000000000001" customHeight="1" x14ac:dyDescent="0.25">
      <c r="A422" s="8">
        <v>420</v>
      </c>
      <c r="B422" s="8" t="s">
        <v>399</v>
      </c>
      <c r="C422" s="8" t="s">
        <v>1997</v>
      </c>
      <c r="D422" s="8" t="s">
        <v>2416</v>
      </c>
      <c r="E422" s="8" t="s">
        <v>1998</v>
      </c>
      <c r="F422" s="183" t="s">
        <v>2297</v>
      </c>
      <c r="G422" s="183"/>
      <c r="H422" s="183" t="s">
        <v>2298</v>
      </c>
      <c r="I422" s="183" t="s">
        <v>579</v>
      </c>
      <c r="J422" s="183"/>
      <c r="K422" s="184">
        <v>46041</v>
      </c>
      <c r="L422" s="183">
        <v>95</v>
      </c>
      <c r="M422" s="185" t="str">
        <f>IF(phc_8[[#This Row],[Register No.]]="","",C422&amp;"-"&amp;D422&amp;"-"&amp;"BHA-PHC-"&amp;phc_8[[#This Row],[Register No.]])</f>
        <v>Shining Star-Mobile Clinic-BHA-PHC-95</v>
      </c>
      <c r="N422" s="9" t="s">
        <v>401</v>
      </c>
      <c r="O422" s="183" t="s">
        <v>3957</v>
      </c>
      <c r="P422" s="183">
        <v>25</v>
      </c>
      <c r="Q422" s="183"/>
      <c r="R422" s="183"/>
      <c r="S422" s="186" t="str">
        <f t="shared" si="16"/>
        <v>19 - 49 yrs</v>
      </c>
      <c r="T422" s="183" t="s">
        <v>603</v>
      </c>
      <c r="U422" s="183" t="s">
        <v>2298</v>
      </c>
      <c r="V422" s="183" t="s">
        <v>3964</v>
      </c>
      <c r="W422" s="183" t="s">
        <v>3197</v>
      </c>
      <c r="X422" s="183"/>
      <c r="Y422" s="186" t="e">
        <f>INDEX(info!$Y$2:$Y$192,MATCH(phc_8[[#This Row],[Sub_Category]],info!$X$2:$X$192,0))</f>
        <v>#N/A</v>
      </c>
      <c r="Z422" s="186" t="e">
        <f t="array" ref="Z422">INDEX(info!$AA$2:$AA$192,MATCH(PHC!$X422&amp;PHC!$Y422,info!$X$2:$X$192&amp;info!$Y$2:$Y$192,0))</f>
        <v>#N/A</v>
      </c>
      <c r="AA422" s="183" t="s">
        <v>3947</v>
      </c>
      <c r="AB422" s="9" t="s">
        <v>654</v>
      </c>
      <c r="AC422" s="9" t="s">
        <v>654</v>
      </c>
      <c r="AD422" s="9" t="s">
        <v>654</v>
      </c>
      <c r="AE422" s="9" t="s">
        <v>654</v>
      </c>
      <c r="AF422" s="184"/>
      <c r="AG422" s="183"/>
      <c r="AH422" s="183"/>
      <c r="AI422" s="183"/>
      <c r="AJ422" s="183"/>
      <c r="AK422" s="9" t="s">
        <v>654</v>
      </c>
      <c r="AL422" s="183"/>
      <c r="AM422" s="186" t="str">
        <f>IF(AF422="","","Q"&amp;INT((MONTH(AF422)-1)/3)+1&amp;YEAR(AF422)&amp;#REF!&amp;T422)</f>
        <v/>
      </c>
      <c r="AN422" s="186" t="e">
        <f>IF(K422="","","Q"&amp;INT((MONTH(K422)-1)/3)+1&amp;YEAR(K422)&amp;#REF!)</f>
        <v>#REF!</v>
      </c>
    </row>
    <row r="423" spans="1:40" ht="20.100000000000001" customHeight="1" x14ac:dyDescent="0.25">
      <c r="A423" s="8">
        <v>421</v>
      </c>
      <c r="B423" s="8" t="s">
        <v>399</v>
      </c>
      <c r="C423" s="8" t="s">
        <v>1997</v>
      </c>
      <c r="D423" s="8" t="s">
        <v>2416</v>
      </c>
      <c r="E423" s="8" t="s">
        <v>1998</v>
      </c>
      <c r="F423" s="183" t="s">
        <v>2297</v>
      </c>
      <c r="G423" s="183"/>
      <c r="H423" s="183" t="s">
        <v>2298</v>
      </c>
      <c r="I423" s="183" t="s">
        <v>579</v>
      </c>
      <c r="J423" s="183"/>
      <c r="K423" s="184">
        <v>46041</v>
      </c>
      <c r="L423" s="183">
        <v>96</v>
      </c>
      <c r="M423" s="185" t="str">
        <f>IF(phc_8[[#This Row],[Register No.]]="","",C423&amp;"-"&amp;D423&amp;"-"&amp;"BHA-PHC-"&amp;phc_8[[#This Row],[Register No.]])</f>
        <v>Shining Star-Mobile Clinic-BHA-PHC-96</v>
      </c>
      <c r="N423" s="9" t="s">
        <v>401</v>
      </c>
      <c r="O423" s="183" t="s">
        <v>3976</v>
      </c>
      <c r="P423" s="183">
        <v>55</v>
      </c>
      <c r="Q423" s="183"/>
      <c r="R423" s="183"/>
      <c r="S423" s="186" t="str">
        <f t="shared" si="16"/>
        <v>50 yrs +</v>
      </c>
      <c r="T423" s="183" t="s">
        <v>402</v>
      </c>
      <c r="U423" s="183" t="s">
        <v>2298</v>
      </c>
      <c r="V423" s="183" t="s">
        <v>2074</v>
      </c>
      <c r="W423" s="183" t="s">
        <v>233</v>
      </c>
      <c r="X423" s="183" t="s">
        <v>233</v>
      </c>
      <c r="Y423" s="186" t="str">
        <f>INDEX(info!$Y$2:$Y$192,MATCH(phc_8[[#This Row],[Sub_Category]],info!$X$2:$X$192,0))</f>
        <v>Other (non-communicable)</v>
      </c>
      <c r="Z423" s="186" t="str">
        <f t="array" ref="Z423">INDEX(info!$AA$2:$AA$192,MATCH(PHC!$X423&amp;PHC!$Y423,info!$X$2:$X$192&amp;info!$Y$2:$Y$192,0))</f>
        <v>Other</v>
      </c>
      <c r="AA423" s="183" t="s">
        <v>3992</v>
      </c>
      <c r="AB423" s="9" t="s">
        <v>654</v>
      </c>
      <c r="AC423" s="9" t="s">
        <v>654</v>
      </c>
      <c r="AD423" s="9" t="s">
        <v>654</v>
      </c>
      <c r="AE423" s="9" t="s">
        <v>654</v>
      </c>
      <c r="AF423" s="184"/>
      <c r="AG423" s="183"/>
      <c r="AH423" s="183"/>
      <c r="AI423" s="183"/>
      <c r="AJ423" s="183"/>
      <c r="AK423" s="9" t="s">
        <v>654</v>
      </c>
      <c r="AL423" s="183"/>
      <c r="AM423" s="186" t="str">
        <f>IF(AF423="","","Q"&amp;INT((MONTH(AF423)-1)/3)+1&amp;YEAR(AF423)&amp;#REF!&amp;T423)</f>
        <v/>
      </c>
      <c r="AN423" s="186" t="e">
        <f>IF(K423="","","Q"&amp;INT((MONTH(K423)-1)/3)+1&amp;YEAR(K423)&amp;#REF!)</f>
        <v>#REF!</v>
      </c>
    </row>
    <row r="424" spans="1:40" ht="20.100000000000001" customHeight="1" x14ac:dyDescent="0.25">
      <c r="A424" s="8">
        <v>422</v>
      </c>
      <c r="B424" s="8" t="s">
        <v>399</v>
      </c>
      <c r="C424" s="8" t="s">
        <v>1997</v>
      </c>
      <c r="D424" s="8" t="s">
        <v>2416</v>
      </c>
      <c r="E424" s="8" t="s">
        <v>1998</v>
      </c>
      <c r="F424" s="183" t="s">
        <v>2297</v>
      </c>
      <c r="G424" s="183"/>
      <c r="H424" s="183" t="s">
        <v>2298</v>
      </c>
      <c r="I424" s="183" t="s">
        <v>579</v>
      </c>
      <c r="J424" s="183"/>
      <c r="K424" s="184">
        <v>46041</v>
      </c>
      <c r="L424" s="183">
        <v>97</v>
      </c>
      <c r="M424" s="185" t="str">
        <f>IF(phc_8[[#This Row],[Register No.]]="","",C424&amp;"-"&amp;D424&amp;"-"&amp;"BHA-PHC-"&amp;phc_8[[#This Row],[Register No.]])</f>
        <v>Shining Star-Mobile Clinic-BHA-PHC-97</v>
      </c>
      <c r="N424" s="9" t="s">
        <v>401</v>
      </c>
      <c r="O424" s="183" t="s">
        <v>3977</v>
      </c>
      <c r="P424" s="183">
        <v>58</v>
      </c>
      <c r="Q424" s="183"/>
      <c r="R424" s="183"/>
      <c r="S424" s="186" t="str">
        <f t="shared" si="16"/>
        <v>50 yrs +</v>
      </c>
      <c r="T424" s="183" t="s">
        <v>603</v>
      </c>
      <c r="U424" s="183" t="s">
        <v>2298</v>
      </c>
      <c r="V424" s="183" t="s">
        <v>3179</v>
      </c>
      <c r="W424" s="183" t="s">
        <v>163</v>
      </c>
      <c r="X424" s="183" t="s">
        <v>163</v>
      </c>
      <c r="Y424" s="186" t="str">
        <f>INDEX(info!$Y$2:$Y$192,MATCH(phc_8[[#This Row],[Sub_Category]],info!$X$2:$X$192,0))</f>
        <v>GI problem</v>
      </c>
      <c r="Z424" s="186" t="str">
        <f t="array" ref="Z424">INDEX(info!$AA$2:$AA$192,MATCH(PHC!$X424&amp;PHC!$Y424,info!$X$2:$X$192&amp;info!$Y$2:$Y$192,0))</f>
        <v>Communicable disease</v>
      </c>
      <c r="AA424" s="183" t="s">
        <v>3993</v>
      </c>
      <c r="AB424" s="9" t="s">
        <v>654</v>
      </c>
      <c r="AC424" s="9" t="s">
        <v>654</v>
      </c>
      <c r="AD424" s="9" t="s">
        <v>654</v>
      </c>
      <c r="AE424" s="9" t="s">
        <v>654</v>
      </c>
      <c r="AF424" s="184"/>
      <c r="AG424" s="183"/>
      <c r="AH424" s="183"/>
      <c r="AI424" s="183"/>
      <c r="AJ424" s="183"/>
      <c r="AK424" s="9" t="s">
        <v>654</v>
      </c>
      <c r="AL424" s="183"/>
      <c r="AM424" s="186" t="str">
        <f>IF(AF424="","","Q"&amp;INT((MONTH(AF424)-1)/3)+1&amp;YEAR(AF424)&amp;#REF!&amp;T424)</f>
        <v/>
      </c>
      <c r="AN424" s="186" t="e">
        <f>IF(K424="","","Q"&amp;INT((MONTH(K424)-1)/3)+1&amp;YEAR(K424)&amp;#REF!)</f>
        <v>#REF!</v>
      </c>
    </row>
    <row r="425" spans="1:40" ht="20.100000000000001" customHeight="1" x14ac:dyDescent="0.25">
      <c r="A425" s="8">
        <v>423</v>
      </c>
      <c r="B425" s="8" t="s">
        <v>399</v>
      </c>
      <c r="C425" s="8" t="s">
        <v>1997</v>
      </c>
      <c r="D425" s="8" t="s">
        <v>2416</v>
      </c>
      <c r="E425" s="8" t="s">
        <v>1998</v>
      </c>
      <c r="F425" s="183" t="s">
        <v>2297</v>
      </c>
      <c r="G425" s="183"/>
      <c r="H425" s="183" t="s">
        <v>2298</v>
      </c>
      <c r="I425" s="183" t="s">
        <v>579</v>
      </c>
      <c r="J425" s="183"/>
      <c r="K425" s="184">
        <v>46041</v>
      </c>
      <c r="L425" s="183">
        <v>98</v>
      </c>
      <c r="M425" s="185" t="str">
        <f>IF(phc_8[[#This Row],[Register No.]]="","",C425&amp;"-"&amp;D425&amp;"-"&amp;"BHA-PHC-"&amp;phc_8[[#This Row],[Register No.]])</f>
        <v>Shining Star-Mobile Clinic-BHA-PHC-98</v>
      </c>
      <c r="N425" s="9" t="s">
        <v>401</v>
      </c>
      <c r="O425" s="183" t="s">
        <v>3978</v>
      </c>
      <c r="P425" s="183"/>
      <c r="Q425" s="183">
        <v>3</v>
      </c>
      <c r="R425" s="183"/>
      <c r="S425" s="186" t="str">
        <f t="shared" si="16"/>
        <v>&lt;5 yrs</v>
      </c>
      <c r="T425" s="183" t="s">
        <v>603</v>
      </c>
      <c r="U425" s="183" t="s">
        <v>2298</v>
      </c>
      <c r="V425" s="183" t="s">
        <v>3985</v>
      </c>
      <c r="W425" s="183" t="s">
        <v>3990</v>
      </c>
      <c r="X425" s="183"/>
      <c r="Y425" s="186"/>
      <c r="Z425" s="186" t="e">
        <f t="array" ref="Z425">INDEX(info!$AA$2:$AA$192,MATCH(PHC!$X425&amp;PHC!$Y425,info!$X$2:$X$192&amp;info!$Y$2:$Y$192,0))</f>
        <v>#N/A</v>
      </c>
      <c r="AA425" s="183" t="s">
        <v>3994</v>
      </c>
      <c r="AB425" s="9" t="s">
        <v>654</v>
      </c>
      <c r="AC425" s="9" t="s">
        <v>654</v>
      </c>
      <c r="AD425" s="9" t="s">
        <v>654</v>
      </c>
      <c r="AE425" s="9" t="s">
        <v>654</v>
      </c>
      <c r="AF425" s="184"/>
      <c r="AG425" s="183"/>
      <c r="AH425" s="183"/>
      <c r="AI425" s="183"/>
      <c r="AJ425" s="183"/>
      <c r="AK425" s="9" t="s">
        <v>654</v>
      </c>
      <c r="AL425" s="183"/>
      <c r="AM425" s="186" t="str">
        <f>IF(AF425="","","Q"&amp;INT((MONTH(AF425)-1)/3)+1&amp;YEAR(AF425)&amp;#REF!&amp;T425)</f>
        <v/>
      </c>
      <c r="AN425" s="186" t="e">
        <f>IF(K425="","","Q"&amp;INT((MONTH(K425)-1)/3)+1&amp;YEAR(K425)&amp;#REF!)</f>
        <v>#REF!</v>
      </c>
    </row>
    <row r="426" spans="1:40" ht="20.100000000000001" customHeight="1" x14ac:dyDescent="0.25">
      <c r="A426" s="8">
        <v>424</v>
      </c>
      <c r="B426" s="8" t="s">
        <v>399</v>
      </c>
      <c r="C426" s="8" t="s">
        <v>1997</v>
      </c>
      <c r="D426" s="8" t="s">
        <v>2416</v>
      </c>
      <c r="E426" s="8" t="s">
        <v>1998</v>
      </c>
      <c r="F426" s="183" t="s">
        <v>2297</v>
      </c>
      <c r="G426" s="183"/>
      <c r="H426" s="183" t="s">
        <v>2298</v>
      </c>
      <c r="I426" s="183" t="s">
        <v>579</v>
      </c>
      <c r="J426" s="183"/>
      <c r="K426" s="184">
        <v>46041</v>
      </c>
      <c r="L426" s="183">
        <v>99</v>
      </c>
      <c r="M426" s="185" t="str">
        <f>IF(phc_8[[#This Row],[Register No.]]="","",C426&amp;"-"&amp;D426&amp;"-"&amp;"BHA-PHC-"&amp;phc_8[[#This Row],[Register No.]])</f>
        <v>Shining Star-Mobile Clinic-BHA-PHC-99</v>
      </c>
      <c r="N426" s="9" t="s">
        <v>401</v>
      </c>
      <c r="O426" s="183" t="s">
        <v>3979</v>
      </c>
      <c r="P426" s="183">
        <v>33</v>
      </c>
      <c r="Q426" s="183"/>
      <c r="R426" s="183"/>
      <c r="S426" s="186" t="str">
        <f t="shared" si="16"/>
        <v>19 - 49 yrs</v>
      </c>
      <c r="T426" s="183" t="s">
        <v>603</v>
      </c>
      <c r="U426" s="183" t="s">
        <v>2298</v>
      </c>
      <c r="V426" s="183" t="s">
        <v>3986</v>
      </c>
      <c r="W426" s="183" t="s">
        <v>3991</v>
      </c>
      <c r="X426" s="183"/>
      <c r="Y426" s="186" t="e">
        <f>INDEX(info!$Y$2:$Y$192,MATCH(phc_8[[#This Row],[Sub_Category]],info!$X$2:$X$192,0))</f>
        <v>#N/A</v>
      </c>
      <c r="Z426" s="186" t="e">
        <f t="array" ref="Z426">INDEX(info!$AA$2:$AA$192,MATCH(PHC!$X426&amp;PHC!$Y426,info!$X$2:$X$192&amp;info!$Y$2:$Y$192,0))</f>
        <v>#N/A</v>
      </c>
      <c r="AA426" s="183" t="s">
        <v>3995</v>
      </c>
      <c r="AB426" s="9" t="s">
        <v>654</v>
      </c>
      <c r="AC426" s="9" t="s">
        <v>654</v>
      </c>
      <c r="AD426" s="9" t="s">
        <v>654</v>
      </c>
      <c r="AE426" s="9" t="s">
        <v>654</v>
      </c>
      <c r="AF426" s="184"/>
      <c r="AG426" s="183"/>
      <c r="AH426" s="183"/>
      <c r="AI426" s="183"/>
      <c r="AJ426" s="183"/>
      <c r="AK426" s="9" t="s">
        <v>654</v>
      </c>
      <c r="AL426" s="183"/>
      <c r="AM426" s="186" t="str">
        <f>IF(AF426="","","Q"&amp;INT((MONTH(AF426)-1)/3)+1&amp;YEAR(AF426)&amp;#REF!&amp;T426)</f>
        <v/>
      </c>
      <c r="AN426" s="186" t="e">
        <f>IF(K426="","","Q"&amp;INT((MONTH(K426)-1)/3)+1&amp;YEAR(K426)&amp;#REF!)</f>
        <v>#REF!</v>
      </c>
    </row>
    <row r="427" spans="1:40" ht="20.100000000000001" customHeight="1" x14ac:dyDescent="0.25">
      <c r="A427" s="8">
        <v>425</v>
      </c>
      <c r="B427" s="8" t="s">
        <v>399</v>
      </c>
      <c r="C427" s="8" t="s">
        <v>1997</v>
      </c>
      <c r="D427" s="8" t="s">
        <v>2416</v>
      </c>
      <c r="E427" s="8" t="s">
        <v>1998</v>
      </c>
      <c r="F427" s="183" t="s">
        <v>2297</v>
      </c>
      <c r="G427" s="183"/>
      <c r="H427" s="183" t="s">
        <v>2298</v>
      </c>
      <c r="I427" s="183" t="s">
        <v>579</v>
      </c>
      <c r="J427" s="183"/>
      <c r="K427" s="184">
        <v>46041</v>
      </c>
      <c r="L427" s="183">
        <v>100</v>
      </c>
      <c r="M427" s="185" t="str">
        <f>IF(phc_8[[#This Row],[Register No.]]="","",C427&amp;"-"&amp;D427&amp;"-"&amp;"BHA-PHC-"&amp;phc_8[[#This Row],[Register No.]])</f>
        <v>Shining Star-Mobile Clinic-BHA-PHC-100</v>
      </c>
      <c r="N427" s="9" t="s">
        <v>401</v>
      </c>
      <c r="O427" s="183" t="s">
        <v>3980</v>
      </c>
      <c r="P427" s="183">
        <v>63</v>
      </c>
      <c r="Q427" s="183"/>
      <c r="R427" s="183"/>
      <c r="S427" s="186" t="str">
        <f t="shared" si="16"/>
        <v>50 yrs +</v>
      </c>
      <c r="T427" s="183" t="s">
        <v>603</v>
      </c>
      <c r="U427" s="183" t="s">
        <v>2298</v>
      </c>
      <c r="V427" s="183" t="s">
        <v>3344</v>
      </c>
      <c r="W427" s="183" t="s">
        <v>178</v>
      </c>
      <c r="X427" s="183" t="s">
        <v>178</v>
      </c>
      <c r="Y427" s="186" t="str">
        <f>INDEX(info!$Y$2:$Y$192,MATCH(phc_8[[#This Row],[Sub_Category]],info!$X$2:$X$192,0))</f>
        <v>Chronic medical disease</v>
      </c>
      <c r="Z427" s="186" t="str">
        <f t="array" ref="Z427">INDEX(info!$AA$2:$AA$192,MATCH(PHC!$X427&amp;PHC!$Y427,info!$X$2:$X$192&amp;info!$Y$2:$Y$192,0))</f>
        <v>Non-communicable disease</v>
      </c>
      <c r="AA427" s="183" t="s">
        <v>4001</v>
      </c>
      <c r="AB427" s="9" t="s">
        <v>654</v>
      </c>
      <c r="AC427" s="9" t="s">
        <v>654</v>
      </c>
      <c r="AD427" s="9" t="s">
        <v>654</v>
      </c>
      <c r="AE427" s="9" t="s">
        <v>654</v>
      </c>
      <c r="AF427" s="184"/>
      <c r="AG427" s="183"/>
      <c r="AH427" s="183"/>
      <c r="AI427" s="183"/>
      <c r="AJ427" s="183"/>
      <c r="AK427" s="9" t="s">
        <v>654</v>
      </c>
      <c r="AL427" s="183"/>
      <c r="AM427" s="186" t="str">
        <f>IF(AF427="","","Q"&amp;INT((MONTH(AF427)-1)/3)+1&amp;YEAR(AF427)&amp;#REF!&amp;T427)</f>
        <v/>
      </c>
      <c r="AN427" s="186" t="e">
        <f>IF(K427="","","Q"&amp;INT((MONTH(K427)-1)/3)+1&amp;YEAR(K427)&amp;#REF!)</f>
        <v>#REF!</v>
      </c>
    </row>
    <row r="428" spans="1:40" ht="20.100000000000001" customHeight="1" x14ac:dyDescent="0.25">
      <c r="A428" s="8">
        <v>426</v>
      </c>
      <c r="B428" s="8" t="s">
        <v>399</v>
      </c>
      <c r="C428" s="8" t="s">
        <v>1997</v>
      </c>
      <c r="D428" s="8" t="s">
        <v>2416</v>
      </c>
      <c r="E428" s="8" t="s">
        <v>1998</v>
      </c>
      <c r="F428" s="183" t="s">
        <v>2297</v>
      </c>
      <c r="G428" s="183"/>
      <c r="H428" s="183" t="s">
        <v>2298</v>
      </c>
      <c r="I428" s="183" t="s">
        <v>579</v>
      </c>
      <c r="J428" s="183"/>
      <c r="K428" s="184">
        <v>46041</v>
      </c>
      <c r="L428" s="183">
        <v>101</v>
      </c>
      <c r="M428" s="185" t="str">
        <f>IF(phc_8[[#This Row],[Register No.]]="","",C428&amp;"-"&amp;D428&amp;"-"&amp;"BHA-PHC-"&amp;phc_8[[#This Row],[Register No.]])</f>
        <v>Shining Star-Mobile Clinic-BHA-PHC-101</v>
      </c>
      <c r="N428" s="9" t="s">
        <v>401</v>
      </c>
      <c r="O428" s="183" t="s">
        <v>3981</v>
      </c>
      <c r="P428" s="183">
        <v>58</v>
      </c>
      <c r="Q428" s="183"/>
      <c r="R428" s="183"/>
      <c r="S428" s="186" t="str">
        <f t="shared" si="16"/>
        <v>50 yrs +</v>
      </c>
      <c r="T428" s="183" t="s">
        <v>603</v>
      </c>
      <c r="U428" s="183" t="s">
        <v>2298</v>
      </c>
      <c r="V428" s="183" t="s">
        <v>3987</v>
      </c>
      <c r="W428" s="183" t="s">
        <v>294</v>
      </c>
      <c r="X428" s="183" t="s">
        <v>294</v>
      </c>
      <c r="Y428" s="186" t="str">
        <f>INDEX(info!$Y$2:$Y$192,MATCH(phc_8[[#This Row],[Sub_Category]],info!$X$2:$X$192,0))</f>
        <v>Other (non-communicable)</v>
      </c>
      <c r="Z428" s="186" t="str">
        <f t="array" ref="Z428">INDEX(info!$AA$2:$AA$192,MATCH(PHC!$X428&amp;PHC!$Y428,info!$X$2:$X$192&amp;info!$Y$2:$Y$192,0))</f>
        <v>Other</v>
      </c>
      <c r="AA428" s="183" t="s">
        <v>3996</v>
      </c>
      <c r="AB428" s="9" t="s">
        <v>654</v>
      </c>
      <c r="AC428" s="9" t="s">
        <v>654</v>
      </c>
      <c r="AD428" s="9" t="s">
        <v>654</v>
      </c>
      <c r="AE428" s="9" t="s">
        <v>654</v>
      </c>
      <c r="AF428" s="184"/>
      <c r="AG428" s="183"/>
      <c r="AH428" s="183"/>
      <c r="AI428" s="183"/>
      <c r="AJ428" s="183"/>
      <c r="AK428" s="9" t="s">
        <v>654</v>
      </c>
      <c r="AL428" s="183"/>
      <c r="AM428" s="186" t="str">
        <f>IF(AF428="","","Q"&amp;INT((MONTH(AF428)-1)/3)+1&amp;YEAR(AF428)&amp;#REF!&amp;T428)</f>
        <v/>
      </c>
      <c r="AN428" s="186" t="e">
        <f>IF(K428="","","Q"&amp;INT((MONTH(K428)-1)/3)+1&amp;YEAR(K428)&amp;#REF!)</f>
        <v>#REF!</v>
      </c>
    </row>
    <row r="429" spans="1:40" ht="20.100000000000001" customHeight="1" x14ac:dyDescent="0.25">
      <c r="A429" s="8">
        <v>427</v>
      </c>
      <c r="B429" s="8" t="s">
        <v>399</v>
      </c>
      <c r="C429" s="8" t="s">
        <v>1997</v>
      </c>
      <c r="D429" s="8" t="s">
        <v>2416</v>
      </c>
      <c r="E429" s="8" t="s">
        <v>1998</v>
      </c>
      <c r="F429" s="183" t="s">
        <v>2297</v>
      </c>
      <c r="G429" s="183"/>
      <c r="H429" s="183" t="s">
        <v>2298</v>
      </c>
      <c r="I429" s="183" t="s">
        <v>579</v>
      </c>
      <c r="J429" s="183"/>
      <c r="K429" s="184">
        <v>46041</v>
      </c>
      <c r="L429" s="183">
        <v>102</v>
      </c>
      <c r="M429" s="185" t="str">
        <f>IF(phc_8[[#This Row],[Register No.]]="","",C429&amp;"-"&amp;D429&amp;"-"&amp;"BHA-PHC-"&amp;phc_8[[#This Row],[Register No.]])</f>
        <v>Shining Star-Mobile Clinic-BHA-PHC-102</v>
      </c>
      <c r="N429" s="9" t="s">
        <v>401</v>
      </c>
      <c r="O429" s="183" t="s">
        <v>3982</v>
      </c>
      <c r="P429" s="183">
        <v>64</v>
      </c>
      <c r="Q429" s="183"/>
      <c r="R429" s="183"/>
      <c r="S429" s="186" t="str">
        <f t="shared" si="16"/>
        <v>50 yrs +</v>
      </c>
      <c r="T429" s="183" t="s">
        <v>402</v>
      </c>
      <c r="U429" s="183" t="s">
        <v>2298</v>
      </c>
      <c r="V429" s="183" t="s">
        <v>2147</v>
      </c>
      <c r="W429" s="183" t="s">
        <v>3182</v>
      </c>
      <c r="X429" s="183" t="s">
        <v>242</v>
      </c>
      <c r="Y429" s="186" t="str">
        <f>INDEX(info!$Y$2:$Y$192,MATCH(phc_8[[#This Row],[Sub_Category]],info!$X$2:$X$192,0))</f>
        <v>Accident/minor sugical and injuries</v>
      </c>
      <c r="Z429" s="186" t="str">
        <f t="array" ref="Z429">INDEX(info!$AA$2:$AA$192,MATCH(PHC!$X429&amp;PHC!$Y429,info!$X$2:$X$192&amp;info!$Y$2:$Y$192,0))</f>
        <v>Injury related</v>
      </c>
      <c r="AA429" s="183" t="s">
        <v>3997</v>
      </c>
      <c r="AB429" s="9" t="s">
        <v>654</v>
      </c>
      <c r="AC429" s="9" t="s">
        <v>654</v>
      </c>
      <c r="AD429" s="9" t="s">
        <v>654</v>
      </c>
      <c r="AE429" s="9" t="s">
        <v>654</v>
      </c>
      <c r="AF429" s="184"/>
      <c r="AG429" s="183"/>
      <c r="AH429" s="183"/>
      <c r="AI429" s="183"/>
      <c r="AJ429" s="183"/>
      <c r="AK429" s="9" t="s">
        <v>654</v>
      </c>
      <c r="AL429" s="183"/>
      <c r="AM429" s="186" t="str">
        <f>IF(AF429="","","Q"&amp;INT((MONTH(AF429)-1)/3)+1&amp;YEAR(AF429)&amp;#REF!&amp;T429)</f>
        <v/>
      </c>
      <c r="AN429" s="186" t="e">
        <f>IF(K429="","","Q"&amp;INT((MONTH(K429)-1)/3)+1&amp;YEAR(K429)&amp;#REF!)</f>
        <v>#REF!</v>
      </c>
    </row>
    <row r="430" spans="1:40" ht="20.100000000000001" customHeight="1" x14ac:dyDescent="0.25">
      <c r="A430" s="8">
        <v>428</v>
      </c>
      <c r="B430" s="8" t="s">
        <v>399</v>
      </c>
      <c r="C430" s="8" t="s">
        <v>1997</v>
      </c>
      <c r="D430" s="8" t="s">
        <v>2416</v>
      </c>
      <c r="E430" s="8" t="s">
        <v>1998</v>
      </c>
      <c r="F430" s="183" t="s">
        <v>2297</v>
      </c>
      <c r="G430" s="183"/>
      <c r="H430" s="183" t="s">
        <v>2298</v>
      </c>
      <c r="I430" s="183" t="s">
        <v>579</v>
      </c>
      <c r="J430" s="183"/>
      <c r="K430" s="184">
        <v>46041</v>
      </c>
      <c r="L430" s="183">
        <v>103</v>
      </c>
      <c r="M430" s="185" t="str">
        <f>IF(phc_8[[#This Row],[Register No.]]="","",C430&amp;"-"&amp;D430&amp;"-"&amp;"BHA-PHC-"&amp;phc_8[[#This Row],[Register No.]])</f>
        <v>Shining Star-Mobile Clinic-BHA-PHC-103</v>
      </c>
      <c r="N430" s="9" t="s">
        <v>401</v>
      </c>
      <c r="O430" s="183" t="s">
        <v>3983</v>
      </c>
      <c r="P430" s="183">
        <v>61</v>
      </c>
      <c r="Q430" s="183"/>
      <c r="R430" s="183"/>
      <c r="S430" s="186" t="str">
        <f t="shared" si="16"/>
        <v>50 yrs +</v>
      </c>
      <c r="T430" s="183" t="s">
        <v>603</v>
      </c>
      <c r="U430" s="183" t="s">
        <v>2298</v>
      </c>
      <c r="V430" s="183" t="s">
        <v>2743</v>
      </c>
      <c r="W430" s="183" t="s">
        <v>3168</v>
      </c>
      <c r="X430" s="183" t="s">
        <v>242</v>
      </c>
      <c r="Y430" s="186" t="str">
        <f>INDEX(info!$Y$2:$Y$192,MATCH(phc_8[[#This Row],[Sub_Category]],info!$X$2:$X$192,0))</f>
        <v>Accident/minor sugical and injuries</v>
      </c>
      <c r="Z430" s="186" t="str">
        <f t="array" ref="Z430">INDEX(info!$AA$2:$AA$192,MATCH(PHC!$X430&amp;PHC!$Y430,info!$X$2:$X$192&amp;info!$Y$2:$Y$192,0))</f>
        <v>Injury related</v>
      </c>
      <c r="AA430" s="183" t="s">
        <v>3998</v>
      </c>
      <c r="AB430" s="9" t="s">
        <v>654</v>
      </c>
      <c r="AC430" s="9" t="s">
        <v>654</v>
      </c>
      <c r="AD430" s="9" t="s">
        <v>654</v>
      </c>
      <c r="AE430" s="9" t="s">
        <v>654</v>
      </c>
      <c r="AF430" s="184"/>
      <c r="AG430" s="183"/>
      <c r="AH430" s="183"/>
      <c r="AI430" s="183"/>
      <c r="AJ430" s="183"/>
      <c r="AK430" s="9" t="s">
        <v>654</v>
      </c>
      <c r="AL430" s="183"/>
      <c r="AM430" s="186" t="str">
        <f>IF(AF430="","","Q"&amp;INT((MONTH(AF430)-1)/3)+1&amp;YEAR(AF430)&amp;#REF!&amp;T430)</f>
        <v/>
      </c>
      <c r="AN430" s="186" t="e">
        <f>IF(K430="","","Q"&amp;INT((MONTH(K430)-1)/3)+1&amp;YEAR(K430)&amp;#REF!)</f>
        <v>#REF!</v>
      </c>
    </row>
    <row r="431" spans="1:40" ht="20.100000000000001" customHeight="1" x14ac:dyDescent="0.25">
      <c r="A431" s="8">
        <v>429</v>
      </c>
      <c r="B431" s="8" t="s">
        <v>399</v>
      </c>
      <c r="C431" s="8" t="s">
        <v>1997</v>
      </c>
      <c r="D431" s="8" t="s">
        <v>2416</v>
      </c>
      <c r="E431" s="8" t="s">
        <v>1998</v>
      </c>
      <c r="F431" s="183" t="s">
        <v>2297</v>
      </c>
      <c r="G431" s="183"/>
      <c r="H431" s="183" t="s">
        <v>2298</v>
      </c>
      <c r="I431" s="183" t="s">
        <v>579</v>
      </c>
      <c r="J431" s="183"/>
      <c r="K431" s="184">
        <v>46041</v>
      </c>
      <c r="L431" s="183">
        <v>104</v>
      </c>
      <c r="M431" s="185" t="str">
        <f>IF(phc_8[[#This Row],[Register No.]]="","",C431&amp;"-"&amp;D431&amp;"-"&amp;"BHA-PHC-"&amp;phc_8[[#This Row],[Register No.]])</f>
        <v>Shining Star-Mobile Clinic-BHA-PHC-104</v>
      </c>
      <c r="N431" s="9" t="s">
        <v>401</v>
      </c>
      <c r="O431" s="183" t="s">
        <v>2989</v>
      </c>
      <c r="P431" s="183">
        <v>64</v>
      </c>
      <c r="Q431" s="183"/>
      <c r="R431" s="183"/>
      <c r="S431" s="186" t="str">
        <f t="shared" si="16"/>
        <v>50 yrs +</v>
      </c>
      <c r="T431" s="183" t="s">
        <v>402</v>
      </c>
      <c r="U431" s="183" t="s">
        <v>2298</v>
      </c>
      <c r="V431" s="183" t="s">
        <v>3988</v>
      </c>
      <c r="W431" s="183" t="s">
        <v>2013</v>
      </c>
      <c r="X431" s="183" t="s">
        <v>90</v>
      </c>
      <c r="Y431" s="186" t="str">
        <f>INDEX(info!$Y$2:$Y$192,MATCH(phc_8[[#This Row],[Sub_Category]],info!$X$2:$X$192,0))</f>
        <v>Skin infection/disease</v>
      </c>
      <c r="Z431" s="186" t="str">
        <f t="array" ref="Z431">INDEX(info!$AA$2:$AA$192,MATCH(PHC!$X431&amp;PHC!$Y431,info!$X$2:$X$192&amp;info!$Y$2:$Y$192,0))</f>
        <v>Non-communicable disease</v>
      </c>
      <c r="AA431" s="183" t="s">
        <v>3999</v>
      </c>
      <c r="AB431" s="9" t="s">
        <v>654</v>
      </c>
      <c r="AC431" s="9" t="s">
        <v>654</v>
      </c>
      <c r="AD431" s="9" t="s">
        <v>654</v>
      </c>
      <c r="AE431" s="9" t="s">
        <v>654</v>
      </c>
      <c r="AF431" s="184"/>
      <c r="AG431" s="183"/>
      <c r="AH431" s="183"/>
      <c r="AI431" s="183"/>
      <c r="AJ431" s="183"/>
      <c r="AK431" s="9" t="s">
        <v>654</v>
      </c>
      <c r="AL431" s="183"/>
      <c r="AM431" s="186" t="str">
        <f>IF(AF431="","","Q"&amp;INT((MONTH(AF431)-1)/3)+1&amp;YEAR(AF431)&amp;#REF!&amp;T431)</f>
        <v/>
      </c>
      <c r="AN431" s="186" t="e">
        <f>IF(K431="","","Q"&amp;INT((MONTH(K431)-1)/3)+1&amp;YEAR(K431)&amp;#REF!)</f>
        <v>#REF!</v>
      </c>
    </row>
    <row r="432" spans="1:40" ht="20.100000000000001" customHeight="1" x14ac:dyDescent="0.25">
      <c r="A432" s="8">
        <v>430</v>
      </c>
      <c r="B432" s="8" t="s">
        <v>399</v>
      </c>
      <c r="C432" s="8" t="s">
        <v>1997</v>
      </c>
      <c r="D432" s="8" t="s">
        <v>2416</v>
      </c>
      <c r="E432" s="8" t="s">
        <v>1998</v>
      </c>
      <c r="F432" s="183" t="s">
        <v>2297</v>
      </c>
      <c r="G432" s="183"/>
      <c r="H432" s="183" t="s">
        <v>2298</v>
      </c>
      <c r="I432" s="183" t="s">
        <v>579</v>
      </c>
      <c r="J432" s="183"/>
      <c r="K432" s="184">
        <v>46041</v>
      </c>
      <c r="L432" s="183">
        <v>105</v>
      </c>
      <c r="M432" s="185" t="str">
        <f>IF(phc_8[[#This Row],[Register No.]]="","",C432&amp;"-"&amp;D432&amp;"-"&amp;"BHA-PHC-"&amp;phc_8[[#This Row],[Register No.]])</f>
        <v>Shining Star-Mobile Clinic-BHA-PHC-105</v>
      </c>
      <c r="N432" s="9" t="s">
        <v>401</v>
      </c>
      <c r="O432" s="183" t="s">
        <v>3984</v>
      </c>
      <c r="P432" s="183">
        <v>43</v>
      </c>
      <c r="Q432" s="183"/>
      <c r="R432" s="183"/>
      <c r="S432" s="186" t="str">
        <f t="shared" si="16"/>
        <v>19 - 49 yrs</v>
      </c>
      <c r="T432" s="183" t="s">
        <v>603</v>
      </c>
      <c r="U432" s="183" t="s">
        <v>2298</v>
      </c>
      <c r="V432" s="183" t="s">
        <v>3989</v>
      </c>
      <c r="W432" s="183" t="s">
        <v>233</v>
      </c>
      <c r="X432" s="183" t="s">
        <v>233</v>
      </c>
      <c r="Y432" s="186" t="str">
        <f>INDEX(info!$Y$2:$Y$192,MATCH(phc_8[[#This Row],[Sub_Category]],info!$X$2:$X$192,0))</f>
        <v>Other (non-communicable)</v>
      </c>
      <c r="Z432" s="186" t="str">
        <f t="array" ref="Z432">INDEX(info!$AA$2:$AA$192,MATCH(PHC!$X432&amp;PHC!$Y432,info!$X$2:$X$192&amp;info!$Y$2:$Y$192,0))</f>
        <v>Other</v>
      </c>
      <c r="AA432" s="183" t="s">
        <v>4000</v>
      </c>
      <c r="AB432" s="9" t="s">
        <v>654</v>
      </c>
      <c r="AC432" s="9" t="s">
        <v>654</v>
      </c>
      <c r="AD432" s="9" t="s">
        <v>654</v>
      </c>
      <c r="AE432" s="9" t="s">
        <v>654</v>
      </c>
      <c r="AF432" s="184"/>
      <c r="AG432" s="183"/>
      <c r="AH432" s="183"/>
      <c r="AI432" s="183"/>
      <c r="AJ432" s="183"/>
      <c r="AK432" s="9" t="s">
        <v>654</v>
      </c>
      <c r="AL432" s="183"/>
      <c r="AM432" s="186" t="str">
        <f>IF(AF432="","","Q"&amp;INT((MONTH(AF432)-1)/3)+1&amp;YEAR(AF432)&amp;#REF!&amp;T432)</f>
        <v/>
      </c>
      <c r="AN432" s="186" t="e">
        <f>IF(K432="","","Q"&amp;INT((MONTH(K432)-1)/3)+1&amp;YEAR(K432)&amp;#REF!)</f>
        <v>#REF!</v>
      </c>
    </row>
    <row r="433" spans="1:40" ht="20.100000000000001" customHeight="1" x14ac:dyDescent="0.25">
      <c r="A433" s="8">
        <v>431</v>
      </c>
      <c r="B433" s="8" t="s">
        <v>399</v>
      </c>
      <c r="C433" s="8" t="s">
        <v>1997</v>
      </c>
      <c r="D433" s="8" t="s">
        <v>2416</v>
      </c>
      <c r="E433" s="8" t="s">
        <v>1998</v>
      </c>
      <c r="F433" s="183" t="s">
        <v>2297</v>
      </c>
      <c r="G433" s="183"/>
      <c r="H433" s="183" t="s">
        <v>2298</v>
      </c>
      <c r="I433" s="183" t="s">
        <v>579</v>
      </c>
      <c r="J433" s="183"/>
      <c r="K433" s="184">
        <v>46041</v>
      </c>
      <c r="L433" s="183">
        <v>106</v>
      </c>
      <c r="M433" s="185" t="str">
        <f>IF(phc_8[[#This Row],[Register No.]]="","",C433&amp;"-"&amp;D433&amp;"-"&amp;"BHA-PHC-"&amp;phc_8[[#This Row],[Register No.]])</f>
        <v>Shining Star-Mobile Clinic-BHA-PHC-106</v>
      </c>
      <c r="N433" s="9" t="s">
        <v>401</v>
      </c>
      <c r="O433" s="183" t="s">
        <v>4002</v>
      </c>
      <c r="P433" s="183">
        <v>27</v>
      </c>
      <c r="Q433" s="183"/>
      <c r="R433" s="183"/>
      <c r="S433" s="186" t="str">
        <f t="shared" si="16"/>
        <v>19 - 49 yrs</v>
      </c>
      <c r="T433" s="183" t="s">
        <v>603</v>
      </c>
      <c r="U433" s="183" t="s">
        <v>2298</v>
      </c>
      <c r="V433" s="183" t="s">
        <v>4011</v>
      </c>
      <c r="W433" s="183" t="s">
        <v>4018</v>
      </c>
      <c r="X433" s="183"/>
      <c r="Y433" s="186" t="e">
        <f>INDEX(info!$Y$2:$Y$192,MATCH(phc_8[[#This Row],[Sub_Category]],info!$X$2:$X$192,0))</f>
        <v>#N/A</v>
      </c>
      <c r="Z433" s="186" t="e">
        <f t="array" ref="Z433">INDEX(info!$AA$2:$AA$192,MATCH(PHC!$X433&amp;PHC!$Y433,info!$X$2:$X$192&amp;info!$Y$2:$Y$192,0))</f>
        <v>#N/A</v>
      </c>
      <c r="AA433" s="183" t="s">
        <v>4020</v>
      </c>
      <c r="AB433" s="9" t="s">
        <v>654</v>
      </c>
      <c r="AC433" s="9" t="s">
        <v>654</v>
      </c>
      <c r="AD433" s="9" t="s">
        <v>654</v>
      </c>
      <c r="AE433" s="9" t="s">
        <v>654</v>
      </c>
      <c r="AF433" s="184"/>
      <c r="AG433" s="183"/>
      <c r="AH433" s="183"/>
      <c r="AI433" s="183"/>
      <c r="AJ433" s="183"/>
      <c r="AK433" s="9" t="s">
        <v>654</v>
      </c>
      <c r="AL433" s="183"/>
      <c r="AM433" s="186" t="str">
        <f>IF(AF433="","","Q"&amp;INT((MONTH(AF433)-1)/3)+1&amp;YEAR(AF433)&amp;#REF!&amp;T433)</f>
        <v/>
      </c>
      <c r="AN433" s="186" t="e">
        <f>IF(K433="","","Q"&amp;INT((MONTH(K433)-1)/3)+1&amp;YEAR(K433)&amp;#REF!)</f>
        <v>#REF!</v>
      </c>
    </row>
    <row r="434" spans="1:40" ht="20.100000000000001" customHeight="1" x14ac:dyDescent="0.25">
      <c r="A434" s="8">
        <v>432</v>
      </c>
      <c r="B434" s="8" t="s">
        <v>399</v>
      </c>
      <c r="C434" s="8" t="s">
        <v>1997</v>
      </c>
      <c r="D434" s="8" t="s">
        <v>2416</v>
      </c>
      <c r="E434" s="8" t="s">
        <v>1998</v>
      </c>
      <c r="F434" s="183" t="s">
        <v>2297</v>
      </c>
      <c r="G434" s="183"/>
      <c r="H434" s="183" t="s">
        <v>2298</v>
      </c>
      <c r="I434" s="183" t="s">
        <v>579</v>
      </c>
      <c r="J434" s="183"/>
      <c r="K434" s="184">
        <v>46041</v>
      </c>
      <c r="L434" s="183">
        <v>107</v>
      </c>
      <c r="M434" s="185" t="str">
        <f>IF(phc_8[[#This Row],[Register No.]]="","",C434&amp;"-"&amp;D434&amp;"-"&amp;"BHA-PHC-"&amp;phc_8[[#This Row],[Register No.]])</f>
        <v>Shining Star-Mobile Clinic-BHA-PHC-107</v>
      </c>
      <c r="N434" s="9" t="s">
        <v>401</v>
      </c>
      <c r="O434" s="183" t="s">
        <v>4003</v>
      </c>
      <c r="P434" s="183">
        <v>30</v>
      </c>
      <c r="Q434" s="183"/>
      <c r="R434" s="183"/>
      <c r="S434" s="186" t="str">
        <f t="shared" si="16"/>
        <v>19 - 49 yrs</v>
      </c>
      <c r="T434" s="183" t="s">
        <v>603</v>
      </c>
      <c r="U434" s="183" t="s">
        <v>2298</v>
      </c>
      <c r="V434" s="183" t="s">
        <v>4012</v>
      </c>
      <c r="W434" s="183" t="s">
        <v>3195</v>
      </c>
      <c r="X434" s="183"/>
      <c r="Y434" s="186" t="e">
        <f>INDEX(info!$Y$2:$Y$192,MATCH(phc_8[[#This Row],[Sub_Category]],info!$X$2:$X$192,0))</f>
        <v>#N/A</v>
      </c>
      <c r="Z434" s="186" t="e">
        <f t="array" ref="Z434">INDEX(info!$AA$2:$AA$192,MATCH(PHC!$X434&amp;PHC!$Y434,info!$X$2:$X$192&amp;info!$Y$2:$Y$192,0))</f>
        <v>#N/A</v>
      </c>
      <c r="AA434" s="183" t="s">
        <v>3575</v>
      </c>
      <c r="AB434" s="9" t="s">
        <v>654</v>
      </c>
      <c r="AC434" s="9" t="s">
        <v>654</v>
      </c>
      <c r="AD434" s="9" t="s">
        <v>654</v>
      </c>
      <c r="AE434" s="9" t="s">
        <v>654</v>
      </c>
      <c r="AF434" s="184"/>
      <c r="AG434" s="183"/>
      <c r="AH434" s="183"/>
      <c r="AI434" s="183"/>
      <c r="AJ434" s="183"/>
      <c r="AK434" s="9" t="s">
        <v>654</v>
      </c>
      <c r="AL434" s="183"/>
      <c r="AM434" s="186" t="str">
        <f>IF(AF434="","","Q"&amp;INT((MONTH(AF434)-1)/3)+1&amp;YEAR(AF434)&amp;#REF!&amp;T434)</f>
        <v/>
      </c>
      <c r="AN434" s="186" t="e">
        <f>IF(K434="","","Q"&amp;INT((MONTH(K434)-1)/3)+1&amp;YEAR(K434)&amp;#REF!)</f>
        <v>#REF!</v>
      </c>
    </row>
    <row r="435" spans="1:40" ht="20.100000000000001" customHeight="1" x14ac:dyDescent="0.25">
      <c r="A435" s="8">
        <v>433</v>
      </c>
      <c r="B435" s="8" t="s">
        <v>399</v>
      </c>
      <c r="C435" s="8" t="s">
        <v>1997</v>
      </c>
      <c r="D435" s="8" t="s">
        <v>2416</v>
      </c>
      <c r="E435" s="8" t="s">
        <v>1998</v>
      </c>
      <c r="F435" s="183" t="s">
        <v>2297</v>
      </c>
      <c r="G435" s="183"/>
      <c r="H435" s="183" t="s">
        <v>2298</v>
      </c>
      <c r="I435" s="183" t="s">
        <v>579</v>
      </c>
      <c r="J435" s="183"/>
      <c r="K435" s="184">
        <v>46041</v>
      </c>
      <c r="L435" s="183">
        <v>108</v>
      </c>
      <c r="M435" s="185" t="str">
        <f>IF(phc_8[[#This Row],[Register No.]]="","",C435&amp;"-"&amp;D435&amp;"-"&amp;"BHA-PHC-"&amp;phc_8[[#This Row],[Register No.]])</f>
        <v>Shining Star-Mobile Clinic-BHA-PHC-108</v>
      </c>
      <c r="N435" s="9" t="s">
        <v>401</v>
      </c>
      <c r="O435" s="183" t="s">
        <v>4004</v>
      </c>
      <c r="P435" s="183">
        <v>27</v>
      </c>
      <c r="Q435" s="183"/>
      <c r="R435" s="183"/>
      <c r="S435" s="186" t="str">
        <f t="shared" si="16"/>
        <v>19 - 49 yrs</v>
      </c>
      <c r="T435" s="183" t="s">
        <v>603</v>
      </c>
      <c r="U435" s="183" t="s">
        <v>2298</v>
      </c>
      <c r="V435" s="183" t="s">
        <v>4013</v>
      </c>
      <c r="W435" s="183" t="s">
        <v>4018</v>
      </c>
      <c r="X435" s="183"/>
      <c r="Y435" s="186" t="e">
        <f>INDEX(info!$Y$2:$Y$192,MATCH(phc_8[[#This Row],[Sub_Category]],info!$X$2:$X$192,0))</f>
        <v>#N/A</v>
      </c>
      <c r="Z435" s="186" t="e">
        <f t="array" ref="Z435">INDEX(info!$AA$2:$AA$192,MATCH(PHC!$X435&amp;PHC!$Y435,info!$X$2:$X$192&amp;info!$Y$2:$Y$192,0))</f>
        <v>#N/A</v>
      </c>
      <c r="AA435" s="183" t="s">
        <v>4021</v>
      </c>
      <c r="AB435" s="9" t="s">
        <v>654</v>
      </c>
      <c r="AC435" s="9" t="s">
        <v>654</v>
      </c>
      <c r="AD435" s="9" t="s">
        <v>654</v>
      </c>
      <c r="AE435" s="9" t="s">
        <v>654</v>
      </c>
      <c r="AF435" s="184"/>
      <c r="AG435" s="183"/>
      <c r="AH435" s="183"/>
      <c r="AI435" s="183"/>
      <c r="AJ435" s="183"/>
      <c r="AK435" s="9" t="s">
        <v>654</v>
      </c>
      <c r="AL435" s="183"/>
      <c r="AM435" s="186" t="str">
        <f>IF(AF435="","","Q"&amp;INT((MONTH(AF435)-1)/3)+1&amp;YEAR(AF435)&amp;#REF!&amp;T435)</f>
        <v/>
      </c>
      <c r="AN435" s="186" t="e">
        <f>IF(K435="","","Q"&amp;INT((MONTH(K435)-1)/3)+1&amp;YEAR(K435)&amp;#REF!)</f>
        <v>#REF!</v>
      </c>
    </row>
    <row r="436" spans="1:40" ht="20.100000000000001" customHeight="1" x14ac:dyDescent="0.25">
      <c r="A436" s="8">
        <v>434</v>
      </c>
      <c r="B436" s="8" t="s">
        <v>399</v>
      </c>
      <c r="C436" s="8" t="s">
        <v>1997</v>
      </c>
      <c r="D436" s="8" t="s">
        <v>2416</v>
      </c>
      <c r="E436" s="8" t="s">
        <v>1998</v>
      </c>
      <c r="F436" s="183" t="s">
        <v>2297</v>
      </c>
      <c r="G436" s="183"/>
      <c r="H436" s="183" t="s">
        <v>2298</v>
      </c>
      <c r="I436" s="183" t="s">
        <v>579</v>
      </c>
      <c r="J436" s="183"/>
      <c r="K436" s="184">
        <v>46041</v>
      </c>
      <c r="L436" s="183">
        <v>109</v>
      </c>
      <c r="M436" s="185" t="str">
        <f>IF(phc_8[[#This Row],[Register No.]]="","",C436&amp;"-"&amp;D436&amp;"-"&amp;"BHA-PHC-"&amp;phc_8[[#This Row],[Register No.]])</f>
        <v>Shining Star-Mobile Clinic-BHA-PHC-109</v>
      </c>
      <c r="N436" s="9" t="s">
        <v>401</v>
      </c>
      <c r="O436" s="183" t="s">
        <v>4005</v>
      </c>
      <c r="P436" s="183">
        <v>19</v>
      </c>
      <c r="Q436" s="183"/>
      <c r="R436" s="183"/>
      <c r="S436" s="186" t="str">
        <f t="shared" si="16"/>
        <v>19 - 49 yrs</v>
      </c>
      <c r="T436" s="183" t="s">
        <v>603</v>
      </c>
      <c r="U436" s="183" t="s">
        <v>2298</v>
      </c>
      <c r="V436" s="183" t="s">
        <v>4014</v>
      </c>
      <c r="W436" s="183" t="s">
        <v>3071</v>
      </c>
      <c r="X436" s="183" t="s">
        <v>113</v>
      </c>
      <c r="Y436" s="186" t="str">
        <f>INDEX(info!$Y$2:$Y$192,MATCH(phc_8[[#This Row],[Sub_Category]],info!$X$2:$X$192,0))</f>
        <v>ARI/RTI</v>
      </c>
      <c r="Z436" s="186" t="str">
        <f t="array" ref="Z436">INDEX(info!$AA$2:$AA$192,MATCH(PHC!$X436&amp;PHC!$Y436,info!$X$2:$X$192&amp;info!$Y$2:$Y$192,0))</f>
        <v>Communicable disease</v>
      </c>
      <c r="AA436" s="183" t="s">
        <v>4022</v>
      </c>
      <c r="AB436" s="9" t="s">
        <v>654</v>
      </c>
      <c r="AC436" s="9" t="s">
        <v>654</v>
      </c>
      <c r="AD436" s="9" t="s">
        <v>654</v>
      </c>
      <c r="AE436" s="9" t="s">
        <v>654</v>
      </c>
      <c r="AF436" s="184"/>
      <c r="AG436" s="183"/>
      <c r="AH436" s="183"/>
      <c r="AI436" s="183"/>
      <c r="AJ436" s="183"/>
      <c r="AK436" s="9" t="s">
        <v>654</v>
      </c>
      <c r="AL436" s="183"/>
      <c r="AM436" s="186" t="str">
        <f>IF(AF436="","","Q"&amp;INT((MONTH(AF436)-1)/3)+1&amp;YEAR(AF436)&amp;#REF!&amp;T436)</f>
        <v/>
      </c>
      <c r="AN436" s="186" t="e">
        <f>IF(K436="","","Q"&amp;INT((MONTH(K436)-1)/3)+1&amp;YEAR(K436)&amp;#REF!)</f>
        <v>#REF!</v>
      </c>
    </row>
    <row r="437" spans="1:40" ht="20.100000000000001" customHeight="1" x14ac:dyDescent="0.25">
      <c r="A437" s="8">
        <v>435</v>
      </c>
      <c r="B437" s="8" t="s">
        <v>399</v>
      </c>
      <c r="C437" s="8" t="s">
        <v>1997</v>
      </c>
      <c r="D437" s="8" t="s">
        <v>2416</v>
      </c>
      <c r="E437" s="8" t="s">
        <v>1998</v>
      </c>
      <c r="F437" s="183" t="s">
        <v>2297</v>
      </c>
      <c r="G437" s="183"/>
      <c r="H437" s="183" t="s">
        <v>2298</v>
      </c>
      <c r="I437" s="183" t="s">
        <v>579</v>
      </c>
      <c r="J437" s="183"/>
      <c r="K437" s="184">
        <v>46041</v>
      </c>
      <c r="L437" s="183">
        <v>110</v>
      </c>
      <c r="M437" s="185" t="str">
        <f>IF(phc_8[[#This Row],[Register No.]]="","",C437&amp;"-"&amp;D437&amp;"-"&amp;"BHA-PHC-"&amp;phc_8[[#This Row],[Register No.]])</f>
        <v>Shining Star-Mobile Clinic-BHA-PHC-110</v>
      </c>
      <c r="N437" s="9" t="s">
        <v>401</v>
      </c>
      <c r="O437" s="183" t="s">
        <v>4006</v>
      </c>
      <c r="P437" s="183">
        <v>56</v>
      </c>
      <c r="Q437" s="183"/>
      <c r="R437" s="183"/>
      <c r="S437" s="186" t="str">
        <f t="shared" si="16"/>
        <v>50 yrs +</v>
      </c>
      <c r="T437" s="183" t="s">
        <v>603</v>
      </c>
      <c r="U437" s="183" t="s">
        <v>2298</v>
      </c>
      <c r="V437" s="183" t="s">
        <v>2012</v>
      </c>
      <c r="W437" s="183" t="s">
        <v>294</v>
      </c>
      <c r="X437" s="183" t="s">
        <v>294</v>
      </c>
      <c r="Y437" s="186" t="str">
        <f>INDEX(info!$Y$2:$Y$192,MATCH(phc_8[[#This Row],[Sub_Category]],info!$X$2:$X$192,0))</f>
        <v>Other (non-communicable)</v>
      </c>
      <c r="Z437" s="186" t="str">
        <f t="array" ref="Z437">INDEX(info!$AA$2:$AA$192,MATCH(PHC!$X437&amp;PHC!$Y437,info!$X$2:$X$192&amp;info!$Y$2:$Y$192,0))</f>
        <v>Other</v>
      </c>
      <c r="AA437" s="183" t="s">
        <v>4023</v>
      </c>
      <c r="AB437" s="9" t="s">
        <v>654</v>
      </c>
      <c r="AC437" s="9" t="s">
        <v>654</v>
      </c>
      <c r="AD437" s="9" t="s">
        <v>654</v>
      </c>
      <c r="AE437" s="9" t="s">
        <v>654</v>
      </c>
      <c r="AF437" s="184"/>
      <c r="AG437" s="183"/>
      <c r="AH437" s="183"/>
      <c r="AI437" s="183"/>
      <c r="AJ437" s="183"/>
      <c r="AK437" s="9" t="s">
        <v>654</v>
      </c>
      <c r="AL437" s="183"/>
      <c r="AM437" s="186" t="str">
        <f>IF(AF437="","","Q"&amp;INT((MONTH(AF437)-1)/3)+1&amp;YEAR(AF437)&amp;#REF!&amp;T437)</f>
        <v/>
      </c>
      <c r="AN437" s="186" t="e">
        <f>IF(K437="","","Q"&amp;INT((MONTH(K437)-1)/3)+1&amp;YEAR(K437)&amp;#REF!)</f>
        <v>#REF!</v>
      </c>
    </row>
    <row r="438" spans="1:40" ht="20.100000000000001" customHeight="1" x14ac:dyDescent="0.25">
      <c r="A438" s="8">
        <v>436</v>
      </c>
      <c r="B438" s="8" t="s">
        <v>399</v>
      </c>
      <c r="C438" s="8" t="s">
        <v>1997</v>
      </c>
      <c r="D438" s="8" t="s">
        <v>2416</v>
      </c>
      <c r="E438" s="8" t="s">
        <v>1998</v>
      </c>
      <c r="F438" s="183" t="s">
        <v>2297</v>
      </c>
      <c r="G438" s="183"/>
      <c r="H438" s="183" t="s">
        <v>2298</v>
      </c>
      <c r="I438" s="183" t="s">
        <v>579</v>
      </c>
      <c r="J438" s="183"/>
      <c r="K438" s="184">
        <v>46041</v>
      </c>
      <c r="L438" s="183">
        <v>111</v>
      </c>
      <c r="M438" s="185" t="str">
        <f>IF(phc_8[[#This Row],[Register No.]]="","",C438&amp;"-"&amp;D438&amp;"-"&amp;"BHA-PHC-"&amp;phc_8[[#This Row],[Register No.]])</f>
        <v>Shining Star-Mobile Clinic-BHA-PHC-111</v>
      </c>
      <c r="N438" s="9" t="s">
        <v>401</v>
      </c>
      <c r="O438" s="183" t="s">
        <v>4007</v>
      </c>
      <c r="P438" s="183">
        <v>48</v>
      </c>
      <c r="Q438" s="183"/>
      <c r="R438" s="183"/>
      <c r="S438" s="186" t="str">
        <f t="shared" si="16"/>
        <v>19 - 49 yrs</v>
      </c>
      <c r="T438" s="183" t="s">
        <v>603</v>
      </c>
      <c r="U438" s="183" t="s">
        <v>2298</v>
      </c>
      <c r="V438" s="183" t="s">
        <v>4015</v>
      </c>
      <c r="W438" s="183" t="s">
        <v>178</v>
      </c>
      <c r="X438" s="183" t="s">
        <v>178</v>
      </c>
      <c r="Y438" s="186" t="str">
        <f>INDEX(info!$Y$2:$Y$192,MATCH(phc_8[[#This Row],[Sub_Category]],info!$X$2:$X$192,0))</f>
        <v>Chronic medical disease</v>
      </c>
      <c r="Z438" s="186" t="str">
        <f t="array" ref="Z438">INDEX(info!$AA$2:$AA$192,MATCH(PHC!$X438&amp;PHC!$Y438,info!$X$2:$X$192&amp;info!$Y$2:$Y$192,0))</f>
        <v>Non-communicable disease</v>
      </c>
      <c r="AA438" s="183" t="s">
        <v>4024</v>
      </c>
      <c r="AB438" s="9" t="s">
        <v>654</v>
      </c>
      <c r="AC438" s="9" t="s">
        <v>654</v>
      </c>
      <c r="AD438" s="9" t="s">
        <v>654</v>
      </c>
      <c r="AE438" s="9" t="s">
        <v>654</v>
      </c>
      <c r="AF438" s="184"/>
      <c r="AG438" s="183"/>
      <c r="AH438" s="183"/>
      <c r="AI438" s="183"/>
      <c r="AJ438" s="183"/>
      <c r="AK438" s="9" t="s">
        <v>654</v>
      </c>
      <c r="AL438" s="183"/>
      <c r="AM438" s="186" t="str">
        <f>IF(AF438="","","Q"&amp;INT((MONTH(AF438)-1)/3)+1&amp;YEAR(AF438)&amp;#REF!&amp;T438)</f>
        <v/>
      </c>
      <c r="AN438" s="186" t="e">
        <f>IF(K438="","","Q"&amp;INT((MONTH(K438)-1)/3)+1&amp;YEAR(K438)&amp;#REF!)</f>
        <v>#REF!</v>
      </c>
    </row>
    <row r="439" spans="1:40" ht="20.100000000000001" customHeight="1" x14ac:dyDescent="0.25">
      <c r="A439" s="8">
        <v>437</v>
      </c>
      <c r="B439" s="8" t="s">
        <v>399</v>
      </c>
      <c r="C439" s="8" t="s">
        <v>1997</v>
      </c>
      <c r="D439" s="8" t="s">
        <v>2416</v>
      </c>
      <c r="E439" s="8" t="s">
        <v>1998</v>
      </c>
      <c r="F439" s="183" t="s">
        <v>2297</v>
      </c>
      <c r="G439" s="183"/>
      <c r="H439" s="183" t="s">
        <v>2298</v>
      </c>
      <c r="I439" s="183" t="s">
        <v>579</v>
      </c>
      <c r="J439" s="183"/>
      <c r="K439" s="184">
        <v>46041</v>
      </c>
      <c r="L439" s="183">
        <v>112</v>
      </c>
      <c r="M439" s="185" t="str">
        <f>IF(phc_8[[#This Row],[Register No.]]="","",C439&amp;"-"&amp;D439&amp;"-"&amp;"BHA-PHC-"&amp;phc_8[[#This Row],[Register No.]])</f>
        <v>Shining Star-Mobile Clinic-BHA-PHC-112</v>
      </c>
      <c r="N439" s="9" t="s">
        <v>401</v>
      </c>
      <c r="O439" s="183" t="s">
        <v>4008</v>
      </c>
      <c r="P439" s="183">
        <v>70</v>
      </c>
      <c r="Q439" s="183"/>
      <c r="R439" s="183"/>
      <c r="S439" s="186" t="str">
        <f t="shared" si="16"/>
        <v>50 yrs +</v>
      </c>
      <c r="T439" s="183" t="s">
        <v>402</v>
      </c>
      <c r="U439" s="183" t="s">
        <v>2298</v>
      </c>
      <c r="V439" s="183" t="s">
        <v>3831</v>
      </c>
      <c r="W439" s="183" t="s">
        <v>2003</v>
      </c>
      <c r="X439" s="183" t="s">
        <v>181</v>
      </c>
      <c r="Y439" s="186" t="str">
        <f>INDEX(info!$Y$2:$Y$192,MATCH(phc_8[[#This Row],[Sub_Category]],info!$X$2:$X$192,0))</f>
        <v>Chronic medical disease</v>
      </c>
      <c r="Z439" s="186" t="str">
        <f t="array" ref="Z439">INDEX(info!$AA$2:$AA$192,MATCH(PHC!$X439&amp;PHC!$Y439,info!$X$2:$X$192&amp;info!$Y$2:$Y$192,0))</f>
        <v>Non-communicable disease</v>
      </c>
      <c r="AA439" s="183" t="s">
        <v>3602</v>
      </c>
      <c r="AB439" s="9" t="s">
        <v>654</v>
      </c>
      <c r="AC439" s="9" t="s">
        <v>654</v>
      </c>
      <c r="AD439" s="9" t="s">
        <v>654</v>
      </c>
      <c r="AE439" s="9" t="s">
        <v>654</v>
      </c>
      <c r="AF439" s="184"/>
      <c r="AG439" s="183"/>
      <c r="AH439" s="183"/>
      <c r="AI439" s="183"/>
      <c r="AJ439" s="183"/>
      <c r="AK439" s="9" t="s">
        <v>654</v>
      </c>
      <c r="AL439" s="183"/>
      <c r="AM439" s="186" t="str">
        <f>IF(AF439="","","Q"&amp;INT((MONTH(AF439)-1)/3)+1&amp;YEAR(AF439)&amp;#REF!&amp;T439)</f>
        <v/>
      </c>
      <c r="AN439" s="186" t="e">
        <f>IF(K439="","","Q"&amp;INT((MONTH(K439)-1)/3)+1&amp;YEAR(K439)&amp;#REF!)</f>
        <v>#REF!</v>
      </c>
    </row>
    <row r="440" spans="1:40" ht="20.100000000000001" customHeight="1" x14ac:dyDescent="0.25">
      <c r="A440" s="8">
        <v>438</v>
      </c>
      <c r="B440" s="8" t="s">
        <v>399</v>
      </c>
      <c r="C440" s="8" t="s">
        <v>1997</v>
      </c>
      <c r="D440" s="8" t="s">
        <v>2416</v>
      </c>
      <c r="E440" s="8" t="s">
        <v>1998</v>
      </c>
      <c r="F440" s="183" t="s">
        <v>2297</v>
      </c>
      <c r="G440" s="183"/>
      <c r="H440" s="183" t="s">
        <v>2298</v>
      </c>
      <c r="I440" s="183" t="s">
        <v>579</v>
      </c>
      <c r="J440" s="183"/>
      <c r="K440" s="184">
        <v>46041</v>
      </c>
      <c r="L440" s="183">
        <v>113</v>
      </c>
      <c r="M440" s="185" t="str">
        <f>IF(phc_8[[#This Row],[Register No.]]="","",C440&amp;"-"&amp;D440&amp;"-"&amp;"BHA-PHC-"&amp;phc_8[[#This Row],[Register No.]])</f>
        <v>Shining Star-Mobile Clinic-BHA-PHC-113</v>
      </c>
      <c r="N440" s="9" t="s">
        <v>401</v>
      </c>
      <c r="O440" s="183" t="s">
        <v>3989</v>
      </c>
      <c r="P440" s="183">
        <v>78</v>
      </c>
      <c r="Q440" s="183"/>
      <c r="R440" s="183"/>
      <c r="S440" s="186" t="str">
        <f t="shared" si="16"/>
        <v>50 yrs +</v>
      </c>
      <c r="T440" s="183" t="s">
        <v>402</v>
      </c>
      <c r="U440" s="183" t="s">
        <v>2298</v>
      </c>
      <c r="V440" s="183" t="s">
        <v>4016</v>
      </c>
      <c r="W440" s="183" t="s">
        <v>4019</v>
      </c>
      <c r="X440" s="183" t="s">
        <v>99</v>
      </c>
      <c r="Y440" s="186" t="str">
        <f>INDEX(info!$Y$2:$Y$192,MATCH(phc_8[[#This Row],[Sub_Category]],info!$X$2:$X$192,0))</f>
        <v>Accident/minor sugical and injuries</v>
      </c>
      <c r="Z440" s="186" t="str">
        <f t="array" ref="Z440">INDEX(info!$AA$2:$AA$192,MATCH(PHC!$X440&amp;PHC!$Y440,info!$X$2:$X$192&amp;info!$Y$2:$Y$192,0))</f>
        <v>Injury related</v>
      </c>
      <c r="AA440" s="183" t="s">
        <v>4025</v>
      </c>
      <c r="AB440" s="9" t="s">
        <v>654</v>
      </c>
      <c r="AC440" s="9" t="s">
        <v>654</v>
      </c>
      <c r="AD440" s="9" t="s">
        <v>654</v>
      </c>
      <c r="AE440" s="9" t="s">
        <v>654</v>
      </c>
      <c r="AF440" s="184"/>
      <c r="AG440" s="183"/>
      <c r="AH440" s="183"/>
      <c r="AI440" s="183"/>
      <c r="AJ440" s="183"/>
      <c r="AK440" s="9" t="s">
        <v>654</v>
      </c>
      <c r="AL440" s="183"/>
      <c r="AM440" s="186" t="str">
        <f>IF(AF440="","","Q"&amp;INT((MONTH(AF440)-1)/3)+1&amp;YEAR(AF440)&amp;#REF!&amp;T440)</f>
        <v/>
      </c>
      <c r="AN440" s="186" t="e">
        <f>IF(K440="","","Q"&amp;INT((MONTH(K440)-1)/3)+1&amp;YEAR(K440)&amp;#REF!)</f>
        <v>#REF!</v>
      </c>
    </row>
    <row r="441" spans="1:40" ht="20.100000000000001" customHeight="1" x14ac:dyDescent="0.25">
      <c r="A441" s="8">
        <v>439</v>
      </c>
      <c r="B441" s="8" t="s">
        <v>399</v>
      </c>
      <c r="C441" s="8" t="s">
        <v>1997</v>
      </c>
      <c r="D441" s="8" t="s">
        <v>2416</v>
      </c>
      <c r="E441" s="8" t="s">
        <v>1998</v>
      </c>
      <c r="F441" s="183" t="s">
        <v>2297</v>
      </c>
      <c r="G441" s="183"/>
      <c r="H441" s="183" t="s">
        <v>2298</v>
      </c>
      <c r="I441" s="183" t="s">
        <v>579</v>
      </c>
      <c r="J441" s="183"/>
      <c r="K441" s="184">
        <v>46041</v>
      </c>
      <c r="L441" s="183">
        <v>114</v>
      </c>
      <c r="M441" s="185" t="str">
        <f>IF(phc_8[[#This Row],[Register No.]]="","",C441&amp;"-"&amp;D441&amp;"-"&amp;"BHA-PHC-"&amp;phc_8[[#This Row],[Register No.]])</f>
        <v>Shining Star-Mobile Clinic-BHA-PHC-114</v>
      </c>
      <c r="N441" s="9" t="s">
        <v>401</v>
      </c>
      <c r="O441" s="183" t="s">
        <v>4009</v>
      </c>
      <c r="P441" s="183">
        <v>47</v>
      </c>
      <c r="Q441" s="183"/>
      <c r="R441" s="183"/>
      <c r="S441" s="186" t="str">
        <f t="shared" si="16"/>
        <v>19 - 49 yrs</v>
      </c>
      <c r="T441" s="183" t="s">
        <v>402</v>
      </c>
      <c r="U441" s="183" t="s">
        <v>2298</v>
      </c>
      <c r="V441" s="183" t="s">
        <v>4017</v>
      </c>
      <c r="W441" s="183" t="s">
        <v>3105</v>
      </c>
      <c r="X441" s="183" t="s">
        <v>3105</v>
      </c>
      <c r="Y441" s="186" t="str">
        <f>INDEX(info!$Y$2:$Y$192,MATCH(phc_8[[#This Row],[Sub_Category]],info!$X$2:$X$192,0))</f>
        <v>Chronic medical disease</v>
      </c>
      <c r="Z441" s="186" t="str">
        <f t="array" ref="Z441">INDEX(info!$AA$2:$AA$192,MATCH(PHC!$X441&amp;PHC!$Y441,info!$X$2:$X$192&amp;info!$Y$2:$Y$192,0))</f>
        <v>Non-communicable disease</v>
      </c>
      <c r="AA441" s="183" t="s">
        <v>4026</v>
      </c>
      <c r="AB441" s="9" t="s">
        <v>654</v>
      </c>
      <c r="AC441" s="9" t="s">
        <v>654</v>
      </c>
      <c r="AD441" s="9" t="s">
        <v>654</v>
      </c>
      <c r="AE441" s="9" t="s">
        <v>654</v>
      </c>
      <c r="AF441" s="184"/>
      <c r="AG441" s="183"/>
      <c r="AH441" s="183"/>
      <c r="AI441" s="183"/>
      <c r="AJ441" s="183"/>
      <c r="AK441" s="9" t="s">
        <v>654</v>
      </c>
      <c r="AL441" s="183"/>
      <c r="AM441" s="186" t="str">
        <f>IF(AF441="","","Q"&amp;INT((MONTH(AF441)-1)/3)+1&amp;YEAR(AF441)&amp;#REF!&amp;T441)</f>
        <v/>
      </c>
      <c r="AN441" s="186" t="e">
        <f>IF(K441="","","Q"&amp;INT((MONTH(K441)-1)/3)+1&amp;YEAR(K441)&amp;#REF!)</f>
        <v>#REF!</v>
      </c>
    </row>
    <row r="442" spans="1:40" ht="20.100000000000001" customHeight="1" x14ac:dyDescent="0.25">
      <c r="A442" s="8">
        <v>440</v>
      </c>
      <c r="B442" s="8" t="s">
        <v>399</v>
      </c>
      <c r="C442" s="8" t="s">
        <v>1997</v>
      </c>
      <c r="D442" s="8" t="s">
        <v>2416</v>
      </c>
      <c r="E442" s="8" t="s">
        <v>1998</v>
      </c>
      <c r="F442" s="183" t="s">
        <v>2297</v>
      </c>
      <c r="G442" s="183"/>
      <c r="H442" s="183" t="s">
        <v>2298</v>
      </c>
      <c r="I442" s="183" t="s">
        <v>579</v>
      </c>
      <c r="J442" s="183"/>
      <c r="K442" s="184">
        <v>46041</v>
      </c>
      <c r="L442" s="183">
        <v>115</v>
      </c>
      <c r="M442" s="185" t="str">
        <f>IF(phc_8[[#This Row],[Register No.]]="","",C442&amp;"-"&amp;D442&amp;"-"&amp;"BHA-PHC-"&amp;phc_8[[#This Row],[Register No.]])</f>
        <v>Shining Star-Mobile Clinic-BHA-PHC-115</v>
      </c>
      <c r="N442" s="9" t="s">
        <v>401</v>
      </c>
      <c r="O442" s="183" t="s">
        <v>4010</v>
      </c>
      <c r="P442" s="183">
        <v>32</v>
      </c>
      <c r="Q442" s="183"/>
      <c r="R442" s="183"/>
      <c r="S442" s="186" t="str">
        <f t="shared" si="16"/>
        <v>19 - 49 yrs</v>
      </c>
      <c r="T442" s="183" t="s">
        <v>603</v>
      </c>
      <c r="U442" s="183" t="s">
        <v>2298</v>
      </c>
      <c r="V442" s="183" t="s">
        <v>3381</v>
      </c>
      <c r="W442" s="183" t="s">
        <v>4018</v>
      </c>
      <c r="X442" s="183"/>
      <c r="Y442" s="186" t="e">
        <f>INDEX(info!$Y$2:$Y$192,MATCH(phc_8[[#This Row],[Sub_Category]],info!$X$2:$X$192,0))</f>
        <v>#N/A</v>
      </c>
      <c r="Z442" s="186" t="e">
        <f t="array" ref="Z442">INDEX(info!$AA$2:$AA$192,MATCH(PHC!$X442&amp;PHC!$Y442,info!$X$2:$X$192&amp;info!$Y$2:$Y$192,0))</f>
        <v>#N/A</v>
      </c>
      <c r="AA442" s="183" t="s">
        <v>4027</v>
      </c>
      <c r="AB442" s="9" t="s">
        <v>654</v>
      </c>
      <c r="AC442" s="9" t="s">
        <v>654</v>
      </c>
      <c r="AD442" s="9" t="s">
        <v>654</v>
      </c>
      <c r="AE442" s="9" t="s">
        <v>654</v>
      </c>
      <c r="AF442" s="184"/>
      <c r="AG442" s="183"/>
      <c r="AH442" s="183"/>
      <c r="AI442" s="183"/>
      <c r="AJ442" s="183"/>
      <c r="AK442" s="9" t="s">
        <v>654</v>
      </c>
      <c r="AL442" s="183"/>
      <c r="AM442" s="186" t="str">
        <f>IF(AF442="","","Q"&amp;INT((MONTH(AF442)-1)/3)+1&amp;YEAR(AF442)&amp;#REF!&amp;T442)</f>
        <v/>
      </c>
      <c r="AN442" s="186" t="e">
        <f>IF(K442="","","Q"&amp;INT((MONTH(K442)-1)/3)+1&amp;YEAR(K442)&amp;#REF!)</f>
        <v>#REF!</v>
      </c>
    </row>
    <row r="443" spans="1:40" ht="20.100000000000001" customHeight="1" x14ac:dyDescent="0.25">
      <c r="A443" s="8">
        <v>441</v>
      </c>
      <c r="B443" s="8" t="s">
        <v>399</v>
      </c>
      <c r="C443" s="8" t="s">
        <v>1997</v>
      </c>
      <c r="D443" s="8" t="s">
        <v>2416</v>
      </c>
      <c r="E443" s="8" t="s">
        <v>1998</v>
      </c>
      <c r="F443" s="183" t="s">
        <v>2297</v>
      </c>
      <c r="G443" s="183"/>
      <c r="H443" s="183" t="s">
        <v>2298</v>
      </c>
      <c r="I443" s="183" t="s">
        <v>579</v>
      </c>
      <c r="J443" s="183"/>
      <c r="K443" s="184">
        <v>46041</v>
      </c>
      <c r="L443" s="183">
        <v>116</v>
      </c>
      <c r="M443" s="185" t="str">
        <f>IF(phc_8[[#This Row],[Register No.]]="","",C443&amp;"-"&amp;D443&amp;"-"&amp;"BHA-PHC-"&amp;phc_8[[#This Row],[Register No.]])</f>
        <v>Shining Star-Mobile Clinic-BHA-PHC-116</v>
      </c>
      <c r="N443" s="9" t="s">
        <v>401</v>
      </c>
      <c r="O443" s="183" t="s">
        <v>4028</v>
      </c>
      <c r="P443" s="183">
        <v>24</v>
      </c>
      <c r="Q443" s="183"/>
      <c r="R443" s="183"/>
      <c r="S443" s="186" t="str">
        <f t="shared" si="16"/>
        <v>19 - 49 yrs</v>
      </c>
      <c r="T443" s="183" t="s">
        <v>603</v>
      </c>
      <c r="U443" s="183" t="s">
        <v>2298</v>
      </c>
      <c r="V443" s="183" t="s">
        <v>4031</v>
      </c>
      <c r="W443" s="183" t="s">
        <v>218</v>
      </c>
      <c r="X443" s="183" t="s">
        <v>218</v>
      </c>
      <c r="Y443" s="186" t="str">
        <f>INDEX(info!$Y$2:$Y$192,MATCH(phc_8[[#This Row],[Sub_Category]],info!$X$2:$X$192,0))</f>
        <v>Genito-urinary diseases</v>
      </c>
      <c r="Z443" s="186" t="str">
        <f t="array" ref="Z443">INDEX(info!$AA$2:$AA$192,MATCH(PHC!$X443&amp;PHC!$Y443,info!$X$2:$X$192&amp;info!$Y$2:$Y$192,0))</f>
        <v>Communicable disease</v>
      </c>
      <c r="AA443" s="183" t="s">
        <v>4034</v>
      </c>
      <c r="AB443" s="9" t="s">
        <v>654</v>
      </c>
      <c r="AC443" s="9" t="s">
        <v>654</v>
      </c>
      <c r="AD443" s="9" t="s">
        <v>654</v>
      </c>
      <c r="AE443" s="9" t="s">
        <v>654</v>
      </c>
      <c r="AF443" s="184"/>
      <c r="AG443" s="183"/>
      <c r="AH443" s="183"/>
      <c r="AI443" s="183"/>
      <c r="AJ443" s="183"/>
      <c r="AK443" s="9" t="s">
        <v>654</v>
      </c>
      <c r="AL443" s="183"/>
      <c r="AM443" s="186" t="str">
        <f>IF(AF443="","","Q"&amp;INT((MONTH(AF443)-1)/3)+1&amp;YEAR(AF443)&amp;#REF!&amp;T443)</f>
        <v/>
      </c>
      <c r="AN443" s="186" t="e">
        <f>IF(K443="","","Q"&amp;INT((MONTH(K443)-1)/3)+1&amp;YEAR(K443)&amp;#REF!)</f>
        <v>#REF!</v>
      </c>
    </row>
    <row r="444" spans="1:40" ht="20.100000000000001" customHeight="1" x14ac:dyDescent="0.25">
      <c r="A444" s="8">
        <v>442</v>
      </c>
      <c r="B444" s="8" t="s">
        <v>399</v>
      </c>
      <c r="C444" s="8" t="s">
        <v>1997</v>
      </c>
      <c r="D444" s="8" t="s">
        <v>2416</v>
      </c>
      <c r="E444" s="8" t="s">
        <v>1998</v>
      </c>
      <c r="F444" s="183" t="s">
        <v>2297</v>
      </c>
      <c r="G444" s="183"/>
      <c r="H444" s="183" t="s">
        <v>2298</v>
      </c>
      <c r="I444" s="183" t="s">
        <v>579</v>
      </c>
      <c r="J444" s="183"/>
      <c r="K444" s="184">
        <v>46041</v>
      </c>
      <c r="L444" s="183">
        <v>117</v>
      </c>
      <c r="M444" s="185" t="str">
        <f>IF(phc_8[[#This Row],[Register No.]]="","",C444&amp;"-"&amp;D444&amp;"-"&amp;"BHA-PHC-"&amp;phc_8[[#This Row],[Register No.]])</f>
        <v>Shining Star-Mobile Clinic-BHA-PHC-117</v>
      </c>
      <c r="N444" s="9" t="s">
        <v>401</v>
      </c>
      <c r="O444" s="183" t="s">
        <v>4029</v>
      </c>
      <c r="P444" s="183"/>
      <c r="Q444" s="183">
        <v>1</v>
      </c>
      <c r="R444" s="183"/>
      <c r="S444" s="186" t="str">
        <f t="shared" si="16"/>
        <v>&lt;5 yrs</v>
      </c>
      <c r="T444" s="183" t="s">
        <v>603</v>
      </c>
      <c r="U444" s="183" t="s">
        <v>2298</v>
      </c>
      <c r="V444" s="183" t="s">
        <v>4032</v>
      </c>
      <c r="W444" s="183" t="s">
        <v>3249</v>
      </c>
      <c r="X444" s="183" t="s">
        <v>196</v>
      </c>
      <c r="Y444" s="186" t="str">
        <f>INDEX(info!$Y$2:$Y$192,MATCH(phc_8[[#This Row],[Sub_Category]],info!$X$2:$X$192,0))</f>
        <v>Skin infection/disease</v>
      </c>
      <c r="Z444" s="186" t="str">
        <f t="array" ref="Z444">INDEX(info!$AA$2:$AA$192,MATCH(PHC!$X444&amp;PHC!$Y444,info!$X$2:$X$192&amp;info!$Y$2:$Y$192,0))</f>
        <v>Non-communicable disease</v>
      </c>
      <c r="AA444" s="183" t="s">
        <v>3601</v>
      </c>
      <c r="AB444" s="9" t="s">
        <v>654</v>
      </c>
      <c r="AC444" s="9" t="s">
        <v>654</v>
      </c>
      <c r="AD444" s="9" t="s">
        <v>654</v>
      </c>
      <c r="AE444" s="9" t="s">
        <v>654</v>
      </c>
      <c r="AF444" s="184"/>
      <c r="AG444" s="183"/>
      <c r="AH444" s="183"/>
      <c r="AI444" s="183"/>
      <c r="AJ444" s="183"/>
      <c r="AK444" s="9" t="s">
        <v>654</v>
      </c>
      <c r="AL444" s="183"/>
      <c r="AM444" s="186" t="str">
        <f>IF(AF444="","","Q"&amp;INT((MONTH(AF444)-1)/3)+1&amp;YEAR(AF444)&amp;#REF!&amp;T444)</f>
        <v/>
      </c>
      <c r="AN444" s="186" t="e">
        <f>IF(K444="","","Q"&amp;INT((MONTH(K444)-1)/3)+1&amp;YEAR(K444)&amp;#REF!)</f>
        <v>#REF!</v>
      </c>
    </row>
    <row r="445" spans="1:40" ht="20.100000000000001" customHeight="1" x14ac:dyDescent="0.25">
      <c r="A445" s="8">
        <v>443</v>
      </c>
      <c r="B445" s="8" t="s">
        <v>399</v>
      </c>
      <c r="C445" s="8" t="s">
        <v>1997</v>
      </c>
      <c r="D445" s="8" t="s">
        <v>2416</v>
      </c>
      <c r="E445" s="8" t="s">
        <v>1998</v>
      </c>
      <c r="F445" s="183" t="s">
        <v>2297</v>
      </c>
      <c r="G445" s="183"/>
      <c r="H445" s="183" t="s">
        <v>2298</v>
      </c>
      <c r="I445" s="183" t="s">
        <v>579</v>
      </c>
      <c r="J445" s="183"/>
      <c r="K445" s="184">
        <v>46041</v>
      </c>
      <c r="L445" s="183">
        <v>118</v>
      </c>
      <c r="M445" s="185" t="str">
        <f>IF(phc_8[[#This Row],[Register No.]]="","",C445&amp;"-"&amp;D445&amp;"-"&amp;"BHA-PHC-"&amp;phc_8[[#This Row],[Register No.]])</f>
        <v>Shining Star-Mobile Clinic-BHA-PHC-118</v>
      </c>
      <c r="N445" s="9" t="s">
        <v>401</v>
      </c>
      <c r="O445" s="183" t="s">
        <v>4030</v>
      </c>
      <c r="P445" s="183">
        <v>35</v>
      </c>
      <c r="Q445" s="183"/>
      <c r="R445" s="183"/>
      <c r="S445" s="186" t="str">
        <f t="shared" si="16"/>
        <v>19 - 49 yrs</v>
      </c>
      <c r="T445" s="183" t="s">
        <v>603</v>
      </c>
      <c r="U445" s="183" t="s">
        <v>2298</v>
      </c>
      <c r="V445" s="183" t="s">
        <v>4033</v>
      </c>
      <c r="W445" s="183" t="s">
        <v>3991</v>
      </c>
      <c r="X445" s="183"/>
      <c r="Y445" s="186" t="e">
        <f>INDEX(info!$Y$2:$Y$192,MATCH(phc_8[[#This Row],[Sub_Category]],info!$X$2:$X$192,0))</f>
        <v>#N/A</v>
      </c>
      <c r="Z445" s="186" t="e">
        <f t="array" ref="Z445">INDEX(info!$AA$2:$AA$192,MATCH(PHC!$X445&amp;PHC!$Y445,info!$X$2:$X$192&amp;info!$Y$2:$Y$192,0))</f>
        <v>#N/A</v>
      </c>
      <c r="AA445" s="183" t="s">
        <v>4035</v>
      </c>
      <c r="AB445" s="9" t="s">
        <v>654</v>
      </c>
      <c r="AC445" s="9" t="s">
        <v>654</v>
      </c>
      <c r="AD445" s="9" t="s">
        <v>654</v>
      </c>
      <c r="AE445" s="9" t="s">
        <v>654</v>
      </c>
      <c r="AF445" s="184"/>
      <c r="AG445" s="183"/>
      <c r="AH445" s="183"/>
      <c r="AI445" s="183"/>
      <c r="AJ445" s="183"/>
      <c r="AK445" s="9" t="s">
        <v>654</v>
      </c>
      <c r="AL445" s="183"/>
      <c r="AM445" s="186" t="str">
        <f>IF(AF445="","","Q"&amp;INT((MONTH(AF445)-1)/3)+1&amp;YEAR(AF445)&amp;#REF!&amp;T445)</f>
        <v/>
      </c>
      <c r="AN445" s="186" t="e">
        <f>IF(K445="","","Q"&amp;INT((MONTH(K445)-1)/3)+1&amp;YEAR(K445)&amp;#REF!)</f>
        <v>#REF!</v>
      </c>
    </row>
    <row r="446" spans="1:40" ht="20.100000000000001" customHeight="1" x14ac:dyDescent="0.25">
      <c r="A446" s="8">
        <v>444</v>
      </c>
      <c r="B446" s="8" t="s">
        <v>399</v>
      </c>
      <c r="C446" s="8" t="s">
        <v>1997</v>
      </c>
      <c r="D446" s="8" t="s">
        <v>2416</v>
      </c>
      <c r="E446" s="8" t="s">
        <v>1998</v>
      </c>
      <c r="F446" s="183" t="s">
        <v>4647</v>
      </c>
      <c r="G446" s="183"/>
      <c r="H446" s="183" t="s">
        <v>4646</v>
      </c>
      <c r="I446" s="183" t="s">
        <v>618</v>
      </c>
      <c r="J446" s="183"/>
      <c r="K446" s="184">
        <v>46064</v>
      </c>
      <c r="L446" s="183">
        <v>1</v>
      </c>
      <c r="M446" s="185" t="str">
        <f>IF(phc_8[[#This Row],[Register No.]]="","",C446&amp;"-"&amp;D446&amp;"-"&amp;"BHA-PHC-"&amp;phc_8[[#This Row],[Register No.]])</f>
        <v>Shining Star-Mobile Clinic-BHA-PHC-1</v>
      </c>
      <c r="N446" s="9" t="s">
        <v>401</v>
      </c>
      <c r="O446" s="183" t="s">
        <v>4038</v>
      </c>
      <c r="P446" s="183">
        <v>28</v>
      </c>
      <c r="Q446" s="183"/>
      <c r="R446" s="183"/>
      <c r="S446" s="186" t="str">
        <f t="shared" si="16"/>
        <v>19 - 49 yrs</v>
      </c>
      <c r="T446" s="183" t="s">
        <v>603</v>
      </c>
      <c r="U446" s="183"/>
      <c r="V446" s="183" t="s">
        <v>2188</v>
      </c>
      <c r="W446" s="183" t="s">
        <v>2013</v>
      </c>
      <c r="X446" s="183" t="s">
        <v>90</v>
      </c>
      <c r="Y446" s="186" t="str">
        <f>INDEX(info!$Y$2:$Y$192,MATCH(phc_8[[#This Row],[Sub_Category]],info!$X$2:$X$192,0))</f>
        <v>Skin infection/disease</v>
      </c>
      <c r="Z446" s="186" t="str">
        <f t="array" ref="Z446">INDEX(info!$AA$2:$AA$192,MATCH(PHC!$X446&amp;PHC!$Y446,info!$X$2:$X$192&amp;info!$Y$2:$Y$192,0))</f>
        <v>Non-communicable disease</v>
      </c>
      <c r="AA446" s="183" t="s">
        <v>4045</v>
      </c>
      <c r="AB446" s="9" t="s">
        <v>654</v>
      </c>
      <c r="AC446" s="9" t="s">
        <v>654</v>
      </c>
      <c r="AD446" s="9" t="s">
        <v>654</v>
      </c>
      <c r="AE446" s="9" t="s">
        <v>654</v>
      </c>
      <c r="AF446" s="184"/>
      <c r="AG446" s="183"/>
      <c r="AH446" s="183"/>
      <c r="AI446" s="183"/>
      <c r="AJ446" s="183"/>
      <c r="AK446" s="9" t="s">
        <v>654</v>
      </c>
      <c r="AL446" s="183"/>
      <c r="AM446" s="186" t="str">
        <f>IF(AF446="","","Q"&amp;INT((MONTH(AF446)-1)/3)+1&amp;YEAR(AF446)&amp;#REF!&amp;T446)</f>
        <v/>
      </c>
      <c r="AN446" s="186" t="e">
        <f>IF(K446="","","Q"&amp;INT((MONTH(K446)-1)/3)+1&amp;YEAR(K446)&amp;#REF!)</f>
        <v>#REF!</v>
      </c>
    </row>
    <row r="447" spans="1:40" ht="20.100000000000001" customHeight="1" x14ac:dyDescent="0.25">
      <c r="A447" s="8">
        <v>445</v>
      </c>
      <c r="B447" s="8" t="s">
        <v>399</v>
      </c>
      <c r="C447" s="8" t="s">
        <v>1997</v>
      </c>
      <c r="D447" s="8" t="s">
        <v>2416</v>
      </c>
      <c r="E447" s="8" t="s">
        <v>1998</v>
      </c>
      <c r="F447" s="183" t="s">
        <v>4647</v>
      </c>
      <c r="G447" s="183"/>
      <c r="H447" s="183" t="s">
        <v>4646</v>
      </c>
      <c r="I447" s="183" t="s">
        <v>618</v>
      </c>
      <c r="J447" s="183"/>
      <c r="K447" s="184">
        <v>46064</v>
      </c>
      <c r="L447" s="183">
        <v>2</v>
      </c>
      <c r="M447" s="185" t="str">
        <f>IF(phc_8[[#This Row],[Register No.]]="","",C447&amp;"-"&amp;D447&amp;"-"&amp;"BHA-PHC-"&amp;phc_8[[#This Row],[Register No.]])</f>
        <v>Shining Star-Mobile Clinic-BHA-PHC-2</v>
      </c>
      <c r="N447" s="9" t="s">
        <v>401</v>
      </c>
      <c r="O447" s="183" t="s">
        <v>4039</v>
      </c>
      <c r="P447" s="183">
        <v>54</v>
      </c>
      <c r="Q447" s="183"/>
      <c r="R447" s="183"/>
      <c r="S447" s="186" t="str">
        <f t="shared" si="16"/>
        <v>50 yrs +</v>
      </c>
      <c r="T447" s="183" t="s">
        <v>603</v>
      </c>
      <c r="U447" s="183"/>
      <c r="V447" s="183" t="s">
        <v>4043</v>
      </c>
      <c r="W447" s="183" t="s">
        <v>2003</v>
      </c>
      <c r="X447" s="183" t="s">
        <v>181</v>
      </c>
      <c r="Y447" s="186" t="str">
        <f>INDEX(info!$Y$2:$Y$192,MATCH(phc_8[[#This Row],[Sub_Category]],info!$X$2:$X$192,0))</f>
        <v>Chronic medical disease</v>
      </c>
      <c r="Z447" s="186" t="str">
        <f t="array" ref="Z447">INDEX(info!$AA$2:$AA$192,MATCH(PHC!$X447&amp;PHC!$Y447,info!$X$2:$X$192&amp;info!$Y$2:$Y$192,0))</f>
        <v>Non-communicable disease</v>
      </c>
      <c r="AA447" s="183" t="s">
        <v>4046</v>
      </c>
      <c r="AB447" s="9" t="s">
        <v>654</v>
      </c>
      <c r="AC447" s="9" t="s">
        <v>654</v>
      </c>
      <c r="AD447" s="9" t="s">
        <v>654</v>
      </c>
      <c r="AE447" s="9" t="s">
        <v>654</v>
      </c>
      <c r="AF447" s="184"/>
      <c r="AG447" s="183"/>
      <c r="AH447" s="183"/>
      <c r="AI447" s="183"/>
      <c r="AJ447" s="183"/>
      <c r="AK447" s="9" t="s">
        <v>654</v>
      </c>
      <c r="AL447" s="183"/>
      <c r="AM447" s="186" t="str">
        <f>IF(AF447="","","Q"&amp;INT((MONTH(AF447)-1)/3)+1&amp;YEAR(AF447)&amp;#REF!&amp;T447)</f>
        <v/>
      </c>
      <c r="AN447" s="186" t="e">
        <f>IF(K447="","","Q"&amp;INT((MONTH(K447)-1)/3)+1&amp;YEAR(K447)&amp;#REF!)</f>
        <v>#REF!</v>
      </c>
    </row>
    <row r="448" spans="1:40" ht="20.100000000000001" customHeight="1" x14ac:dyDescent="0.25">
      <c r="A448" s="8">
        <v>446</v>
      </c>
      <c r="B448" s="8" t="s">
        <v>399</v>
      </c>
      <c r="C448" s="8" t="s">
        <v>1997</v>
      </c>
      <c r="D448" s="8" t="s">
        <v>2416</v>
      </c>
      <c r="E448" s="8" t="s">
        <v>1998</v>
      </c>
      <c r="F448" s="183" t="s">
        <v>4647</v>
      </c>
      <c r="G448" s="183"/>
      <c r="H448" s="183" t="s">
        <v>4646</v>
      </c>
      <c r="I448" s="183" t="s">
        <v>618</v>
      </c>
      <c r="J448" s="183"/>
      <c r="K448" s="184">
        <v>46064</v>
      </c>
      <c r="L448" s="183">
        <v>3</v>
      </c>
      <c r="M448" s="185" t="str">
        <f>IF(phc_8[[#This Row],[Register No.]]="","",C448&amp;"-"&amp;D448&amp;"-"&amp;"BHA-PHC-"&amp;phc_8[[#This Row],[Register No.]])</f>
        <v>Shining Star-Mobile Clinic-BHA-PHC-3</v>
      </c>
      <c r="N448" s="9" t="s">
        <v>401</v>
      </c>
      <c r="O448" s="183" t="s">
        <v>4040</v>
      </c>
      <c r="P448" s="183">
        <v>26</v>
      </c>
      <c r="Q448" s="183"/>
      <c r="R448" s="183"/>
      <c r="S448" s="186" t="str">
        <f t="shared" si="16"/>
        <v>19 - 49 yrs</v>
      </c>
      <c r="T448" s="183" t="s">
        <v>603</v>
      </c>
      <c r="U448" s="183"/>
      <c r="V448" s="183" t="s">
        <v>2200</v>
      </c>
      <c r="W448" s="183" t="s">
        <v>294</v>
      </c>
      <c r="X448" s="183" t="s">
        <v>294</v>
      </c>
      <c r="Y448" s="186" t="str">
        <f>INDEX(info!$Y$2:$Y$192,MATCH(phc_8[[#This Row],[Sub_Category]],info!$X$2:$X$192,0))</f>
        <v>Other (non-communicable)</v>
      </c>
      <c r="Z448" s="186" t="str">
        <f t="array" ref="Z448">INDEX(info!$AA$2:$AA$192,MATCH(PHC!$X448&amp;PHC!$Y448,info!$X$2:$X$192&amp;info!$Y$2:$Y$192,0))</f>
        <v>Other</v>
      </c>
      <c r="AA448" s="183" t="s">
        <v>4047</v>
      </c>
      <c r="AB448" s="9" t="s">
        <v>654</v>
      </c>
      <c r="AC448" s="9" t="s">
        <v>654</v>
      </c>
      <c r="AD448" s="9" t="s">
        <v>654</v>
      </c>
      <c r="AE448" s="9" t="s">
        <v>654</v>
      </c>
      <c r="AF448" s="184"/>
      <c r="AG448" s="183"/>
      <c r="AH448" s="183"/>
      <c r="AI448" s="183"/>
      <c r="AJ448" s="183"/>
      <c r="AK448" s="9" t="s">
        <v>654</v>
      </c>
      <c r="AL448" s="183"/>
      <c r="AM448" s="186" t="str">
        <f>IF(AF448="","","Q"&amp;INT((MONTH(AF448)-1)/3)+1&amp;YEAR(AF448)&amp;#REF!&amp;T448)</f>
        <v/>
      </c>
      <c r="AN448" s="186" t="e">
        <f>IF(K448="","","Q"&amp;INT((MONTH(K448)-1)/3)+1&amp;YEAR(K448)&amp;#REF!)</f>
        <v>#REF!</v>
      </c>
    </row>
    <row r="449" spans="1:40" ht="20.100000000000001" customHeight="1" x14ac:dyDescent="0.25">
      <c r="A449" s="8">
        <v>447</v>
      </c>
      <c r="B449" s="8" t="s">
        <v>399</v>
      </c>
      <c r="C449" s="8" t="s">
        <v>1997</v>
      </c>
      <c r="D449" s="8" t="s">
        <v>2416</v>
      </c>
      <c r="E449" s="8" t="s">
        <v>1998</v>
      </c>
      <c r="F449" s="183" t="s">
        <v>4647</v>
      </c>
      <c r="G449" s="183"/>
      <c r="H449" s="183" t="s">
        <v>4646</v>
      </c>
      <c r="I449" s="183" t="s">
        <v>618</v>
      </c>
      <c r="J449" s="183"/>
      <c r="K449" s="184">
        <v>46064</v>
      </c>
      <c r="L449" s="183">
        <v>4</v>
      </c>
      <c r="M449" s="185" t="str">
        <f>IF(phc_8[[#This Row],[Register No.]]="","",C449&amp;"-"&amp;D449&amp;"-"&amp;"BHA-PHC-"&amp;phc_8[[#This Row],[Register No.]])</f>
        <v>Shining Star-Mobile Clinic-BHA-PHC-4</v>
      </c>
      <c r="N449" s="9" t="s">
        <v>401</v>
      </c>
      <c r="O449" s="183" t="s">
        <v>4041</v>
      </c>
      <c r="P449" s="183">
        <v>50</v>
      </c>
      <c r="Q449" s="183"/>
      <c r="R449" s="183"/>
      <c r="S449" s="186" t="str">
        <f t="shared" si="16"/>
        <v>50 yrs +</v>
      </c>
      <c r="T449" s="183" t="s">
        <v>603</v>
      </c>
      <c r="U449" s="183"/>
      <c r="V449" s="183" t="s">
        <v>3438</v>
      </c>
      <c r="W449" s="183" t="s">
        <v>294</v>
      </c>
      <c r="X449" s="183" t="s">
        <v>294</v>
      </c>
      <c r="Y449" s="186" t="str">
        <f>INDEX(info!$Y$2:$Y$192,MATCH(phc_8[[#This Row],[Sub_Category]],info!$X$2:$X$192,0))</f>
        <v>Other (non-communicable)</v>
      </c>
      <c r="Z449" s="186" t="str">
        <f t="array" ref="Z449">INDEX(info!$AA$2:$AA$192,MATCH(PHC!$X449&amp;PHC!$Y449,info!$X$2:$X$192&amp;info!$Y$2:$Y$192,0))</f>
        <v>Other</v>
      </c>
      <c r="AA449" s="183" t="s">
        <v>4048</v>
      </c>
      <c r="AB449" s="9" t="s">
        <v>654</v>
      </c>
      <c r="AC449" s="9" t="s">
        <v>654</v>
      </c>
      <c r="AD449" s="9" t="s">
        <v>654</v>
      </c>
      <c r="AE449" s="9" t="s">
        <v>654</v>
      </c>
      <c r="AF449" s="184"/>
      <c r="AG449" s="183"/>
      <c r="AH449" s="183"/>
      <c r="AI449" s="183"/>
      <c r="AJ449" s="183"/>
      <c r="AK449" s="9" t="s">
        <v>654</v>
      </c>
      <c r="AL449" s="183"/>
      <c r="AM449" s="186" t="str">
        <f>IF(AF449="","","Q"&amp;INT((MONTH(AF449)-1)/3)+1&amp;YEAR(AF449)&amp;#REF!&amp;T449)</f>
        <v/>
      </c>
      <c r="AN449" s="186" t="e">
        <f>IF(K449="","","Q"&amp;INT((MONTH(K449)-1)/3)+1&amp;YEAR(K449)&amp;#REF!)</f>
        <v>#REF!</v>
      </c>
    </row>
    <row r="450" spans="1:40" ht="20.100000000000001" customHeight="1" x14ac:dyDescent="0.25">
      <c r="A450" s="8">
        <v>448</v>
      </c>
      <c r="B450" s="8" t="s">
        <v>399</v>
      </c>
      <c r="C450" s="8" t="s">
        <v>1997</v>
      </c>
      <c r="D450" s="8" t="s">
        <v>2416</v>
      </c>
      <c r="E450" s="8" t="s">
        <v>1998</v>
      </c>
      <c r="F450" s="183" t="s">
        <v>4647</v>
      </c>
      <c r="G450" s="183"/>
      <c r="H450" s="183" t="s">
        <v>4646</v>
      </c>
      <c r="I450" s="183" t="s">
        <v>618</v>
      </c>
      <c r="J450" s="183"/>
      <c r="K450" s="184">
        <v>46064</v>
      </c>
      <c r="L450" s="183">
        <v>5</v>
      </c>
      <c r="M450" s="185" t="str">
        <f>IF(phc_8[[#This Row],[Register No.]]="","",C450&amp;"-"&amp;D450&amp;"-"&amp;"BHA-PHC-"&amp;phc_8[[#This Row],[Register No.]])</f>
        <v>Shining Star-Mobile Clinic-BHA-PHC-5</v>
      </c>
      <c r="N450" s="9" t="s">
        <v>401</v>
      </c>
      <c r="O450" s="183" t="s">
        <v>4042</v>
      </c>
      <c r="P450" s="183">
        <v>51</v>
      </c>
      <c r="Q450" s="183"/>
      <c r="R450" s="183"/>
      <c r="S450" s="186" t="str">
        <f t="shared" si="16"/>
        <v>50 yrs +</v>
      </c>
      <c r="T450" s="183" t="s">
        <v>402</v>
      </c>
      <c r="U450" s="183"/>
      <c r="V450" s="183" t="s">
        <v>4044</v>
      </c>
      <c r="W450" s="183" t="s">
        <v>2014</v>
      </c>
      <c r="X450" s="183" t="s">
        <v>2014</v>
      </c>
      <c r="Y450" s="186" t="str">
        <f>INDEX(info!$Y$2:$Y$192,MATCH(phc_8[[#This Row],[Sub_Category]],info!$X$2:$X$192,0))</f>
        <v>Other (non-communicable)</v>
      </c>
      <c r="Z450" s="186" t="str">
        <f t="array" ref="Z450">INDEX(info!$AA$2:$AA$192,MATCH(PHC!$X450&amp;PHC!$Y450,info!$X$2:$X$192&amp;info!$Y$2:$Y$192,0))</f>
        <v>Other</v>
      </c>
      <c r="AA450" s="183" t="s">
        <v>4049</v>
      </c>
      <c r="AB450" s="9" t="s">
        <v>654</v>
      </c>
      <c r="AC450" s="9" t="s">
        <v>654</v>
      </c>
      <c r="AD450" s="9" t="s">
        <v>654</v>
      </c>
      <c r="AE450" s="9" t="s">
        <v>654</v>
      </c>
      <c r="AF450" s="184"/>
      <c r="AG450" s="183"/>
      <c r="AH450" s="183"/>
      <c r="AI450" s="183"/>
      <c r="AJ450" s="183"/>
      <c r="AK450" s="9" t="s">
        <v>654</v>
      </c>
      <c r="AL450" s="183"/>
      <c r="AM450" s="186" t="str">
        <f>IF(AF450="","","Q"&amp;INT((MONTH(AF450)-1)/3)+1&amp;YEAR(AF450)&amp;#REF!&amp;T450)</f>
        <v/>
      </c>
      <c r="AN450" s="186" t="e">
        <f>IF(K450="","","Q"&amp;INT((MONTH(K450)-1)/3)+1&amp;YEAR(K450)&amp;#REF!)</f>
        <v>#REF!</v>
      </c>
    </row>
    <row r="451" spans="1:40" ht="20.100000000000001" customHeight="1" x14ac:dyDescent="0.25">
      <c r="A451" s="8">
        <v>449</v>
      </c>
      <c r="B451" s="8" t="s">
        <v>399</v>
      </c>
      <c r="C451" s="8" t="s">
        <v>1997</v>
      </c>
      <c r="D451" s="8" t="s">
        <v>2416</v>
      </c>
      <c r="E451" s="8" t="s">
        <v>1998</v>
      </c>
      <c r="F451" s="183" t="s">
        <v>4647</v>
      </c>
      <c r="G451" s="183"/>
      <c r="H451" s="183" t="s">
        <v>4646</v>
      </c>
      <c r="I451" s="183" t="s">
        <v>618</v>
      </c>
      <c r="J451" s="183"/>
      <c r="K451" s="184">
        <v>46064</v>
      </c>
      <c r="L451" s="183">
        <v>6</v>
      </c>
      <c r="M451" s="185" t="str">
        <f>IF(phc_8[[#This Row],[Register No.]]="","",C451&amp;"-"&amp;D451&amp;"-"&amp;"BHA-PHC-"&amp;phc_8[[#This Row],[Register No.]])</f>
        <v>Shining Star-Mobile Clinic-BHA-PHC-6</v>
      </c>
      <c r="N451" s="9" t="s">
        <v>401</v>
      </c>
      <c r="O451" s="183" t="s">
        <v>4050</v>
      </c>
      <c r="P451" s="183">
        <v>50</v>
      </c>
      <c r="Q451" s="183"/>
      <c r="R451" s="183"/>
      <c r="S451" s="186" t="str">
        <f t="shared" si="16"/>
        <v>50 yrs +</v>
      </c>
      <c r="T451" s="183" t="s">
        <v>603</v>
      </c>
      <c r="U451" s="183"/>
      <c r="V451" s="183" t="s">
        <v>2012</v>
      </c>
      <c r="W451" s="183" t="s">
        <v>2215</v>
      </c>
      <c r="X451" s="183"/>
      <c r="Y451" s="186" t="e">
        <f>INDEX(info!$Y$2:$Y$192,MATCH(phc_8[[#This Row],[Sub_Category]],info!$X$2:$X$192,0))</f>
        <v>#N/A</v>
      </c>
      <c r="Z451" s="186" t="e">
        <f t="array" ref="Z451">INDEX(info!$AA$2:$AA$192,MATCH(PHC!$X451&amp;PHC!$Y451,info!$X$2:$X$192&amp;info!$Y$2:$Y$192,0))</f>
        <v>#N/A</v>
      </c>
      <c r="AA451" s="183" t="s">
        <v>4060</v>
      </c>
      <c r="AB451" s="9" t="s">
        <v>654</v>
      </c>
      <c r="AC451" s="9" t="s">
        <v>654</v>
      </c>
      <c r="AD451" s="9" t="s">
        <v>654</v>
      </c>
      <c r="AE451" s="9" t="s">
        <v>654</v>
      </c>
      <c r="AF451" s="184"/>
      <c r="AG451" s="183"/>
      <c r="AH451" s="183"/>
      <c r="AI451" s="183"/>
      <c r="AJ451" s="183"/>
      <c r="AK451" s="9" t="s">
        <v>654</v>
      </c>
      <c r="AL451" s="183"/>
      <c r="AM451" s="186" t="str">
        <f>IF(AF451="","","Q"&amp;INT((MONTH(AF451)-1)/3)+1&amp;YEAR(AF451)&amp;#REF!&amp;T451)</f>
        <v/>
      </c>
      <c r="AN451" s="186" t="e">
        <f>IF(K451="","","Q"&amp;INT((MONTH(K451)-1)/3)+1&amp;YEAR(K451)&amp;#REF!)</f>
        <v>#REF!</v>
      </c>
    </row>
    <row r="452" spans="1:40" ht="20.100000000000001" customHeight="1" x14ac:dyDescent="0.25">
      <c r="A452" s="8">
        <v>450</v>
      </c>
      <c r="B452" s="8" t="s">
        <v>399</v>
      </c>
      <c r="C452" s="8" t="s">
        <v>1997</v>
      </c>
      <c r="D452" s="8" t="s">
        <v>2416</v>
      </c>
      <c r="E452" s="8" t="s">
        <v>1998</v>
      </c>
      <c r="F452" s="183" t="s">
        <v>4647</v>
      </c>
      <c r="G452" s="183"/>
      <c r="H452" s="183" t="s">
        <v>4646</v>
      </c>
      <c r="I452" s="183" t="s">
        <v>618</v>
      </c>
      <c r="J452" s="183"/>
      <c r="K452" s="184">
        <v>46064</v>
      </c>
      <c r="L452" s="183">
        <v>7</v>
      </c>
      <c r="M452" s="185" t="str">
        <f>IF(phc_8[[#This Row],[Register No.]]="","",C452&amp;"-"&amp;D452&amp;"-"&amp;"BHA-PHC-"&amp;phc_8[[#This Row],[Register No.]])</f>
        <v>Shining Star-Mobile Clinic-BHA-PHC-7</v>
      </c>
      <c r="N452" s="9" t="s">
        <v>401</v>
      </c>
      <c r="O452" s="183" t="s">
        <v>3052</v>
      </c>
      <c r="P452" s="183">
        <v>71</v>
      </c>
      <c r="Q452" s="183"/>
      <c r="R452" s="183"/>
      <c r="S452" s="186" t="str">
        <f t="shared" si="16"/>
        <v>50 yrs +</v>
      </c>
      <c r="T452" s="183" t="s">
        <v>603</v>
      </c>
      <c r="U452" s="183"/>
      <c r="V452" s="183" t="s">
        <v>4054</v>
      </c>
      <c r="W452" s="183" t="s">
        <v>4058</v>
      </c>
      <c r="X452" s="183" t="s">
        <v>181</v>
      </c>
      <c r="Y452" s="186" t="str">
        <f>INDEX(info!$Y$2:$Y$192,MATCH(phc_8[[#This Row],[Sub_Category]],info!$X$2:$X$192,0))</f>
        <v>Chronic medical disease</v>
      </c>
      <c r="Z452" s="186" t="str">
        <f t="array" ref="Z452">INDEX(info!$AA$2:$AA$192,MATCH(PHC!$X452&amp;PHC!$Y452,info!$X$2:$X$192&amp;info!$Y$2:$Y$192,0))</f>
        <v>Non-communicable disease</v>
      </c>
      <c r="AA452" s="183" t="s">
        <v>4061</v>
      </c>
      <c r="AB452" s="9" t="s">
        <v>654</v>
      </c>
      <c r="AC452" s="9" t="s">
        <v>654</v>
      </c>
      <c r="AD452" s="9" t="s">
        <v>654</v>
      </c>
      <c r="AE452" s="9" t="s">
        <v>654</v>
      </c>
      <c r="AF452" s="184"/>
      <c r="AG452" s="183"/>
      <c r="AH452" s="183"/>
      <c r="AI452" s="183"/>
      <c r="AJ452" s="183"/>
      <c r="AK452" s="9" t="s">
        <v>654</v>
      </c>
      <c r="AL452" s="183"/>
      <c r="AM452" s="186" t="str">
        <f>IF(AF452="","","Q"&amp;INT((MONTH(AF452)-1)/3)+1&amp;YEAR(AF452)&amp;#REF!&amp;T452)</f>
        <v/>
      </c>
      <c r="AN452" s="186" t="e">
        <f>IF(K452="","","Q"&amp;INT((MONTH(K452)-1)/3)+1&amp;YEAR(K452)&amp;#REF!)</f>
        <v>#REF!</v>
      </c>
    </row>
    <row r="453" spans="1:40" ht="20.100000000000001" customHeight="1" x14ac:dyDescent="0.25">
      <c r="A453" s="8">
        <v>451</v>
      </c>
      <c r="B453" s="8" t="s">
        <v>399</v>
      </c>
      <c r="C453" s="8" t="s">
        <v>1997</v>
      </c>
      <c r="D453" s="8" t="s">
        <v>2416</v>
      </c>
      <c r="E453" s="8" t="s">
        <v>1998</v>
      </c>
      <c r="F453" s="183" t="s">
        <v>4647</v>
      </c>
      <c r="G453" s="183"/>
      <c r="H453" s="183" t="s">
        <v>4646</v>
      </c>
      <c r="I453" s="183" t="s">
        <v>618</v>
      </c>
      <c r="J453" s="183"/>
      <c r="K453" s="184">
        <v>46064</v>
      </c>
      <c r="L453" s="183">
        <v>8</v>
      </c>
      <c r="M453" s="185" t="str">
        <f>IF(phc_8[[#This Row],[Register No.]]="","",C453&amp;"-"&amp;D453&amp;"-"&amp;"BHA-PHC-"&amp;phc_8[[#This Row],[Register No.]])</f>
        <v>Shining Star-Mobile Clinic-BHA-PHC-8</v>
      </c>
      <c r="N453" s="9" t="s">
        <v>401</v>
      </c>
      <c r="O453" s="183" t="s">
        <v>4051</v>
      </c>
      <c r="P453" s="183">
        <v>75</v>
      </c>
      <c r="Q453" s="183"/>
      <c r="R453" s="183"/>
      <c r="S453" s="186" t="str">
        <f t="shared" si="16"/>
        <v>50 yrs +</v>
      </c>
      <c r="T453" s="183" t="s">
        <v>603</v>
      </c>
      <c r="U453" s="183"/>
      <c r="V453" s="183" t="s">
        <v>4055</v>
      </c>
      <c r="W453" s="183" t="s">
        <v>2003</v>
      </c>
      <c r="X453" s="183" t="s">
        <v>181</v>
      </c>
      <c r="Y453" s="186" t="str">
        <f>INDEX(info!$Y$2:$Y$192,MATCH(phc_8[[#This Row],[Sub_Category]],info!$X$2:$X$192,0))</f>
        <v>Chronic medical disease</v>
      </c>
      <c r="Z453" s="186" t="str">
        <f t="array" ref="Z453">INDEX(info!$AA$2:$AA$192,MATCH(PHC!$X453&amp;PHC!$Y453,info!$X$2:$X$192&amp;info!$Y$2:$Y$192,0))</f>
        <v>Non-communicable disease</v>
      </c>
      <c r="AA453" s="183" t="s">
        <v>4062</v>
      </c>
      <c r="AB453" s="9" t="s">
        <v>654</v>
      </c>
      <c r="AC453" s="9" t="s">
        <v>654</v>
      </c>
      <c r="AD453" s="9" t="s">
        <v>654</v>
      </c>
      <c r="AE453" s="9" t="s">
        <v>654</v>
      </c>
      <c r="AF453" s="184"/>
      <c r="AG453" s="183"/>
      <c r="AH453" s="183"/>
      <c r="AI453" s="183"/>
      <c r="AJ453" s="183"/>
      <c r="AK453" s="9" t="s">
        <v>654</v>
      </c>
      <c r="AL453" s="183"/>
      <c r="AM453" s="186" t="str">
        <f>IF(AF453="","","Q"&amp;INT((MONTH(AF453)-1)/3)+1&amp;YEAR(AF453)&amp;#REF!&amp;T453)</f>
        <v/>
      </c>
      <c r="AN453" s="186" t="e">
        <f>IF(K453="","","Q"&amp;INT((MONTH(K453)-1)/3)+1&amp;YEAR(K453)&amp;#REF!)</f>
        <v>#REF!</v>
      </c>
    </row>
    <row r="454" spans="1:40" ht="20.100000000000001" customHeight="1" x14ac:dyDescent="0.25">
      <c r="A454" s="8">
        <v>452</v>
      </c>
      <c r="B454" s="8" t="s">
        <v>399</v>
      </c>
      <c r="C454" s="8" t="s">
        <v>1997</v>
      </c>
      <c r="D454" s="8" t="s">
        <v>2416</v>
      </c>
      <c r="E454" s="8" t="s">
        <v>1998</v>
      </c>
      <c r="F454" s="183" t="s">
        <v>4647</v>
      </c>
      <c r="G454" s="183"/>
      <c r="H454" s="183" t="s">
        <v>4646</v>
      </c>
      <c r="I454" s="183" t="s">
        <v>618</v>
      </c>
      <c r="J454" s="183"/>
      <c r="K454" s="184">
        <v>46064</v>
      </c>
      <c r="L454" s="183">
        <v>9</v>
      </c>
      <c r="M454" s="185" t="str">
        <f>IF(phc_8[[#This Row],[Register No.]]="","",C454&amp;"-"&amp;D454&amp;"-"&amp;"BHA-PHC-"&amp;phc_8[[#This Row],[Register No.]])</f>
        <v>Shining Star-Mobile Clinic-BHA-PHC-9</v>
      </c>
      <c r="N454" s="9" t="s">
        <v>401</v>
      </c>
      <c r="O454" s="183" t="s">
        <v>4052</v>
      </c>
      <c r="P454" s="183">
        <v>56</v>
      </c>
      <c r="Q454" s="183"/>
      <c r="R454" s="183"/>
      <c r="S454" s="186" t="str">
        <f t="shared" si="16"/>
        <v>50 yrs +</v>
      </c>
      <c r="T454" s="183" t="s">
        <v>603</v>
      </c>
      <c r="U454" s="183"/>
      <c r="V454" s="183" t="s">
        <v>4056</v>
      </c>
      <c r="W454" s="183" t="s">
        <v>4059</v>
      </c>
      <c r="X454" s="183" t="s">
        <v>178</v>
      </c>
      <c r="Y454" s="186" t="str">
        <f>INDEX(info!$Y$2:$Y$192,MATCH(phc_8[[#This Row],[Sub_Category]],info!$X$2:$X$192,0))</f>
        <v>Chronic medical disease</v>
      </c>
      <c r="Z454" s="186" t="str">
        <f t="array" ref="Z454">INDEX(info!$AA$2:$AA$192,MATCH(PHC!$X454&amp;PHC!$Y454,info!$X$2:$X$192&amp;info!$Y$2:$Y$192,0))</f>
        <v>Non-communicable disease</v>
      </c>
      <c r="AA454" s="183" t="s">
        <v>4063</v>
      </c>
      <c r="AB454" s="9" t="s">
        <v>654</v>
      </c>
      <c r="AC454" s="9" t="s">
        <v>654</v>
      </c>
      <c r="AD454" s="9" t="s">
        <v>654</v>
      </c>
      <c r="AE454" s="9" t="s">
        <v>654</v>
      </c>
      <c r="AF454" s="184"/>
      <c r="AG454" s="183"/>
      <c r="AH454" s="183"/>
      <c r="AI454" s="183"/>
      <c r="AJ454" s="183"/>
      <c r="AK454" s="9" t="s">
        <v>654</v>
      </c>
      <c r="AL454" s="183"/>
      <c r="AM454" s="186" t="str">
        <f>IF(AF454="","","Q"&amp;INT((MONTH(AF454)-1)/3)+1&amp;YEAR(AF454)&amp;#REF!&amp;T454)</f>
        <v/>
      </c>
      <c r="AN454" s="186" t="e">
        <f>IF(K454="","","Q"&amp;INT((MONTH(K454)-1)/3)+1&amp;YEAR(K454)&amp;#REF!)</f>
        <v>#REF!</v>
      </c>
    </row>
    <row r="455" spans="1:40" ht="20.100000000000001" customHeight="1" x14ac:dyDescent="0.25">
      <c r="A455" s="8">
        <v>453</v>
      </c>
      <c r="B455" s="8" t="s">
        <v>399</v>
      </c>
      <c r="C455" s="8" t="s">
        <v>1997</v>
      </c>
      <c r="D455" s="8" t="s">
        <v>2416</v>
      </c>
      <c r="E455" s="8" t="s">
        <v>1998</v>
      </c>
      <c r="F455" s="183" t="s">
        <v>4647</v>
      </c>
      <c r="G455" s="183"/>
      <c r="H455" s="183" t="s">
        <v>4646</v>
      </c>
      <c r="I455" s="183" t="s">
        <v>618</v>
      </c>
      <c r="J455" s="183"/>
      <c r="K455" s="184">
        <v>46064</v>
      </c>
      <c r="L455" s="183">
        <v>10</v>
      </c>
      <c r="M455" s="185" t="str">
        <f>IF(phc_8[[#This Row],[Register No.]]="","",C455&amp;"-"&amp;D455&amp;"-"&amp;"BHA-PHC-"&amp;phc_8[[#This Row],[Register No.]])</f>
        <v>Shining Star-Mobile Clinic-BHA-PHC-10</v>
      </c>
      <c r="N455" s="9" t="s">
        <v>401</v>
      </c>
      <c r="O455" s="183" t="s">
        <v>4053</v>
      </c>
      <c r="P455" s="183">
        <v>1</v>
      </c>
      <c r="Q455" s="183">
        <v>6</v>
      </c>
      <c r="R455" s="183"/>
      <c r="S455" s="186" t="str">
        <f t="shared" si="16"/>
        <v>&lt;5 yrs</v>
      </c>
      <c r="T455" s="183" t="s">
        <v>603</v>
      </c>
      <c r="U455" s="183"/>
      <c r="V455" s="183" t="s">
        <v>4057</v>
      </c>
      <c r="W455" s="183" t="s">
        <v>163</v>
      </c>
      <c r="X455" s="183" t="s">
        <v>163</v>
      </c>
      <c r="Y455" s="186" t="str">
        <f>INDEX(info!$Y$2:$Y$192,MATCH(phc_8[[#This Row],[Sub_Category]],info!$X$2:$X$192,0))</f>
        <v>GI problem</v>
      </c>
      <c r="Z455" s="186" t="str">
        <f t="array" ref="Z455">INDEX(info!$AA$2:$AA$192,MATCH(PHC!$X455&amp;PHC!$Y455,info!$X$2:$X$192&amp;info!$Y$2:$Y$192,0))</f>
        <v>Communicable disease</v>
      </c>
      <c r="AA455" s="183" t="s">
        <v>4064</v>
      </c>
      <c r="AB455" s="9" t="s">
        <v>654</v>
      </c>
      <c r="AC455" s="9" t="s">
        <v>654</v>
      </c>
      <c r="AD455" s="9" t="s">
        <v>654</v>
      </c>
      <c r="AE455" s="9" t="s">
        <v>654</v>
      </c>
      <c r="AF455" s="184"/>
      <c r="AG455" s="183"/>
      <c r="AH455" s="183"/>
      <c r="AI455" s="183"/>
      <c r="AJ455" s="183"/>
      <c r="AK455" s="9" t="s">
        <v>654</v>
      </c>
      <c r="AL455" s="183"/>
      <c r="AM455" s="186" t="str">
        <f>IF(AF455="","","Q"&amp;INT((MONTH(AF455)-1)/3)+1&amp;YEAR(AF455)&amp;#REF!&amp;T455)</f>
        <v/>
      </c>
      <c r="AN455" s="186" t="e">
        <f>IF(K455="","","Q"&amp;INT((MONTH(K455)-1)/3)+1&amp;YEAR(K455)&amp;#REF!)</f>
        <v>#REF!</v>
      </c>
    </row>
    <row r="456" spans="1:40" ht="20.100000000000001" customHeight="1" x14ac:dyDescent="0.25">
      <c r="A456" s="8">
        <v>454</v>
      </c>
      <c r="B456" s="8" t="s">
        <v>399</v>
      </c>
      <c r="C456" s="8" t="s">
        <v>1997</v>
      </c>
      <c r="D456" s="8" t="s">
        <v>2416</v>
      </c>
      <c r="E456" s="8" t="s">
        <v>1998</v>
      </c>
      <c r="F456" s="183" t="s">
        <v>4647</v>
      </c>
      <c r="G456" s="183"/>
      <c r="H456" s="183" t="s">
        <v>4646</v>
      </c>
      <c r="I456" s="183" t="s">
        <v>618</v>
      </c>
      <c r="J456" s="183"/>
      <c r="K456" s="184">
        <v>46064</v>
      </c>
      <c r="L456" s="183">
        <v>11</v>
      </c>
      <c r="M456" s="185" t="str">
        <f>IF(phc_8[[#This Row],[Register No.]]="","",C456&amp;"-"&amp;D456&amp;"-"&amp;"BHA-PHC-"&amp;phc_8[[#This Row],[Register No.]])</f>
        <v>Shining Star-Mobile Clinic-BHA-PHC-11</v>
      </c>
      <c r="N456" s="9" t="s">
        <v>401</v>
      </c>
      <c r="O456" s="183" t="s">
        <v>4065</v>
      </c>
      <c r="P456" s="183">
        <v>58</v>
      </c>
      <c r="Q456" s="183"/>
      <c r="R456" s="183"/>
      <c r="S456" s="186" t="str">
        <f t="shared" si="16"/>
        <v>50 yrs +</v>
      </c>
      <c r="T456" s="183" t="s">
        <v>603</v>
      </c>
      <c r="U456" s="183"/>
      <c r="V456" s="183" t="s">
        <v>4070</v>
      </c>
      <c r="W456" s="183" t="s">
        <v>2003</v>
      </c>
      <c r="X456" s="183" t="s">
        <v>181</v>
      </c>
      <c r="Y456" s="186" t="str">
        <f>INDEX(info!$Y$2:$Y$192,MATCH(phc_8[[#This Row],[Sub_Category]],info!$X$2:$X$192,0))</f>
        <v>Chronic medical disease</v>
      </c>
      <c r="Z456" s="186" t="str">
        <f t="array" ref="Z456">INDEX(info!$AA$2:$AA$192,MATCH(PHC!$X456&amp;PHC!$Y456,info!$X$2:$X$192&amp;info!$Y$2:$Y$192,0))</f>
        <v>Non-communicable disease</v>
      </c>
      <c r="AA456" s="183" t="s">
        <v>4073</v>
      </c>
      <c r="AB456" s="9" t="s">
        <v>654</v>
      </c>
      <c r="AC456" s="9" t="s">
        <v>654</v>
      </c>
      <c r="AD456" s="9" t="s">
        <v>654</v>
      </c>
      <c r="AE456" s="9" t="s">
        <v>654</v>
      </c>
      <c r="AF456" s="184"/>
      <c r="AG456" s="183"/>
      <c r="AH456" s="183"/>
      <c r="AI456" s="183"/>
      <c r="AJ456" s="183"/>
      <c r="AK456" s="9" t="s">
        <v>654</v>
      </c>
      <c r="AL456" s="183"/>
      <c r="AM456" s="186" t="str">
        <f>IF(AF456="","","Q"&amp;INT((MONTH(AF456)-1)/3)+1&amp;YEAR(AF456)&amp;#REF!&amp;T456)</f>
        <v/>
      </c>
      <c r="AN456" s="186" t="e">
        <f>IF(K456="","","Q"&amp;INT((MONTH(K456)-1)/3)+1&amp;YEAR(K456)&amp;#REF!)</f>
        <v>#REF!</v>
      </c>
    </row>
    <row r="457" spans="1:40" ht="20.100000000000001" customHeight="1" x14ac:dyDescent="0.25">
      <c r="A457" s="8">
        <v>455</v>
      </c>
      <c r="B457" s="8" t="s">
        <v>399</v>
      </c>
      <c r="C457" s="8" t="s">
        <v>1997</v>
      </c>
      <c r="D457" s="8" t="s">
        <v>2416</v>
      </c>
      <c r="E457" s="8" t="s">
        <v>1998</v>
      </c>
      <c r="F457" s="183" t="s">
        <v>4647</v>
      </c>
      <c r="G457" s="183"/>
      <c r="H457" s="183" t="s">
        <v>4646</v>
      </c>
      <c r="I457" s="183" t="s">
        <v>618</v>
      </c>
      <c r="J457" s="183"/>
      <c r="K457" s="184">
        <v>46064</v>
      </c>
      <c r="L457" s="183">
        <v>12</v>
      </c>
      <c r="M457" s="185" t="str">
        <f>IF(phc_8[[#This Row],[Register No.]]="","",C457&amp;"-"&amp;D457&amp;"-"&amp;"BHA-PHC-"&amp;phc_8[[#This Row],[Register No.]])</f>
        <v>Shining Star-Mobile Clinic-BHA-PHC-12</v>
      </c>
      <c r="N457" s="9" t="s">
        <v>401</v>
      </c>
      <c r="O457" s="183" t="s">
        <v>4066</v>
      </c>
      <c r="P457" s="183">
        <v>58</v>
      </c>
      <c r="Q457" s="183"/>
      <c r="R457" s="183"/>
      <c r="S457" s="186" t="str">
        <f t="shared" si="16"/>
        <v>50 yrs +</v>
      </c>
      <c r="T457" s="183" t="s">
        <v>603</v>
      </c>
      <c r="U457" s="183"/>
      <c r="V457" s="183" t="s">
        <v>4070</v>
      </c>
      <c r="W457" s="183" t="s">
        <v>2003</v>
      </c>
      <c r="X457" s="183" t="s">
        <v>181</v>
      </c>
      <c r="Y457" s="186" t="str">
        <f>INDEX(info!$Y$2:$Y$192,MATCH(phc_8[[#This Row],[Sub_Category]],info!$X$2:$X$192,0))</f>
        <v>Chronic medical disease</v>
      </c>
      <c r="Z457" s="186" t="str">
        <f t="array" ref="Z457">INDEX(info!$AA$2:$AA$192,MATCH(PHC!$X457&amp;PHC!$Y457,info!$X$2:$X$192&amp;info!$Y$2:$Y$192,0))</f>
        <v>Non-communicable disease</v>
      </c>
      <c r="AA457" s="183" t="s">
        <v>4074</v>
      </c>
      <c r="AB457" s="9" t="s">
        <v>654</v>
      </c>
      <c r="AC457" s="9" t="s">
        <v>654</v>
      </c>
      <c r="AD457" s="9" t="s">
        <v>654</v>
      </c>
      <c r="AE457" s="9" t="s">
        <v>654</v>
      </c>
      <c r="AF457" s="184"/>
      <c r="AG457" s="183"/>
      <c r="AH457" s="183"/>
      <c r="AI457" s="183"/>
      <c r="AJ457" s="183"/>
      <c r="AK457" s="9" t="s">
        <v>654</v>
      </c>
      <c r="AL457" s="183"/>
      <c r="AM457" s="186" t="str">
        <f>IF(AF457="","","Q"&amp;INT((MONTH(AF457)-1)/3)+1&amp;YEAR(AF457)&amp;#REF!&amp;T457)</f>
        <v/>
      </c>
      <c r="AN457" s="186" t="e">
        <f>IF(K457="","","Q"&amp;INT((MONTH(K457)-1)/3)+1&amp;YEAR(K457)&amp;#REF!)</f>
        <v>#REF!</v>
      </c>
    </row>
    <row r="458" spans="1:40" ht="20.100000000000001" customHeight="1" x14ac:dyDescent="0.25">
      <c r="A458" s="8">
        <v>456</v>
      </c>
      <c r="B458" s="8" t="s">
        <v>399</v>
      </c>
      <c r="C458" s="8" t="s">
        <v>1997</v>
      </c>
      <c r="D458" s="8" t="s">
        <v>2416</v>
      </c>
      <c r="E458" s="8" t="s">
        <v>1998</v>
      </c>
      <c r="F458" s="183" t="s">
        <v>4647</v>
      </c>
      <c r="G458" s="183"/>
      <c r="H458" s="183" t="s">
        <v>4646</v>
      </c>
      <c r="I458" s="183" t="s">
        <v>618</v>
      </c>
      <c r="J458" s="183"/>
      <c r="K458" s="184">
        <v>46064</v>
      </c>
      <c r="L458" s="183">
        <v>13</v>
      </c>
      <c r="M458" s="185" t="str">
        <f>IF(phc_8[[#This Row],[Register No.]]="","",C458&amp;"-"&amp;D458&amp;"-"&amp;"BHA-PHC-"&amp;phc_8[[#This Row],[Register No.]])</f>
        <v>Shining Star-Mobile Clinic-BHA-PHC-13</v>
      </c>
      <c r="N458" s="9" t="s">
        <v>401</v>
      </c>
      <c r="O458" s="183" t="s">
        <v>4067</v>
      </c>
      <c r="P458" s="183">
        <v>80</v>
      </c>
      <c r="Q458" s="183"/>
      <c r="R458" s="183"/>
      <c r="S458" s="186" t="str">
        <f t="shared" si="16"/>
        <v>50 yrs +</v>
      </c>
      <c r="T458" s="183" t="s">
        <v>603</v>
      </c>
      <c r="U458" s="183"/>
      <c r="V458" s="183" t="s">
        <v>2154</v>
      </c>
      <c r="W458" s="183" t="s">
        <v>294</v>
      </c>
      <c r="X458" s="183" t="s">
        <v>294</v>
      </c>
      <c r="Y458" s="186" t="str">
        <f>INDEX(info!$Y$2:$Y$192,MATCH(phc_8[[#This Row],[Sub_Category]],info!$X$2:$X$192,0))</f>
        <v>Other (non-communicable)</v>
      </c>
      <c r="Z458" s="186" t="str">
        <f t="array" ref="Z458">INDEX(info!$AA$2:$AA$192,MATCH(PHC!$X458&amp;PHC!$Y458,info!$X$2:$X$192&amp;info!$Y$2:$Y$192,0))</f>
        <v>Other</v>
      </c>
      <c r="AA458" s="183" t="s">
        <v>4075</v>
      </c>
      <c r="AB458" s="9" t="s">
        <v>654</v>
      </c>
      <c r="AC458" s="9" t="s">
        <v>654</v>
      </c>
      <c r="AD458" s="9" t="s">
        <v>654</v>
      </c>
      <c r="AE458" s="9" t="s">
        <v>654</v>
      </c>
      <c r="AF458" s="184"/>
      <c r="AG458" s="183"/>
      <c r="AH458" s="183"/>
      <c r="AI458" s="183"/>
      <c r="AJ458" s="183"/>
      <c r="AK458" s="9" t="s">
        <v>654</v>
      </c>
      <c r="AL458" s="183"/>
      <c r="AM458" s="186" t="str">
        <f>IF(AF458="","","Q"&amp;INT((MONTH(AF458)-1)/3)+1&amp;YEAR(AF458)&amp;#REF!&amp;T458)</f>
        <v/>
      </c>
      <c r="AN458" s="186" t="e">
        <f>IF(K458="","","Q"&amp;INT((MONTH(K458)-1)/3)+1&amp;YEAR(K458)&amp;#REF!)</f>
        <v>#REF!</v>
      </c>
    </row>
    <row r="459" spans="1:40" ht="20.100000000000001" customHeight="1" x14ac:dyDescent="0.25">
      <c r="A459" s="8">
        <v>457</v>
      </c>
      <c r="B459" s="8" t="s">
        <v>399</v>
      </c>
      <c r="C459" s="8" t="s">
        <v>1997</v>
      </c>
      <c r="D459" s="8" t="s">
        <v>2416</v>
      </c>
      <c r="E459" s="8" t="s">
        <v>1998</v>
      </c>
      <c r="F459" s="183" t="s">
        <v>4647</v>
      </c>
      <c r="G459" s="183"/>
      <c r="H459" s="183" t="s">
        <v>4646</v>
      </c>
      <c r="I459" s="183" t="s">
        <v>618</v>
      </c>
      <c r="J459" s="183"/>
      <c r="K459" s="184">
        <v>46064</v>
      </c>
      <c r="L459" s="183">
        <v>14</v>
      </c>
      <c r="M459" s="185" t="str">
        <f>IF(phc_8[[#This Row],[Register No.]]="","",C459&amp;"-"&amp;D459&amp;"-"&amp;"BHA-PHC-"&amp;phc_8[[#This Row],[Register No.]])</f>
        <v>Shining Star-Mobile Clinic-BHA-PHC-14</v>
      </c>
      <c r="N459" s="9" t="s">
        <v>401</v>
      </c>
      <c r="O459" s="183" t="s">
        <v>4068</v>
      </c>
      <c r="P459" s="183">
        <v>78</v>
      </c>
      <c r="Q459" s="183"/>
      <c r="R459" s="183"/>
      <c r="S459" s="186" t="str">
        <f t="shared" ref="S459:S490" si="17">IF(AND(ISBLANK(P459),ISBLANK(Q459),ISBLANK(R459))," ",
IF(OR(P459&lt;5,AND(P459=" ",Q459&lt;&gt;" ",R459&lt;&gt;" ")),"&lt;5 yrs",
IF(AND(P459&gt;=5,P459&lt;=14),"5 - 14 yrs",
IF(AND(P459&gt;=15,P459&lt;=18),"15 - 18 yrs",
IF(AND(P459&gt;=19,P459&lt;=49),"19 - 49 yrs","50 yrs +")))))</f>
        <v>50 yrs +</v>
      </c>
      <c r="T459" s="183" t="s">
        <v>603</v>
      </c>
      <c r="U459" s="183"/>
      <c r="V459" s="183"/>
      <c r="W459" s="183" t="s">
        <v>4072</v>
      </c>
      <c r="X459" s="183" t="s">
        <v>181</v>
      </c>
      <c r="Y459" s="186" t="str">
        <f>INDEX(info!$Y$2:$Y$192,MATCH(phc_8[[#This Row],[Sub_Category]],info!$X$2:$X$192,0))</f>
        <v>Chronic medical disease</v>
      </c>
      <c r="Z459" s="186" t="str">
        <f t="array" ref="Z459">INDEX(info!$AA$2:$AA$192,MATCH(PHC!$X459&amp;PHC!$Y459,info!$X$2:$X$192&amp;info!$Y$2:$Y$192,0))</f>
        <v>Non-communicable disease</v>
      </c>
      <c r="AA459" s="183" t="s">
        <v>4076</v>
      </c>
      <c r="AB459" s="9" t="s">
        <v>654</v>
      </c>
      <c r="AC459" s="9" t="s">
        <v>654</v>
      </c>
      <c r="AD459" s="9" t="s">
        <v>654</v>
      </c>
      <c r="AE459" s="9" t="s">
        <v>654</v>
      </c>
      <c r="AF459" s="184"/>
      <c r="AG459" s="183"/>
      <c r="AH459" s="183"/>
      <c r="AI459" s="183"/>
      <c r="AJ459" s="183"/>
      <c r="AK459" s="9" t="s">
        <v>654</v>
      </c>
      <c r="AL459" s="183"/>
      <c r="AM459" s="186" t="str">
        <f>IF(AF459="","","Q"&amp;INT((MONTH(AF459)-1)/3)+1&amp;YEAR(AF459)&amp;#REF!&amp;T459)</f>
        <v/>
      </c>
      <c r="AN459" s="186" t="e">
        <f>IF(K459="","","Q"&amp;INT((MONTH(K459)-1)/3)+1&amp;YEAR(K459)&amp;#REF!)</f>
        <v>#REF!</v>
      </c>
    </row>
    <row r="460" spans="1:40" ht="20.100000000000001" customHeight="1" x14ac:dyDescent="0.25">
      <c r="A460" s="8">
        <v>458</v>
      </c>
      <c r="B460" s="8" t="s">
        <v>399</v>
      </c>
      <c r="C460" s="8" t="s">
        <v>1997</v>
      </c>
      <c r="D460" s="8" t="s">
        <v>2416</v>
      </c>
      <c r="E460" s="8" t="s">
        <v>1998</v>
      </c>
      <c r="F460" s="183" t="s">
        <v>4647</v>
      </c>
      <c r="G460" s="183"/>
      <c r="H460" s="183" t="s">
        <v>4646</v>
      </c>
      <c r="I460" s="183" t="s">
        <v>618</v>
      </c>
      <c r="J460" s="183"/>
      <c r="K460" s="184">
        <v>46064</v>
      </c>
      <c r="L460" s="183">
        <v>15</v>
      </c>
      <c r="M460" s="185" t="str">
        <f>IF(phc_8[[#This Row],[Register No.]]="","",C460&amp;"-"&amp;D460&amp;"-"&amp;"BHA-PHC-"&amp;phc_8[[#This Row],[Register No.]])</f>
        <v>Shining Star-Mobile Clinic-BHA-PHC-15</v>
      </c>
      <c r="N460" s="9" t="s">
        <v>401</v>
      </c>
      <c r="O460" s="183" t="s">
        <v>4069</v>
      </c>
      <c r="P460" s="183">
        <v>76</v>
      </c>
      <c r="Q460" s="183"/>
      <c r="R460" s="183"/>
      <c r="S460" s="186" t="str">
        <f t="shared" si="17"/>
        <v>50 yrs +</v>
      </c>
      <c r="T460" s="183" t="s">
        <v>603</v>
      </c>
      <c r="U460" s="183"/>
      <c r="V460" s="183" t="s">
        <v>4071</v>
      </c>
      <c r="W460" s="183" t="s">
        <v>2215</v>
      </c>
      <c r="X460" s="183"/>
      <c r="Y460" s="186" t="e">
        <f>INDEX(info!$Y$2:$Y$192,MATCH(phc_8[[#This Row],[Sub_Category]],info!$X$2:$X$192,0))</f>
        <v>#N/A</v>
      </c>
      <c r="Z460" s="186" t="e">
        <f t="array" ref="Z460">INDEX(info!$AA$2:$AA$192,MATCH(PHC!$X460&amp;PHC!$Y460,info!$X$2:$X$192&amp;info!$Y$2:$Y$192,0))</f>
        <v>#N/A</v>
      </c>
      <c r="AA460" s="183" t="s">
        <v>4077</v>
      </c>
      <c r="AB460" s="9" t="s">
        <v>654</v>
      </c>
      <c r="AC460" s="9" t="s">
        <v>654</v>
      </c>
      <c r="AD460" s="9" t="s">
        <v>654</v>
      </c>
      <c r="AE460" s="9" t="s">
        <v>654</v>
      </c>
      <c r="AF460" s="184"/>
      <c r="AG460" s="183"/>
      <c r="AH460" s="183"/>
      <c r="AI460" s="183"/>
      <c r="AJ460" s="183"/>
      <c r="AK460" s="9" t="s">
        <v>654</v>
      </c>
      <c r="AL460" s="183"/>
      <c r="AM460" s="186" t="str">
        <f>IF(AF460="","","Q"&amp;INT((MONTH(AF460)-1)/3)+1&amp;YEAR(AF460)&amp;#REF!&amp;T460)</f>
        <v/>
      </c>
      <c r="AN460" s="186" t="e">
        <f>IF(K460="","","Q"&amp;INT((MONTH(K460)-1)/3)+1&amp;YEAR(K460)&amp;#REF!)</f>
        <v>#REF!</v>
      </c>
    </row>
    <row r="461" spans="1:40" ht="20.100000000000001" customHeight="1" x14ac:dyDescent="0.25">
      <c r="A461" s="8">
        <v>459</v>
      </c>
      <c r="B461" s="8" t="s">
        <v>399</v>
      </c>
      <c r="C461" s="8" t="s">
        <v>1997</v>
      </c>
      <c r="D461" s="8" t="s">
        <v>2416</v>
      </c>
      <c r="E461" s="8" t="s">
        <v>1998</v>
      </c>
      <c r="F461" s="183" t="s">
        <v>4647</v>
      </c>
      <c r="G461" s="183"/>
      <c r="H461" s="183" t="s">
        <v>4646</v>
      </c>
      <c r="I461" s="183" t="s">
        <v>618</v>
      </c>
      <c r="J461" s="183"/>
      <c r="K461" s="184">
        <v>46064</v>
      </c>
      <c r="L461" s="183">
        <v>16</v>
      </c>
      <c r="M461" s="185" t="str">
        <f>IF(phc_8[[#This Row],[Register No.]]="","",C461&amp;"-"&amp;D461&amp;"-"&amp;"BHA-PHC-"&amp;phc_8[[#This Row],[Register No.]])</f>
        <v>Shining Star-Mobile Clinic-BHA-PHC-16</v>
      </c>
      <c r="N461" s="9" t="s">
        <v>401</v>
      </c>
      <c r="O461" s="183" t="s">
        <v>3059</v>
      </c>
      <c r="P461" s="183">
        <v>74</v>
      </c>
      <c r="Q461" s="183"/>
      <c r="R461" s="183"/>
      <c r="S461" s="186" t="str">
        <f t="shared" si="17"/>
        <v>50 yrs +</v>
      </c>
      <c r="T461" s="183" t="s">
        <v>603</v>
      </c>
      <c r="U461" s="183"/>
      <c r="V461" s="183" t="s">
        <v>4081</v>
      </c>
      <c r="W461" s="183" t="s">
        <v>2003</v>
      </c>
      <c r="X461" s="183" t="s">
        <v>181</v>
      </c>
      <c r="Y461" s="186" t="str">
        <f>INDEX(info!$Y$2:$Y$192,MATCH(phc_8[[#This Row],[Sub_Category]],info!$X$2:$X$192,0))</f>
        <v>Chronic medical disease</v>
      </c>
      <c r="Z461" s="186" t="str">
        <f t="array" ref="Z461">INDEX(info!$AA$2:$AA$192,MATCH(PHC!$X461&amp;PHC!$Y461,info!$X$2:$X$192&amp;info!$Y$2:$Y$192,0))</f>
        <v>Non-communicable disease</v>
      </c>
      <c r="AA461" s="183" t="s">
        <v>4086</v>
      </c>
      <c r="AB461" s="9" t="s">
        <v>654</v>
      </c>
      <c r="AC461" s="9" t="s">
        <v>654</v>
      </c>
      <c r="AD461" s="9" t="s">
        <v>654</v>
      </c>
      <c r="AE461" s="9" t="s">
        <v>654</v>
      </c>
      <c r="AF461" s="184"/>
      <c r="AG461" s="183"/>
      <c r="AH461" s="183"/>
      <c r="AI461" s="183"/>
      <c r="AJ461" s="183"/>
      <c r="AK461" s="9" t="s">
        <v>654</v>
      </c>
      <c r="AL461" s="183"/>
      <c r="AM461" s="186" t="str">
        <f>IF(AF461="","","Q"&amp;INT((MONTH(AF461)-1)/3)+1&amp;YEAR(AF461)&amp;#REF!&amp;T461)</f>
        <v/>
      </c>
      <c r="AN461" s="186" t="e">
        <f>IF(K461="","","Q"&amp;INT((MONTH(K461)-1)/3)+1&amp;YEAR(K461)&amp;#REF!)</f>
        <v>#REF!</v>
      </c>
    </row>
    <row r="462" spans="1:40" ht="20.100000000000001" customHeight="1" x14ac:dyDescent="0.25">
      <c r="A462" s="8">
        <v>460</v>
      </c>
      <c r="B462" s="8" t="s">
        <v>399</v>
      </c>
      <c r="C462" s="8" t="s">
        <v>1997</v>
      </c>
      <c r="D462" s="8" t="s">
        <v>2416</v>
      </c>
      <c r="E462" s="8" t="s">
        <v>1998</v>
      </c>
      <c r="F462" s="183" t="s">
        <v>4647</v>
      </c>
      <c r="G462" s="183"/>
      <c r="H462" s="183" t="s">
        <v>4646</v>
      </c>
      <c r="I462" s="183" t="s">
        <v>618</v>
      </c>
      <c r="J462" s="183"/>
      <c r="K462" s="184">
        <v>46064</v>
      </c>
      <c r="L462" s="183">
        <v>17</v>
      </c>
      <c r="M462" s="185" t="str">
        <f>IF(phc_8[[#This Row],[Register No.]]="","",C462&amp;"-"&amp;D462&amp;"-"&amp;"BHA-PHC-"&amp;phc_8[[#This Row],[Register No.]])</f>
        <v>Shining Star-Mobile Clinic-BHA-PHC-17</v>
      </c>
      <c r="N462" s="9" t="s">
        <v>401</v>
      </c>
      <c r="O462" s="183" t="s">
        <v>4078</v>
      </c>
      <c r="P462" s="183">
        <v>3</v>
      </c>
      <c r="Q462" s="183"/>
      <c r="R462" s="183"/>
      <c r="S462" s="186" t="str">
        <f t="shared" si="17"/>
        <v>&lt;5 yrs</v>
      </c>
      <c r="T462" s="183" t="s">
        <v>603</v>
      </c>
      <c r="U462" s="183"/>
      <c r="V462" s="183" t="s">
        <v>4082</v>
      </c>
      <c r="W462" s="183" t="s">
        <v>3308</v>
      </c>
      <c r="X462" s="183" t="s">
        <v>113</v>
      </c>
      <c r="Y462" s="186" t="str">
        <f>INDEX(info!$Y$2:$Y$192,MATCH(phc_8[[#This Row],[Sub_Category]],info!$X$2:$X$192,0))</f>
        <v>ARI/RTI</v>
      </c>
      <c r="Z462" s="186" t="str">
        <f t="array" ref="Z462">INDEX(info!$AA$2:$AA$192,MATCH(PHC!$X462&amp;PHC!$Y462,info!$X$2:$X$192&amp;info!$Y$2:$Y$192,0))</f>
        <v>Communicable disease</v>
      </c>
      <c r="AA462" s="183" t="s">
        <v>4087</v>
      </c>
      <c r="AB462" s="9" t="s">
        <v>654</v>
      </c>
      <c r="AC462" s="9" t="s">
        <v>654</v>
      </c>
      <c r="AD462" s="9" t="s">
        <v>654</v>
      </c>
      <c r="AE462" s="9" t="s">
        <v>654</v>
      </c>
      <c r="AF462" s="184"/>
      <c r="AG462" s="183"/>
      <c r="AH462" s="183"/>
      <c r="AI462" s="183"/>
      <c r="AJ462" s="183"/>
      <c r="AK462" s="9" t="s">
        <v>654</v>
      </c>
      <c r="AL462" s="183"/>
      <c r="AM462" s="186" t="str">
        <f>IF(AF462="","","Q"&amp;INT((MONTH(AF462)-1)/3)+1&amp;YEAR(AF462)&amp;#REF!&amp;T462)</f>
        <v/>
      </c>
      <c r="AN462" s="186" t="e">
        <f>IF(K462="","","Q"&amp;INT((MONTH(K462)-1)/3)+1&amp;YEAR(K462)&amp;#REF!)</f>
        <v>#REF!</v>
      </c>
    </row>
    <row r="463" spans="1:40" ht="20.100000000000001" customHeight="1" x14ac:dyDescent="0.25">
      <c r="A463" s="8">
        <v>461</v>
      </c>
      <c r="B463" s="8" t="s">
        <v>399</v>
      </c>
      <c r="C463" s="8" t="s">
        <v>1997</v>
      </c>
      <c r="D463" s="8" t="s">
        <v>2416</v>
      </c>
      <c r="E463" s="8" t="s">
        <v>1998</v>
      </c>
      <c r="F463" s="183" t="s">
        <v>4647</v>
      </c>
      <c r="G463" s="183"/>
      <c r="H463" s="183" t="s">
        <v>4646</v>
      </c>
      <c r="I463" s="183" t="s">
        <v>618</v>
      </c>
      <c r="J463" s="183"/>
      <c r="K463" s="184">
        <v>46064</v>
      </c>
      <c r="L463" s="183">
        <v>18</v>
      </c>
      <c r="M463" s="185" t="str">
        <f>IF(phc_8[[#This Row],[Register No.]]="","",C463&amp;"-"&amp;D463&amp;"-"&amp;"BHA-PHC-"&amp;phc_8[[#This Row],[Register No.]])</f>
        <v>Shining Star-Mobile Clinic-BHA-PHC-18</v>
      </c>
      <c r="N463" s="9" t="s">
        <v>401</v>
      </c>
      <c r="O463" s="183" t="s">
        <v>4079</v>
      </c>
      <c r="P463" s="183">
        <v>75</v>
      </c>
      <c r="Q463" s="183"/>
      <c r="R463" s="183"/>
      <c r="S463" s="186" t="str">
        <f t="shared" si="17"/>
        <v>50 yrs +</v>
      </c>
      <c r="T463" s="183" t="s">
        <v>603</v>
      </c>
      <c r="U463" s="183"/>
      <c r="V463" s="183" t="s">
        <v>4083</v>
      </c>
      <c r="W463" s="183" t="s">
        <v>2003</v>
      </c>
      <c r="X463" s="183" t="s">
        <v>181</v>
      </c>
      <c r="Y463" s="186" t="str">
        <f>INDEX(info!$Y$2:$Y$192,MATCH(phc_8[[#This Row],[Sub_Category]],info!$X$2:$X$192,0))</f>
        <v>Chronic medical disease</v>
      </c>
      <c r="Z463" s="186" t="str">
        <f t="array" ref="Z463">INDEX(info!$AA$2:$AA$192,MATCH(PHC!$X463&amp;PHC!$Y463,info!$X$2:$X$192&amp;info!$Y$2:$Y$192,0))</f>
        <v>Non-communicable disease</v>
      </c>
      <c r="AA463" s="183" t="s">
        <v>4088</v>
      </c>
      <c r="AB463" s="9" t="s">
        <v>654</v>
      </c>
      <c r="AC463" s="9" t="s">
        <v>654</v>
      </c>
      <c r="AD463" s="9" t="s">
        <v>654</v>
      </c>
      <c r="AE463" s="9" t="s">
        <v>654</v>
      </c>
      <c r="AF463" s="184"/>
      <c r="AG463" s="183"/>
      <c r="AH463" s="183"/>
      <c r="AI463" s="183"/>
      <c r="AJ463" s="183"/>
      <c r="AK463" s="9" t="s">
        <v>654</v>
      </c>
      <c r="AL463" s="183"/>
      <c r="AM463" s="186" t="str">
        <f>IF(AF463="","","Q"&amp;INT((MONTH(AF463)-1)/3)+1&amp;YEAR(AF463)&amp;#REF!&amp;T463)</f>
        <v/>
      </c>
      <c r="AN463" s="186" t="e">
        <f>IF(K463="","","Q"&amp;INT((MONTH(K463)-1)/3)+1&amp;YEAR(K463)&amp;#REF!)</f>
        <v>#REF!</v>
      </c>
    </row>
    <row r="464" spans="1:40" ht="20.100000000000001" customHeight="1" x14ac:dyDescent="0.25">
      <c r="A464" s="8">
        <v>462</v>
      </c>
      <c r="B464" s="8" t="s">
        <v>399</v>
      </c>
      <c r="C464" s="8" t="s">
        <v>1997</v>
      </c>
      <c r="D464" s="8" t="s">
        <v>2416</v>
      </c>
      <c r="E464" s="8" t="s">
        <v>1998</v>
      </c>
      <c r="F464" s="183" t="s">
        <v>4647</v>
      </c>
      <c r="G464" s="183"/>
      <c r="H464" s="183" t="s">
        <v>4646</v>
      </c>
      <c r="I464" s="183" t="s">
        <v>618</v>
      </c>
      <c r="J464" s="183"/>
      <c r="K464" s="184">
        <v>46064</v>
      </c>
      <c r="L464" s="183">
        <v>19</v>
      </c>
      <c r="M464" s="185" t="str">
        <f>IF(phc_8[[#This Row],[Register No.]]="","",C464&amp;"-"&amp;D464&amp;"-"&amp;"BHA-PHC-"&amp;phc_8[[#This Row],[Register No.]])</f>
        <v>Shining Star-Mobile Clinic-BHA-PHC-19</v>
      </c>
      <c r="N464" s="9" t="s">
        <v>401</v>
      </c>
      <c r="O464" s="183" t="s">
        <v>4080</v>
      </c>
      <c r="P464" s="183">
        <v>18</v>
      </c>
      <c r="Q464" s="183"/>
      <c r="R464" s="183"/>
      <c r="S464" s="186" t="str">
        <f t="shared" si="17"/>
        <v>15 - 18 yrs</v>
      </c>
      <c r="T464" s="183" t="s">
        <v>603</v>
      </c>
      <c r="U464" s="183"/>
      <c r="V464" s="183" t="s">
        <v>4084</v>
      </c>
      <c r="W464" s="183" t="s">
        <v>4085</v>
      </c>
      <c r="X464" s="183"/>
      <c r="Y464" s="186" t="e">
        <f>INDEX(info!$Y$2:$Y$192,MATCH(phc_8[[#This Row],[Sub_Category]],info!$X$2:$X$192,0))</f>
        <v>#N/A</v>
      </c>
      <c r="Z464" s="186" t="e">
        <f t="array" ref="Z464">INDEX(info!$AA$2:$AA$192,MATCH(PHC!$X464&amp;PHC!$Y464,info!$X$2:$X$192&amp;info!$Y$2:$Y$192,0))</f>
        <v>#N/A</v>
      </c>
      <c r="AA464" s="183" t="s">
        <v>4089</v>
      </c>
      <c r="AB464" s="9" t="s">
        <v>654</v>
      </c>
      <c r="AC464" s="9" t="s">
        <v>654</v>
      </c>
      <c r="AD464" s="9" t="s">
        <v>654</v>
      </c>
      <c r="AE464" s="9" t="s">
        <v>654</v>
      </c>
      <c r="AF464" s="184"/>
      <c r="AG464" s="183"/>
      <c r="AH464" s="183"/>
      <c r="AI464" s="183"/>
      <c r="AJ464" s="183"/>
      <c r="AK464" s="9" t="s">
        <v>654</v>
      </c>
      <c r="AL464" s="183"/>
      <c r="AM464" s="186" t="str">
        <f>IF(AF464="","","Q"&amp;INT((MONTH(AF464)-1)/3)+1&amp;YEAR(AF464)&amp;#REF!&amp;T464)</f>
        <v/>
      </c>
      <c r="AN464" s="186" t="e">
        <f>IF(K464="","","Q"&amp;INT((MONTH(K464)-1)/3)+1&amp;YEAR(K464)&amp;#REF!)</f>
        <v>#REF!</v>
      </c>
    </row>
    <row r="465" spans="1:40" ht="20.100000000000001" customHeight="1" x14ac:dyDescent="0.25">
      <c r="A465" s="8">
        <v>463</v>
      </c>
      <c r="B465" s="8" t="s">
        <v>399</v>
      </c>
      <c r="C465" s="8" t="s">
        <v>1997</v>
      </c>
      <c r="D465" s="8" t="s">
        <v>2416</v>
      </c>
      <c r="E465" s="8" t="s">
        <v>1998</v>
      </c>
      <c r="F465" s="183" t="s">
        <v>4647</v>
      </c>
      <c r="G465" s="183"/>
      <c r="H465" s="183" t="s">
        <v>4646</v>
      </c>
      <c r="I465" s="183" t="s">
        <v>618</v>
      </c>
      <c r="J465" s="183"/>
      <c r="K465" s="184">
        <v>46064</v>
      </c>
      <c r="L465" s="183">
        <v>20</v>
      </c>
      <c r="M465" s="185" t="str">
        <f>IF(phc_8[[#This Row],[Register No.]]="","",C465&amp;"-"&amp;D465&amp;"-"&amp;"BHA-PHC-"&amp;phc_8[[#This Row],[Register No.]])</f>
        <v>Shining Star-Mobile Clinic-BHA-PHC-20</v>
      </c>
      <c r="N465" s="9" t="s">
        <v>401</v>
      </c>
      <c r="O465" s="183" t="s">
        <v>3628</v>
      </c>
      <c r="P465" s="183">
        <v>56</v>
      </c>
      <c r="Q465" s="183"/>
      <c r="R465" s="183"/>
      <c r="S465" s="186" t="str">
        <f t="shared" si="17"/>
        <v>50 yrs +</v>
      </c>
      <c r="T465" s="183" t="s">
        <v>402</v>
      </c>
      <c r="U465" s="183"/>
      <c r="V465" s="183" t="s">
        <v>3426</v>
      </c>
      <c r="W465" s="183" t="s">
        <v>3416</v>
      </c>
      <c r="X465" s="183" t="s">
        <v>103</v>
      </c>
      <c r="Y465" s="186" t="str">
        <f>INDEX(info!$Y$2:$Y$192,MATCH(phc_8[[#This Row],[Sub_Category]],info!$X$2:$X$192,0))</f>
        <v>ARI/RTI</v>
      </c>
      <c r="Z465" s="186" t="str">
        <f t="array" ref="Z465">INDEX(info!$AA$2:$AA$192,MATCH(PHC!$X465&amp;PHC!$Y465,info!$X$2:$X$192&amp;info!$Y$2:$Y$192,0))</f>
        <v>Communicable disease</v>
      </c>
      <c r="AA465" s="183" t="s">
        <v>4090</v>
      </c>
      <c r="AB465" s="9" t="s">
        <v>654</v>
      </c>
      <c r="AC465" s="9" t="s">
        <v>654</v>
      </c>
      <c r="AD465" s="9" t="s">
        <v>654</v>
      </c>
      <c r="AE465" s="9" t="s">
        <v>654</v>
      </c>
      <c r="AF465" s="184"/>
      <c r="AG465" s="183"/>
      <c r="AH465" s="183"/>
      <c r="AI465" s="183"/>
      <c r="AJ465" s="183"/>
      <c r="AK465" s="9" t="s">
        <v>654</v>
      </c>
      <c r="AL465" s="183"/>
      <c r="AM465" s="186" t="str">
        <f>IF(AF465="","","Q"&amp;INT((MONTH(AF465)-1)/3)+1&amp;YEAR(AF465)&amp;#REF!&amp;T465)</f>
        <v/>
      </c>
      <c r="AN465" s="186" t="e">
        <f>IF(K465="","","Q"&amp;INT((MONTH(K465)-1)/3)+1&amp;YEAR(K465)&amp;#REF!)</f>
        <v>#REF!</v>
      </c>
    </row>
    <row r="466" spans="1:40" ht="20.100000000000001" customHeight="1" x14ac:dyDescent="0.25">
      <c r="A466" s="8">
        <v>464</v>
      </c>
      <c r="B466" s="8" t="s">
        <v>399</v>
      </c>
      <c r="C466" s="8" t="s">
        <v>1997</v>
      </c>
      <c r="D466" s="8" t="s">
        <v>2416</v>
      </c>
      <c r="E466" s="8" t="s">
        <v>1998</v>
      </c>
      <c r="F466" s="183" t="s">
        <v>4647</v>
      </c>
      <c r="G466" s="183"/>
      <c r="H466" s="183" t="s">
        <v>4646</v>
      </c>
      <c r="I466" s="183" t="s">
        <v>618</v>
      </c>
      <c r="J466" s="183"/>
      <c r="K466" s="184">
        <v>46064</v>
      </c>
      <c r="L466" s="183">
        <v>21</v>
      </c>
      <c r="M466" s="185" t="str">
        <f>IF(phc_8[[#This Row],[Register No.]]="","",C466&amp;"-"&amp;D466&amp;"-"&amp;"BHA-PHC-"&amp;phc_8[[#This Row],[Register No.]])</f>
        <v>Shining Star-Mobile Clinic-BHA-PHC-21</v>
      </c>
      <c r="N466" s="9" t="s">
        <v>401</v>
      </c>
      <c r="O466" s="183" t="s">
        <v>4091</v>
      </c>
      <c r="P466" s="183">
        <v>67</v>
      </c>
      <c r="Q466" s="183"/>
      <c r="R466" s="183"/>
      <c r="S466" s="186" t="str">
        <f t="shared" si="17"/>
        <v>50 yrs +</v>
      </c>
      <c r="T466" s="183" t="s">
        <v>603</v>
      </c>
      <c r="U466" s="183"/>
      <c r="V466" s="183" t="s">
        <v>4095</v>
      </c>
      <c r="W466" s="183" t="s">
        <v>294</v>
      </c>
      <c r="X466" s="183" t="s">
        <v>294</v>
      </c>
      <c r="Y466" s="186" t="str">
        <f>INDEX(info!$Y$2:$Y$192,MATCH(phc_8[[#This Row],[Sub_Category]],info!$X$2:$X$192,0))</f>
        <v>Other (non-communicable)</v>
      </c>
      <c r="Z466" s="186" t="str">
        <f t="array" ref="Z466">INDEX(info!$AA$2:$AA$192,MATCH(PHC!$X466&amp;PHC!$Y466,info!$X$2:$X$192&amp;info!$Y$2:$Y$192,0))</f>
        <v>Other</v>
      </c>
      <c r="AA466" s="183" t="s">
        <v>4100</v>
      </c>
      <c r="AB466" s="9" t="s">
        <v>654</v>
      </c>
      <c r="AC466" s="9" t="s">
        <v>654</v>
      </c>
      <c r="AD466" s="9" t="s">
        <v>654</v>
      </c>
      <c r="AE466" s="9" t="s">
        <v>654</v>
      </c>
      <c r="AF466" s="184"/>
      <c r="AG466" s="183"/>
      <c r="AH466" s="183"/>
      <c r="AI466" s="183"/>
      <c r="AJ466" s="183"/>
      <c r="AK466" s="9" t="s">
        <v>654</v>
      </c>
      <c r="AL466" s="183"/>
      <c r="AM466" s="186" t="str">
        <f>IF(AF466="","","Q"&amp;INT((MONTH(AF466)-1)/3)+1&amp;YEAR(AF466)&amp;#REF!&amp;T466)</f>
        <v/>
      </c>
      <c r="AN466" s="186" t="e">
        <f>IF(K466="","","Q"&amp;INT((MONTH(K466)-1)/3)+1&amp;YEAR(K466)&amp;#REF!)</f>
        <v>#REF!</v>
      </c>
    </row>
    <row r="467" spans="1:40" ht="20.100000000000001" customHeight="1" x14ac:dyDescent="0.25">
      <c r="A467" s="8">
        <v>465</v>
      </c>
      <c r="B467" s="8" t="s">
        <v>399</v>
      </c>
      <c r="C467" s="8" t="s">
        <v>1997</v>
      </c>
      <c r="D467" s="8" t="s">
        <v>2416</v>
      </c>
      <c r="E467" s="8" t="s">
        <v>1998</v>
      </c>
      <c r="F467" s="183" t="s">
        <v>4647</v>
      </c>
      <c r="G467" s="183"/>
      <c r="H467" s="183" t="s">
        <v>4646</v>
      </c>
      <c r="I467" s="183" t="s">
        <v>618</v>
      </c>
      <c r="J467" s="183"/>
      <c r="K467" s="184">
        <v>46064</v>
      </c>
      <c r="L467" s="183">
        <v>22</v>
      </c>
      <c r="M467" s="185" t="str">
        <f>IF(phc_8[[#This Row],[Register No.]]="","",C467&amp;"-"&amp;D467&amp;"-"&amp;"BHA-PHC-"&amp;phc_8[[#This Row],[Register No.]])</f>
        <v>Shining Star-Mobile Clinic-BHA-PHC-22</v>
      </c>
      <c r="N467" s="9" t="s">
        <v>401</v>
      </c>
      <c r="O467" s="183" t="s">
        <v>4092</v>
      </c>
      <c r="P467" s="183">
        <v>52</v>
      </c>
      <c r="Q467" s="183"/>
      <c r="R467" s="183"/>
      <c r="S467" s="186" t="str">
        <f t="shared" si="17"/>
        <v>50 yrs +</v>
      </c>
      <c r="T467" s="183" t="s">
        <v>402</v>
      </c>
      <c r="U467" s="183"/>
      <c r="V467" s="183" t="s">
        <v>4096</v>
      </c>
      <c r="W467" s="183" t="s">
        <v>2003</v>
      </c>
      <c r="X467" s="183" t="s">
        <v>181</v>
      </c>
      <c r="Y467" s="186" t="str">
        <f>INDEX(info!$Y$2:$Y$192,MATCH(phc_8[[#This Row],[Sub_Category]],info!$X$2:$X$192,0))</f>
        <v>Chronic medical disease</v>
      </c>
      <c r="Z467" s="186" t="str">
        <f t="array" ref="Z467">INDEX(info!$AA$2:$AA$192,MATCH(PHC!$X467&amp;PHC!$Y467,info!$X$2:$X$192&amp;info!$Y$2:$Y$192,0))</f>
        <v>Non-communicable disease</v>
      </c>
      <c r="AA467" s="183" t="s">
        <v>4101</v>
      </c>
      <c r="AB467" s="9" t="s">
        <v>654</v>
      </c>
      <c r="AC467" s="9" t="s">
        <v>654</v>
      </c>
      <c r="AD467" s="9" t="s">
        <v>654</v>
      </c>
      <c r="AE467" s="9" t="s">
        <v>654</v>
      </c>
      <c r="AF467" s="184"/>
      <c r="AG467" s="183"/>
      <c r="AH467" s="183"/>
      <c r="AI467" s="183"/>
      <c r="AJ467" s="183"/>
      <c r="AK467" s="9" t="s">
        <v>654</v>
      </c>
      <c r="AL467" s="183"/>
      <c r="AM467" s="186" t="str">
        <f>IF(AF467="","","Q"&amp;INT((MONTH(AF467)-1)/3)+1&amp;YEAR(AF467)&amp;#REF!&amp;T467)</f>
        <v/>
      </c>
      <c r="AN467" s="186" t="e">
        <f>IF(K467="","","Q"&amp;INT((MONTH(K467)-1)/3)+1&amp;YEAR(K467)&amp;#REF!)</f>
        <v>#REF!</v>
      </c>
    </row>
    <row r="468" spans="1:40" ht="20.100000000000001" customHeight="1" x14ac:dyDescent="0.25">
      <c r="A468" s="8">
        <v>466</v>
      </c>
      <c r="B468" s="8" t="s">
        <v>399</v>
      </c>
      <c r="C468" s="8" t="s">
        <v>1997</v>
      </c>
      <c r="D468" s="8" t="s">
        <v>2416</v>
      </c>
      <c r="E468" s="8" t="s">
        <v>1998</v>
      </c>
      <c r="F468" s="183" t="s">
        <v>4647</v>
      </c>
      <c r="G468" s="183"/>
      <c r="H468" s="183" t="s">
        <v>4646</v>
      </c>
      <c r="I468" s="183" t="s">
        <v>618</v>
      </c>
      <c r="J468" s="183"/>
      <c r="K468" s="184">
        <v>46064</v>
      </c>
      <c r="L468" s="183">
        <v>23</v>
      </c>
      <c r="M468" s="185" t="str">
        <f>IF(phc_8[[#This Row],[Register No.]]="","",C468&amp;"-"&amp;D468&amp;"-"&amp;"BHA-PHC-"&amp;phc_8[[#This Row],[Register No.]])</f>
        <v>Shining Star-Mobile Clinic-BHA-PHC-23</v>
      </c>
      <c r="N468" s="9" t="s">
        <v>401</v>
      </c>
      <c r="O468" s="183" t="s">
        <v>4093</v>
      </c>
      <c r="P468" s="183">
        <v>59</v>
      </c>
      <c r="Q468" s="183"/>
      <c r="R468" s="183"/>
      <c r="S468" s="186" t="str">
        <f t="shared" si="17"/>
        <v>50 yrs +</v>
      </c>
      <c r="T468" s="183" t="s">
        <v>603</v>
      </c>
      <c r="U468" s="183"/>
      <c r="V468" s="183" t="s">
        <v>4097</v>
      </c>
      <c r="W468" s="183" t="s">
        <v>2014</v>
      </c>
      <c r="X468" s="183" t="s">
        <v>2014</v>
      </c>
      <c r="Y468" s="186" t="str">
        <f>INDEX(info!$Y$2:$Y$192,MATCH(phc_8[[#This Row],[Sub_Category]],info!$X$2:$X$192,0))</f>
        <v>Other (non-communicable)</v>
      </c>
      <c r="Z468" s="186" t="str">
        <f t="array" ref="Z468">INDEX(info!$AA$2:$AA$192,MATCH(PHC!$X468&amp;PHC!$Y468,info!$X$2:$X$192&amp;info!$Y$2:$Y$192,0))</f>
        <v>Other</v>
      </c>
      <c r="AA468" s="183" t="s">
        <v>4102</v>
      </c>
      <c r="AB468" s="9" t="s">
        <v>654</v>
      </c>
      <c r="AC468" s="9" t="s">
        <v>654</v>
      </c>
      <c r="AD468" s="9" t="s">
        <v>654</v>
      </c>
      <c r="AE468" s="9" t="s">
        <v>654</v>
      </c>
      <c r="AF468" s="184"/>
      <c r="AG468" s="183"/>
      <c r="AH468" s="183"/>
      <c r="AI468" s="183"/>
      <c r="AJ468" s="183"/>
      <c r="AK468" s="9" t="s">
        <v>654</v>
      </c>
      <c r="AL468" s="183"/>
      <c r="AM468" s="186" t="str">
        <f>IF(AF468="","","Q"&amp;INT((MONTH(AF468)-1)/3)+1&amp;YEAR(AF468)&amp;#REF!&amp;T468)</f>
        <v/>
      </c>
      <c r="AN468" s="186" t="e">
        <f>IF(K468="","","Q"&amp;INT((MONTH(K468)-1)/3)+1&amp;YEAR(K468)&amp;#REF!)</f>
        <v>#REF!</v>
      </c>
    </row>
    <row r="469" spans="1:40" ht="20.100000000000001" customHeight="1" x14ac:dyDescent="0.25">
      <c r="A469" s="8">
        <v>467</v>
      </c>
      <c r="B469" s="8" t="s">
        <v>399</v>
      </c>
      <c r="C469" s="8" t="s">
        <v>1997</v>
      </c>
      <c r="D469" s="8" t="s">
        <v>2416</v>
      </c>
      <c r="E469" s="8" t="s">
        <v>1998</v>
      </c>
      <c r="F469" s="183" t="s">
        <v>4647</v>
      </c>
      <c r="G469" s="183"/>
      <c r="H469" s="183" t="s">
        <v>4646</v>
      </c>
      <c r="I469" s="183" t="s">
        <v>618</v>
      </c>
      <c r="J469" s="183"/>
      <c r="K469" s="184">
        <v>46064</v>
      </c>
      <c r="L469" s="183">
        <v>24</v>
      </c>
      <c r="M469" s="185" t="str">
        <f>IF(phc_8[[#This Row],[Register No.]]="","",C469&amp;"-"&amp;D469&amp;"-"&amp;"BHA-PHC-"&amp;phc_8[[#This Row],[Register No.]])</f>
        <v>Shining Star-Mobile Clinic-BHA-PHC-24</v>
      </c>
      <c r="N469" s="9" t="s">
        <v>401</v>
      </c>
      <c r="O469" s="183" t="s">
        <v>3797</v>
      </c>
      <c r="P469" s="183">
        <v>58</v>
      </c>
      <c r="Q469" s="183"/>
      <c r="R469" s="183"/>
      <c r="S469" s="186" t="str">
        <f t="shared" si="17"/>
        <v>50 yrs +</v>
      </c>
      <c r="T469" s="183" t="s">
        <v>603</v>
      </c>
      <c r="U469" s="183"/>
      <c r="V469" s="183" t="s">
        <v>4098</v>
      </c>
      <c r="W469" s="183" t="s">
        <v>2028</v>
      </c>
      <c r="X469" s="183" t="s">
        <v>108</v>
      </c>
      <c r="Y469" s="186" t="str">
        <f>INDEX(info!$Y$2:$Y$192,MATCH(phc_8[[#This Row],[Sub_Category]],info!$X$2:$X$192,0))</f>
        <v>ARI/RTI</v>
      </c>
      <c r="Z469" s="186" t="str">
        <f t="array" ref="Z469">INDEX(info!$AA$2:$AA$192,MATCH(PHC!$X469&amp;PHC!$Y469,info!$X$2:$X$192&amp;info!$Y$2:$Y$192,0))</f>
        <v>Communicable disease</v>
      </c>
      <c r="AA469" s="183" t="s">
        <v>4103</v>
      </c>
      <c r="AB469" s="9" t="s">
        <v>654</v>
      </c>
      <c r="AC469" s="9" t="s">
        <v>654</v>
      </c>
      <c r="AD469" s="9" t="s">
        <v>654</v>
      </c>
      <c r="AE469" s="9" t="s">
        <v>654</v>
      </c>
      <c r="AF469" s="184"/>
      <c r="AG469" s="183"/>
      <c r="AH469" s="183"/>
      <c r="AI469" s="183"/>
      <c r="AJ469" s="183"/>
      <c r="AK469" s="9" t="s">
        <v>654</v>
      </c>
      <c r="AL469" s="183"/>
      <c r="AM469" s="186" t="str">
        <f>IF(AF469="","","Q"&amp;INT((MONTH(AF469)-1)/3)+1&amp;YEAR(AF469)&amp;#REF!&amp;T469)</f>
        <v/>
      </c>
      <c r="AN469" s="186" t="e">
        <f>IF(K469="","","Q"&amp;INT((MONTH(K469)-1)/3)+1&amp;YEAR(K469)&amp;#REF!)</f>
        <v>#REF!</v>
      </c>
    </row>
    <row r="470" spans="1:40" ht="20.100000000000001" customHeight="1" x14ac:dyDescent="0.25">
      <c r="A470" s="8">
        <v>468</v>
      </c>
      <c r="B470" s="8" t="s">
        <v>399</v>
      </c>
      <c r="C470" s="8" t="s">
        <v>1997</v>
      </c>
      <c r="D470" s="8" t="s">
        <v>2416</v>
      </c>
      <c r="E470" s="8" t="s">
        <v>1998</v>
      </c>
      <c r="F470" s="183" t="s">
        <v>4647</v>
      </c>
      <c r="G470" s="183"/>
      <c r="H470" s="183" t="s">
        <v>4646</v>
      </c>
      <c r="I470" s="183" t="s">
        <v>618</v>
      </c>
      <c r="J470" s="183"/>
      <c r="K470" s="184">
        <v>46064</v>
      </c>
      <c r="L470" s="183">
        <v>25</v>
      </c>
      <c r="M470" s="185" t="str">
        <f>IF(phc_8[[#This Row],[Register No.]]="","",C470&amp;"-"&amp;D470&amp;"-"&amp;"BHA-PHC-"&amp;phc_8[[#This Row],[Register No.]])</f>
        <v>Shining Star-Mobile Clinic-BHA-PHC-25</v>
      </c>
      <c r="N470" s="9" t="s">
        <v>401</v>
      </c>
      <c r="O470" s="183" t="s">
        <v>4094</v>
      </c>
      <c r="P470" s="183">
        <v>65</v>
      </c>
      <c r="Q470" s="183"/>
      <c r="R470" s="183"/>
      <c r="S470" s="186" t="str">
        <f t="shared" si="17"/>
        <v>50 yrs +</v>
      </c>
      <c r="T470" s="183" t="s">
        <v>603</v>
      </c>
      <c r="U470" s="183"/>
      <c r="V470" s="183" t="s">
        <v>4099</v>
      </c>
      <c r="W470" s="183" t="s">
        <v>225</v>
      </c>
      <c r="X470" s="183" t="s">
        <v>225</v>
      </c>
      <c r="Y470" s="186" t="str">
        <f>INDEX(info!$Y$2:$Y$192,MATCH(phc_8[[#This Row],[Sub_Category]],info!$X$2:$X$192,0))</f>
        <v>GI problem</v>
      </c>
      <c r="Z470" s="186" t="str">
        <f t="array" ref="Z470">INDEX(info!$AA$2:$AA$192,MATCH(PHC!$X470&amp;PHC!$Y470,info!$X$2:$X$192&amp;info!$Y$2:$Y$192,0))</f>
        <v>Non-communicable disease</v>
      </c>
      <c r="AA470" s="183" t="s">
        <v>4104</v>
      </c>
      <c r="AB470" s="9" t="s">
        <v>654</v>
      </c>
      <c r="AC470" s="9" t="s">
        <v>654</v>
      </c>
      <c r="AD470" s="9" t="s">
        <v>654</v>
      </c>
      <c r="AE470" s="9" t="s">
        <v>654</v>
      </c>
      <c r="AF470" s="184"/>
      <c r="AG470" s="183"/>
      <c r="AH470" s="183"/>
      <c r="AI470" s="183"/>
      <c r="AJ470" s="183"/>
      <c r="AK470" s="9" t="s">
        <v>654</v>
      </c>
      <c r="AL470" s="183"/>
      <c r="AM470" s="186" t="str">
        <f>IF(AF470="","","Q"&amp;INT((MONTH(AF470)-1)/3)+1&amp;YEAR(AF470)&amp;#REF!&amp;T470)</f>
        <v/>
      </c>
      <c r="AN470" s="186" t="e">
        <f>IF(K470="","","Q"&amp;INT((MONTH(K470)-1)/3)+1&amp;YEAR(K470)&amp;#REF!)</f>
        <v>#REF!</v>
      </c>
    </row>
    <row r="471" spans="1:40" ht="20.100000000000001" customHeight="1" x14ac:dyDescent="0.25">
      <c r="A471" s="8">
        <v>469</v>
      </c>
      <c r="B471" s="8" t="s">
        <v>399</v>
      </c>
      <c r="C471" s="8" t="s">
        <v>1997</v>
      </c>
      <c r="D471" s="8" t="s">
        <v>2416</v>
      </c>
      <c r="E471" s="8" t="s">
        <v>1998</v>
      </c>
      <c r="F471" s="183" t="s">
        <v>4647</v>
      </c>
      <c r="G471" s="183"/>
      <c r="H471" s="183" t="s">
        <v>4646</v>
      </c>
      <c r="I471" s="183" t="s">
        <v>618</v>
      </c>
      <c r="J471" s="183"/>
      <c r="K471" s="184">
        <v>46064</v>
      </c>
      <c r="L471" s="183">
        <v>26</v>
      </c>
      <c r="M471" s="185" t="str">
        <f>IF(phc_8[[#This Row],[Register No.]]="","",C471&amp;"-"&amp;D471&amp;"-"&amp;"BHA-PHC-"&amp;phc_8[[#This Row],[Register No.]])</f>
        <v>Shining Star-Mobile Clinic-BHA-PHC-26</v>
      </c>
      <c r="N471" s="9" t="s">
        <v>401</v>
      </c>
      <c r="O471" s="183" t="s">
        <v>4105</v>
      </c>
      <c r="P471" s="183">
        <v>48</v>
      </c>
      <c r="Q471" s="183"/>
      <c r="R471" s="183"/>
      <c r="S471" s="186" t="str">
        <f t="shared" si="17"/>
        <v>19 - 49 yrs</v>
      </c>
      <c r="T471" s="183" t="s">
        <v>603</v>
      </c>
      <c r="U471" s="183"/>
      <c r="V471" s="183" t="s">
        <v>4110</v>
      </c>
      <c r="W471" s="183" t="s">
        <v>178</v>
      </c>
      <c r="X471" s="183" t="s">
        <v>178</v>
      </c>
      <c r="Y471" s="186" t="str">
        <f>INDEX(info!$Y$2:$Y$192,MATCH(phc_8[[#This Row],[Sub_Category]],info!$X$2:$X$192,0))</f>
        <v>Chronic medical disease</v>
      </c>
      <c r="Z471" s="186" t="str">
        <f t="array" ref="Z471">INDEX(info!$AA$2:$AA$192,MATCH(PHC!$X471&amp;PHC!$Y471,info!$X$2:$X$192&amp;info!$Y$2:$Y$192,0))</f>
        <v>Non-communicable disease</v>
      </c>
      <c r="AA471" s="183" t="s">
        <v>4115</v>
      </c>
      <c r="AB471" s="9" t="s">
        <v>654</v>
      </c>
      <c r="AC471" s="9" t="s">
        <v>654</v>
      </c>
      <c r="AD471" s="9" t="s">
        <v>654</v>
      </c>
      <c r="AE471" s="9" t="s">
        <v>654</v>
      </c>
      <c r="AF471" s="184"/>
      <c r="AG471" s="183"/>
      <c r="AH471" s="183"/>
      <c r="AI471" s="183"/>
      <c r="AJ471" s="183"/>
      <c r="AK471" s="9" t="s">
        <v>654</v>
      </c>
      <c r="AL471" s="183"/>
      <c r="AM471" s="186" t="str">
        <f>IF(AF471="","","Q"&amp;INT((MONTH(AF471)-1)/3)+1&amp;YEAR(AF471)&amp;#REF!&amp;T471)</f>
        <v/>
      </c>
      <c r="AN471" s="186" t="e">
        <f>IF(K471="","","Q"&amp;INT((MONTH(K471)-1)/3)+1&amp;YEAR(K471)&amp;#REF!)</f>
        <v>#REF!</v>
      </c>
    </row>
    <row r="472" spans="1:40" ht="20.100000000000001" customHeight="1" x14ac:dyDescent="0.25">
      <c r="A472" s="8">
        <v>470</v>
      </c>
      <c r="B472" s="8" t="s">
        <v>399</v>
      </c>
      <c r="C472" s="8" t="s">
        <v>1997</v>
      </c>
      <c r="D472" s="8" t="s">
        <v>2416</v>
      </c>
      <c r="E472" s="8" t="s">
        <v>1998</v>
      </c>
      <c r="F472" s="183" t="s">
        <v>4647</v>
      </c>
      <c r="G472" s="183"/>
      <c r="H472" s="183" t="s">
        <v>4646</v>
      </c>
      <c r="I472" s="183" t="s">
        <v>618</v>
      </c>
      <c r="J472" s="183"/>
      <c r="K472" s="184">
        <v>46064</v>
      </c>
      <c r="L472" s="183">
        <v>27</v>
      </c>
      <c r="M472" s="185" t="str">
        <f>IF(phc_8[[#This Row],[Register No.]]="","",C472&amp;"-"&amp;D472&amp;"-"&amp;"BHA-PHC-"&amp;phc_8[[#This Row],[Register No.]])</f>
        <v>Shining Star-Mobile Clinic-BHA-PHC-27</v>
      </c>
      <c r="N472" s="9" t="s">
        <v>401</v>
      </c>
      <c r="O472" s="183" t="s">
        <v>4106</v>
      </c>
      <c r="P472" s="183">
        <v>63</v>
      </c>
      <c r="Q472" s="183"/>
      <c r="R472" s="183"/>
      <c r="S472" s="186" t="str">
        <f t="shared" si="17"/>
        <v>50 yrs +</v>
      </c>
      <c r="T472" s="183" t="s">
        <v>603</v>
      </c>
      <c r="U472" s="183"/>
      <c r="V472" s="183" t="s">
        <v>4111</v>
      </c>
      <c r="W472" s="183" t="s">
        <v>218</v>
      </c>
      <c r="X472" s="183" t="s">
        <v>218</v>
      </c>
      <c r="Y472" s="186" t="str">
        <f>INDEX(info!$Y$2:$Y$192,MATCH(phc_8[[#This Row],[Sub_Category]],info!$X$2:$X$192,0))</f>
        <v>Genito-urinary diseases</v>
      </c>
      <c r="Z472" s="186" t="str">
        <f t="array" ref="Z472">INDEX(info!$AA$2:$AA$192,MATCH(PHC!$X472&amp;PHC!$Y472,info!$X$2:$X$192&amp;info!$Y$2:$Y$192,0))</f>
        <v>Communicable disease</v>
      </c>
      <c r="AA472" s="183" t="s">
        <v>4116</v>
      </c>
      <c r="AB472" s="9" t="s">
        <v>654</v>
      </c>
      <c r="AC472" s="9" t="s">
        <v>654</v>
      </c>
      <c r="AD472" s="9" t="s">
        <v>654</v>
      </c>
      <c r="AE472" s="9" t="s">
        <v>654</v>
      </c>
      <c r="AF472" s="184"/>
      <c r="AG472" s="183"/>
      <c r="AH472" s="183"/>
      <c r="AI472" s="183"/>
      <c r="AJ472" s="183"/>
      <c r="AK472" s="9" t="s">
        <v>654</v>
      </c>
      <c r="AL472" s="183"/>
      <c r="AM472" s="186" t="str">
        <f>IF(AF472="","","Q"&amp;INT((MONTH(AF472)-1)/3)+1&amp;YEAR(AF472)&amp;#REF!&amp;T472)</f>
        <v/>
      </c>
      <c r="AN472" s="186" t="e">
        <f>IF(K472="","","Q"&amp;INT((MONTH(K472)-1)/3)+1&amp;YEAR(K472)&amp;#REF!)</f>
        <v>#REF!</v>
      </c>
    </row>
    <row r="473" spans="1:40" ht="20.100000000000001" customHeight="1" x14ac:dyDescent="0.25">
      <c r="A473" s="8">
        <v>471</v>
      </c>
      <c r="B473" s="8" t="s">
        <v>399</v>
      </c>
      <c r="C473" s="8" t="s">
        <v>1997</v>
      </c>
      <c r="D473" s="8" t="s">
        <v>2416</v>
      </c>
      <c r="E473" s="8" t="s">
        <v>1998</v>
      </c>
      <c r="F473" s="183" t="s">
        <v>4647</v>
      </c>
      <c r="G473" s="183"/>
      <c r="H473" s="183" t="s">
        <v>4646</v>
      </c>
      <c r="I473" s="183" t="s">
        <v>618</v>
      </c>
      <c r="J473" s="183"/>
      <c r="K473" s="184">
        <v>46064</v>
      </c>
      <c r="L473" s="183">
        <v>28</v>
      </c>
      <c r="M473" s="185" t="str">
        <f>IF(phc_8[[#This Row],[Register No.]]="","",C473&amp;"-"&amp;D473&amp;"-"&amp;"BHA-PHC-"&amp;phc_8[[#This Row],[Register No.]])</f>
        <v>Shining Star-Mobile Clinic-BHA-PHC-28</v>
      </c>
      <c r="N473" s="9" t="s">
        <v>401</v>
      </c>
      <c r="O473" s="183" t="s">
        <v>4107</v>
      </c>
      <c r="P473" s="183">
        <v>69</v>
      </c>
      <c r="Q473" s="183"/>
      <c r="R473" s="183"/>
      <c r="S473" s="186" t="str">
        <f t="shared" si="17"/>
        <v>50 yrs +</v>
      </c>
      <c r="T473" s="183" t="s">
        <v>603</v>
      </c>
      <c r="U473" s="183"/>
      <c r="V473" s="183" t="s">
        <v>4112</v>
      </c>
      <c r="W473" s="183" t="s">
        <v>3182</v>
      </c>
      <c r="X473" s="183" t="s">
        <v>242</v>
      </c>
      <c r="Y473" s="186" t="str">
        <f>INDEX(info!$Y$2:$Y$192,MATCH(phc_8[[#This Row],[Sub_Category]],info!$X$2:$X$192,0))</f>
        <v>Accident/minor sugical and injuries</v>
      </c>
      <c r="Z473" s="186" t="str">
        <f t="array" ref="Z473">INDEX(info!$AA$2:$AA$192,MATCH(PHC!$X473&amp;PHC!$Y473,info!$X$2:$X$192&amp;info!$Y$2:$Y$192,0))</f>
        <v>Injury related</v>
      </c>
      <c r="AA473" s="183" t="s">
        <v>4117</v>
      </c>
      <c r="AB473" s="9" t="s">
        <v>654</v>
      </c>
      <c r="AC473" s="9" t="s">
        <v>654</v>
      </c>
      <c r="AD473" s="9" t="s">
        <v>654</v>
      </c>
      <c r="AE473" s="9" t="s">
        <v>654</v>
      </c>
      <c r="AF473" s="184"/>
      <c r="AG473" s="183"/>
      <c r="AH473" s="183"/>
      <c r="AI473" s="183"/>
      <c r="AJ473" s="183"/>
      <c r="AK473" s="9" t="s">
        <v>654</v>
      </c>
      <c r="AL473" s="183"/>
      <c r="AM473" s="186" t="str">
        <f>IF(AF473="","","Q"&amp;INT((MONTH(AF473)-1)/3)+1&amp;YEAR(AF473)&amp;#REF!&amp;T473)</f>
        <v/>
      </c>
      <c r="AN473" s="186" t="e">
        <f>IF(K473="","","Q"&amp;INT((MONTH(K473)-1)/3)+1&amp;YEAR(K473)&amp;#REF!)</f>
        <v>#REF!</v>
      </c>
    </row>
    <row r="474" spans="1:40" ht="20.100000000000001" customHeight="1" x14ac:dyDescent="0.25">
      <c r="A474" s="8">
        <v>472</v>
      </c>
      <c r="B474" s="8" t="s">
        <v>399</v>
      </c>
      <c r="C474" s="8" t="s">
        <v>1997</v>
      </c>
      <c r="D474" s="8" t="s">
        <v>2416</v>
      </c>
      <c r="E474" s="8" t="s">
        <v>1998</v>
      </c>
      <c r="F474" s="183" t="s">
        <v>4647</v>
      </c>
      <c r="G474" s="183"/>
      <c r="H474" s="183" t="s">
        <v>4646</v>
      </c>
      <c r="I474" s="183" t="s">
        <v>618</v>
      </c>
      <c r="J474" s="183"/>
      <c r="K474" s="184">
        <v>46064</v>
      </c>
      <c r="L474" s="183">
        <v>29</v>
      </c>
      <c r="M474" s="185" t="str">
        <f>IF(phc_8[[#This Row],[Register No.]]="","",C474&amp;"-"&amp;D474&amp;"-"&amp;"BHA-PHC-"&amp;phc_8[[#This Row],[Register No.]])</f>
        <v>Shining Star-Mobile Clinic-BHA-PHC-29</v>
      </c>
      <c r="N474" s="9" t="s">
        <v>401</v>
      </c>
      <c r="O474" s="183" t="s">
        <v>4108</v>
      </c>
      <c r="P474" s="183">
        <v>42</v>
      </c>
      <c r="Q474" s="183"/>
      <c r="R474" s="183"/>
      <c r="S474" s="186" t="str">
        <f t="shared" si="17"/>
        <v>19 - 49 yrs</v>
      </c>
      <c r="T474" s="183" t="s">
        <v>603</v>
      </c>
      <c r="U474" s="183"/>
      <c r="V474" s="183" t="s">
        <v>4113</v>
      </c>
      <c r="W474" s="183" t="s">
        <v>2003</v>
      </c>
      <c r="X474" s="183" t="s">
        <v>181</v>
      </c>
      <c r="Y474" s="186" t="str">
        <f>INDEX(info!$Y$2:$Y$192,MATCH(phc_8[[#This Row],[Sub_Category]],info!$X$2:$X$192,0))</f>
        <v>Chronic medical disease</v>
      </c>
      <c r="Z474" s="186" t="str">
        <f t="array" ref="Z474">INDEX(info!$AA$2:$AA$192,MATCH(PHC!$X474&amp;PHC!$Y474,info!$X$2:$X$192&amp;info!$Y$2:$Y$192,0))</f>
        <v>Non-communicable disease</v>
      </c>
      <c r="AA474" s="183" t="s">
        <v>4118</v>
      </c>
      <c r="AB474" s="9" t="s">
        <v>654</v>
      </c>
      <c r="AC474" s="9" t="s">
        <v>654</v>
      </c>
      <c r="AD474" s="9" t="s">
        <v>654</v>
      </c>
      <c r="AE474" s="9" t="s">
        <v>654</v>
      </c>
      <c r="AF474" s="184"/>
      <c r="AG474" s="183"/>
      <c r="AH474" s="183"/>
      <c r="AI474" s="183"/>
      <c r="AJ474" s="183"/>
      <c r="AK474" s="9" t="s">
        <v>654</v>
      </c>
      <c r="AL474" s="183"/>
      <c r="AM474" s="186" t="str">
        <f>IF(AF474="","","Q"&amp;INT((MONTH(AF474)-1)/3)+1&amp;YEAR(AF474)&amp;#REF!&amp;T474)</f>
        <v/>
      </c>
      <c r="AN474" s="186" t="e">
        <f>IF(K474="","","Q"&amp;INT((MONTH(K474)-1)/3)+1&amp;YEAR(K474)&amp;#REF!)</f>
        <v>#REF!</v>
      </c>
    </row>
    <row r="475" spans="1:40" ht="20.100000000000001" customHeight="1" x14ac:dyDescent="0.25">
      <c r="A475" s="8">
        <v>473</v>
      </c>
      <c r="B475" s="8" t="s">
        <v>399</v>
      </c>
      <c r="C475" s="8" t="s">
        <v>1997</v>
      </c>
      <c r="D475" s="8" t="s">
        <v>2416</v>
      </c>
      <c r="E475" s="8" t="s">
        <v>1998</v>
      </c>
      <c r="F475" s="183" t="s">
        <v>4647</v>
      </c>
      <c r="G475" s="183"/>
      <c r="H475" s="183" t="s">
        <v>4646</v>
      </c>
      <c r="I475" s="183" t="s">
        <v>618</v>
      </c>
      <c r="J475" s="183"/>
      <c r="K475" s="184">
        <v>46064</v>
      </c>
      <c r="L475" s="183">
        <v>30</v>
      </c>
      <c r="M475" s="185" t="str">
        <f>IF(phc_8[[#This Row],[Register No.]]="","",C475&amp;"-"&amp;D475&amp;"-"&amp;"BHA-PHC-"&amp;phc_8[[#This Row],[Register No.]])</f>
        <v>Shining Star-Mobile Clinic-BHA-PHC-30</v>
      </c>
      <c r="N475" s="9" t="s">
        <v>401</v>
      </c>
      <c r="O475" s="183" t="s">
        <v>4109</v>
      </c>
      <c r="P475" s="183">
        <v>40</v>
      </c>
      <c r="Q475" s="183"/>
      <c r="R475" s="183"/>
      <c r="S475" s="186" t="str">
        <f t="shared" si="17"/>
        <v>19 - 49 yrs</v>
      </c>
      <c r="T475" s="183" t="s">
        <v>603</v>
      </c>
      <c r="U475" s="183"/>
      <c r="V475" s="183" t="s">
        <v>4114</v>
      </c>
      <c r="W475" s="183" t="s">
        <v>2014</v>
      </c>
      <c r="X475" s="183" t="s">
        <v>2014</v>
      </c>
      <c r="Y475" s="186" t="str">
        <f>INDEX(info!$Y$2:$Y$192,MATCH(phc_8[[#This Row],[Sub_Category]],info!$X$2:$X$192,0))</f>
        <v>Other (non-communicable)</v>
      </c>
      <c r="Z475" s="186" t="str">
        <f t="array" ref="Z475">INDEX(info!$AA$2:$AA$192,MATCH(PHC!$X475&amp;PHC!$Y475,info!$X$2:$X$192&amp;info!$Y$2:$Y$192,0))</f>
        <v>Other</v>
      </c>
      <c r="AA475" s="183" t="s">
        <v>4119</v>
      </c>
      <c r="AB475" s="9" t="s">
        <v>654</v>
      </c>
      <c r="AC475" s="9" t="s">
        <v>654</v>
      </c>
      <c r="AD475" s="9" t="s">
        <v>654</v>
      </c>
      <c r="AE475" s="9" t="s">
        <v>654</v>
      </c>
      <c r="AF475" s="184"/>
      <c r="AG475" s="183"/>
      <c r="AH475" s="183"/>
      <c r="AI475" s="183"/>
      <c r="AJ475" s="183"/>
      <c r="AK475" s="9" t="s">
        <v>654</v>
      </c>
      <c r="AL475" s="183"/>
      <c r="AM475" s="186" t="str">
        <f>IF(AF475="","","Q"&amp;INT((MONTH(AF475)-1)/3)+1&amp;YEAR(AF475)&amp;#REF!&amp;T475)</f>
        <v/>
      </c>
      <c r="AN475" s="186" t="e">
        <f>IF(K475="","","Q"&amp;INT((MONTH(K475)-1)/3)+1&amp;YEAR(K475)&amp;#REF!)</f>
        <v>#REF!</v>
      </c>
    </row>
    <row r="476" spans="1:40" ht="20.100000000000001" customHeight="1" x14ac:dyDescent="0.25">
      <c r="A476" s="8">
        <v>474</v>
      </c>
      <c r="B476" s="8" t="s">
        <v>399</v>
      </c>
      <c r="C476" s="8" t="s">
        <v>1997</v>
      </c>
      <c r="D476" s="8" t="s">
        <v>2416</v>
      </c>
      <c r="E476" s="8" t="s">
        <v>1998</v>
      </c>
      <c r="F476" s="183" t="s">
        <v>4647</v>
      </c>
      <c r="G476" s="183"/>
      <c r="H476" s="183" t="s">
        <v>4646</v>
      </c>
      <c r="I476" s="183" t="s">
        <v>618</v>
      </c>
      <c r="J476" s="183"/>
      <c r="K476" s="184">
        <v>46064</v>
      </c>
      <c r="L476" s="183">
        <v>31</v>
      </c>
      <c r="M476" s="185" t="str">
        <f>IF(phc_8[[#This Row],[Register No.]]="","",C476&amp;"-"&amp;D476&amp;"-"&amp;"BHA-PHC-"&amp;phc_8[[#This Row],[Register No.]])</f>
        <v>Shining Star-Mobile Clinic-BHA-PHC-31</v>
      </c>
      <c r="N476" s="9" t="s">
        <v>401</v>
      </c>
      <c r="O476" s="183" t="s">
        <v>4120</v>
      </c>
      <c r="P476" s="183">
        <v>70</v>
      </c>
      <c r="Q476" s="183"/>
      <c r="R476" s="183"/>
      <c r="S476" s="186" t="str">
        <f t="shared" si="17"/>
        <v>50 yrs +</v>
      </c>
      <c r="T476" s="183" t="s">
        <v>603</v>
      </c>
      <c r="U476" s="183"/>
      <c r="V476" s="183" t="s">
        <v>2058</v>
      </c>
      <c r="W476" s="183" t="s">
        <v>2003</v>
      </c>
      <c r="X476" s="183" t="s">
        <v>181</v>
      </c>
      <c r="Y476" s="186" t="str">
        <f>INDEX(info!$Y$2:$Y$192,MATCH(phc_8[[#This Row],[Sub_Category]],info!$X$2:$X$192,0))</f>
        <v>Chronic medical disease</v>
      </c>
      <c r="Z476" s="186" t="str">
        <f t="array" ref="Z476">INDEX(info!$AA$2:$AA$192,MATCH(PHC!$X476&amp;PHC!$Y476,info!$X$2:$X$192&amp;info!$Y$2:$Y$192,0))</f>
        <v>Non-communicable disease</v>
      </c>
      <c r="AA476" s="183" t="s">
        <v>4127</v>
      </c>
      <c r="AB476" s="9" t="s">
        <v>654</v>
      </c>
      <c r="AC476" s="9" t="s">
        <v>654</v>
      </c>
      <c r="AD476" s="9" t="s">
        <v>654</v>
      </c>
      <c r="AE476" s="9" t="s">
        <v>654</v>
      </c>
      <c r="AF476" s="184"/>
      <c r="AG476" s="183"/>
      <c r="AH476" s="183"/>
      <c r="AI476" s="183"/>
      <c r="AJ476" s="183"/>
      <c r="AK476" s="9" t="s">
        <v>654</v>
      </c>
      <c r="AL476" s="183"/>
      <c r="AM476" s="186" t="str">
        <f>IF(AF476="","","Q"&amp;INT((MONTH(AF476)-1)/3)+1&amp;YEAR(AF476)&amp;#REF!&amp;T476)</f>
        <v/>
      </c>
      <c r="AN476" s="186" t="e">
        <f>IF(K476="","","Q"&amp;INT((MONTH(K476)-1)/3)+1&amp;YEAR(K476)&amp;#REF!)</f>
        <v>#REF!</v>
      </c>
    </row>
    <row r="477" spans="1:40" ht="20.100000000000001" customHeight="1" x14ac:dyDescent="0.25">
      <c r="A477" s="8">
        <v>475</v>
      </c>
      <c r="B477" s="8" t="s">
        <v>399</v>
      </c>
      <c r="C477" s="8" t="s">
        <v>1997</v>
      </c>
      <c r="D477" s="8" t="s">
        <v>2416</v>
      </c>
      <c r="E477" s="8" t="s">
        <v>1998</v>
      </c>
      <c r="F477" s="183" t="s">
        <v>4647</v>
      </c>
      <c r="G477" s="183"/>
      <c r="H477" s="183" t="s">
        <v>4646</v>
      </c>
      <c r="I477" s="183" t="s">
        <v>618</v>
      </c>
      <c r="J477" s="183"/>
      <c r="K477" s="184">
        <v>46064</v>
      </c>
      <c r="L477" s="183">
        <v>32</v>
      </c>
      <c r="M477" s="185" t="str">
        <f>IF(phc_8[[#This Row],[Register No.]]="","",C477&amp;"-"&amp;D477&amp;"-"&amp;"BHA-PHC-"&amp;phc_8[[#This Row],[Register No.]])</f>
        <v>Shining Star-Mobile Clinic-BHA-PHC-32</v>
      </c>
      <c r="N477" s="9" t="s">
        <v>401</v>
      </c>
      <c r="O477" s="183" t="s">
        <v>4121</v>
      </c>
      <c r="P477" s="183">
        <v>7</v>
      </c>
      <c r="Q477" s="183"/>
      <c r="R477" s="183"/>
      <c r="S477" s="186" t="str">
        <f t="shared" si="17"/>
        <v>5 - 14 yrs</v>
      </c>
      <c r="T477" s="183" t="s">
        <v>603</v>
      </c>
      <c r="U477" s="183"/>
      <c r="V477" s="183" t="s">
        <v>4124</v>
      </c>
      <c r="W477" s="183" t="s">
        <v>3308</v>
      </c>
      <c r="X477" s="183" t="s">
        <v>113</v>
      </c>
      <c r="Y477" s="186" t="str">
        <f>INDEX(info!$Y$2:$Y$192,MATCH(phc_8[[#This Row],[Sub_Category]],info!$X$2:$X$192,0))</f>
        <v>ARI/RTI</v>
      </c>
      <c r="Z477" s="186" t="str">
        <f t="array" ref="Z477">INDEX(info!$AA$2:$AA$192,MATCH(PHC!$X477&amp;PHC!$Y477,info!$X$2:$X$192&amp;info!$Y$2:$Y$192,0))</f>
        <v>Communicable disease</v>
      </c>
      <c r="AA477" s="183" t="s">
        <v>4128</v>
      </c>
      <c r="AB477" s="9" t="s">
        <v>654</v>
      </c>
      <c r="AC477" s="9" t="s">
        <v>654</v>
      </c>
      <c r="AD477" s="9" t="s">
        <v>654</v>
      </c>
      <c r="AE477" s="9" t="s">
        <v>654</v>
      </c>
      <c r="AF477" s="184"/>
      <c r="AG477" s="183"/>
      <c r="AH477" s="183"/>
      <c r="AI477" s="183"/>
      <c r="AJ477" s="183"/>
      <c r="AK477" s="9" t="s">
        <v>654</v>
      </c>
      <c r="AL477" s="183"/>
      <c r="AM477" s="186" t="str">
        <f>IF(AF477="","","Q"&amp;INT((MONTH(AF477)-1)/3)+1&amp;YEAR(AF477)&amp;#REF!&amp;T477)</f>
        <v/>
      </c>
      <c r="AN477" s="186" t="e">
        <f>IF(K477="","","Q"&amp;INT((MONTH(K477)-1)/3)+1&amp;YEAR(K477)&amp;#REF!)</f>
        <v>#REF!</v>
      </c>
    </row>
    <row r="478" spans="1:40" ht="20.100000000000001" customHeight="1" x14ac:dyDescent="0.25">
      <c r="A478" s="8">
        <v>476</v>
      </c>
      <c r="B478" s="8" t="s">
        <v>399</v>
      </c>
      <c r="C478" s="8" t="s">
        <v>1997</v>
      </c>
      <c r="D478" s="8" t="s">
        <v>2416</v>
      </c>
      <c r="E478" s="8" t="s">
        <v>1998</v>
      </c>
      <c r="F478" s="183" t="s">
        <v>4647</v>
      </c>
      <c r="G478" s="183"/>
      <c r="H478" s="183" t="s">
        <v>4646</v>
      </c>
      <c r="I478" s="183" t="s">
        <v>618</v>
      </c>
      <c r="J478" s="183"/>
      <c r="K478" s="184">
        <v>46064</v>
      </c>
      <c r="L478" s="183">
        <v>33</v>
      </c>
      <c r="M478" s="185" t="str">
        <f>IF(phc_8[[#This Row],[Register No.]]="","",C478&amp;"-"&amp;D478&amp;"-"&amp;"BHA-PHC-"&amp;phc_8[[#This Row],[Register No.]])</f>
        <v>Shining Star-Mobile Clinic-BHA-PHC-33</v>
      </c>
      <c r="N478" s="9" t="s">
        <v>401</v>
      </c>
      <c r="O478" s="183" t="s">
        <v>4122</v>
      </c>
      <c r="P478" s="183">
        <v>57</v>
      </c>
      <c r="Q478" s="183"/>
      <c r="R478" s="183"/>
      <c r="S478" s="186" t="str">
        <f t="shared" si="17"/>
        <v>50 yrs +</v>
      </c>
      <c r="T478" s="183" t="s">
        <v>603</v>
      </c>
      <c r="U478" s="183"/>
      <c r="V478" s="183" t="s">
        <v>2138</v>
      </c>
      <c r="W478" s="183" t="s">
        <v>2003</v>
      </c>
      <c r="X478" s="183" t="s">
        <v>181</v>
      </c>
      <c r="Y478" s="186" t="str">
        <f>INDEX(info!$Y$2:$Y$192,MATCH(phc_8[[#This Row],[Sub_Category]],info!$X$2:$X$192,0))</f>
        <v>Chronic medical disease</v>
      </c>
      <c r="Z478" s="186" t="str">
        <f t="array" ref="Z478">INDEX(info!$AA$2:$AA$192,MATCH(PHC!$X478&amp;PHC!$Y478,info!$X$2:$X$192&amp;info!$Y$2:$Y$192,0))</f>
        <v>Non-communicable disease</v>
      </c>
      <c r="AA478" s="183" t="s">
        <v>4129</v>
      </c>
      <c r="AB478" s="9" t="s">
        <v>654</v>
      </c>
      <c r="AC478" s="9" t="s">
        <v>654</v>
      </c>
      <c r="AD478" s="9" t="s">
        <v>654</v>
      </c>
      <c r="AE478" s="9" t="s">
        <v>654</v>
      </c>
      <c r="AF478" s="184"/>
      <c r="AG478" s="183"/>
      <c r="AH478" s="183"/>
      <c r="AI478" s="183"/>
      <c r="AJ478" s="183"/>
      <c r="AK478" s="9" t="s">
        <v>654</v>
      </c>
      <c r="AL478" s="183"/>
      <c r="AM478" s="186" t="str">
        <f>IF(AF478="","","Q"&amp;INT((MONTH(AF478)-1)/3)+1&amp;YEAR(AF478)&amp;#REF!&amp;T478)</f>
        <v/>
      </c>
      <c r="AN478" s="186" t="e">
        <f>IF(K478="","","Q"&amp;INT((MONTH(K478)-1)/3)+1&amp;YEAR(K478)&amp;#REF!)</f>
        <v>#REF!</v>
      </c>
    </row>
    <row r="479" spans="1:40" ht="20.100000000000001" customHeight="1" x14ac:dyDescent="0.25">
      <c r="A479" s="8">
        <v>477</v>
      </c>
      <c r="B479" s="8" t="s">
        <v>399</v>
      </c>
      <c r="C479" s="8" t="s">
        <v>1997</v>
      </c>
      <c r="D479" s="8" t="s">
        <v>2416</v>
      </c>
      <c r="E479" s="8" t="s">
        <v>1998</v>
      </c>
      <c r="F479" s="183" t="s">
        <v>4647</v>
      </c>
      <c r="G479" s="183"/>
      <c r="H479" s="183" t="s">
        <v>4646</v>
      </c>
      <c r="I479" s="183" t="s">
        <v>618</v>
      </c>
      <c r="J479" s="183"/>
      <c r="K479" s="184">
        <v>46064</v>
      </c>
      <c r="L479" s="183">
        <v>34</v>
      </c>
      <c r="M479" s="185" t="str">
        <f>IF(phc_8[[#This Row],[Register No.]]="","",C479&amp;"-"&amp;D479&amp;"-"&amp;"BHA-PHC-"&amp;phc_8[[#This Row],[Register No.]])</f>
        <v>Shining Star-Mobile Clinic-BHA-PHC-34</v>
      </c>
      <c r="N479" s="9" t="s">
        <v>401</v>
      </c>
      <c r="O479" s="183" t="s">
        <v>4093</v>
      </c>
      <c r="P479" s="183">
        <v>57</v>
      </c>
      <c r="Q479" s="183"/>
      <c r="R479" s="183"/>
      <c r="S479" s="186" t="str">
        <f t="shared" si="17"/>
        <v>50 yrs +</v>
      </c>
      <c r="T479" s="183" t="s">
        <v>603</v>
      </c>
      <c r="U479" s="183"/>
      <c r="V479" s="183" t="s">
        <v>4125</v>
      </c>
      <c r="W479" s="183" t="s">
        <v>3524</v>
      </c>
      <c r="X479" s="183" t="s">
        <v>210</v>
      </c>
      <c r="Y479" s="186" t="str">
        <f>INDEX(info!$Y$2:$Y$192,MATCH(phc_8[[#This Row],[Sub_Category]],info!$X$2:$X$192,0))</f>
        <v>Eye problem/disease</v>
      </c>
      <c r="Z479" s="186" t="str">
        <f t="array" ref="Z479">INDEX(info!$AA$2:$AA$192,MATCH(PHC!$X479&amp;PHC!$Y479,info!$X$2:$X$192&amp;info!$Y$2:$Y$192,0))</f>
        <v>Non-communicable disease</v>
      </c>
      <c r="AA479" s="183" t="s">
        <v>4130</v>
      </c>
      <c r="AB479" s="9" t="s">
        <v>654</v>
      </c>
      <c r="AC479" s="9" t="s">
        <v>654</v>
      </c>
      <c r="AD479" s="9" t="s">
        <v>654</v>
      </c>
      <c r="AE479" s="9" t="s">
        <v>654</v>
      </c>
      <c r="AF479" s="184"/>
      <c r="AG479" s="183"/>
      <c r="AH479" s="183"/>
      <c r="AI479" s="183"/>
      <c r="AJ479" s="183"/>
      <c r="AK479" s="9" t="s">
        <v>654</v>
      </c>
      <c r="AL479" s="183"/>
      <c r="AM479" s="186" t="str">
        <f>IF(AF479="","","Q"&amp;INT((MONTH(AF479)-1)/3)+1&amp;YEAR(AF479)&amp;#REF!&amp;T479)</f>
        <v/>
      </c>
      <c r="AN479" s="186" t="e">
        <f>IF(K479="","","Q"&amp;INT((MONTH(K479)-1)/3)+1&amp;YEAR(K479)&amp;#REF!)</f>
        <v>#REF!</v>
      </c>
    </row>
    <row r="480" spans="1:40" ht="20.100000000000001" customHeight="1" x14ac:dyDescent="0.25">
      <c r="A480" s="8">
        <v>478</v>
      </c>
      <c r="B480" s="8" t="s">
        <v>399</v>
      </c>
      <c r="C480" s="8" t="s">
        <v>1997</v>
      </c>
      <c r="D480" s="8" t="s">
        <v>2416</v>
      </c>
      <c r="E480" s="8" t="s">
        <v>1998</v>
      </c>
      <c r="F480" s="183" t="s">
        <v>4647</v>
      </c>
      <c r="G480" s="183"/>
      <c r="H480" s="183" t="s">
        <v>4646</v>
      </c>
      <c r="I480" s="183" t="s">
        <v>618</v>
      </c>
      <c r="J480" s="183"/>
      <c r="K480" s="184">
        <v>46064</v>
      </c>
      <c r="L480" s="183">
        <v>35</v>
      </c>
      <c r="M480" s="185" t="str">
        <f>IF(phc_8[[#This Row],[Register No.]]="","",C480&amp;"-"&amp;D480&amp;"-"&amp;"BHA-PHC-"&amp;phc_8[[#This Row],[Register No.]])</f>
        <v>Shining Star-Mobile Clinic-BHA-PHC-35</v>
      </c>
      <c r="N480" s="9" t="s">
        <v>401</v>
      </c>
      <c r="O480" s="183" t="s">
        <v>4123</v>
      </c>
      <c r="P480" s="183">
        <v>68</v>
      </c>
      <c r="Q480" s="183"/>
      <c r="R480" s="183"/>
      <c r="S480" s="186" t="str">
        <f t="shared" si="17"/>
        <v>50 yrs +</v>
      </c>
      <c r="T480" s="183" t="s">
        <v>402</v>
      </c>
      <c r="U480" s="183"/>
      <c r="V480" s="183"/>
      <c r="W480" s="183" t="s">
        <v>4126</v>
      </c>
      <c r="X480" s="183" t="s">
        <v>112</v>
      </c>
      <c r="Y480" s="186" t="str">
        <f>INDEX(info!$Y$2:$Y$192,MATCH(phc_8[[#This Row],[Sub_Category]],info!$X$2:$X$192,0))</f>
        <v>Asthma</v>
      </c>
      <c r="Z480" s="186" t="str">
        <f t="array" ref="Z480">INDEX(info!$AA$2:$AA$192,MATCH(PHC!$X480&amp;PHC!$Y480,info!$X$2:$X$192&amp;info!$Y$2:$Y$192,0))</f>
        <v>Non-communicable disease</v>
      </c>
      <c r="AA480" s="183" t="s">
        <v>4131</v>
      </c>
      <c r="AB480" s="9" t="s">
        <v>654</v>
      </c>
      <c r="AC480" s="9" t="s">
        <v>654</v>
      </c>
      <c r="AD480" s="9" t="s">
        <v>654</v>
      </c>
      <c r="AE480" s="9" t="s">
        <v>654</v>
      </c>
      <c r="AF480" s="184"/>
      <c r="AG480" s="183"/>
      <c r="AH480" s="183"/>
      <c r="AI480" s="183"/>
      <c r="AJ480" s="183"/>
      <c r="AK480" s="9" t="s">
        <v>654</v>
      </c>
      <c r="AL480" s="183"/>
      <c r="AM480" s="186" t="str">
        <f>IF(AF480="","","Q"&amp;INT((MONTH(AF480)-1)/3)+1&amp;YEAR(AF480)&amp;#REF!&amp;T480)</f>
        <v/>
      </c>
      <c r="AN480" s="186" t="e">
        <f>IF(K480="","","Q"&amp;INT((MONTH(K480)-1)/3)+1&amp;YEAR(K480)&amp;#REF!)</f>
        <v>#REF!</v>
      </c>
    </row>
    <row r="481" spans="1:40" ht="20.100000000000001" customHeight="1" x14ac:dyDescent="0.25">
      <c r="A481" s="8">
        <v>479</v>
      </c>
      <c r="B481" s="8" t="s">
        <v>399</v>
      </c>
      <c r="C481" s="8" t="s">
        <v>1997</v>
      </c>
      <c r="D481" s="8" t="s">
        <v>2416</v>
      </c>
      <c r="E481" s="8" t="s">
        <v>1998</v>
      </c>
      <c r="F481" s="183" t="s">
        <v>4647</v>
      </c>
      <c r="G481" s="183"/>
      <c r="H481" s="183" t="s">
        <v>4646</v>
      </c>
      <c r="I481" s="183" t="s">
        <v>618</v>
      </c>
      <c r="J481" s="183"/>
      <c r="K481" s="184">
        <v>46064</v>
      </c>
      <c r="L481" s="183">
        <v>36</v>
      </c>
      <c r="M481" s="185" t="str">
        <f>IF(phc_8[[#This Row],[Register No.]]="","",C481&amp;"-"&amp;D481&amp;"-"&amp;"BHA-PHC-"&amp;phc_8[[#This Row],[Register No.]])</f>
        <v>Shining Star-Mobile Clinic-BHA-PHC-36</v>
      </c>
      <c r="N481" s="9" t="s">
        <v>401</v>
      </c>
      <c r="O481" s="183" t="s">
        <v>4132</v>
      </c>
      <c r="P481" s="183">
        <v>58</v>
      </c>
      <c r="Q481" s="183"/>
      <c r="R481" s="183"/>
      <c r="S481" s="186" t="str">
        <f t="shared" si="17"/>
        <v>50 yrs +</v>
      </c>
      <c r="T481" s="183" t="s">
        <v>603</v>
      </c>
      <c r="U481" s="183"/>
      <c r="V481" s="183" t="s">
        <v>4136</v>
      </c>
      <c r="W481" s="183" t="s">
        <v>3322</v>
      </c>
      <c r="X481" s="183" t="s">
        <v>242</v>
      </c>
      <c r="Y481" s="186" t="str">
        <f>INDEX(info!$Y$2:$Y$192,MATCH(phc_8[[#This Row],[Sub_Category]],info!$X$2:$X$192,0))</f>
        <v>Accident/minor sugical and injuries</v>
      </c>
      <c r="Z481" s="186" t="str">
        <f t="array" ref="Z481">INDEX(info!$AA$2:$AA$192,MATCH(PHC!$X481&amp;PHC!$Y481,info!$X$2:$X$192&amp;info!$Y$2:$Y$192,0))</f>
        <v>Injury related</v>
      </c>
      <c r="AA481" s="183" t="s">
        <v>4141</v>
      </c>
      <c r="AB481" s="9" t="s">
        <v>654</v>
      </c>
      <c r="AC481" s="9" t="s">
        <v>654</v>
      </c>
      <c r="AD481" s="9" t="s">
        <v>654</v>
      </c>
      <c r="AE481" s="9" t="s">
        <v>654</v>
      </c>
      <c r="AF481" s="184"/>
      <c r="AG481" s="183"/>
      <c r="AH481" s="183"/>
      <c r="AI481" s="183"/>
      <c r="AJ481" s="183"/>
      <c r="AK481" s="9" t="s">
        <v>654</v>
      </c>
      <c r="AL481" s="183"/>
      <c r="AM481" s="186" t="str">
        <f>IF(AF481="","","Q"&amp;INT((MONTH(AF481)-1)/3)+1&amp;YEAR(AF481)&amp;#REF!&amp;T481)</f>
        <v/>
      </c>
      <c r="AN481" s="186" t="e">
        <f>IF(K481="","","Q"&amp;INT((MONTH(K481)-1)/3)+1&amp;YEAR(K481)&amp;#REF!)</f>
        <v>#REF!</v>
      </c>
    </row>
    <row r="482" spans="1:40" ht="20.100000000000001" customHeight="1" x14ac:dyDescent="0.25">
      <c r="A482" s="8">
        <v>480</v>
      </c>
      <c r="B482" s="8" t="s">
        <v>399</v>
      </c>
      <c r="C482" s="8" t="s">
        <v>1997</v>
      </c>
      <c r="D482" s="8" t="s">
        <v>2416</v>
      </c>
      <c r="E482" s="8" t="s">
        <v>1998</v>
      </c>
      <c r="F482" s="183" t="s">
        <v>4647</v>
      </c>
      <c r="G482" s="183"/>
      <c r="H482" s="183" t="s">
        <v>4646</v>
      </c>
      <c r="I482" s="183" t="s">
        <v>618</v>
      </c>
      <c r="J482" s="183"/>
      <c r="K482" s="184">
        <v>46064</v>
      </c>
      <c r="L482" s="183">
        <v>37</v>
      </c>
      <c r="M482" s="185" t="str">
        <f>IF(phc_8[[#This Row],[Register No.]]="","",C482&amp;"-"&amp;D482&amp;"-"&amp;"BHA-PHC-"&amp;phc_8[[#This Row],[Register No.]])</f>
        <v>Shining Star-Mobile Clinic-BHA-PHC-37</v>
      </c>
      <c r="N482" s="9" t="s">
        <v>401</v>
      </c>
      <c r="O482" s="183" t="s">
        <v>4133</v>
      </c>
      <c r="P482" s="183">
        <v>47</v>
      </c>
      <c r="Q482" s="183"/>
      <c r="R482" s="183"/>
      <c r="S482" s="186" t="str">
        <f t="shared" si="17"/>
        <v>19 - 49 yrs</v>
      </c>
      <c r="T482" s="183" t="s">
        <v>603</v>
      </c>
      <c r="U482" s="183"/>
      <c r="V482" s="183" t="s">
        <v>4137</v>
      </c>
      <c r="W482" s="183" t="s">
        <v>233</v>
      </c>
      <c r="X482" s="183" t="s">
        <v>233</v>
      </c>
      <c r="Y482" s="186" t="str">
        <f>INDEX(info!$Y$2:$Y$192,MATCH(phc_8[[#This Row],[Sub_Category]],info!$X$2:$X$192,0))</f>
        <v>Other (non-communicable)</v>
      </c>
      <c r="Z482" s="186" t="str">
        <f t="array" ref="Z482">INDEX(info!$AA$2:$AA$192,MATCH(PHC!$X482&amp;PHC!$Y482,info!$X$2:$X$192&amp;info!$Y$2:$Y$192,0))</f>
        <v>Other</v>
      </c>
      <c r="AA482" s="183" t="s">
        <v>4142</v>
      </c>
      <c r="AB482" s="9" t="s">
        <v>654</v>
      </c>
      <c r="AC482" s="9" t="s">
        <v>654</v>
      </c>
      <c r="AD482" s="9" t="s">
        <v>654</v>
      </c>
      <c r="AE482" s="9" t="s">
        <v>654</v>
      </c>
      <c r="AF482" s="184"/>
      <c r="AG482" s="183"/>
      <c r="AH482" s="183"/>
      <c r="AI482" s="183"/>
      <c r="AJ482" s="183"/>
      <c r="AK482" s="9" t="s">
        <v>654</v>
      </c>
      <c r="AL482" s="183"/>
      <c r="AM482" s="186" t="str">
        <f>IF(AF482="","","Q"&amp;INT((MONTH(AF482)-1)/3)+1&amp;YEAR(AF482)&amp;#REF!&amp;T482)</f>
        <v/>
      </c>
      <c r="AN482" s="186" t="e">
        <f>IF(K482="","","Q"&amp;INT((MONTH(K482)-1)/3)+1&amp;YEAR(K482)&amp;#REF!)</f>
        <v>#REF!</v>
      </c>
    </row>
    <row r="483" spans="1:40" ht="20.100000000000001" customHeight="1" x14ac:dyDescent="0.25">
      <c r="A483" s="8">
        <v>481</v>
      </c>
      <c r="B483" s="8" t="s">
        <v>399</v>
      </c>
      <c r="C483" s="8" t="s">
        <v>1997</v>
      </c>
      <c r="D483" s="8" t="s">
        <v>2416</v>
      </c>
      <c r="E483" s="8" t="s">
        <v>1998</v>
      </c>
      <c r="F483" s="183" t="s">
        <v>4647</v>
      </c>
      <c r="G483" s="183"/>
      <c r="H483" s="183" t="s">
        <v>4646</v>
      </c>
      <c r="I483" s="183" t="s">
        <v>618</v>
      </c>
      <c r="J483" s="183"/>
      <c r="K483" s="184">
        <v>46064</v>
      </c>
      <c r="L483" s="183">
        <v>38</v>
      </c>
      <c r="M483" s="185" t="str">
        <f>IF(phc_8[[#This Row],[Register No.]]="","",C483&amp;"-"&amp;D483&amp;"-"&amp;"BHA-PHC-"&amp;phc_8[[#This Row],[Register No.]])</f>
        <v>Shining Star-Mobile Clinic-BHA-PHC-38</v>
      </c>
      <c r="N483" s="9" t="s">
        <v>401</v>
      </c>
      <c r="O483" s="183" t="s">
        <v>4134</v>
      </c>
      <c r="P483" s="183">
        <v>57</v>
      </c>
      <c r="Q483" s="183"/>
      <c r="R483" s="183"/>
      <c r="S483" s="186" t="str">
        <f t="shared" si="17"/>
        <v>50 yrs +</v>
      </c>
      <c r="T483" s="183" t="s">
        <v>603</v>
      </c>
      <c r="U483" s="183"/>
      <c r="V483" s="183" t="s">
        <v>4138</v>
      </c>
      <c r="W483" s="183" t="s">
        <v>2003</v>
      </c>
      <c r="X483" s="183" t="s">
        <v>181</v>
      </c>
      <c r="Y483" s="186" t="str">
        <f>INDEX(info!$Y$2:$Y$192,MATCH(phc_8[[#This Row],[Sub_Category]],info!$X$2:$X$192,0))</f>
        <v>Chronic medical disease</v>
      </c>
      <c r="Z483" s="186" t="str">
        <f t="array" ref="Z483">INDEX(info!$AA$2:$AA$192,MATCH(PHC!$X483&amp;PHC!$Y483,info!$X$2:$X$192&amp;info!$Y$2:$Y$192,0))</f>
        <v>Non-communicable disease</v>
      </c>
      <c r="AA483" s="183" t="s">
        <v>4143</v>
      </c>
      <c r="AB483" s="9" t="s">
        <v>654</v>
      </c>
      <c r="AC483" s="9" t="s">
        <v>654</v>
      </c>
      <c r="AD483" s="9" t="s">
        <v>654</v>
      </c>
      <c r="AE483" s="9" t="s">
        <v>654</v>
      </c>
      <c r="AF483" s="184"/>
      <c r="AG483" s="183"/>
      <c r="AH483" s="183"/>
      <c r="AI483" s="183"/>
      <c r="AJ483" s="183"/>
      <c r="AK483" s="9" t="s">
        <v>654</v>
      </c>
      <c r="AL483" s="183"/>
      <c r="AM483" s="186" t="str">
        <f>IF(AF483="","","Q"&amp;INT((MONTH(AF483)-1)/3)+1&amp;YEAR(AF483)&amp;#REF!&amp;T483)</f>
        <v/>
      </c>
      <c r="AN483" s="186" t="e">
        <f>IF(K483="","","Q"&amp;INT((MONTH(K483)-1)/3)+1&amp;YEAR(K483)&amp;#REF!)</f>
        <v>#REF!</v>
      </c>
    </row>
    <row r="484" spans="1:40" ht="20.100000000000001" customHeight="1" x14ac:dyDescent="0.25">
      <c r="A484" s="8">
        <v>482</v>
      </c>
      <c r="B484" s="8" t="s">
        <v>399</v>
      </c>
      <c r="C484" s="8" t="s">
        <v>1997</v>
      </c>
      <c r="D484" s="8" t="s">
        <v>2416</v>
      </c>
      <c r="E484" s="8" t="s">
        <v>1998</v>
      </c>
      <c r="F484" s="183" t="s">
        <v>4647</v>
      </c>
      <c r="G484" s="183"/>
      <c r="H484" s="183" t="s">
        <v>4646</v>
      </c>
      <c r="I484" s="183" t="s">
        <v>618</v>
      </c>
      <c r="J484" s="183"/>
      <c r="K484" s="184">
        <v>46064</v>
      </c>
      <c r="L484" s="183">
        <v>39</v>
      </c>
      <c r="M484" s="185" t="str">
        <f>IF(phc_8[[#This Row],[Register No.]]="","",C484&amp;"-"&amp;D484&amp;"-"&amp;"BHA-PHC-"&amp;phc_8[[#This Row],[Register No.]])</f>
        <v>Shining Star-Mobile Clinic-BHA-PHC-39</v>
      </c>
      <c r="N484" s="9" t="s">
        <v>401</v>
      </c>
      <c r="O484" s="183" t="s">
        <v>4135</v>
      </c>
      <c r="P484" s="183">
        <v>64</v>
      </c>
      <c r="Q484" s="183"/>
      <c r="R484" s="183"/>
      <c r="S484" s="186" t="str">
        <f t="shared" si="17"/>
        <v>50 yrs +</v>
      </c>
      <c r="T484" s="183" t="s">
        <v>603</v>
      </c>
      <c r="U484" s="183"/>
      <c r="V484" s="183" t="s">
        <v>4139</v>
      </c>
      <c r="W484" s="183" t="s">
        <v>3634</v>
      </c>
      <c r="X484" s="183" t="s">
        <v>242</v>
      </c>
      <c r="Y484" s="186" t="str">
        <f>INDEX(info!$Y$2:$Y$192,MATCH(phc_8[[#This Row],[Sub_Category]],info!$X$2:$X$192,0))</f>
        <v>Accident/minor sugical and injuries</v>
      </c>
      <c r="Z484" s="186" t="str">
        <f t="array" ref="Z484">INDEX(info!$AA$2:$AA$192,MATCH(PHC!$X484&amp;PHC!$Y484,info!$X$2:$X$192&amp;info!$Y$2:$Y$192,0))</f>
        <v>Injury related</v>
      </c>
      <c r="AA484" s="183" t="s">
        <v>4144</v>
      </c>
      <c r="AB484" s="9" t="s">
        <v>654</v>
      </c>
      <c r="AC484" s="9" t="s">
        <v>654</v>
      </c>
      <c r="AD484" s="9" t="s">
        <v>654</v>
      </c>
      <c r="AE484" s="9" t="s">
        <v>654</v>
      </c>
      <c r="AF484" s="184"/>
      <c r="AG484" s="183"/>
      <c r="AH484" s="183"/>
      <c r="AI484" s="183"/>
      <c r="AJ484" s="183"/>
      <c r="AK484" s="9" t="s">
        <v>654</v>
      </c>
      <c r="AL484" s="183"/>
      <c r="AM484" s="186" t="str">
        <f>IF(AF484="","","Q"&amp;INT((MONTH(AF484)-1)/3)+1&amp;YEAR(AF484)&amp;#REF!&amp;T484)</f>
        <v/>
      </c>
      <c r="AN484" s="186" t="e">
        <f>IF(K484="","","Q"&amp;INT((MONTH(K484)-1)/3)+1&amp;YEAR(K484)&amp;#REF!)</f>
        <v>#REF!</v>
      </c>
    </row>
    <row r="485" spans="1:40" ht="20.100000000000001" customHeight="1" x14ac:dyDescent="0.25">
      <c r="A485" s="8">
        <v>483</v>
      </c>
      <c r="B485" s="8" t="s">
        <v>399</v>
      </c>
      <c r="C485" s="8" t="s">
        <v>1997</v>
      </c>
      <c r="D485" s="8" t="s">
        <v>2416</v>
      </c>
      <c r="E485" s="8" t="s">
        <v>1998</v>
      </c>
      <c r="F485" s="183" t="s">
        <v>4647</v>
      </c>
      <c r="G485" s="183"/>
      <c r="H485" s="183" t="s">
        <v>4646</v>
      </c>
      <c r="I485" s="183" t="s">
        <v>618</v>
      </c>
      <c r="J485" s="183"/>
      <c r="K485" s="184">
        <v>46064</v>
      </c>
      <c r="L485" s="183">
        <v>40</v>
      </c>
      <c r="M485" s="185" t="str">
        <f>IF(phc_8[[#This Row],[Register No.]]="","",C485&amp;"-"&amp;D485&amp;"-"&amp;"BHA-PHC-"&amp;phc_8[[#This Row],[Register No.]])</f>
        <v>Shining Star-Mobile Clinic-BHA-PHC-40</v>
      </c>
      <c r="N485" s="9" t="s">
        <v>401</v>
      </c>
      <c r="O485" s="183" t="s">
        <v>2571</v>
      </c>
      <c r="P485" s="183">
        <v>72</v>
      </c>
      <c r="Q485" s="183"/>
      <c r="R485" s="183"/>
      <c r="S485" s="186" t="str">
        <f t="shared" si="17"/>
        <v>50 yrs +</v>
      </c>
      <c r="T485" s="183" t="s">
        <v>603</v>
      </c>
      <c r="U485" s="183"/>
      <c r="V485" s="183" t="s">
        <v>4140</v>
      </c>
      <c r="W485" s="183" t="s">
        <v>294</v>
      </c>
      <c r="X485" s="183" t="s">
        <v>294</v>
      </c>
      <c r="Y485" s="186" t="str">
        <f>INDEX(info!$Y$2:$Y$192,MATCH(phc_8[[#This Row],[Sub_Category]],info!$X$2:$X$192,0))</f>
        <v>Other (non-communicable)</v>
      </c>
      <c r="Z485" s="186" t="str">
        <f t="array" ref="Z485">INDEX(info!$AA$2:$AA$192,MATCH(PHC!$X485&amp;PHC!$Y485,info!$X$2:$X$192&amp;info!$Y$2:$Y$192,0))</f>
        <v>Other</v>
      </c>
      <c r="AA485" s="183" t="s">
        <v>4145</v>
      </c>
      <c r="AB485" s="9" t="s">
        <v>654</v>
      </c>
      <c r="AC485" s="9" t="s">
        <v>654</v>
      </c>
      <c r="AD485" s="9" t="s">
        <v>654</v>
      </c>
      <c r="AE485" s="9" t="s">
        <v>654</v>
      </c>
      <c r="AF485" s="184"/>
      <c r="AG485" s="183"/>
      <c r="AH485" s="183"/>
      <c r="AI485" s="183"/>
      <c r="AJ485" s="183"/>
      <c r="AK485" s="9" t="s">
        <v>654</v>
      </c>
      <c r="AL485" s="183"/>
      <c r="AM485" s="186" t="str">
        <f>IF(AF485="","","Q"&amp;INT((MONTH(AF485)-1)/3)+1&amp;YEAR(AF485)&amp;#REF!&amp;T485)</f>
        <v/>
      </c>
      <c r="AN485" s="186" t="e">
        <f>IF(K485="","","Q"&amp;INT((MONTH(K485)-1)/3)+1&amp;YEAR(K485)&amp;#REF!)</f>
        <v>#REF!</v>
      </c>
    </row>
    <row r="486" spans="1:40" ht="20.100000000000001" customHeight="1" x14ac:dyDescent="0.25">
      <c r="A486" s="8">
        <v>484</v>
      </c>
      <c r="B486" s="8" t="s">
        <v>399</v>
      </c>
      <c r="C486" s="8" t="s">
        <v>1997</v>
      </c>
      <c r="D486" s="8" t="s">
        <v>2416</v>
      </c>
      <c r="E486" s="8" t="s">
        <v>1998</v>
      </c>
      <c r="F486" s="183" t="s">
        <v>4647</v>
      </c>
      <c r="G486" s="183"/>
      <c r="H486" s="183" t="s">
        <v>4646</v>
      </c>
      <c r="I486" s="183" t="s">
        <v>618</v>
      </c>
      <c r="J486" s="183"/>
      <c r="K486" s="184">
        <v>46064</v>
      </c>
      <c r="L486" s="183">
        <v>41</v>
      </c>
      <c r="M486" s="185" t="str">
        <f>IF(phc_8[[#This Row],[Register No.]]="","",C486&amp;"-"&amp;D486&amp;"-"&amp;"BHA-PHC-"&amp;phc_8[[#This Row],[Register No.]])</f>
        <v>Shining Star-Mobile Clinic-BHA-PHC-41</v>
      </c>
      <c r="N486" s="9" t="s">
        <v>401</v>
      </c>
      <c r="O486" s="183" t="s">
        <v>4146</v>
      </c>
      <c r="P486" s="183">
        <v>45</v>
      </c>
      <c r="Q486" s="183"/>
      <c r="R486" s="183"/>
      <c r="S486" s="186" t="str">
        <f t="shared" si="17"/>
        <v>19 - 49 yrs</v>
      </c>
      <c r="T486" s="183" t="s">
        <v>402</v>
      </c>
      <c r="U486" s="183"/>
      <c r="V486" s="183" t="s">
        <v>4151</v>
      </c>
      <c r="W486" s="183" t="s">
        <v>242</v>
      </c>
      <c r="X486" s="183" t="s">
        <v>242</v>
      </c>
      <c r="Y486" s="186" t="str">
        <f>INDEX(info!$Y$2:$Y$192,MATCH(phc_8[[#This Row],[Sub_Category]],info!$X$2:$X$192,0))</f>
        <v>Accident/minor sugical and injuries</v>
      </c>
      <c r="Z486" s="186" t="str">
        <f t="array" ref="Z486">INDEX(info!$AA$2:$AA$192,MATCH(PHC!$X486&amp;PHC!$Y486,info!$X$2:$X$192&amp;info!$Y$2:$Y$192,0))</f>
        <v>Injury related</v>
      </c>
      <c r="AA486" s="183" t="s">
        <v>4154</v>
      </c>
      <c r="AB486" s="9" t="s">
        <v>654</v>
      </c>
      <c r="AC486" s="9" t="s">
        <v>654</v>
      </c>
      <c r="AD486" s="9" t="s">
        <v>654</v>
      </c>
      <c r="AE486" s="9" t="s">
        <v>654</v>
      </c>
      <c r="AF486" s="184"/>
      <c r="AG486" s="183"/>
      <c r="AH486" s="183"/>
      <c r="AI486" s="183"/>
      <c r="AJ486" s="183"/>
      <c r="AK486" s="9" t="s">
        <v>654</v>
      </c>
      <c r="AL486" s="183"/>
      <c r="AM486" s="186" t="str">
        <f>IF(AF486="","","Q"&amp;INT((MONTH(AF486)-1)/3)+1&amp;YEAR(AF486)&amp;#REF!&amp;T486)</f>
        <v/>
      </c>
      <c r="AN486" s="186" t="e">
        <f>IF(K486="","","Q"&amp;INT((MONTH(K486)-1)/3)+1&amp;YEAR(K486)&amp;#REF!)</f>
        <v>#REF!</v>
      </c>
    </row>
    <row r="487" spans="1:40" ht="20.100000000000001" customHeight="1" x14ac:dyDescent="0.25">
      <c r="A487" s="8">
        <v>485</v>
      </c>
      <c r="B487" s="8" t="s">
        <v>399</v>
      </c>
      <c r="C487" s="8" t="s">
        <v>1997</v>
      </c>
      <c r="D487" s="8" t="s">
        <v>2416</v>
      </c>
      <c r="E487" s="8" t="s">
        <v>1998</v>
      </c>
      <c r="F487" s="183" t="s">
        <v>4647</v>
      </c>
      <c r="G487" s="183"/>
      <c r="H487" s="183" t="s">
        <v>4646</v>
      </c>
      <c r="I487" s="183" t="s">
        <v>618</v>
      </c>
      <c r="J487" s="183"/>
      <c r="K487" s="184">
        <v>46064</v>
      </c>
      <c r="L487" s="183">
        <v>42</v>
      </c>
      <c r="M487" s="185" t="str">
        <f>IF(phc_8[[#This Row],[Register No.]]="","",C487&amp;"-"&amp;D487&amp;"-"&amp;"BHA-PHC-"&amp;phc_8[[#This Row],[Register No.]])</f>
        <v>Shining Star-Mobile Clinic-BHA-PHC-42</v>
      </c>
      <c r="N487" s="9" t="s">
        <v>401</v>
      </c>
      <c r="O487" s="183" t="s">
        <v>4147</v>
      </c>
      <c r="P487" s="183">
        <v>53</v>
      </c>
      <c r="Q487" s="183"/>
      <c r="R487" s="183"/>
      <c r="S487" s="186" t="str">
        <f t="shared" si="17"/>
        <v>50 yrs +</v>
      </c>
      <c r="T487" s="183" t="s">
        <v>402</v>
      </c>
      <c r="U487" s="183"/>
      <c r="V487" s="183" t="s">
        <v>4152</v>
      </c>
      <c r="W487" s="183" t="s">
        <v>294</v>
      </c>
      <c r="X487" s="183" t="s">
        <v>294</v>
      </c>
      <c r="Y487" s="186" t="str">
        <f>INDEX(info!$Y$2:$Y$192,MATCH(phc_8[[#This Row],[Sub_Category]],info!$X$2:$X$192,0))</f>
        <v>Other (non-communicable)</v>
      </c>
      <c r="Z487" s="186" t="str">
        <f t="array" ref="Z487">INDEX(info!$AA$2:$AA$192,MATCH(PHC!$X487&amp;PHC!$Y487,info!$X$2:$X$192&amp;info!$Y$2:$Y$192,0))</f>
        <v>Other</v>
      </c>
      <c r="AA487" s="183" t="s">
        <v>4155</v>
      </c>
      <c r="AB487" s="9" t="s">
        <v>654</v>
      </c>
      <c r="AC487" s="9" t="s">
        <v>654</v>
      </c>
      <c r="AD487" s="9" t="s">
        <v>654</v>
      </c>
      <c r="AE487" s="9" t="s">
        <v>654</v>
      </c>
      <c r="AF487" s="184"/>
      <c r="AG487" s="183"/>
      <c r="AH487" s="183"/>
      <c r="AI487" s="183"/>
      <c r="AJ487" s="183"/>
      <c r="AK487" s="9" t="s">
        <v>654</v>
      </c>
      <c r="AL487" s="183"/>
      <c r="AM487" s="186" t="str">
        <f>IF(AF487="","","Q"&amp;INT((MONTH(AF487)-1)/3)+1&amp;YEAR(AF487)&amp;#REF!&amp;T487)</f>
        <v/>
      </c>
      <c r="AN487" s="186" t="e">
        <f>IF(K487="","","Q"&amp;INT((MONTH(K487)-1)/3)+1&amp;YEAR(K487)&amp;#REF!)</f>
        <v>#REF!</v>
      </c>
    </row>
    <row r="488" spans="1:40" ht="20.100000000000001" customHeight="1" x14ac:dyDescent="0.25">
      <c r="A488" s="8">
        <v>486</v>
      </c>
      <c r="B488" s="8" t="s">
        <v>399</v>
      </c>
      <c r="C488" s="8" t="s">
        <v>1997</v>
      </c>
      <c r="D488" s="8" t="s">
        <v>2416</v>
      </c>
      <c r="E488" s="8" t="s">
        <v>1998</v>
      </c>
      <c r="F488" s="183" t="s">
        <v>4647</v>
      </c>
      <c r="G488" s="183"/>
      <c r="H488" s="183" t="s">
        <v>4646</v>
      </c>
      <c r="I488" s="183" t="s">
        <v>618</v>
      </c>
      <c r="J488" s="183"/>
      <c r="K488" s="184">
        <v>46064</v>
      </c>
      <c r="L488" s="183">
        <v>43</v>
      </c>
      <c r="M488" s="185" t="str">
        <f>IF(phc_8[[#This Row],[Register No.]]="","",C488&amp;"-"&amp;D488&amp;"-"&amp;"BHA-PHC-"&amp;phc_8[[#This Row],[Register No.]])</f>
        <v>Shining Star-Mobile Clinic-BHA-PHC-43</v>
      </c>
      <c r="N488" s="9" t="s">
        <v>401</v>
      </c>
      <c r="O488" s="183" t="s">
        <v>4148</v>
      </c>
      <c r="P488" s="183">
        <v>41</v>
      </c>
      <c r="Q488" s="183"/>
      <c r="R488" s="183"/>
      <c r="S488" s="186" t="str">
        <f t="shared" si="17"/>
        <v>19 - 49 yrs</v>
      </c>
      <c r="T488" s="183" t="s">
        <v>603</v>
      </c>
      <c r="U488" s="183"/>
      <c r="V488" s="183" t="s">
        <v>3218</v>
      </c>
      <c r="W488" s="183" t="s">
        <v>2028</v>
      </c>
      <c r="X488" s="183" t="s">
        <v>108</v>
      </c>
      <c r="Y488" s="186" t="str">
        <f>INDEX(info!$Y$2:$Y$192,MATCH(phc_8[[#This Row],[Sub_Category]],info!$X$2:$X$192,0))</f>
        <v>ARI/RTI</v>
      </c>
      <c r="Z488" s="186" t="str">
        <f t="array" ref="Z488">INDEX(info!$AA$2:$AA$192,MATCH(PHC!$X488&amp;PHC!$Y488,info!$X$2:$X$192&amp;info!$Y$2:$Y$192,0))</f>
        <v>Communicable disease</v>
      </c>
      <c r="AA488" s="183" t="s">
        <v>4156</v>
      </c>
      <c r="AB488" s="9" t="s">
        <v>654</v>
      </c>
      <c r="AC488" s="9" t="s">
        <v>654</v>
      </c>
      <c r="AD488" s="9" t="s">
        <v>654</v>
      </c>
      <c r="AE488" s="9" t="s">
        <v>654</v>
      </c>
      <c r="AF488" s="184"/>
      <c r="AG488" s="183"/>
      <c r="AH488" s="183"/>
      <c r="AI488" s="183"/>
      <c r="AJ488" s="183"/>
      <c r="AK488" s="9" t="s">
        <v>654</v>
      </c>
      <c r="AL488" s="183"/>
      <c r="AM488" s="186" t="str">
        <f>IF(AF488="","","Q"&amp;INT((MONTH(AF488)-1)/3)+1&amp;YEAR(AF488)&amp;#REF!&amp;T488)</f>
        <v/>
      </c>
      <c r="AN488" s="186" t="e">
        <f>IF(K488="","","Q"&amp;INT((MONTH(K488)-1)/3)+1&amp;YEAR(K488)&amp;#REF!)</f>
        <v>#REF!</v>
      </c>
    </row>
    <row r="489" spans="1:40" ht="20.100000000000001" customHeight="1" x14ac:dyDescent="0.25">
      <c r="A489" s="8">
        <v>487</v>
      </c>
      <c r="B489" s="8" t="s">
        <v>399</v>
      </c>
      <c r="C489" s="8" t="s">
        <v>1997</v>
      </c>
      <c r="D489" s="8" t="s">
        <v>2416</v>
      </c>
      <c r="E489" s="8" t="s">
        <v>1998</v>
      </c>
      <c r="F489" s="183" t="s">
        <v>4647</v>
      </c>
      <c r="G489" s="183"/>
      <c r="H489" s="183" t="s">
        <v>4646</v>
      </c>
      <c r="I489" s="183" t="s">
        <v>618</v>
      </c>
      <c r="J489" s="183"/>
      <c r="K489" s="184">
        <v>46064</v>
      </c>
      <c r="L489" s="183">
        <v>44</v>
      </c>
      <c r="M489" s="185" t="str">
        <f>IF(phc_8[[#This Row],[Register No.]]="","",C489&amp;"-"&amp;D489&amp;"-"&amp;"BHA-PHC-"&amp;phc_8[[#This Row],[Register No.]])</f>
        <v>Shining Star-Mobile Clinic-BHA-PHC-44</v>
      </c>
      <c r="N489" s="9" t="s">
        <v>401</v>
      </c>
      <c r="O489" s="183" t="s">
        <v>4149</v>
      </c>
      <c r="P489" s="183">
        <v>14</v>
      </c>
      <c r="Q489" s="183"/>
      <c r="R489" s="183"/>
      <c r="S489" s="186" t="str">
        <f t="shared" si="17"/>
        <v>5 - 14 yrs</v>
      </c>
      <c r="T489" s="183" t="s">
        <v>402</v>
      </c>
      <c r="U489" s="183"/>
      <c r="V489" s="183" t="s">
        <v>4146</v>
      </c>
      <c r="W489" s="183" t="s">
        <v>3659</v>
      </c>
      <c r="X489" s="183" t="s">
        <v>113</v>
      </c>
      <c r="Y489" s="186" t="str">
        <f>INDEX(info!$Y$2:$Y$192,MATCH(phc_8[[#This Row],[Sub_Category]],info!$X$2:$X$192,0))</f>
        <v>ARI/RTI</v>
      </c>
      <c r="Z489" s="186" t="str">
        <f t="array" ref="Z489">INDEX(info!$AA$2:$AA$192,MATCH(PHC!$X489&amp;PHC!$Y489,info!$X$2:$X$192&amp;info!$Y$2:$Y$192,0))</f>
        <v>Communicable disease</v>
      </c>
      <c r="AA489" s="183" t="s">
        <v>3864</v>
      </c>
      <c r="AB489" s="9" t="s">
        <v>654</v>
      </c>
      <c r="AC489" s="9" t="s">
        <v>654</v>
      </c>
      <c r="AD489" s="9" t="s">
        <v>654</v>
      </c>
      <c r="AE489" s="9" t="s">
        <v>654</v>
      </c>
      <c r="AF489" s="184"/>
      <c r="AG489" s="183"/>
      <c r="AH489" s="183"/>
      <c r="AI489" s="183"/>
      <c r="AJ489" s="183"/>
      <c r="AK489" s="9" t="s">
        <v>654</v>
      </c>
      <c r="AL489" s="183"/>
      <c r="AM489" s="186" t="str">
        <f>IF(AF489="","","Q"&amp;INT((MONTH(AF489)-1)/3)+1&amp;YEAR(AF489)&amp;#REF!&amp;T489)</f>
        <v/>
      </c>
      <c r="AN489" s="186" t="e">
        <f>IF(K489="","","Q"&amp;INT((MONTH(K489)-1)/3)+1&amp;YEAR(K489)&amp;#REF!)</f>
        <v>#REF!</v>
      </c>
    </row>
    <row r="490" spans="1:40" ht="20.100000000000001" customHeight="1" x14ac:dyDescent="0.25">
      <c r="A490" s="8">
        <v>488</v>
      </c>
      <c r="B490" s="8" t="s">
        <v>399</v>
      </c>
      <c r="C490" s="8" t="s">
        <v>1997</v>
      </c>
      <c r="D490" s="8" t="s">
        <v>2416</v>
      </c>
      <c r="E490" s="8" t="s">
        <v>1998</v>
      </c>
      <c r="F490" s="183" t="s">
        <v>4647</v>
      </c>
      <c r="G490" s="183"/>
      <c r="H490" s="183" t="s">
        <v>4646</v>
      </c>
      <c r="I490" s="183" t="s">
        <v>618</v>
      </c>
      <c r="J490" s="183"/>
      <c r="K490" s="184">
        <v>46064</v>
      </c>
      <c r="L490" s="183">
        <v>45</v>
      </c>
      <c r="M490" s="185" t="str">
        <f>IF(phc_8[[#This Row],[Register No.]]="","",C490&amp;"-"&amp;D490&amp;"-"&amp;"BHA-PHC-"&amp;phc_8[[#This Row],[Register No.]])</f>
        <v>Shining Star-Mobile Clinic-BHA-PHC-45</v>
      </c>
      <c r="N490" s="9" t="s">
        <v>401</v>
      </c>
      <c r="O490" s="183" t="s">
        <v>4150</v>
      </c>
      <c r="P490" s="183">
        <v>13</v>
      </c>
      <c r="Q490" s="183"/>
      <c r="R490" s="183"/>
      <c r="S490" s="186" t="str">
        <f t="shared" si="17"/>
        <v>5 - 14 yrs</v>
      </c>
      <c r="T490" s="183" t="s">
        <v>402</v>
      </c>
      <c r="U490" s="183"/>
      <c r="V490" s="183" t="s">
        <v>4153</v>
      </c>
      <c r="W490" s="183" t="s">
        <v>3249</v>
      </c>
      <c r="X490" s="183" t="s">
        <v>196</v>
      </c>
      <c r="Y490" s="186" t="str">
        <f>INDEX(info!$Y$2:$Y$192,MATCH(phc_8[[#This Row],[Sub_Category]],info!$X$2:$X$192,0))</f>
        <v>Skin infection/disease</v>
      </c>
      <c r="Z490" s="186" t="str">
        <f t="array" ref="Z490">INDEX(info!$AA$2:$AA$192,MATCH(PHC!$X490&amp;PHC!$Y490,info!$X$2:$X$192&amp;info!$Y$2:$Y$192,0))</f>
        <v>Non-communicable disease</v>
      </c>
      <c r="AA490" s="183" t="s">
        <v>4157</v>
      </c>
      <c r="AB490" s="9" t="s">
        <v>654</v>
      </c>
      <c r="AC490" s="9" t="s">
        <v>654</v>
      </c>
      <c r="AD490" s="9" t="s">
        <v>654</v>
      </c>
      <c r="AE490" s="9" t="s">
        <v>654</v>
      </c>
      <c r="AF490" s="184"/>
      <c r="AG490" s="183"/>
      <c r="AH490" s="183"/>
      <c r="AI490" s="183"/>
      <c r="AJ490" s="183"/>
      <c r="AK490" s="9" t="s">
        <v>654</v>
      </c>
      <c r="AL490" s="183"/>
      <c r="AM490" s="186" t="str">
        <f>IF(AF490="","","Q"&amp;INT((MONTH(AF490)-1)/3)+1&amp;YEAR(AF490)&amp;#REF!&amp;T490)</f>
        <v/>
      </c>
      <c r="AN490" s="186" t="e">
        <f>IF(K490="","","Q"&amp;INT((MONTH(K490)-1)/3)+1&amp;YEAR(K490)&amp;#REF!)</f>
        <v>#REF!</v>
      </c>
    </row>
    <row r="491" spans="1:40" ht="20.100000000000001" customHeight="1" x14ac:dyDescent="0.25">
      <c r="A491" s="8">
        <v>489</v>
      </c>
      <c r="B491" s="8" t="s">
        <v>399</v>
      </c>
      <c r="C491" s="8" t="s">
        <v>1997</v>
      </c>
      <c r="D491" s="8" t="s">
        <v>2416</v>
      </c>
      <c r="E491" s="8" t="s">
        <v>1998</v>
      </c>
      <c r="F491" s="183" t="s">
        <v>4647</v>
      </c>
      <c r="G491" s="183"/>
      <c r="H491" s="183" t="s">
        <v>4646</v>
      </c>
      <c r="I491" s="183" t="s">
        <v>618</v>
      </c>
      <c r="J491" s="183"/>
      <c r="K491" s="184">
        <v>46064</v>
      </c>
      <c r="L491" s="183">
        <v>46</v>
      </c>
      <c r="M491" s="185" t="str">
        <f>IF(phc_8[[#This Row],[Register No.]]="","",C491&amp;"-"&amp;D491&amp;"-"&amp;"BHA-PHC-"&amp;phc_8[[#This Row],[Register No.]])</f>
        <v>Shining Star-Mobile Clinic-BHA-PHC-46</v>
      </c>
      <c r="N491" s="9" t="s">
        <v>401</v>
      </c>
      <c r="O491" s="183" t="s">
        <v>4158</v>
      </c>
      <c r="P491" s="183">
        <v>10</v>
      </c>
      <c r="Q491" s="183"/>
      <c r="R491" s="183"/>
      <c r="S491" s="186" t="str">
        <f t="shared" ref="S491:S522" si="18">IF(AND(ISBLANK(P491),ISBLANK(Q491),ISBLANK(R491))," ",
IF(OR(P491&lt;5,AND(P491=" ",Q491&lt;&gt;" ",R491&lt;&gt;" ")),"&lt;5 yrs",
IF(AND(P491&gt;=5,P491&lt;=14),"5 - 14 yrs",
IF(AND(P491&gt;=15,P491&lt;=18),"15 - 18 yrs",
IF(AND(P491&gt;=19,P491&lt;=49),"19 - 49 yrs","50 yrs +")))))</f>
        <v>5 - 14 yrs</v>
      </c>
      <c r="T491" s="183" t="s">
        <v>402</v>
      </c>
      <c r="U491" s="183"/>
      <c r="V491" s="183" t="s">
        <v>4163</v>
      </c>
      <c r="W491" s="183" t="s">
        <v>3249</v>
      </c>
      <c r="X491" s="183" t="s">
        <v>196</v>
      </c>
      <c r="Y491" s="186" t="str">
        <f>INDEX(info!$Y$2:$Y$192,MATCH(phc_8[[#This Row],[Sub_Category]],info!$X$2:$X$192,0))</f>
        <v>Skin infection/disease</v>
      </c>
      <c r="Z491" s="186" t="str">
        <f t="array" ref="Z491">INDEX(info!$AA$2:$AA$192,MATCH(PHC!$X491&amp;PHC!$Y491,info!$X$2:$X$192&amp;info!$Y$2:$Y$192,0))</f>
        <v>Non-communicable disease</v>
      </c>
      <c r="AA491" s="183" t="s">
        <v>4168</v>
      </c>
      <c r="AB491" s="9" t="s">
        <v>654</v>
      </c>
      <c r="AC491" s="9" t="s">
        <v>654</v>
      </c>
      <c r="AD491" s="9" t="s">
        <v>654</v>
      </c>
      <c r="AE491" s="9" t="s">
        <v>654</v>
      </c>
      <c r="AF491" s="184"/>
      <c r="AG491" s="183"/>
      <c r="AH491" s="183"/>
      <c r="AI491" s="183"/>
      <c r="AJ491" s="183"/>
      <c r="AK491" s="9" t="s">
        <v>654</v>
      </c>
      <c r="AL491" s="183"/>
      <c r="AM491" s="186" t="str">
        <f>IF(AF491="","","Q"&amp;INT((MONTH(AF491)-1)/3)+1&amp;YEAR(AF491)&amp;#REF!&amp;T491)</f>
        <v/>
      </c>
      <c r="AN491" s="186" t="e">
        <f>IF(K491="","","Q"&amp;INT((MONTH(K491)-1)/3)+1&amp;YEAR(K491)&amp;#REF!)</f>
        <v>#REF!</v>
      </c>
    </row>
    <row r="492" spans="1:40" ht="20.100000000000001" customHeight="1" x14ac:dyDescent="0.25">
      <c r="A492" s="8">
        <v>490</v>
      </c>
      <c r="B492" s="8" t="s">
        <v>399</v>
      </c>
      <c r="C492" s="8" t="s">
        <v>1997</v>
      </c>
      <c r="D492" s="8" t="s">
        <v>2416</v>
      </c>
      <c r="E492" s="8" t="s">
        <v>1998</v>
      </c>
      <c r="F492" s="183" t="s">
        <v>4647</v>
      </c>
      <c r="G492" s="183"/>
      <c r="H492" s="183" t="s">
        <v>4646</v>
      </c>
      <c r="I492" s="183" t="s">
        <v>618</v>
      </c>
      <c r="J492" s="183"/>
      <c r="K492" s="184">
        <v>46064</v>
      </c>
      <c r="L492" s="183">
        <v>47</v>
      </c>
      <c r="M492" s="185" t="str">
        <f>IF(phc_8[[#This Row],[Register No.]]="","",C492&amp;"-"&amp;D492&amp;"-"&amp;"BHA-PHC-"&amp;phc_8[[#This Row],[Register No.]])</f>
        <v>Shining Star-Mobile Clinic-BHA-PHC-47</v>
      </c>
      <c r="N492" s="9" t="s">
        <v>401</v>
      </c>
      <c r="O492" s="183" t="s">
        <v>4159</v>
      </c>
      <c r="P492" s="183">
        <v>13</v>
      </c>
      <c r="Q492" s="183"/>
      <c r="R492" s="183"/>
      <c r="S492" s="186" t="str">
        <f t="shared" si="18"/>
        <v>5 - 14 yrs</v>
      </c>
      <c r="T492" s="183" t="s">
        <v>402</v>
      </c>
      <c r="U492" s="183"/>
      <c r="V492" s="183" t="s">
        <v>4164</v>
      </c>
      <c r="W492" s="183" t="s">
        <v>4167</v>
      </c>
      <c r="X492" s="183" t="s">
        <v>27</v>
      </c>
      <c r="Y492" s="186" t="str">
        <f>INDEX(info!$Y$2:$Y$192,MATCH(phc_8[[#This Row],[Sub_Category]],info!$X$2:$X$192,0))</f>
        <v>Accident/minor sugical and injuries</v>
      </c>
      <c r="Z492" s="186" t="str">
        <f t="array" ref="Z492">INDEX(info!$AA$2:$AA$192,MATCH(PHC!$X492&amp;PHC!$Y492,info!$X$2:$X$192&amp;info!$Y$2:$Y$192,0))</f>
        <v>Communicable disease</v>
      </c>
      <c r="AA492" s="183" t="s">
        <v>4169</v>
      </c>
      <c r="AB492" s="9" t="s">
        <v>654</v>
      </c>
      <c r="AC492" s="9" t="s">
        <v>654</v>
      </c>
      <c r="AD492" s="9" t="s">
        <v>654</v>
      </c>
      <c r="AE492" s="9" t="s">
        <v>654</v>
      </c>
      <c r="AF492" s="184"/>
      <c r="AG492" s="183"/>
      <c r="AH492" s="183"/>
      <c r="AI492" s="183"/>
      <c r="AJ492" s="183"/>
      <c r="AK492" s="9" t="s">
        <v>654</v>
      </c>
      <c r="AL492" s="183"/>
      <c r="AM492" s="186" t="str">
        <f>IF(AF492="","","Q"&amp;INT((MONTH(AF492)-1)/3)+1&amp;YEAR(AF492)&amp;#REF!&amp;T492)</f>
        <v/>
      </c>
      <c r="AN492" s="186" t="e">
        <f>IF(K492="","","Q"&amp;INT((MONTH(K492)-1)/3)+1&amp;YEAR(K492)&amp;#REF!)</f>
        <v>#REF!</v>
      </c>
    </row>
    <row r="493" spans="1:40" ht="20.100000000000001" customHeight="1" x14ac:dyDescent="0.25">
      <c r="A493" s="8">
        <v>491</v>
      </c>
      <c r="B493" s="8" t="s">
        <v>399</v>
      </c>
      <c r="C493" s="8" t="s">
        <v>1997</v>
      </c>
      <c r="D493" s="8" t="s">
        <v>2416</v>
      </c>
      <c r="E493" s="8" t="s">
        <v>1998</v>
      </c>
      <c r="F493" s="183" t="s">
        <v>4647</v>
      </c>
      <c r="G493" s="183"/>
      <c r="H493" s="183" t="s">
        <v>4646</v>
      </c>
      <c r="I493" s="183" t="s">
        <v>618</v>
      </c>
      <c r="J493" s="183"/>
      <c r="K493" s="184">
        <v>46064</v>
      </c>
      <c r="L493" s="183">
        <v>48</v>
      </c>
      <c r="M493" s="185" t="str">
        <f>IF(phc_8[[#This Row],[Register No.]]="","",C493&amp;"-"&amp;D493&amp;"-"&amp;"BHA-PHC-"&amp;phc_8[[#This Row],[Register No.]])</f>
        <v>Shining Star-Mobile Clinic-BHA-PHC-48</v>
      </c>
      <c r="N493" s="9" t="s">
        <v>401</v>
      </c>
      <c r="O493" s="183" t="s">
        <v>4160</v>
      </c>
      <c r="P493" s="183">
        <v>16</v>
      </c>
      <c r="Q493" s="183"/>
      <c r="R493" s="183"/>
      <c r="S493" s="186" t="str">
        <f t="shared" si="18"/>
        <v>15 - 18 yrs</v>
      </c>
      <c r="T493" s="183" t="s">
        <v>402</v>
      </c>
      <c r="U493" s="183"/>
      <c r="V493" s="183" t="s">
        <v>4165</v>
      </c>
      <c r="W493" s="183" t="s">
        <v>3249</v>
      </c>
      <c r="X493" s="183" t="s">
        <v>196</v>
      </c>
      <c r="Y493" s="186" t="str">
        <f>INDEX(info!$Y$2:$Y$192,MATCH(phc_8[[#This Row],[Sub_Category]],info!$X$2:$X$192,0))</f>
        <v>Skin infection/disease</v>
      </c>
      <c r="Z493" s="186" t="str">
        <f t="array" ref="Z493">INDEX(info!$AA$2:$AA$192,MATCH(PHC!$X493&amp;PHC!$Y493,info!$X$2:$X$192&amp;info!$Y$2:$Y$192,0))</f>
        <v>Non-communicable disease</v>
      </c>
      <c r="AA493" s="183" t="s">
        <v>4170</v>
      </c>
      <c r="AB493" s="9" t="s">
        <v>654</v>
      </c>
      <c r="AC493" s="9" t="s">
        <v>654</v>
      </c>
      <c r="AD493" s="9" t="s">
        <v>654</v>
      </c>
      <c r="AE493" s="9" t="s">
        <v>654</v>
      </c>
      <c r="AF493" s="184"/>
      <c r="AG493" s="183"/>
      <c r="AH493" s="183"/>
      <c r="AI493" s="183"/>
      <c r="AJ493" s="183"/>
      <c r="AK493" s="9" t="s">
        <v>654</v>
      </c>
      <c r="AL493" s="183"/>
      <c r="AM493" s="186" t="str">
        <f>IF(AF493="","","Q"&amp;INT((MONTH(AF493)-1)/3)+1&amp;YEAR(AF493)&amp;#REF!&amp;T493)</f>
        <v/>
      </c>
      <c r="AN493" s="186" t="e">
        <f>IF(K493="","","Q"&amp;INT((MONTH(K493)-1)/3)+1&amp;YEAR(K493)&amp;#REF!)</f>
        <v>#REF!</v>
      </c>
    </row>
    <row r="494" spans="1:40" ht="20.100000000000001" customHeight="1" x14ac:dyDescent="0.25">
      <c r="A494" s="8">
        <v>492</v>
      </c>
      <c r="B494" s="8" t="s">
        <v>399</v>
      </c>
      <c r="C494" s="8" t="s">
        <v>1997</v>
      </c>
      <c r="D494" s="8" t="s">
        <v>2416</v>
      </c>
      <c r="E494" s="8" t="s">
        <v>1998</v>
      </c>
      <c r="F494" s="183" t="s">
        <v>4647</v>
      </c>
      <c r="G494" s="183"/>
      <c r="H494" s="183" t="s">
        <v>4646</v>
      </c>
      <c r="I494" s="183" t="s">
        <v>618</v>
      </c>
      <c r="J494" s="183"/>
      <c r="K494" s="184">
        <v>46064</v>
      </c>
      <c r="L494" s="183">
        <v>49</v>
      </c>
      <c r="M494" s="185" t="str">
        <f>IF(phc_8[[#This Row],[Register No.]]="","",C494&amp;"-"&amp;D494&amp;"-"&amp;"BHA-PHC-"&amp;phc_8[[#This Row],[Register No.]])</f>
        <v>Shining Star-Mobile Clinic-BHA-PHC-49</v>
      </c>
      <c r="N494" s="9" t="s">
        <v>401</v>
      </c>
      <c r="O494" s="183" t="s">
        <v>4161</v>
      </c>
      <c r="P494" s="183">
        <v>67</v>
      </c>
      <c r="Q494" s="183"/>
      <c r="R494" s="183"/>
      <c r="S494" s="186" t="str">
        <f t="shared" si="18"/>
        <v>50 yrs +</v>
      </c>
      <c r="T494" s="183" t="s">
        <v>603</v>
      </c>
      <c r="U494" s="183"/>
      <c r="V494" s="183" t="s">
        <v>2072</v>
      </c>
      <c r="W494" s="183" t="s">
        <v>2003</v>
      </c>
      <c r="X494" s="183" t="s">
        <v>181</v>
      </c>
      <c r="Y494" s="186" t="str">
        <f>INDEX(info!$Y$2:$Y$192,MATCH(phc_8[[#This Row],[Sub_Category]],info!$X$2:$X$192,0))</f>
        <v>Chronic medical disease</v>
      </c>
      <c r="Z494" s="186" t="str">
        <f t="array" ref="Z494">INDEX(info!$AA$2:$AA$192,MATCH(PHC!$X494&amp;PHC!$Y494,info!$X$2:$X$192&amp;info!$Y$2:$Y$192,0))</f>
        <v>Non-communicable disease</v>
      </c>
      <c r="AA494" s="183" t="s">
        <v>4062</v>
      </c>
      <c r="AB494" s="9" t="s">
        <v>654</v>
      </c>
      <c r="AC494" s="9" t="s">
        <v>654</v>
      </c>
      <c r="AD494" s="9" t="s">
        <v>654</v>
      </c>
      <c r="AE494" s="9" t="s">
        <v>654</v>
      </c>
      <c r="AF494" s="184"/>
      <c r="AG494" s="183"/>
      <c r="AH494" s="183"/>
      <c r="AI494" s="183"/>
      <c r="AJ494" s="183"/>
      <c r="AK494" s="9" t="s">
        <v>654</v>
      </c>
      <c r="AL494" s="183"/>
      <c r="AM494" s="186" t="str">
        <f>IF(AF494="","","Q"&amp;INT((MONTH(AF494)-1)/3)+1&amp;YEAR(AF494)&amp;#REF!&amp;T494)</f>
        <v/>
      </c>
      <c r="AN494" s="186" t="e">
        <f>IF(K494="","","Q"&amp;INT((MONTH(K494)-1)/3)+1&amp;YEAR(K494)&amp;#REF!)</f>
        <v>#REF!</v>
      </c>
    </row>
    <row r="495" spans="1:40" ht="20.100000000000001" customHeight="1" x14ac:dyDescent="0.25">
      <c r="A495" s="8">
        <v>493</v>
      </c>
      <c r="B495" s="8" t="s">
        <v>399</v>
      </c>
      <c r="C495" s="8" t="s">
        <v>1997</v>
      </c>
      <c r="D495" s="8" t="s">
        <v>2416</v>
      </c>
      <c r="E495" s="8" t="s">
        <v>1998</v>
      </c>
      <c r="F495" s="183" t="s">
        <v>4647</v>
      </c>
      <c r="G495" s="183"/>
      <c r="H495" s="183" t="s">
        <v>4646</v>
      </c>
      <c r="I495" s="183" t="s">
        <v>618</v>
      </c>
      <c r="J495" s="183"/>
      <c r="K495" s="184">
        <v>46064</v>
      </c>
      <c r="L495" s="183">
        <v>50</v>
      </c>
      <c r="M495" s="185" t="str">
        <f>IF(phc_8[[#This Row],[Register No.]]="","",C495&amp;"-"&amp;D495&amp;"-"&amp;"BHA-PHC-"&amp;phc_8[[#This Row],[Register No.]])</f>
        <v>Shining Star-Mobile Clinic-BHA-PHC-50</v>
      </c>
      <c r="N495" s="9" t="s">
        <v>401</v>
      </c>
      <c r="O495" s="183" t="s">
        <v>4162</v>
      </c>
      <c r="P495" s="183">
        <v>77</v>
      </c>
      <c r="Q495" s="183"/>
      <c r="R495" s="183"/>
      <c r="S495" s="186" t="str">
        <f t="shared" si="18"/>
        <v>50 yrs +</v>
      </c>
      <c r="T495" s="183" t="s">
        <v>402</v>
      </c>
      <c r="U495" s="183"/>
      <c r="V495" s="183" t="s">
        <v>4166</v>
      </c>
      <c r="W495" s="183" t="s">
        <v>3322</v>
      </c>
      <c r="X495" s="183" t="s">
        <v>242</v>
      </c>
      <c r="Y495" s="186" t="str">
        <f>INDEX(info!$Y$2:$Y$192,MATCH(phc_8[[#This Row],[Sub_Category]],info!$X$2:$X$192,0))</f>
        <v>Accident/minor sugical and injuries</v>
      </c>
      <c r="Z495" s="186" t="str">
        <f t="array" ref="Z495">INDEX(info!$AA$2:$AA$192,MATCH(PHC!$X495&amp;PHC!$Y495,info!$X$2:$X$192&amp;info!$Y$2:$Y$192,0))</f>
        <v>Injury related</v>
      </c>
      <c r="AA495" s="183" t="s">
        <v>4171</v>
      </c>
      <c r="AB495" s="9" t="s">
        <v>654</v>
      </c>
      <c r="AC495" s="9" t="s">
        <v>654</v>
      </c>
      <c r="AD495" s="9" t="s">
        <v>654</v>
      </c>
      <c r="AE495" s="9" t="s">
        <v>654</v>
      </c>
      <c r="AF495" s="184"/>
      <c r="AG495" s="183"/>
      <c r="AH495" s="183"/>
      <c r="AI495" s="183"/>
      <c r="AJ495" s="183"/>
      <c r="AK495" s="9" t="s">
        <v>654</v>
      </c>
      <c r="AL495" s="183"/>
      <c r="AM495" s="186" t="str">
        <f>IF(AF495="","","Q"&amp;INT((MONTH(AF495)-1)/3)+1&amp;YEAR(AF495)&amp;#REF!&amp;T495)</f>
        <v/>
      </c>
      <c r="AN495" s="186" t="e">
        <f>IF(K495="","","Q"&amp;INT((MONTH(K495)-1)/3)+1&amp;YEAR(K495)&amp;#REF!)</f>
        <v>#REF!</v>
      </c>
    </row>
    <row r="496" spans="1:40" ht="20.100000000000001" customHeight="1" x14ac:dyDescent="0.25">
      <c r="A496" s="8">
        <v>494</v>
      </c>
      <c r="B496" s="8" t="s">
        <v>399</v>
      </c>
      <c r="C496" s="8" t="s">
        <v>1997</v>
      </c>
      <c r="D496" s="8" t="s">
        <v>2416</v>
      </c>
      <c r="E496" s="8" t="s">
        <v>1998</v>
      </c>
      <c r="F496" s="183" t="s">
        <v>4647</v>
      </c>
      <c r="G496" s="183"/>
      <c r="H496" s="183" t="s">
        <v>4646</v>
      </c>
      <c r="I496" s="183" t="s">
        <v>618</v>
      </c>
      <c r="J496" s="183"/>
      <c r="K496" s="184">
        <v>46064</v>
      </c>
      <c r="L496" s="183">
        <v>51</v>
      </c>
      <c r="M496" s="185" t="str">
        <f>IF(phc_8[[#This Row],[Register No.]]="","",C496&amp;"-"&amp;D496&amp;"-"&amp;"BHA-PHC-"&amp;phc_8[[#This Row],[Register No.]])</f>
        <v>Shining Star-Mobile Clinic-BHA-PHC-51</v>
      </c>
      <c r="N496" s="9" t="s">
        <v>401</v>
      </c>
      <c r="O496" s="183" t="s">
        <v>4172</v>
      </c>
      <c r="P496" s="183">
        <v>36</v>
      </c>
      <c r="Q496" s="183"/>
      <c r="R496" s="183"/>
      <c r="S496" s="186" t="str">
        <f t="shared" si="18"/>
        <v>19 - 49 yrs</v>
      </c>
      <c r="T496" s="183" t="s">
        <v>402</v>
      </c>
      <c r="U496" s="183"/>
      <c r="V496" s="183" t="s">
        <v>4176</v>
      </c>
      <c r="W496" s="183" t="s">
        <v>242</v>
      </c>
      <c r="X496" s="183" t="s">
        <v>242</v>
      </c>
      <c r="Y496" s="186" t="str">
        <f>INDEX(info!$Y$2:$Y$192,MATCH(phc_8[[#This Row],[Sub_Category]],info!$X$2:$X$192,0))</f>
        <v>Accident/minor sugical and injuries</v>
      </c>
      <c r="Z496" s="186" t="str">
        <f t="array" ref="Z496">INDEX(info!$AA$2:$AA$192,MATCH(PHC!$X496&amp;PHC!$Y496,info!$X$2:$X$192&amp;info!$Y$2:$Y$192,0))</f>
        <v>Injury related</v>
      </c>
      <c r="AA496" s="183" t="s">
        <v>4181</v>
      </c>
      <c r="AB496" s="9" t="s">
        <v>654</v>
      </c>
      <c r="AC496" s="9" t="s">
        <v>654</v>
      </c>
      <c r="AD496" s="9" t="s">
        <v>654</v>
      </c>
      <c r="AE496" s="9" t="s">
        <v>654</v>
      </c>
      <c r="AF496" s="184"/>
      <c r="AG496" s="183"/>
      <c r="AH496" s="183"/>
      <c r="AI496" s="183"/>
      <c r="AJ496" s="183"/>
      <c r="AK496" s="9" t="s">
        <v>654</v>
      </c>
      <c r="AL496" s="183"/>
      <c r="AM496" s="186" t="str">
        <f>IF(AF496="","","Q"&amp;INT((MONTH(AF496)-1)/3)+1&amp;YEAR(AF496)&amp;#REF!&amp;T496)</f>
        <v/>
      </c>
      <c r="AN496" s="186" t="e">
        <f>IF(K496="","","Q"&amp;INT((MONTH(K496)-1)/3)+1&amp;YEAR(K496)&amp;#REF!)</f>
        <v>#REF!</v>
      </c>
    </row>
    <row r="497" spans="1:40" ht="20.100000000000001" customHeight="1" x14ac:dyDescent="0.25">
      <c r="A497" s="8">
        <v>495</v>
      </c>
      <c r="B497" s="8" t="s">
        <v>399</v>
      </c>
      <c r="C497" s="8" t="s">
        <v>1997</v>
      </c>
      <c r="D497" s="8" t="s">
        <v>2416</v>
      </c>
      <c r="E497" s="8" t="s">
        <v>1998</v>
      </c>
      <c r="F497" s="183" t="s">
        <v>4647</v>
      </c>
      <c r="G497" s="183"/>
      <c r="H497" s="183" t="s">
        <v>4646</v>
      </c>
      <c r="I497" s="183" t="s">
        <v>618</v>
      </c>
      <c r="J497" s="183"/>
      <c r="K497" s="184">
        <v>46064</v>
      </c>
      <c r="L497" s="183">
        <v>52</v>
      </c>
      <c r="M497" s="185" t="str">
        <f>IF(phc_8[[#This Row],[Register No.]]="","",C497&amp;"-"&amp;D497&amp;"-"&amp;"BHA-PHC-"&amp;phc_8[[#This Row],[Register No.]])</f>
        <v>Shining Star-Mobile Clinic-BHA-PHC-52</v>
      </c>
      <c r="N497" s="9" t="s">
        <v>401</v>
      </c>
      <c r="O497" s="183" t="s">
        <v>4173</v>
      </c>
      <c r="P497" s="183">
        <v>74</v>
      </c>
      <c r="Q497" s="183"/>
      <c r="R497" s="183"/>
      <c r="S497" s="186" t="str">
        <f t="shared" si="18"/>
        <v>50 yrs +</v>
      </c>
      <c r="T497" s="183" t="s">
        <v>603</v>
      </c>
      <c r="U497" s="183"/>
      <c r="V497" s="183" t="s">
        <v>4177</v>
      </c>
      <c r="W497" s="183" t="s">
        <v>3322</v>
      </c>
      <c r="X497" s="183" t="s">
        <v>242</v>
      </c>
      <c r="Y497" s="186" t="str">
        <f>INDEX(info!$Y$2:$Y$192,MATCH(phc_8[[#This Row],[Sub_Category]],info!$X$2:$X$192,0))</f>
        <v>Accident/minor sugical and injuries</v>
      </c>
      <c r="Z497" s="186" t="str">
        <f t="array" ref="Z497">INDEX(info!$AA$2:$AA$192,MATCH(PHC!$X497&amp;PHC!$Y497,info!$X$2:$X$192&amp;info!$Y$2:$Y$192,0))</f>
        <v>Injury related</v>
      </c>
      <c r="AA497" s="183" t="s">
        <v>4182</v>
      </c>
      <c r="AB497" s="9" t="s">
        <v>654</v>
      </c>
      <c r="AC497" s="9" t="s">
        <v>654</v>
      </c>
      <c r="AD497" s="9" t="s">
        <v>654</v>
      </c>
      <c r="AE497" s="9" t="s">
        <v>654</v>
      </c>
      <c r="AF497" s="184"/>
      <c r="AG497" s="183"/>
      <c r="AH497" s="183"/>
      <c r="AI497" s="183"/>
      <c r="AJ497" s="183"/>
      <c r="AK497" s="9" t="s">
        <v>654</v>
      </c>
      <c r="AL497" s="183"/>
      <c r="AM497" s="186" t="str">
        <f>IF(AF497="","","Q"&amp;INT((MONTH(AF497)-1)/3)+1&amp;YEAR(AF497)&amp;#REF!&amp;T497)</f>
        <v/>
      </c>
      <c r="AN497" s="186" t="e">
        <f>IF(K497="","","Q"&amp;INT((MONTH(K497)-1)/3)+1&amp;YEAR(K497)&amp;#REF!)</f>
        <v>#REF!</v>
      </c>
    </row>
    <row r="498" spans="1:40" ht="20.100000000000001" customHeight="1" x14ac:dyDescent="0.25">
      <c r="A498" s="8">
        <v>496</v>
      </c>
      <c r="B498" s="8" t="s">
        <v>399</v>
      </c>
      <c r="C498" s="8" t="s">
        <v>1997</v>
      </c>
      <c r="D498" s="8" t="s">
        <v>2416</v>
      </c>
      <c r="E498" s="8" t="s">
        <v>1998</v>
      </c>
      <c r="F498" s="183" t="s">
        <v>4647</v>
      </c>
      <c r="G498" s="183"/>
      <c r="H498" s="183" t="s">
        <v>4646</v>
      </c>
      <c r="I498" s="183" t="s">
        <v>618</v>
      </c>
      <c r="J498" s="183"/>
      <c r="K498" s="184">
        <v>46064</v>
      </c>
      <c r="L498" s="183">
        <v>53</v>
      </c>
      <c r="M498" s="185" t="str">
        <f>IF(phc_8[[#This Row],[Register No.]]="","",C498&amp;"-"&amp;D498&amp;"-"&amp;"BHA-PHC-"&amp;phc_8[[#This Row],[Register No.]])</f>
        <v>Shining Star-Mobile Clinic-BHA-PHC-53</v>
      </c>
      <c r="N498" s="9" t="s">
        <v>401</v>
      </c>
      <c r="O498" s="183" t="s">
        <v>2936</v>
      </c>
      <c r="P498" s="183">
        <v>49</v>
      </c>
      <c r="Q498" s="183"/>
      <c r="R498" s="183"/>
      <c r="S498" s="186" t="str">
        <f t="shared" si="18"/>
        <v>19 - 49 yrs</v>
      </c>
      <c r="T498" s="183" t="s">
        <v>603</v>
      </c>
      <c r="U498" s="183"/>
      <c r="V498" s="183" t="s">
        <v>4178</v>
      </c>
      <c r="W498" s="183" t="s">
        <v>294</v>
      </c>
      <c r="X498" s="183" t="s">
        <v>294</v>
      </c>
      <c r="Y498" s="186" t="str">
        <f>INDEX(info!$Y$2:$Y$192,MATCH(phc_8[[#This Row],[Sub_Category]],info!$X$2:$X$192,0))</f>
        <v>Other (non-communicable)</v>
      </c>
      <c r="Z498" s="186" t="str">
        <f t="array" ref="Z498">INDEX(info!$AA$2:$AA$192,MATCH(PHC!$X498&amp;PHC!$Y498,info!$X$2:$X$192&amp;info!$Y$2:$Y$192,0))</f>
        <v>Other</v>
      </c>
      <c r="AA498" s="183" t="s">
        <v>4183</v>
      </c>
      <c r="AB498" s="9" t="s">
        <v>654</v>
      </c>
      <c r="AC498" s="9" t="s">
        <v>654</v>
      </c>
      <c r="AD498" s="9" t="s">
        <v>654</v>
      </c>
      <c r="AE498" s="9" t="s">
        <v>654</v>
      </c>
      <c r="AF498" s="184"/>
      <c r="AG498" s="183"/>
      <c r="AH498" s="183"/>
      <c r="AI498" s="183"/>
      <c r="AJ498" s="183"/>
      <c r="AK498" s="9" t="s">
        <v>654</v>
      </c>
      <c r="AL498" s="183"/>
      <c r="AM498" s="186" t="str">
        <f>IF(AF498="","","Q"&amp;INT((MONTH(AF498)-1)/3)+1&amp;YEAR(AF498)&amp;#REF!&amp;T498)</f>
        <v/>
      </c>
      <c r="AN498" s="186" t="e">
        <f>IF(K498="","","Q"&amp;INT((MONTH(K498)-1)/3)+1&amp;YEAR(K498)&amp;#REF!)</f>
        <v>#REF!</v>
      </c>
    </row>
    <row r="499" spans="1:40" ht="20.100000000000001" customHeight="1" x14ac:dyDescent="0.25">
      <c r="A499" s="8">
        <v>497</v>
      </c>
      <c r="B499" s="8" t="s">
        <v>399</v>
      </c>
      <c r="C499" s="8" t="s">
        <v>1997</v>
      </c>
      <c r="D499" s="8" t="s">
        <v>2416</v>
      </c>
      <c r="E499" s="8" t="s">
        <v>1998</v>
      </c>
      <c r="F499" s="183" t="s">
        <v>4647</v>
      </c>
      <c r="G499" s="183"/>
      <c r="H499" s="183" t="s">
        <v>4646</v>
      </c>
      <c r="I499" s="183" t="s">
        <v>618</v>
      </c>
      <c r="J499" s="183"/>
      <c r="K499" s="184">
        <v>46064</v>
      </c>
      <c r="L499" s="183">
        <v>54</v>
      </c>
      <c r="M499" s="185" t="str">
        <f>IF(phc_8[[#This Row],[Register No.]]="","",C499&amp;"-"&amp;D499&amp;"-"&amp;"BHA-PHC-"&amp;phc_8[[#This Row],[Register No.]])</f>
        <v>Shining Star-Mobile Clinic-BHA-PHC-54</v>
      </c>
      <c r="N499" s="9" t="s">
        <v>401</v>
      </c>
      <c r="O499" s="183" t="s">
        <v>4174</v>
      </c>
      <c r="P499" s="183">
        <v>59</v>
      </c>
      <c r="Q499" s="183"/>
      <c r="R499" s="183"/>
      <c r="S499" s="186" t="str">
        <f t="shared" si="18"/>
        <v>50 yrs +</v>
      </c>
      <c r="T499" s="183" t="s">
        <v>603</v>
      </c>
      <c r="U499" s="183"/>
      <c r="V499" s="183" t="s">
        <v>4179</v>
      </c>
      <c r="W499" s="183" t="s">
        <v>294</v>
      </c>
      <c r="X499" s="183" t="s">
        <v>294</v>
      </c>
      <c r="Y499" s="186" t="str">
        <f>INDEX(info!$Y$2:$Y$192,MATCH(phc_8[[#This Row],[Sub_Category]],info!$X$2:$X$192,0))</f>
        <v>Other (non-communicable)</v>
      </c>
      <c r="Z499" s="186" t="str">
        <f t="array" ref="Z499">INDEX(info!$AA$2:$AA$192,MATCH(PHC!$X499&amp;PHC!$Y499,info!$X$2:$X$192&amp;info!$Y$2:$Y$192,0))</f>
        <v>Other</v>
      </c>
      <c r="AA499" s="183" t="s">
        <v>4184</v>
      </c>
      <c r="AB499" s="9" t="s">
        <v>654</v>
      </c>
      <c r="AC499" s="9" t="s">
        <v>654</v>
      </c>
      <c r="AD499" s="9" t="s">
        <v>654</v>
      </c>
      <c r="AE499" s="9" t="s">
        <v>654</v>
      </c>
      <c r="AF499" s="184"/>
      <c r="AG499" s="183"/>
      <c r="AH499" s="183"/>
      <c r="AI499" s="183"/>
      <c r="AJ499" s="183"/>
      <c r="AK499" s="9" t="s">
        <v>654</v>
      </c>
      <c r="AL499" s="183"/>
      <c r="AM499" s="186" t="str">
        <f>IF(AF499="","","Q"&amp;INT((MONTH(AF499)-1)/3)+1&amp;YEAR(AF499)&amp;#REF!&amp;T499)</f>
        <v/>
      </c>
      <c r="AN499" s="186" t="e">
        <f>IF(K499="","","Q"&amp;INT((MONTH(K499)-1)/3)+1&amp;YEAR(K499)&amp;#REF!)</f>
        <v>#REF!</v>
      </c>
    </row>
    <row r="500" spans="1:40" ht="20.100000000000001" customHeight="1" x14ac:dyDescent="0.25">
      <c r="A500" s="8">
        <v>498</v>
      </c>
      <c r="B500" s="8" t="s">
        <v>399</v>
      </c>
      <c r="C500" s="8" t="s">
        <v>1997</v>
      </c>
      <c r="D500" s="8" t="s">
        <v>2416</v>
      </c>
      <c r="E500" s="8" t="s">
        <v>1998</v>
      </c>
      <c r="F500" s="183" t="s">
        <v>4647</v>
      </c>
      <c r="G500" s="183"/>
      <c r="H500" s="183" t="s">
        <v>4646</v>
      </c>
      <c r="I500" s="183" t="s">
        <v>618</v>
      </c>
      <c r="J500" s="183"/>
      <c r="K500" s="184">
        <v>46064</v>
      </c>
      <c r="L500" s="183">
        <v>55</v>
      </c>
      <c r="M500" s="185" t="str">
        <f>IF(phc_8[[#This Row],[Register No.]]="","",C500&amp;"-"&amp;D500&amp;"-"&amp;"BHA-PHC-"&amp;phc_8[[#This Row],[Register No.]])</f>
        <v>Shining Star-Mobile Clinic-BHA-PHC-55</v>
      </c>
      <c r="N500" s="9" t="s">
        <v>401</v>
      </c>
      <c r="O500" s="183" t="s">
        <v>4175</v>
      </c>
      <c r="P500" s="183">
        <v>46</v>
      </c>
      <c r="Q500" s="183"/>
      <c r="R500" s="183"/>
      <c r="S500" s="186" t="str">
        <f t="shared" si="18"/>
        <v>19 - 49 yrs</v>
      </c>
      <c r="T500" s="183" t="s">
        <v>603</v>
      </c>
      <c r="U500" s="183"/>
      <c r="V500" s="183" t="s">
        <v>4180</v>
      </c>
      <c r="W500" s="183" t="s">
        <v>2003</v>
      </c>
      <c r="X500" s="183" t="s">
        <v>181</v>
      </c>
      <c r="Y500" s="186" t="str">
        <f>INDEX(info!$Y$2:$Y$192,MATCH(phc_8[[#This Row],[Sub_Category]],info!$X$2:$X$192,0))</f>
        <v>Chronic medical disease</v>
      </c>
      <c r="Z500" s="186" t="str">
        <f t="array" ref="Z500">INDEX(info!$AA$2:$AA$192,MATCH(PHC!$X500&amp;PHC!$Y500,info!$X$2:$X$192&amp;info!$Y$2:$Y$192,0))</f>
        <v>Non-communicable disease</v>
      </c>
      <c r="AA500" s="183" t="s">
        <v>4185</v>
      </c>
      <c r="AB500" s="9" t="s">
        <v>654</v>
      </c>
      <c r="AC500" s="9" t="s">
        <v>654</v>
      </c>
      <c r="AD500" s="9" t="s">
        <v>654</v>
      </c>
      <c r="AE500" s="9" t="s">
        <v>654</v>
      </c>
      <c r="AF500" s="184"/>
      <c r="AG500" s="183"/>
      <c r="AH500" s="183"/>
      <c r="AI500" s="183"/>
      <c r="AJ500" s="183"/>
      <c r="AK500" s="9" t="s">
        <v>654</v>
      </c>
      <c r="AL500" s="183"/>
      <c r="AM500" s="186" t="str">
        <f>IF(AF500="","","Q"&amp;INT((MONTH(AF500)-1)/3)+1&amp;YEAR(AF500)&amp;#REF!&amp;T500)</f>
        <v/>
      </c>
      <c r="AN500" s="186" t="e">
        <f>IF(K500="","","Q"&amp;INT((MONTH(K500)-1)/3)+1&amp;YEAR(K500)&amp;#REF!)</f>
        <v>#REF!</v>
      </c>
    </row>
    <row r="501" spans="1:40" ht="20.100000000000001" customHeight="1" x14ac:dyDescent="0.25">
      <c r="A501" s="8">
        <v>499</v>
      </c>
      <c r="B501" s="8" t="s">
        <v>399</v>
      </c>
      <c r="C501" s="8" t="s">
        <v>1997</v>
      </c>
      <c r="D501" s="8" t="s">
        <v>2416</v>
      </c>
      <c r="E501" s="8" t="s">
        <v>1998</v>
      </c>
      <c r="F501" s="183" t="s">
        <v>4647</v>
      </c>
      <c r="G501" s="183"/>
      <c r="H501" s="183" t="s">
        <v>4646</v>
      </c>
      <c r="I501" s="183" t="s">
        <v>618</v>
      </c>
      <c r="J501" s="183"/>
      <c r="K501" s="184">
        <v>46064</v>
      </c>
      <c r="L501" s="183">
        <v>56</v>
      </c>
      <c r="M501" s="185" t="str">
        <f>IF(phc_8[[#This Row],[Register No.]]="","",C501&amp;"-"&amp;D501&amp;"-"&amp;"BHA-PHC-"&amp;phc_8[[#This Row],[Register No.]])</f>
        <v>Shining Star-Mobile Clinic-BHA-PHC-56</v>
      </c>
      <c r="N501" s="9" t="s">
        <v>401</v>
      </c>
      <c r="O501" s="183" t="s">
        <v>4186</v>
      </c>
      <c r="P501" s="183">
        <v>27</v>
      </c>
      <c r="Q501" s="183"/>
      <c r="R501" s="183"/>
      <c r="S501" s="186" t="str">
        <f t="shared" si="18"/>
        <v>19 - 49 yrs</v>
      </c>
      <c r="T501" s="183" t="s">
        <v>402</v>
      </c>
      <c r="U501" s="183"/>
      <c r="V501" s="183" t="s">
        <v>4190</v>
      </c>
      <c r="W501" s="183" t="s">
        <v>242</v>
      </c>
      <c r="X501" s="183" t="s">
        <v>242</v>
      </c>
      <c r="Y501" s="186" t="str">
        <f>INDEX(info!$Y$2:$Y$192,MATCH(phc_8[[#This Row],[Sub_Category]],info!$X$2:$X$192,0))</f>
        <v>Accident/minor sugical and injuries</v>
      </c>
      <c r="Z501" s="186" t="str">
        <f t="array" ref="Z501">INDEX(info!$AA$2:$AA$192,MATCH(PHC!$X501&amp;PHC!$Y501,info!$X$2:$X$192&amp;info!$Y$2:$Y$192,0))</f>
        <v>Injury related</v>
      </c>
      <c r="AA501" s="183" t="s">
        <v>4194</v>
      </c>
      <c r="AB501" s="9" t="s">
        <v>654</v>
      </c>
      <c r="AC501" s="9" t="s">
        <v>654</v>
      </c>
      <c r="AD501" s="9" t="s">
        <v>654</v>
      </c>
      <c r="AE501" s="9" t="s">
        <v>654</v>
      </c>
      <c r="AF501" s="184"/>
      <c r="AG501" s="183"/>
      <c r="AH501" s="183"/>
      <c r="AI501" s="183"/>
      <c r="AJ501" s="183"/>
      <c r="AK501" s="9" t="s">
        <v>654</v>
      </c>
      <c r="AL501" s="183"/>
      <c r="AM501" s="186" t="str">
        <f>IF(AF501="","","Q"&amp;INT((MONTH(AF501)-1)/3)+1&amp;YEAR(AF501)&amp;#REF!&amp;T501)</f>
        <v/>
      </c>
      <c r="AN501" s="186" t="e">
        <f>IF(K501="","","Q"&amp;INT((MONTH(K501)-1)/3)+1&amp;YEAR(K501)&amp;#REF!)</f>
        <v>#REF!</v>
      </c>
    </row>
    <row r="502" spans="1:40" ht="20.100000000000001" customHeight="1" x14ac:dyDescent="0.25">
      <c r="A502" s="8">
        <v>500</v>
      </c>
      <c r="B502" s="8" t="s">
        <v>399</v>
      </c>
      <c r="C502" s="8" t="s">
        <v>1997</v>
      </c>
      <c r="D502" s="8" t="s">
        <v>2416</v>
      </c>
      <c r="E502" s="8" t="s">
        <v>1998</v>
      </c>
      <c r="F502" s="183" t="s">
        <v>4647</v>
      </c>
      <c r="G502" s="183"/>
      <c r="H502" s="183" t="s">
        <v>4646</v>
      </c>
      <c r="I502" s="183" t="s">
        <v>618</v>
      </c>
      <c r="J502" s="183"/>
      <c r="K502" s="184">
        <v>46064</v>
      </c>
      <c r="L502" s="183">
        <v>57</v>
      </c>
      <c r="M502" s="185" t="str">
        <f>IF(phc_8[[#This Row],[Register No.]]="","",C502&amp;"-"&amp;D502&amp;"-"&amp;"BHA-PHC-"&amp;phc_8[[#This Row],[Register No.]])</f>
        <v>Shining Star-Mobile Clinic-BHA-PHC-57</v>
      </c>
      <c r="N502" s="9" t="s">
        <v>401</v>
      </c>
      <c r="O502" s="183" t="s">
        <v>4187</v>
      </c>
      <c r="P502" s="183">
        <v>9</v>
      </c>
      <c r="Q502" s="183"/>
      <c r="R502" s="183"/>
      <c r="S502" s="186" t="str">
        <f t="shared" si="18"/>
        <v>5 - 14 yrs</v>
      </c>
      <c r="T502" s="183" t="s">
        <v>402</v>
      </c>
      <c r="U502" s="183"/>
      <c r="V502" s="183" t="s">
        <v>4191</v>
      </c>
      <c r="W502" s="183" t="s">
        <v>3659</v>
      </c>
      <c r="X502" s="183" t="s">
        <v>113</v>
      </c>
      <c r="Y502" s="186" t="str">
        <f>INDEX(info!$Y$2:$Y$192,MATCH(phc_8[[#This Row],[Sub_Category]],info!$X$2:$X$192,0))</f>
        <v>ARI/RTI</v>
      </c>
      <c r="Z502" s="186" t="str">
        <f t="array" ref="Z502">INDEX(info!$AA$2:$AA$192,MATCH(PHC!$X502&amp;PHC!$Y502,info!$X$2:$X$192&amp;info!$Y$2:$Y$192,0))</f>
        <v>Communicable disease</v>
      </c>
      <c r="AA502" s="183" t="s">
        <v>4195</v>
      </c>
      <c r="AB502" s="9" t="s">
        <v>654</v>
      </c>
      <c r="AC502" s="9" t="s">
        <v>654</v>
      </c>
      <c r="AD502" s="9" t="s">
        <v>654</v>
      </c>
      <c r="AE502" s="9" t="s">
        <v>654</v>
      </c>
      <c r="AF502" s="184"/>
      <c r="AG502" s="183"/>
      <c r="AH502" s="183"/>
      <c r="AI502" s="183"/>
      <c r="AJ502" s="183"/>
      <c r="AK502" s="9" t="s">
        <v>654</v>
      </c>
      <c r="AL502" s="183"/>
      <c r="AM502" s="186" t="str">
        <f>IF(AF502="","","Q"&amp;INT((MONTH(AF502)-1)/3)+1&amp;YEAR(AF502)&amp;#REF!&amp;T502)</f>
        <v/>
      </c>
      <c r="AN502" s="186" t="e">
        <f>IF(K502="","","Q"&amp;INT((MONTH(K502)-1)/3)+1&amp;YEAR(K502)&amp;#REF!)</f>
        <v>#REF!</v>
      </c>
    </row>
    <row r="503" spans="1:40" ht="20.100000000000001" customHeight="1" x14ac:dyDescent="0.25">
      <c r="A503" s="8">
        <v>501</v>
      </c>
      <c r="B503" s="8" t="s">
        <v>399</v>
      </c>
      <c r="C503" s="8" t="s">
        <v>1997</v>
      </c>
      <c r="D503" s="8" t="s">
        <v>2416</v>
      </c>
      <c r="E503" s="8" t="s">
        <v>1998</v>
      </c>
      <c r="F503" s="183" t="s">
        <v>4647</v>
      </c>
      <c r="G503" s="183"/>
      <c r="H503" s="183" t="s">
        <v>4646</v>
      </c>
      <c r="I503" s="183" t="s">
        <v>618</v>
      </c>
      <c r="J503" s="183"/>
      <c r="K503" s="184">
        <v>46064</v>
      </c>
      <c r="L503" s="183">
        <v>58</v>
      </c>
      <c r="M503" s="185" t="str">
        <f>IF(phc_8[[#This Row],[Register No.]]="","",C503&amp;"-"&amp;D503&amp;"-"&amp;"BHA-PHC-"&amp;phc_8[[#This Row],[Register No.]])</f>
        <v>Shining Star-Mobile Clinic-BHA-PHC-58</v>
      </c>
      <c r="N503" s="9" t="s">
        <v>401</v>
      </c>
      <c r="O503" s="183" t="s">
        <v>4188</v>
      </c>
      <c r="P503" s="183">
        <v>61</v>
      </c>
      <c r="Q503" s="183"/>
      <c r="R503" s="183"/>
      <c r="S503" s="186" t="str">
        <f t="shared" si="18"/>
        <v>50 yrs +</v>
      </c>
      <c r="T503" s="183" t="s">
        <v>603</v>
      </c>
      <c r="U503" s="183"/>
      <c r="V503" s="183" t="s">
        <v>4192</v>
      </c>
      <c r="W503" s="183" t="s">
        <v>2003</v>
      </c>
      <c r="X503" s="183" t="s">
        <v>181</v>
      </c>
      <c r="Y503" s="186" t="str">
        <f>INDEX(info!$Y$2:$Y$192,MATCH(phc_8[[#This Row],[Sub_Category]],info!$X$2:$X$192,0))</f>
        <v>Chronic medical disease</v>
      </c>
      <c r="Z503" s="186" t="str">
        <f t="array" ref="Z503">INDEX(info!$AA$2:$AA$192,MATCH(PHC!$X503&amp;PHC!$Y503,info!$X$2:$X$192&amp;info!$Y$2:$Y$192,0))</f>
        <v>Non-communicable disease</v>
      </c>
      <c r="AA503" s="183" t="s">
        <v>4196</v>
      </c>
      <c r="AB503" s="9" t="s">
        <v>654</v>
      </c>
      <c r="AC503" s="9" t="s">
        <v>654</v>
      </c>
      <c r="AD503" s="9" t="s">
        <v>654</v>
      </c>
      <c r="AE503" s="9" t="s">
        <v>654</v>
      </c>
      <c r="AF503" s="184"/>
      <c r="AG503" s="183"/>
      <c r="AH503" s="183"/>
      <c r="AI503" s="183"/>
      <c r="AJ503" s="183"/>
      <c r="AK503" s="9" t="s">
        <v>654</v>
      </c>
      <c r="AL503" s="183"/>
      <c r="AM503" s="186" t="str">
        <f>IF(AF503="","","Q"&amp;INT((MONTH(AF503)-1)/3)+1&amp;YEAR(AF503)&amp;#REF!&amp;T503)</f>
        <v/>
      </c>
      <c r="AN503" s="186" t="e">
        <f>IF(K503="","","Q"&amp;INT((MONTH(K503)-1)/3)+1&amp;YEAR(K503)&amp;#REF!)</f>
        <v>#REF!</v>
      </c>
    </row>
    <row r="504" spans="1:40" ht="20.100000000000001" customHeight="1" x14ac:dyDescent="0.25">
      <c r="A504" s="8">
        <v>502</v>
      </c>
      <c r="B504" s="8" t="s">
        <v>399</v>
      </c>
      <c r="C504" s="8" t="s">
        <v>1997</v>
      </c>
      <c r="D504" s="8" t="s">
        <v>2416</v>
      </c>
      <c r="E504" s="8" t="s">
        <v>1998</v>
      </c>
      <c r="F504" s="183" t="s">
        <v>4647</v>
      </c>
      <c r="G504" s="183"/>
      <c r="H504" s="183" t="s">
        <v>4646</v>
      </c>
      <c r="I504" s="183" t="s">
        <v>618</v>
      </c>
      <c r="J504" s="183"/>
      <c r="K504" s="184">
        <v>46064</v>
      </c>
      <c r="L504" s="183">
        <v>59</v>
      </c>
      <c r="M504" s="185" t="str">
        <f>IF(phc_8[[#This Row],[Register No.]]="","",C504&amp;"-"&amp;D504&amp;"-"&amp;"BHA-PHC-"&amp;phc_8[[#This Row],[Register No.]])</f>
        <v>Shining Star-Mobile Clinic-BHA-PHC-59</v>
      </c>
      <c r="N504" s="9" t="s">
        <v>401</v>
      </c>
      <c r="O504" s="183" t="s">
        <v>2469</v>
      </c>
      <c r="P504" s="183">
        <v>50</v>
      </c>
      <c r="Q504" s="183"/>
      <c r="R504" s="183"/>
      <c r="S504" s="186" t="str">
        <f t="shared" si="18"/>
        <v>50 yrs +</v>
      </c>
      <c r="T504" s="183" t="s">
        <v>402</v>
      </c>
      <c r="U504" s="183"/>
      <c r="V504" s="183" t="s">
        <v>4193</v>
      </c>
      <c r="W504" s="183" t="s">
        <v>178</v>
      </c>
      <c r="X504" s="183" t="s">
        <v>178</v>
      </c>
      <c r="Y504" s="186" t="str">
        <f>INDEX(info!$Y$2:$Y$192,MATCH(phc_8[[#This Row],[Sub_Category]],info!$X$2:$X$192,0))</f>
        <v>Chronic medical disease</v>
      </c>
      <c r="Z504" s="186" t="str">
        <f t="array" ref="Z504">INDEX(info!$AA$2:$AA$192,MATCH(PHC!$X504&amp;PHC!$Y504,info!$X$2:$X$192&amp;info!$Y$2:$Y$192,0))</f>
        <v>Non-communicable disease</v>
      </c>
      <c r="AA504" s="183" t="s">
        <v>4197</v>
      </c>
      <c r="AB504" s="9" t="s">
        <v>654</v>
      </c>
      <c r="AC504" s="9" t="s">
        <v>654</v>
      </c>
      <c r="AD504" s="9" t="s">
        <v>654</v>
      </c>
      <c r="AE504" s="9" t="s">
        <v>654</v>
      </c>
      <c r="AF504" s="184"/>
      <c r="AG504" s="183"/>
      <c r="AH504" s="183"/>
      <c r="AI504" s="183"/>
      <c r="AJ504" s="183"/>
      <c r="AK504" s="9" t="s">
        <v>654</v>
      </c>
      <c r="AL504" s="183"/>
      <c r="AM504" s="186" t="str">
        <f>IF(AF504="","","Q"&amp;INT((MONTH(AF504)-1)/3)+1&amp;YEAR(AF504)&amp;#REF!&amp;T504)</f>
        <v/>
      </c>
      <c r="AN504" s="186" t="e">
        <f>IF(K504="","","Q"&amp;INT((MONTH(K504)-1)/3)+1&amp;YEAR(K504)&amp;#REF!)</f>
        <v>#REF!</v>
      </c>
    </row>
    <row r="505" spans="1:40" ht="20.100000000000001" customHeight="1" x14ac:dyDescent="0.25">
      <c r="A505" s="8">
        <v>503</v>
      </c>
      <c r="B505" s="8" t="s">
        <v>399</v>
      </c>
      <c r="C505" s="8" t="s">
        <v>1997</v>
      </c>
      <c r="D505" s="8" t="s">
        <v>2416</v>
      </c>
      <c r="E505" s="8" t="s">
        <v>1998</v>
      </c>
      <c r="F505" s="183" t="s">
        <v>4647</v>
      </c>
      <c r="G505" s="183"/>
      <c r="H505" s="183" t="s">
        <v>4646</v>
      </c>
      <c r="I505" s="183" t="s">
        <v>618</v>
      </c>
      <c r="J505" s="183"/>
      <c r="K505" s="184">
        <v>46064</v>
      </c>
      <c r="L505" s="183">
        <v>60</v>
      </c>
      <c r="M505" s="185" t="str">
        <f>IF(phc_8[[#This Row],[Register No.]]="","",C505&amp;"-"&amp;D505&amp;"-"&amp;"BHA-PHC-"&amp;phc_8[[#This Row],[Register No.]])</f>
        <v>Shining Star-Mobile Clinic-BHA-PHC-60</v>
      </c>
      <c r="N505" s="9" t="s">
        <v>401</v>
      </c>
      <c r="O505" s="183" t="s">
        <v>4189</v>
      </c>
      <c r="P505" s="183">
        <v>55</v>
      </c>
      <c r="Q505" s="183"/>
      <c r="R505" s="183"/>
      <c r="S505" s="186" t="str">
        <f t="shared" si="18"/>
        <v>50 yrs +</v>
      </c>
      <c r="T505" s="183" t="s">
        <v>402</v>
      </c>
      <c r="U505" s="183"/>
      <c r="V505" s="183" t="s">
        <v>3291</v>
      </c>
      <c r="W505" s="183" t="s">
        <v>294</v>
      </c>
      <c r="X505" s="183" t="s">
        <v>294</v>
      </c>
      <c r="Y505" s="186" t="str">
        <f>INDEX(info!$Y$2:$Y$192,MATCH(phc_8[[#This Row],[Sub_Category]],info!$X$2:$X$192,0))</f>
        <v>Other (non-communicable)</v>
      </c>
      <c r="Z505" s="186" t="str">
        <f t="array" ref="Z505">INDEX(info!$AA$2:$AA$192,MATCH(PHC!$X505&amp;PHC!$Y505,info!$X$2:$X$192&amp;info!$Y$2:$Y$192,0))</f>
        <v>Other</v>
      </c>
      <c r="AA505" s="183" t="s">
        <v>4198</v>
      </c>
      <c r="AB505" s="9" t="s">
        <v>654</v>
      </c>
      <c r="AC505" s="9" t="s">
        <v>654</v>
      </c>
      <c r="AD505" s="9" t="s">
        <v>654</v>
      </c>
      <c r="AE505" s="9" t="s">
        <v>654</v>
      </c>
      <c r="AF505" s="184"/>
      <c r="AG505" s="183"/>
      <c r="AH505" s="183"/>
      <c r="AI505" s="183"/>
      <c r="AJ505" s="183"/>
      <c r="AK505" s="9" t="s">
        <v>654</v>
      </c>
      <c r="AL505" s="183"/>
      <c r="AM505" s="186" t="str">
        <f>IF(AF505="","","Q"&amp;INT((MONTH(AF505)-1)/3)+1&amp;YEAR(AF505)&amp;#REF!&amp;T505)</f>
        <v/>
      </c>
      <c r="AN505" s="186" t="e">
        <f>IF(K505="","","Q"&amp;INT((MONTH(K505)-1)/3)+1&amp;YEAR(K505)&amp;#REF!)</f>
        <v>#REF!</v>
      </c>
    </row>
    <row r="506" spans="1:40" ht="20.100000000000001" customHeight="1" x14ac:dyDescent="0.25">
      <c r="A506" s="8">
        <v>504</v>
      </c>
      <c r="B506" s="8" t="s">
        <v>399</v>
      </c>
      <c r="C506" s="8" t="s">
        <v>1997</v>
      </c>
      <c r="D506" s="8" t="s">
        <v>2416</v>
      </c>
      <c r="E506" s="8" t="s">
        <v>1998</v>
      </c>
      <c r="F506" s="183" t="s">
        <v>4647</v>
      </c>
      <c r="G506" s="183"/>
      <c r="H506" s="183" t="s">
        <v>4646</v>
      </c>
      <c r="I506" s="183" t="s">
        <v>618</v>
      </c>
      <c r="J506" s="183"/>
      <c r="K506" s="184">
        <v>46064</v>
      </c>
      <c r="L506" s="183">
        <v>61</v>
      </c>
      <c r="M506" s="185" t="str">
        <f>IF(phc_8[[#This Row],[Register No.]]="","",C506&amp;"-"&amp;D506&amp;"-"&amp;"BHA-PHC-"&amp;phc_8[[#This Row],[Register No.]])</f>
        <v>Shining Star-Mobile Clinic-BHA-PHC-61</v>
      </c>
      <c r="N506" s="9" t="s">
        <v>401</v>
      </c>
      <c r="O506" s="183" t="s">
        <v>2710</v>
      </c>
      <c r="P506" s="183">
        <v>52</v>
      </c>
      <c r="Q506" s="183"/>
      <c r="R506" s="183"/>
      <c r="S506" s="186" t="str">
        <f t="shared" si="18"/>
        <v>50 yrs +</v>
      </c>
      <c r="T506" s="183" t="s">
        <v>603</v>
      </c>
      <c r="U506" s="183"/>
      <c r="V506" s="183" t="s">
        <v>4147</v>
      </c>
      <c r="W506" s="183" t="s">
        <v>2003</v>
      </c>
      <c r="X506" s="183" t="s">
        <v>181</v>
      </c>
      <c r="Y506" s="186" t="str">
        <f>INDEX(info!$Y$2:$Y$192,MATCH(phc_8[[#This Row],[Sub_Category]],info!$X$2:$X$192,0))</f>
        <v>Chronic medical disease</v>
      </c>
      <c r="Z506" s="186" t="str">
        <f t="array" ref="Z506">INDEX(info!$AA$2:$AA$192,MATCH(PHC!$X506&amp;PHC!$Y506,info!$X$2:$X$192&amp;info!$Y$2:$Y$192,0))</f>
        <v>Non-communicable disease</v>
      </c>
      <c r="AA506" s="183" t="s">
        <v>2060</v>
      </c>
      <c r="AB506" s="9" t="s">
        <v>654</v>
      </c>
      <c r="AC506" s="9" t="s">
        <v>654</v>
      </c>
      <c r="AD506" s="9" t="s">
        <v>654</v>
      </c>
      <c r="AE506" s="9" t="s">
        <v>654</v>
      </c>
      <c r="AF506" s="184"/>
      <c r="AG506" s="183"/>
      <c r="AH506" s="183"/>
      <c r="AI506" s="183"/>
      <c r="AJ506" s="183"/>
      <c r="AK506" s="9" t="s">
        <v>654</v>
      </c>
      <c r="AL506" s="183"/>
      <c r="AM506" s="186" t="str">
        <f>IF(AF506="","","Q"&amp;INT((MONTH(AF506)-1)/3)+1&amp;YEAR(AF506)&amp;#REF!&amp;T506)</f>
        <v/>
      </c>
      <c r="AN506" s="186" t="e">
        <f>IF(K506="","","Q"&amp;INT((MONTH(K506)-1)/3)+1&amp;YEAR(K506)&amp;#REF!)</f>
        <v>#REF!</v>
      </c>
    </row>
    <row r="507" spans="1:40" ht="20.100000000000001" customHeight="1" x14ac:dyDescent="0.25">
      <c r="A507" s="8">
        <v>505</v>
      </c>
      <c r="B507" s="8" t="s">
        <v>399</v>
      </c>
      <c r="C507" s="8" t="s">
        <v>1997</v>
      </c>
      <c r="D507" s="8" t="s">
        <v>2416</v>
      </c>
      <c r="E507" s="8" t="s">
        <v>1998</v>
      </c>
      <c r="F507" s="183" t="s">
        <v>4647</v>
      </c>
      <c r="G507" s="183"/>
      <c r="H507" s="183" t="s">
        <v>4646</v>
      </c>
      <c r="I507" s="183" t="s">
        <v>618</v>
      </c>
      <c r="J507" s="183"/>
      <c r="K507" s="184">
        <v>46064</v>
      </c>
      <c r="L507" s="183">
        <v>62</v>
      </c>
      <c r="M507" s="185" t="str">
        <f>IF(phc_8[[#This Row],[Register No.]]="","",C507&amp;"-"&amp;D507&amp;"-"&amp;"BHA-PHC-"&amp;phc_8[[#This Row],[Register No.]])</f>
        <v>Shining Star-Mobile Clinic-BHA-PHC-62</v>
      </c>
      <c r="N507" s="9" t="s">
        <v>401</v>
      </c>
      <c r="O507" s="183" t="s">
        <v>4199</v>
      </c>
      <c r="P507" s="183">
        <v>52</v>
      </c>
      <c r="Q507" s="183"/>
      <c r="R507" s="183"/>
      <c r="S507" s="186" t="str">
        <f t="shared" si="18"/>
        <v>50 yrs +</v>
      </c>
      <c r="T507" s="183" t="s">
        <v>603</v>
      </c>
      <c r="U507" s="183"/>
      <c r="V507" s="183" t="s">
        <v>4202</v>
      </c>
      <c r="W507" s="183" t="s">
        <v>3682</v>
      </c>
      <c r="X507" s="183" t="s">
        <v>242</v>
      </c>
      <c r="Y507" s="186" t="str">
        <f>INDEX(info!$Y$2:$Y$192,MATCH(phc_8[[#This Row],[Sub_Category]],info!$X$2:$X$192,0))</f>
        <v>Accident/minor sugical and injuries</v>
      </c>
      <c r="Z507" s="186" t="str">
        <f t="array" ref="Z507">INDEX(info!$AA$2:$AA$192,MATCH(PHC!$X507&amp;PHC!$Y507,info!$X$2:$X$192&amp;info!$Y$2:$Y$192,0))</f>
        <v>Injury related</v>
      </c>
      <c r="AA507" s="183" t="s">
        <v>4205</v>
      </c>
      <c r="AB507" s="9" t="s">
        <v>654</v>
      </c>
      <c r="AC507" s="9" t="s">
        <v>654</v>
      </c>
      <c r="AD507" s="9" t="s">
        <v>654</v>
      </c>
      <c r="AE507" s="9" t="s">
        <v>654</v>
      </c>
      <c r="AF507" s="184"/>
      <c r="AG507" s="183"/>
      <c r="AH507" s="183"/>
      <c r="AI507" s="183"/>
      <c r="AJ507" s="183"/>
      <c r="AK507" s="9" t="s">
        <v>654</v>
      </c>
      <c r="AL507" s="183"/>
      <c r="AM507" s="186" t="str">
        <f>IF(AF507="","","Q"&amp;INT((MONTH(AF507)-1)/3)+1&amp;YEAR(AF507)&amp;#REF!&amp;T507)</f>
        <v/>
      </c>
      <c r="AN507" s="186" t="e">
        <f>IF(K507="","","Q"&amp;INT((MONTH(K507)-1)/3)+1&amp;YEAR(K507)&amp;#REF!)</f>
        <v>#REF!</v>
      </c>
    </row>
    <row r="508" spans="1:40" ht="20.100000000000001" customHeight="1" x14ac:dyDescent="0.25">
      <c r="A508" s="8">
        <v>506</v>
      </c>
      <c r="B508" s="8" t="s">
        <v>399</v>
      </c>
      <c r="C508" s="8" t="s">
        <v>1997</v>
      </c>
      <c r="D508" s="8" t="s">
        <v>2416</v>
      </c>
      <c r="E508" s="8" t="s">
        <v>1998</v>
      </c>
      <c r="F508" s="183" t="s">
        <v>4647</v>
      </c>
      <c r="G508" s="183"/>
      <c r="H508" s="183" t="s">
        <v>4646</v>
      </c>
      <c r="I508" s="183" t="s">
        <v>618</v>
      </c>
      <c r="J508" s="183"/>
      <c r="K508" s="184">
        <v>46064</v>
      </c>
      <c r="L508" s="183">
        <v>63</v>
      </c>
      <c r="M508" s="185" t="str">
        <f>IF(phc_8[[#This Row],[Register No.]]="","",C508&amp;"-"&amp;D508&amp;"-"&amp;"BHA-PHC-"&amp;phc_8[[#This Row],[Register No.]])</f>
        <v>Shining Star-Mobile Clinic-BHA-PHC-63</v>
      </c>
      <c r="N508" s="9" t="s">
        <v>401</v>
      </c>
      <c r="O508" s="183" t="s">
        <v>2638</v>
      </c>
      <c r="P508" s="183">
        <v>45</v>
      </c>
      <c r="Q508" s="183"/>
      <c r="R508" s="183"/>
      <c r="S508" s="186" t="str">
        <f t="shared" si="18"/>
        <v>19 - 49 yrs</v>
      </c>
      <c r="T508" s="183" t="s">
        <v>603</v>
      </c>
      <c r="U508" s="183"/>
      <c r="V508" s="183" t="s">
        <v>2630</v>
      </c>
      <c r="W508" s="183" t="s">
        <v>3249</v>
      </c>
      <c r="X508" s="183" t="s">
        <v>196</v>
      </c>
      <c r="Y508" s="186" t="str">
        <f>INDEX(info!$Y$2:$Y$192,MATCH(phc_8[[#This Row],[Sub_Category]],info!$X$2:$X$192,0))</f>
        <v>Skin infection/disease</v>
      </c>
      <c r="Z508" s="186" t="str">
        <f t="array" ref="Z508">INDEX(info!$AA$2:$AA$192,MATCH(PHC!$X508&amp;PHC!$Y508,info!$X$2:$X$192&amp;info!$Y$2:$Y$192,0))</f>
        <v>Non-communicable disease</v>
      </c>
      <c r="AA508" s="183" t="s">
        <v>4206</v>
      </c>
      <c r="AB508" s="9" t="s">
        <v>654</v>
      </c>
      <c r="AC508" s="9" t="s">
        <v>654</v>
      </c>
      <c r="AD508" s="9" t="s">
        <v>654</v>
      </c>
      <c r="AE508" s="9" t="s">
        <v>654</v>
      </c>
      <c r="AF508" s="184"/>
      <c r="AG508" s="183"/>
      <c r="AH508" s="183"/>
      <c r="AI508" s="183"/>
      <c r="AJ508" s="183"/>
      <c r="AK508" s="9" t="s">
        <v>654</v>
      </c>
      <c r="AL508" s="183"/>
      <c r="AM508" s="186" t="str">
        <f>IF(AF508="","","Q"&amp;INT((MONTH(AF508)-1)/3)+1&amp;YEAR(AF508)&amp;#REF!&amp;T508)</f>
        <v/>
      </c>
      <c r="AN508" s="186" t="e">
        <f>IF(K508="","","Q"&amp;INT((MONTH(K508)-1)/3)+1&amp;YEAR(K508)&amp;#REF!)</f>
        <v>#REF!</v>
      </c>
    </row>
    <row r="509" spans="1:40" ht="20.100000000000001" customHeight="1" x14ac:dyDescent="0.25">
      <c r="A509" s="8">
        <v>507</v>
      </c>
      <c r="B509" s="8" t="s">
        <v>399</v>
      </c>
      <c r="C509" s="8" t="s">
        <v>1997</v>
      </c>
      <c r="D509" s="8" t="s">
        <v>2416</v>
      </c>
      <c r="E509" s="8" t="s">
        <v>1998</v>
      </c>
      <c r="F509" s="183" t="s">
        <v>4647</v>
      </c>
      <c r="G509" s="183"/>
      <c r="H509" s="183" t="s">
        <v>4646</v>
      </c>
      <c r="I509" s="183" t="s">
        <v>618</v>
      </c>
      <c r="J509" s="183"/>
      <c r="K509" s="184">
        <v>46064</v>
      </c>
      <c r="L509" s="183">
        <v>64</v>
      </c>
      <c r="M509" s="185" t="str">
        <f>IF(phc_8[[#This Row],[Register No.]]="","",C509&amp;"-"&amp;D509&amp;"-"&amp;"BHA-PHC-"&amp;phc_8[[#This Row],[Register No.]])</f>
        <v>Shining Star-Mobile Clinic-BHA-PHC-64</v>
      </c>
      <c r="N509" s="9" t="s">
        <v>401</v>
      </c>
      <c r="O509" s="183" t="s">
        <v>4200</v>
      </c>
      <c r="P509" s="183">
        <v>54</v>
      </c>
      <c r="Q509" s="183"/>
      <c r="R509" s="183"/>
      <c r="S509" s="186" t="str">
        <f t="shared" si="18"/>
        <v>50 yrs +</v>
      </c>
      <c r="T509" s="183" t="s">
        <v>603</v>
      </c>
      <c r="U509" s="183"/>
      <c r="V509" s="183" t="s">
        <v>4203</v>
      </c>
      <c r="W509" s="183" t="s">
        <v>178</v>
      </c>
      <c r="X509" s="183" t="s">
        <v>178</v>
      </c>
      <c r="Y509" s="186" t="str">
        <f>INDEX(info!$Y$2:$Y$192,MATCH(phc_8[[#This Row],[Sub_Category]],info!$X$2:$X$192,0))</f>
        <v>Chronic medical disease</v>
      </c>
      <c r="Z509" s="186" t="str">
        <f t="array" ref="Z509">INDEX(info!$AA$2:$AA$192,MATCH(PHC!$X509&amp;PHC!$Y509,info!$X$2:$X$192&amp;info!$Y$2:$Y$192,0))</f>
        <v>Non-communicable disease</v>
      </c>
      <c r="AA509" s="183" t="s">
        <v>3918</v>
      </c>
      <c r="AB509" s="9" t="s">
        <v>654</v>
      </c>
      <c r="AC509" s="9" t="s">
        <v>654</v>
      </c>
      <c r="AD509" s="9" t="s">
        <v>654</v>
      </c>
      <c r="AE509" s="9" t="s">
        <v>654</v>
      </c>
      <c r="AF509" s="184"/>
      <c r="AG509" s="183"/>
      <c r="AH509" s="183"/>
      <c r="AI509" s="183"/>
      <c r="AJ509" s="183"/>
      <c r="AK509" s="9" t="s">
        <v>654</v>
      </c>
      <c r="AL509" s="183"/>
      <c r="AM509" s="186" t="str">
        <f>IF(AF509="","","Q"&amp;INT((MONTH(AF509)-1)/3)+1&amp;YEAR(AF509)&amp;#REF!&amp;T509)</f>
        <v/>
      </c>
      <c r="AN509" s="186" t="e">
        <f>IF(K509="","","Q"&amp;INT((MONTH(K509)-1)/3)+1&amp;YEAR(K509)&amp;#REF!)</f>
        <v>#REF!</v>
      </c>
    </row>
    <row r="510" spans="1:40" ht="20.100000000000001" customHeight="1" x14ac:dyDescent="0.25">
      <c r="A510" s="8">
        <v>508</v>
      </c>
      <c r="B510" s="8" t="s">
        <v>399</v>
      </c>
      <c r="C510" s="8" t="s">
        <v>1997</v>
      </c>
      <c r="D510" s="8" t="s">
        <v>2416</v>
      </c>
      <c r="E510" s="8" t="s">
        <v>1998</v>
      </c>
      <c r="F510" s="183" t="s">
        <v>4647</v>
      </c>
      <c r="G510" s="183"/>
      <c r="H510" s="183" t="s">
        <v>4646</v>
      </c>
      <c r="I510" s="183" t="s">
        <v>618</v>
      </c>
      <c r="J510" s="183"/>
      <c r="K510" s="184">
        <v>46064</v>
      </c>
      <c r="L510" s="183">
        <v>65</v>
      </c>
      <c r="M510" s="185" t="str">
        <f>IF(phc_8[[#This Row],[Register No.]]="","",C510&amp;"-"&amp;D510&amp;"-"&amp;"BHA-PHC-"&amp;phc_8[[#This Row],[Register No.]])</f>
        <v>Shining Star-Mobile Clinic-BHA-PHC-65</v>
      </c>
      <c r="N510" s="9" t="s">
        <v>401</v>
      </c>
      <c r="O510" s="183" t="s">
        <v>4201</v>
      </c>
      <c r="P510" s="183">
        <v>63</v>
      </c>
      <c r="Q510" s="183"/>
      <c r="R510" s="183"/>
      <c r="S510" s="186" t="str">
        <f t="shared" si="18"/>
        <v>50 yrs +</v>
      </c>
      <c r="T510" s="183" t="s">
        <v>603</v>
      </c>
      <c r="U510" s="183"/>
      <c r="V510" s="183" t="s">
        <v>4204</v>
      </c>
      <c r="W510" s="183" t="s">
        <v>233</v>
      </c>
      <c r="X510" s="183" t="s">
        <v>233</v>
      </c>
      <c r="Y510" s="186" t="str">
        <f>INDEX(info!$Y$2:$Y$192,MATCH(phc_8[[#This Row],[Sub_Category]],info!$X$2:$X$192,0))</f>
        <v>Other (non-communicable)</v>
      </c>
      <c r="Z510" s="186" t="str">
        <f t="array" ref="Z510">INDEX(info!$AA$2:$AA$192,MATCH(PHC!$X510&amp;PHC!$Y510,info!$X$2:$X$192&amp;info!$Y$2:$Y$192,0))</f>
        <v>Other</v>
      </c>
      <c r="AA510" s="183" t="s">
        <v>4207</v>
      </c>
      <c r="AB510" s="9" t="s">
        <v>654</v>
      </c>
      <c r="AC510" s="9" t="s">
        <v>654</v>
      </c>
      <c r="AD510" s="9" t="s">
        <v>654</v>
      </c>
      <c r="AE510" s="9" t="s">
        <v>654</v>
      </c>
      <c r="AF510" s="184"/>
      <c r="AG510" s="183"/>
      <c r="AH510" s="183"/>
      <c r="AI510" s="183"/>
      <c r="AJ510" s="183"/>
      <c r="AK510" s="9" t="s">
        <v>654</v>
      </c>
      <c r="AL510" s="183"/>
      <c r="AM510" s="186" t="str">
        <f>IF(AF510="","","Q"&amp;INT((MONTH(AF510)-1)/3)+1&amp;YEAR(AF510)&amp;#REF!&amp;T510)</f>
        <v/>
      </c>
      <c r="AN510" s="186" t="e">
        <f>IF(K510="","","Q"&amp;INT((MONTH(K510)-1)/3)+1&amp;YEAR(K510)&amp;#REF!)</f>
        <v>#REF!</v>
      </c>
    </row>
    <row r="511" spans="1:40" ht="20.100000000000001" customHeight="1" x14ac:dyDescent="0.25">
      <c r="A511" s="8">
        <v>509</v>
      </c>
      <c r="B511" s="8" t="s">
        <v>399</v>
      </c>
      <c r="C511" s="8" t="s">
        <v>1997</v>
      </c>
      <c r="D511" s="8" t="s">
        <v>2416</v>
      </c>
      <c r="E511" s="8" t="s">
        <v>1998</v>
      </c>
      <c r="F511" s="183" t="s">
        <v>4647</v>
      </c>
      <c r="G511" s="183"/>
      <c r="H511" s="183" t="s">
        <v>4646</v>
      </c>
      <c r="I511" s="183" t="s">
        <v>618</v>
      </c>
      <c r="J511" s="183"/>
      <c r="K511" s="184">
        <v>46064</v>
      </c>
      <c r="L511" s="183">
        <v>66</v>
      </c>
      <c r="M511" s="185" t="str">
        <f>IF(phc_8[[#This Row],[Register No.]]="","",C511&amp;"-"&amp;D511&amp;"-"&amp;"BHA-PHC-"&amp;phc_8[[#This Row],[Register No.]])</f>
        <v>Shining Star-Mobile Clinic-BHA-PHC-66</v>
      </c>
      <c r="N511" s="9" t="s">
        <v>401</v>
      </c>
      <c r="O511" s="183" t="s">
        <v>4208</v>
      </c>
      <c r="P511" s="183">
        <v>92</v>
      </c>
      <c r="Q511" s="183"/>
      <c r="R511" s="183"/>
      <c r="S511" s="186" t="str">
        <f t="shared" si="18"/>
        <v>50 yrs +</v>
      </c>
      <c r="T511" s="183" t="s">
        <v>603</v>
      </c>
      <c r="U511" s="183"/>
      <c r="V511" s="183" t="s">
        <v>4212</v>
      </c>
      <c r="W511" s="183" t="s">
        <v>186</v>
      </c>
      <c r="X511" s="183" t="s">
        <v>186</v>
      </c>
      <c r="Y511" s="186" t="str">
        <f>INDEX(info!$Y$2:$Y$192,MATCH(phc_8[[#This Row],[Sub_Category]],info!$X$2:$X$192,0))</f>
        <v>Chronic medical disease</v>
      </c>
      <c r="Z511" s="186" t="str">
        <f t="array" ref="Z511">INDEX(info!$AA$2:$AA$192,MATCH(PHC!$X511&amp;PHC!$Y511,info!$X$2:$X$192&amp;info!$Y$2:$Y$192,0))</f>
        <v>Non-communicable disease</v>
      </c>
      <c r="AA511" s="183" t="s">
        <v>4219</v>
      </c>
      <c r="AB511" s="9" t="s">
        <v>654</v>
      </c>
      <c r="AC511" s="9" t="s">
        <v>654</v>
      </c>
      <c r="AD511" s="9" t="s">
        <v>654</v>
      </c>
      <c r="AE511" s="9" t="s">
        <v>654</v>
      </c>
      <c r="AF511" s="184"/>
      <c r="AG511" s="183"/>
      <c r="AH511" s="183"/>
      <c r="AI511" s="183"/>
      <c r="AJ511" s="183"/>
      <c r="AK511" s="9" t="s">
        <v>654</v>
      </c>
      <c r="AL511" s="183"/>
      <c r="AM511" s="186" t="str">
        <f>IF(AF511="","","Q"&amp;INT((MONTH(AF511)-1)/3)+1&amp;YEAR(AF511)&amp;#REF!&amp;T511)</f>
        <v/>
      </c>
      <c r="AN511" s="186" t="e">
        <f>IF(K511="","","Q"&amp;INT((MONTH(K511)-1)/3)+1&amp;YEAR(K511)&amp;#REF!)</f>
        <v>#REF!</v>
      </c>
    </row>
    <row r="512" spans="1:40" ht="20.100000000000001" customHeight="1" x14ac:dyDescent="0.25">
      <c r="A512" s="8">
        <v>510</v>
      </c>
      <c r="B512" s="8" t="s">
        <v>399</v>
      </c>
      <c r="C512" s="8" t="s">
        <v>1997</v>
      </c>
      <c r="D512" s="8" t="s">
        <v>2416</v>
      </c>
      <c r="E512" s="8" t="s">
        <v>1998</v>
      </c>
      <c r="F512" s="183" t="s">
        <v>4647</v>
      </c>
      <c r="G512" s="183"/>
      <c r="H512" s="183" t="s">
        <v>4646</v>
      </c>
      <c r="I512" s="183" t="s">
        <v>618</v>
      </c>
      <c r="J512" s="183"/>
      <c r="K512" s="184">
        <v>46064</v>
      </c>
      <c r="L512" s="183">
        <v>67</v>
      </c>
      <c r="M512" s="185" t="str">
        <f>IF(phc_8[[#This Row],[Register No.]]="","",C512&amp;"-"&amp;D512&amp;"-"&amp;"BHA-PHC-"&amp;phc_8[[#This Row],[Register No.]])</f>
        <v>Shining Star-Mobile Clinic-BHA-PHC-67</v>
      </c>
      <c r="N512" s="9" t="s">
        <v>401</v>
      </c>
      <c r="O512" s="183" t="s">
        <v>4209</v>
      </c>
      <c r="P512" s="183">
        <v>29</v>
      </c>
      <c r="Q512" s="183"/>
      <c r="R512" s="183"/>
      <c r="S512" s="186" t="str">
        <f t="shared" si="18"/>
        <v>19 - 49 yrs</v>
      </c>
      <c r="T512" s="183" t="s">
        <v>402</v>
      </c>
      <c r="U512" s="183"/>
      <c r="V512" s="183" t="s">
        <v>4213</v>
      </c>
      <c r="W512" s="183" t="s">
        <v>4217</v>
      </c>
      <c r="X512" s="183" t="s">
        <v>242</v>
      </c>
      <c r="Y512" s="186" t="str">
        <f>INDEX(info!$Y$2:$Y$192,MATCH(phc_8[[#This Row],[Sub_Category]],info!$X$2:$X$192,0))</f>
        <v>Accident/minor sugical and injuries</v>
      </c>
      <c r="Z512" s="186" t="str">
        <f t="array" ref="Z512">INDEX(info!$AA$2:$AA$192,MATCH(PHC!$X512&amp;PHC!$Y512,info!$X$2:$X$192&amp;info!$Y$2:$Y$192,0))</f>
        <v>Injury related</v>
      </c>
      <c r="AA512" s="183" t="s">
        <v>4205</v>
      </c>
      <c r="AB512" s="9" t="s">
        <v>654</v>
      </c>
      <c r="AC512" s="9" t="s">
        <v>654</v>
      </c>
      <c r="AD512" s="9" t="s">
        <v>654</v>
      </c>
      <c r="AE512" s="9" t="s">
        <v>654</v>
      </c>
      <c r="AF512" s="184"/>
      <c r="AG512" s="183"/>
      <c r="AH512" s="183"/>
      <c r="AI512" s="183"/>
      <c r="AJ512" s="183"/>
      <c r="AK512" s="9" t="s">
        <v>654</v>
      </c>
      <c r="AL512" s="183"/>
      <c r="AM512" s="186" t="str">
        <f>IF(AF512="","","Q"&amp;INT((MONTH(AF512)-1)/3)+1&amp;YEAR(AF512)&amp;#REF!&amp;T512)</f>
        <v/>
      </c>
      <c r="AN512" s="186" t="e">
        <f>IF(K512="","","Q"&amp;INT((MONTH(K512)-1)/3)+1&amp;YEAR(K512)&amp;#REF!)</f>
        <v>#REF!</v>
      </c>
    </row>
    <row r="513" spans="1:40" ht="20.100000000000001" customHeight="1" x14ac:dyDescent="0.25">
      <c r="A513" s="8">
        <v>511</v>
      </c>
      <c r="B513" s="8" t="s">
        <v>399</v>
      </c>
      <c r="C513" s="8" t="s">
        <v>1997</v>
      </c>
      <c r="D513" s="8" t="s">
        <v>2416</v>
      </c>
      <c r="E513" s="8" t="s">
        <v>1998</v>
      </c>
      <c r="F513" s="183" t="s">
        <v>4647</v>
      </c>
      <c r="G513" s="183"/>
      <c r="H513" s="183" t="s">
        <v>4646</v>
      </c>
      <c r="I513" s="183" t="s">
        <v>618</v>
      </c>
      <c r="J513" s="183"/>
      <c r="K513" s="184">
        <v>46064</v>
      </c>
      <c r="L513" s="183">
        <v>68</v>
      </c>
      <c r="M513" s="185" t="str">
        <f>IF(phc_8[[#This Row],[Register No.]]="","",C513&amp;"-"&amp;D513&amp;"-"&amp;"BHA-PHC-"&amp;phc_8[[#This Row],[Register No.]])</f>
        <v>Shining Star-Mobile Clinic-BHA-PHC-68</v>
      </c>
      <c r="N513" s="9" t="s">
        <v>401</v>
      </c>
      <c r="O513" s="183" t="s">
        <v>4210</v>
      </c>
      <c r="P513" s="183">
        <v>86</v>
      </c>
      <c r="Q513" s="183"/>
      <c r="R513" s="183"/>
      <c r="S513" s="186" t="str">
        <f t="shared" si="18"/>
        <v>50 yrs +</v>
      </c>
      <c r="T513" s="183" t="s">
        <v>603</v>
      </c>
      <c r="U513" s="183"/>
      <c r="V513" s="183" t="s">
        <v>4214</v>
      </c>
      <c r="W513" s="183" t="s">
        <v>294</v>
      </c>
      <c r="X513" s="183" t="s">
        <v>294</v>
      </c>
      <c r="Y513" s="186" t="str">
        <f>INDEX(info!$Y$2:$Y$192,MATCH(phc_8[[#This Row],[Sub_Category]],info!$X$2:$X$192,0))</f>
        <v>Other (non-communicable)</v>
      </c>
      <c r="Z513" s="186" t="str">
        <f t="array" ref="Z513">INDEX(info!$AA$2:$AA$192,MATCH(PHC!$X513&amp;PHC!$Y513,info!$X$2:$X$192&amp;info!$Y$2:$Y$192,0))</f>
        <v>Other</v>
      </c>
      <c r="AA513" s="183" t="s">
        <v>4220</v>
      </c>
      <c r="AB513" s="9" t="s">
        <v>654</v>
      </c>
      <c r="AC513" s="9" t="s">
        <v>654</v>
      </c>
      <c r="AD513" s="9" t="s">
        <v>654</v>
      </c>
      <c r="AE513" s="9" t="s">
        <v>654</v>
      </c>
      <c r="AF513" s="184"/>
      <c r="AG513" s="183"/>
      <c r="AH513" s="183"/>
      <c r="AI513" s="183"/>
      <c r="AJ513" s="183"/>
      <c r="AK513" s="9" t="s">
        <v>654</v>
      </c>
      <c r="AL513" s="183"/>
      <c r="AM513" s="186" t="str">
        <f>IF(AF513="","","Q"&amp;INT((MONTH(AF513)-1)/3)+1&amp;YEAR(AF513)&amp;#REF!&amp;T513)</f>
        <v/>
      </c>
      <c r="AN513" s="186" t="e">
        <f>IF(K513="","","Q"&amp;INT((MONTH(K513)-1)/3)+1&amp;YEAR(K513)&amp;#REF!)</f>
        <v>#REF!</v>
      </c>
    </row>
    <row r="514" spans="1:40" ht="20.100000000000001" customHeight="1" x14ac:dyDescent="0.25">
      <c r="A514" s="8">
        <v>512</v>
      </c>
      <c r="B514" s="8" t="s">
        <v>399</v>
      </c>
      <c r="C514" s="8" t="s">
        <v>1997</v>
      </c>
      <c r="D514" s="8" t="s">
        <v>2416</v>
      </c>
      <c r="E514" s="8" t="s">
        <v>1998</v>
      </c>
      <c r="F514" s="183" t="s">
        <v>4647</v>
      </c>
      <c r="G514" s="183"/>
      <c r="H514" s="183" t="s">
        <v>4646</v>
      </c>
      <c r="I514" s="183" t="s">
        <v>618</v>
      </c>
      <c r="J514" s="183"/>
      <c r="K514" s="184">
        <v>46064</v>
      </c>
      <c r="L514" s="183">
        <v>69</v>
      </c>
      <c r="M514" s="185" t="str">
        <f>IF(phc_8[[#This Row],[Register No.]]="","",C514&amp;"-"&amp;D514&amp;"-"&amp;"BHA-PHC-"&amp;phc_8[[#This Row],[Register No.]])</f>
        <v>Shining Star-Mobile Clinic-BHA-PHC-69</v>
      </c>
      <c r="N514" s="9" t="s">
        <v>401</v>
      </c>
      <c r="O514" s="183" t="s">
        <v>4211</v>
      </c>
      <c r="P514" s="183">
        <v>43</v>
      </c>
      <c r="Q514" s="183"/>
      <c r="R514" s="183"/>
      <c r="S514" s="186" t="str">
        <f t="shared" si="18"/>
        <v>19 - 49 yrs</v>
      </c>
      <c r="T514" s="183" t="s">
        <v>603</v>
      </c>
      <c r="U514" s="183"/>
      <c r="V514" s="183" t="s">
        <v>4215</v>
      </c>
      <c r="W514" s="183" t="s">
        <v>4218</v>
      </c>
      <c r="X514" s="183"/>
      <c r="Y514" s="186" t="e">
        <f>INDEX(info!$Y$2:$Y$192,MATCH(phc_8[[#This Row],[Sub_Category]],info!$X$2:$X$192,0))</f>
        <v>#N/A</v>
      </c>
      <c r="Z514" s="186" t="e">
        <f t="array" ref="Z514">INDEX(info!$AA$2:$AA$192,MATCH(PHC!$X514&amp;PHC!$Y514,info!$X$2:$X$192&amp;info!$Y$2:$Y$192,0))</f>
        <v>#N/A</v>
      </c>
      <c r="AA514" s="183" t="s">
        <v>2192</v>
      </c>
      <c r="AB514" s="9" t="s">
        <v>654</v>
      </c>
      <c r="AC514" s="9" t="s">
        <v>654</v>
      </c>
      <c r="AD514" s="9" t="s">
        <v>654</v>
      </c>
      <c r="AE514" s="9" t="s">
        <v>654</v>
      </c>
      <c r="AF514" s="184"/>
      <c r="AG514" s="183"/>
      <c r="AH514" s="183"/>
      <c r="AI514" s="183"/>
      <c r="AJ514" s="183"/>
      <c r="AK514" s="9" t="s">
        <v>654</v>
      </c>
      <c r="AL514" s="183"/>
      <c r="AM514" s="186" t="str">
        <f>IF(AF514="","","Q"&amp;INT((MONTH(AF514)-1)/3)+1&amp;YEAR(AF514)&amp;#REF!&amp;T514)</f>
        <v/>
      </c>
      <c r="AN514" s="186" t="e">
        <f>IF(K514="","","Q"&amp;INT((MONTH(K514)-1)/3)+1&amp;YEAR(K514)&amp;#REF!)</f>
        <v>#REF!</v>
      </c>
    </row>
    <row r="515" spans="1:40" ht="20.100000000000001" customHeight="1" x14ac:dyDescent="0.25">
      <c r="A515" s="8">
        <v>513</v>
      </c>
      <c r="B515" s="8" t="s">
        <v>399</v>
      </c>
      <c r="C515" s="8" t="s">
        <v>1997</v>
      </c>
      <c r="D515" s="8" t="s">
        <v>2416</v>
      </c>
      <c r="E515" s="8" t="s">
        <v>1998</v>
      </c>
      <c r="F515" s="183" t="s">
        <v>4647</v>
      </c>
      <c r="G515" s="183"/>
      <c r="H515" s="183" t="s">
        <v>4646</v>
      </c>
      <c r="I515" s="183" t="s">
        <v>618</v>
      </c>
      <c r="J515" s="183"/>
      <c r="K515" s="184">
        <v>46064</v>
      </c>
      <c r="L515" s="183">
        <v>70</v>
      </c>
      <c r="M515" s="185" t="str">
        <f>IF(phc_8[[#This Row],[Register No.]]="","",C515&amp;"-"&amp;D515&amp;"-"&amp;"BHA-PHC-"&amp;phc_8[[#This Row],[Register No.]])</f>
        <v>Shining Star-Mobile Clinic-BHA-PHC-70</v>
      </c>
      <c r="N515" s="9" t="s">
        <v>401</v>
      </c>
      <c r="O515" s="183" t="s">
        <v>2862</v>
      </c>
      <c r="P515" s="183">
        <v>53</v>
      </c>
      <c r="Q515" s="183"/>
      <c r="R515" s="183"/>
      <c r="S515" s="186" t="str">
        <f t="shared" si="18"/>
        <v>50 yrs +</v>
      </c>
      <c r="T515" s="183" t="s">
        <v>603</v>
      </c>
      <c r="U515" s="183"/>
      <c r="V515" s="183" t="s">
        <v>4216</v>
      </c>
      <c r="W515" s="183" t="s">
        <v>294</v>
      </c>
      <c r="X515" s="183" t="s">
        <v>294</v>
      </c>
      <c r="Y515" s="186" t="str">
        <f>INDEX(info!$Y$2:$Y$192,MATCH(phc_8[[#This Row],[Sub_Category]],info!$X$2:$X$192,0))</f>
        <v>Other (non-communicable)</v>
      </c>
      <c r="Z515" s="186" t="str">
        <f t="array" ref="Z515">INDEX(info!$AA$2:$AA$192,MATCH(PHC!$X515&amp;PHC!$Y515,info!$X$2:$X$192&amp;info!$Y$2:$Y$192,0))</f>
        <v>Other</v>
      </c>
      <c r="AA515" s="183" t="s">
        <v>2192</v>
      </c>
      <c r="AB515" s="9" t="s">
        <v>654</v>
      </c>
      <c r="AC515" s="9" t="s">
        <v>654</v>
      </c>
      <c r="AD515" s="9" t="s">
        <v>654</v>
      </c>
      <c r="AE515" s="9" t="s">
        <v>654</v>
      </c>
      <c r="AF515" s="184"/>
      <c r="AG515" s="183"/>
      <c r="AH515" s="183"/>
      <c r="AI515" s="183"/>
      <c r="AJ515" s="183"/>
      <c r="AK515" s="9" t="s">
        <v>654</v>
      </c>
      <c r="AL515" s="183"/>
      <c r="AM515" s="186" t="str">
        <f>IF(AF515="","","Q"&amp;INT((MONTH(AF515)-1)/3)+1&amp;YEAR(AF515)&amp;#REF!&amp;T515)</f>
        <v/>
      </c>
      <c r="AN515" s="186" t="e">
        <f>IF(K515="","","Q"&amp;INT((MONTH(K515)-1)/3)+1&amp;YEAR(K515)&amp;#REF!)</f>
        <v>#REF!</v>
      </c>
    </row>
    <row r="516" spans="1:40" ht="20.100000000000001" customHeight="1" x14ac:dyDescent="0.25">
      <c r="A516" s="8">
        <v>514</v>
      </c>
      <c r="B516" s="8" t="s">
        <v>399</v>
      </c>
      <c r="C516" s="8" t="s">
        <v>1997</v>
      </c>
      <c r="D516" s="8" t="s">
        <v>2416</v>
      </c>
      <c r="E516" s="8" t="s">
        <v>1998</v>
      </c>
      <c r="F516" s="183" t="s">
        <v>4647</v>
      </c>
      <c r="G516" s="183"/>
      <c r="H516" s="183" t="s">
        <v>4646</v>
      </c>
      <c r="I516" s="183" t="s">
        <v>618</v>
      </c>
      <c r="J516" s="183"/>
      <c r="K516" s="184">
        <v>46064</v>
      </c>
      <c r="L516" s="183">
        <v>71</v>
      </c>
      <c r="M516" s="185" t="str">
        <f>IF(phc_8[[#This Row],[Register No.]]="","",C516&amp;"-"&amp;D516&amp;"-"&amp;"BHA-PHC-"&amp;phc_8[[#This Row],[Register No.]])</f>
        <v>Shining Star-Mobile Clinic-BHA-PHC-71</v>
      </c>
      <c r="N516" s="9" t="s">
        <v>401</v>
      </c>
      <c r="O516" s="183" t="s">
        <v>3557</v>
      </c>
      <c r="P516" s="183">
        <v>39</v>
      </c>
      <c r="Q516" s="183"/>
      <c r="R516" s="183"/>
      <c r="S516" s="186" t="str">
        <f t="shared" si="18"/>
        <v>19 - 49 yrs</v>
      </c>
      <c r="T516" s="183" t="s">
        <v>402</v>
      </c>
      <c r="U516" s="183"/>
      <c r="V516" s="183" t="s">
        <v>4123</v>
      </c>
      <c r="W516" s="183" t="s">
        <v>2003</v>
      </c>
      <c r="X516" s="183" t="s">
        <v>181</v>
      </c>
      <c r="Y516" s="186" t="str">
        <f>INDEX(info!$Y$2:$Y$192,MATCH(phc_8[[#This Row],[Sub_Category]],info!$X$2:$X$192,0))</f>
        <v>Chronic medical disease</v>
      </c>
      <c r="Z516" s="186" t="str">
        <f t="array" ref="Z516">INDEX(info!$AA$2:$AA$192,MATCH(PHC!$X516&amp;PHC!$Y516,info!$X$2:$X$192&amp;info!$Y$2:$Y$192,0))</f>
        <v>Non-communicable disease</v>
      </c>
      <c r="AA516" s="183" t="s">
        <v>4230</v>
      </c>
      <c r="AB516" s="9" t="s">
        <v>654</v>
      </c>
      <c r="AC516" s="9" t="s">
        <v>654</v>
      </c>
      <c r="AD516" s="9" t="s">
        <v>654</v>
      </c>
      <c r="AE516" s="9" t="s">
        <v>654</v>
      </c>
      <c r="AF516" s="184"/>
      <c r="AG516" s="183"/>
      <c r="AH516" s="183"/>
      <c r="AI516" s="183"/>
      <c r="AJ516" s="183"/>
      <c r="AK516" s="9" t="s">
        <v>654</v>
      </c>
      <c r="AL516" s="183"/>
      <c r="AM516" s="186" t="str">
        <f>IF(AF516="","","Q"&amp;INT((MONTH(AF516)-1)/3)+1&amp;YEAR(AF516)&amp;#REF!&amp;T516)</f>
        <v/>
      </c>
      <c r="AN516" s="186" t="e">
        <f>IF(K516="","","Q"&amp;INT((MONTH(K516)-1)/3)+1&amp;YEAR(K516)&amp;#REF!)</f>
        <v>#REF!</v>
      </c>
    </row>
    <row r="517" spans="1:40" ht="20.100000000000001" customHeight="1" x14ac:dyDescent="0.25">
      <c r="A517" s="8">
        <v>515</v>
      </c>
      <c r="B517" s="8" t="s">
        <v>399</v>
      </c>
      <c r="C517" s="8" t="s">
        <v>1997</v>
      </c>
      <c r="D517" s="8" t="s">
        <v>2416</v>
      </c>
      <c r="E517" s="8" t="s">
        <v>1998</v>
      </c>
      <c r="F517" s="183" t="s">
        <v>4647</v>
      </c>
      <c r="G517" s="183"/>
      <c r="H517" s="183" t="s">
        <v>4646</v>
      </c>
      <c r="I517" s="183" t="s">
        <v>618</v>
      </c>
      <c r="J517" s="183"/>
      <c r="K517" s="184">
        <v>46064</v>
      </c>
      <c r="L517" s="183">
        <v>72</v>
      </c>
      <c r="M517" s="185" t="str">
        <f>IF(phc_8[[#This Row],[Register No.]]="","",C517&amp;"-"&amp;D517&amp;"-"&amp;"BHA-PHC-"&amp;phc_8[[#This Row],[Register No.]])</f>
        <v>Shining Star-Mobile Clinic-BHA-PHC-72</v>
      </c>
      <c r="N517" s="9" t="s">
        <v>401</v>
      </c>
      <c r="O517" s="183" t="s">
        <v>4221</v>
      </c>
      <c r="P517" s="183">
        <v>40</v>
      </c>
      <c r="Q517" s="183"/>
      <c r="R517" s="183"/>
      <c r="S517" s="186" t="str">
        <f t="shared" si="18"/>
        <v>19 - 49 yrs</v>
      </c>
      <c r="T517" s="183" t="s">
        <v>603</v>
      </c>
      <c r="U517" s="183"/>
      <c r="V517" s="183" t="s">
        <v>4225</v>
      </c>
      <c r="W517" s="183" t="s">
        <v>4229</v>
      </c>
      <c r="X517" s="183" t="s">
        <v>294</v>
      </c>
      <c r="Y517" s="186" t="str">
        <f>INDEX(info!$Y$2:$Y$192,MATCH(phc_8[[#This Row],[Sub_Category]],info!$X$2:$X$192,0))</f>
        <v>Other (non-communicable)</v>
      </c>
      <c r="Z517" s="186" t="str">
        <f t="array" ref="Z517">INDEX(info!$AA$2:$AA$192,MATCH(PHC!$X517&amp;PHC!$Y517,info!$X$2:$X$192&amp;info!$Y$2:$Y$192,0))</f>
        <v>Other</v>
      </c>
      <c r="AA517" s="183" t="s">
        <v>4231</v>
      </c>
      <c r="AB517" s="9" t="s">
        <v>654</v>
      </c>
      <c r="AC517" s="9" t="s">
        <v>654</v>
      </c>
      <c r="AD517" s="9" t="s">
        <v>654</v>
      </c>
      <c r="AE517" s="9" t="s">
        <v>654</v>
      </c>
      <c r="AF517" s="184"/>
      <c r="AG517" s="183"/>
      <c r="AH517" s="183"/>
      <c r="AI517" s="183"/>
      <c r="AJ517" s="183"/>
      <c r="AK517" s="9" t="s">
        <v>654</v>
      </c>
      <c r="AL517" s="183"/>
      <c r="AM517" s="186" t="str">
        <f>IF(AF517="","","Q"&amp;INT((MONTH(AF517)-1)/3)+1&amp;YEAR(AF517)&amp;#REF!&amp;T517)</f>
        <v/>
      </c>
      <c r="AN517" s="186" t="e">
        <f>IF(K517="","","Q"&amp;INT((MONTH(K517)-1)/3)+1&amp;YEAR(K517)&amp;#REF!)</f>
        <v>#REF!</v>
      </c>
    </row>
    <row r="518" spans="1:40" ht="20.100000000000001" customHeight="1" x14ac:dyDescent="0.25">
      <c r="A518" s="8">
        <v>516</v>
      </c>
      <c r="B518" s="8" t="s">
        <v>399</v>
      </c>
      <c r="C518" s="8" t="s">
        <v>1997</v>
      </c>
      <c r="D518" s="8" t="s">
        <v>2416</v>
      </c>
      <c r="E518" s="8" t="s">
        <v>1998</v>
      </c>
      <c r="F518" s="183" t="s">
        <v>4647</v>
      </c>
      <c r="G518" s="183"/>
      <c r="H518" s="183" t="s">
        <v>4646</v>
      </c>
      <c r="I518" s="183" t="s">
        <v>618</v>
      </c>
      <c r="J518" s="183"/>
      <c r="K518" s="184">
        <v>46064</v>
      </c>
      <c r="L518" s="183">
        <v>73</v>
      </c>
      <c r="M518" s="185" t="str">
        <f>IF(phc_8[[#This Row],[Register No.]]="","",C518&amp;"-"&amp;D518&amp;"-"&amp;"BHA-PHC-"&amp;phc_8[[#This Row],[Register No.]])</f>
        <v>Shining Star-Mobile Clinic-BHA-PHC-73</v>
      </c>
      <c r="N518" s="9" t="s">
        <v>401</v>
      </c>
      <c r="O518" s="183" t="s">
        <v>4222</v>
      </c>
      <c r="P518" s="183">
        <v>83</v>
      </c>
      <c r="Q518" s="183"/>
      <c r="R518" s="183"/>
      <c r="S518" s="186" t="str">
        <f t="shared" si="18"/>
        <v>50 yrs +</v>
      </c>
      <c r="T518" s="183" t="s">
        <v>603</v>
      </c>
      <c r="U518" s="183"/>
      <c r="V518" s="183" t="s">
        <v>4226</v>
      </c>
      <c r="W518" s="183" t="s">
        <v>294</v>
      </c>
      <c r="X518" s="183" t="s">
        <v>294</v>
      </c>
      <c r="Y518" s="186" t="str">
        <f>INDEX(info!$Y$2:$Y$192,MATCH(phc_8[[#This Row],[Sub_Category]],info!$X$2:$X$192,0))</f>
        <v>Other (non-communicable)</v>
      </c>
      <c r="Z518" s="186" t="str">
        <f t="array" ref="Z518">INDEX(info!$AA$2:$AA$192,MATCH(PHC!$X518&amp;PHC!$Y518,info!$X$2:$X$192&amp;info!$Y$2:$Y$192,0))</f>
        <v>Other</v>
      </c>
      <c r="AA518" s="183" t="s">
        <v>4232</v>
      </c>
      <c r="AB518" s="9" t="s">
        <v>654</v>
      </c>
      <c r="AC518" s="9" t="s">
        <v>654</v>
      </c>
      <c r="AD518" s="9" t="s">
        <v>654</v>
      </c>
      <c r="AE518" s="9" t="s">
        <v>654</v>
      </c>
      <c r="AF518" s="184"/>
      <c r="AG518" s="183"/>
      <c r="AH518" s="183"/>
      <c r="AI518" s="183"/>
      <c r="AJ518" s="183"/>
      <c r="AK518" s="9" t="s">
        <v>654</v>
      </c>
      <c r="AL518" s="183"/>
      <c r="AM518" s="186" t="str">
        <f>IF(AF518="","","Q"&amp;INT((MONTH(AF518)-1)/3)+1&amp;YEAR(AF518)&amp;#REF!&amp;T518)</f>
        <v/>
      </c>
      <c r="AN518" s="186" t="e">
        <f>IF(K518="","","Q"&amp;INT((MONTH(K518)-1)/3)+1&amp;YEAR(K518)&amp;#REF!)</f>
        <v>#REF!</v>
      </c>
    </row>
    <row r="519" spans="1:40" ht="20.100000000000001" customHeight="1" x14ac:dyDescent="0.25">
      <c r="A519" s="8">
        <v>517</v>
      </c>
      <c r="B519" s="8" t="s">
        <v>399</v>
      </c>
      <c r="C519" s="8" t="s">
        <v>1997</v>
      </c>
      <c r="D519" s="8" t="s">
        <v>2416</v>
      </c>
      <c r="E519" s="8" t="s">
        <v>1998</v>
      </c>
      <c r="F519" s="183" t="s">
        <v>4647</v>
      </c>
      <c r="G519" s="183"/>
      <c r="H519" s="183" t="s">
        <v>4646</v>
      </c>
      <c r="I519" s="183" t="s">
        <v>618</v>
      </c>
      <c r="J519" s="183"/>
      <c r="K519" s="184">
        <v>46064</v>
      </c>
      <c r="L519" s="183">
        <v>74</v>
      </c>
      <c r="M519" s="185" t="str">
        <f>IF(phc_8[[#This Row],[Register No.]]="","",C519&amp;"-"&amp;D519&amp;"-"&amp;"BHA-PHC-"&amp;phc_8[[#This Row],[Register No.]])</f>
        <v>Shining Star-Mobile Clinic-BHA-PHC-74</v>
      </c>
      <c r="N519" s="9" t="s">
        <v>401</v>
      </c>
      <c r="O519" s="183" t="s">
        <v>4223</v>
      </c>
      <c r="P519" s="183">
        <v>60</v>
      </c>
      <c r="Q519" s="183"/>
      <c r="R519" s="183"/>
      <c r="S519" s="186" t="str">
        <f t="shared" si="18"/>
        <v>50 yrs +</v>
      </c>
      <c r="T519" s="183" t="s">
        <v>603</v>
      </c>
      <c r="U519" s="183"/>
      <c r="V519" s="183" t="s">
        <v>4227</v>
      </c>
      <c r="W519" s="183" t="s">
        <v>4217</v>
      </c>
      <c r="X519" s="183" t="s">
        <v>242</v>
      </c>
      <c r="Y519" s="186" t="str">
        <f>INDEX(info!$Y$2:$Y$192,MATCH(phc_8[[#This Row],[Sub_Category]],info!$X$2:$X$192,0))</f>
        <v>Accident/minor sugical and injuries</v>
      </c>
      <c r="Z519" s="186" t="str">
        <f t="array" ref="Z519">INDEX(info!$AA$2:$AA$192,MATCH(PHC!$X519&amp;PHC!$Y519,info!$X$2:$X$192&amp;info!$Y$2:$Y$192,0))</f>
        <v>Injury related</v>
      </c>
      <c r="AA519" s="183" t="s">
        <v>4233</v>
      </c>
      <c r="AB519" s="9" t="s">
        <v>654</v>
      </c>
      <c r="AC519" s="9" t="s">
        <v>654</v>
      </c>
      <c r="AD519" s="9" t="s">
        <v>654</v>
      </c>
      <c r="AE519" s="9" t="s">
        <v>654</v>
      </c>
      <c r="AF519" s="184"/>
      <c r="AG519" s="183"/>
      <c r="AH519" s="183"/>
      <c r="AI519" s="183"/>
      <c r="AJ519" s="183"/>
      <c r="AK519" s="9" t="s">
        <v>654</v>
      </c>
      <c r="AL519" s="183"/>
      <c r="AM519" s="186" t="str">
        <f>IF(AF519="","","Q"&amp;INT((MONTH(AF519)-1)/3)+1&amp;YEAR(AF519)&amp;#REF!&amp;T519)</f>
        <v/>
      </c>
      <c r="AN519" s="186" t="e">
        <f>IF(K519="","","Q"&amp;INT((MONTH(K519)-1)/3)+1&amp;YEAR(K519)&amp;#REF!)</f>
        <v>#REF!</v>
      </c>
    </row>
    <row r="520" spans="1:40" ht="20.100000000000001" customHeight="1" x14ac:dyDescent="0.25">
      <c r="A520" s="8">
        <v>518</v>
      </c>
      <c r="B520" s="8" t="s">
        <v>399</v>
      </c>
      <c r="C520" s="8" t="s">
        <v>1997</v>
      </c>
      <c r="D520" s="8" t="s">
        <v>2416</v>
      </c>
      <c r="E520" s="8" t="s">
        <v>1998</v>
      </c>
      <c r="F520" s="183" t="s">
        <v>4647</v>
      </c>
      <c r="G520" s="183"/>
      <c r="H520" s="183" t="s">
        <v>4646</v>
      </c>
      <c r="I520" s="183" t="s">
        <v>618</v>
      </c>
      <c r="J520" s="183"/>
      <c r="K520" s="184">
        <v>46064</v>
      </c>
      <c r="L520" s="183">
        <v>75</v>
      </c>
      <c r="M520" s="185" t="str">
        <f>IF(phc_8[[#This Row],[Register No.]]="","",C520&amp;"-"&amp;D520&amp;"-"&amp;"BHA-PHC-"&amp;phc_8[[#This Row],[Register No.]])</f>
        <v>Shining Star-Mobile Clinic-BHA-PHC-75</v>
      </c>
      <c r="N520" s="9" t="s">
        <v>401</v>
      </c>
      <c r="O520" s="183" t="s">
        <v>4224</v>
      </c>
      <c r="P520" s="183">
        <v>52</v>
      </c>
      <c r="Q520" s="183"/>
      <c r="R520" s="183"/>
      <c r="S520" s="186" t="str">
        <f t="shared" si="18"/>
        <v>50 yrs +</v>
      </c>
      <c r="T520" s="183" t="s">
        <v>603</v>
      </c>
      <c r="U520" s="183"/>
      <c r="V520" s="183" t="s">
        <v>4228</v>
      </c>
      <c r="W520" s="183" t="s">
        <v>178</v>
      </c>
      <c r="X520" s="183" t="s">
        <v>178</v>
      </c>
      <c r="Y520" s="186" t="str">
        <f>INDEX(info!$Y$2:$Y$192,MATCH(phc_8[[#This Row],[Sub_Category]],info!$X$2:$X$192,0))</f>
        <v>Chronic medical disease</v>
      </c>
      <c r="Z520" s="186" t="str">
        <f t="array" ref="Z520">INDEX(info!$AA$2:$AA$192,MATCH(PHC!$X520&amp;PHC!$Y520,info!$X$2:$X$192&amp;info!$Y$2:$Y$192,0))</f>
        <v>Non-communicable disease</v>
      </c>
      <c r="AA520" s="183" t="s">
        <v>4234</v>
      </c>
      <c r="AB520" s="9" t="s">
        <v>654</v>
      </c>
      <c r="AC520" s="9" t="s">
        <v>654</v>
      </c>
      <c r="AD520" s="9" t="s">
        <v>654</v>
      </c>
      <c r="AE520" s="9" t="s">
        <v>654</v>
      </c>
      <c r="AF520" s="184"/>
      <c r="AG520" s="183"/>
      <c r="AH520" s="183"/>
      <c r="AI520" s="183"/>
      <c r="AJ520" s="183"/>
      <c r="AK520" s="9" t="s">
        <v>654</v>
      </c>
      <c r="AL520" s="183"/>
      <c r="AM520" s="186" t="str">
        <f>IF(AF520="","","Q"&amp;INT((MONTH(AF520)-1)/3)+1&amp;YEAR(AF520)&amp;#REF!&amp;T520)</f>
        <v/>
      </c>
      <c r="AN520" s="186" t="e">
        <f>IF(K520="","","Q"&amp;INT((MONTH(K520)-1)/3)+1&amp;YEAR(K520)&amp;#REF!)</f>
        <v>#REF!</v>
      </c>
    </row>
    <row r="521" spans="1:40" ht="20.100000000000001" customHeight="1" x14ac:dyDescent="0.25">
      <c r="A521" s="8">
        <v>519</v>
      </c>
      <c r="B521" s="8" t="s">
        <v>399</v>
      </c>
      <c r="C521" s="8" t="s">
        <v>1997</v>
      </c>
      <c r="D521" s="8" t="s">
        <v>2416</v>
      </c>
      <c r="E521" s="8" t="s">
        <v>1998</v>
      </c>
      <c r="F521" s="183" t="s">
        <v>4647</v>
      </c>
      <c r="G521" s="183"/>
      <c r="H521" s="183" t="s">
        <v>4646</v>
      </c>
      <c r="I521" s="183" t="s">
        <v>618</v>
      </c>
      <c r="J521" s="183"/>
      <c r="K521" s="184">
        <v>46064</v>
      </c>
      <c r="L521" s="183">
        <v>76</v>
      </c>
      <c r="M521" s="185" t="str">
        <f>IF(phc_8[[#This Row],[Register No.]]="","",C521&amp;"-"&amp;D521&amp;"-"&amp;"BHA-PHC-"&amp;phc_8[[#This Row],[Register No.]])</f>
        <v>Shining Star-Mobile Clinic-BHA-PHC-76</v>
      </c>
      <c r="N521" s="9" t="s">
        <v>401</v>
      </c>
      <c r="O521" s="183" t="s">
        <v>4235</v>
      </c>
      <c r="P521" s="183">
        <v>24</v>
      </c>
      <c r="Q521" s="183"/>
      <c r="R521" s="183"/>
      <c r="S521" s="186" t="str">
        <f t="shared" si="18"/>
        <v>19 - 49 yrs</v>
      </c>
      <c r="T521" s="183" t="s">
        <v>603</v>
      </c>
      <c r="U521" s="183"/>
      <c r="V521" s="183" t="s">
        <v>4240</v>
      </c>
      <c r="W521" s="183" t="s">
        <v>2028</v>
      </c>
      <c r="X521" s="183" t="s">
        <v>108</v>
      </c>
      <c r="Y521" s="186" t="str">
        <f>INDEX(info!$Y$2:$Y$192,MATCH(phc_8[[#This Row],[Sub_Category]],info!$X$2:$X$192,0))</f>
        <v>ARI/RTI</v>
      </c>
      <c r="Z521" s="186" t="str">
        <f t="array" ref="Z521">INDEX(info!$AA$2:$AA$192,MATCH(PHC!$X521&amp;PHC!$Y521,info!$X$2:$X$192&amp;info!$Y$2:$Y$192,0))</f>
        <v>Communicable disease</v>
      </c>
      <c r="AA521" s="183" t="s">
        <v>4244</v>
      </c>
      <c r="AB521" s="9" t="s">
        <v>654</v>
      </c>
      <c r="AC521" s="9" t="s">
        <v>654</v>
      </c>
      <c r="AD521" s="9" t="s">
        <v>654</v>
      </c>
      <c r="AE521" s="9" t="s">
        <v>654</v>
      </c>
      <c r="AF521" s="184"/>
      <c r="AG521" s="183"/>
      <c r="AH521" s="183"/>
      <c r="AI521" s="183"/>
      <c r="AJ521" s="183"/>
      <c r="AK521" s="9" t="s">
        <v>654</v>
      </c>
      <c r="AL521" s="183"/>
      <c r="AM521" s="186" t="str">
        <f>IF(AF521="","","Q"&amp;INT((MONTH(AF521)-1)/3)+1&amp;YEAR(AF521)&amp;#REF!&amp;T521)</f>
        <v/>
      </c>
      <c r="AN521" s="186" t="e">
        <f>IF(K521="","","Q"&amp;INT((MONTH(K521)-1)/3)+1&amp;YEAR(K521)&amp;#REF!)</f>
        <v>#REF!</v>
      </c>
    </row>
    <row r="522" spans="1:40" ht="20.100000000000001" customHeight="1" x14ac:dyDescent="0.25">
      <c r="A522" s="8">
        <v>520</v>
      </c>
      <c r="B522" s="8" t="s">
        <v>399</v>
      </c>
      <c r="C522" s="8" t="s">
        <v>1997</v>
      </c>
      <c r="D522" s="8" t="s">
        <v>2416</v>
      </c>
      <c r="E522" s="8" t="s">
        <v>1998</v>
      </c>
      <c r="F522" s="183" t="s">
        <v>4647</v>
      </c>
      <c r="G522" s="183"/>
      <c r="H522" s="183" t="s">
        <v>4646</v>
      </c>
      <c r="I522" s="183" t="s">
        <v>618</v>
      </c>
      <c r="J522" s="183"/>
      <c r="K522" s="184">
        <v>46064</v>
      </c>
      <c r="L522" s="183">
        <v>77</v>
      </c>
      <c r="M522" s="185" t="str">
        <f>IF(phc_8[[#This Row],[Register No.]]="","",C522&amp;"-"&amp;D522&amp;"-"&amp;"BHA-PHC-"&amp;phc_8[[#This Row],[Register No.]])</f>
        <v>Shining Star-Mobile Clinic-BHA-PHC-77</v>
      </c>
      <c r="N522" s="9" t="s">
        <v>401</v>
      </c>
      <c r="O522" s="183" t="s">
        <v>4236</v>
      </c>
      <c r="P522" s="183">
        <v>36</v>
      </c>
      <c r="Q522" s="183"/>
      <c r="R522" s="183"/>
      <c r="S522" s="186" t="str">
        <f t="shared" si="18"/>
        <v>19 - 49 yrs</v>
      </c>
      <c r="T522" s="183" t="s">
        <v>603</v>
      </c>
      <c r="U522" s="183"/>
      <c r="V522" s="183" t="s">
        <v>4241</v>
      </c>
      <c r="W522" s="183" t="s">
        <v>294</v>
      </c>
      <c r="X522" s="183" t="s">
        <v>294</v>
      </c>
      <c r="Y522" s="186" t="str">
        <f>INDEX(info!$Y$2:$Y$192,MATCH(phc_8[[#This Row],[Sub_Category]],info!$X$2:$X$192,0))</f>
        <v>Other (non-communicable)</v>
      </c>
      <c r="Z522" s="186" t="str">
        <f t="array" ref="Z522">INDEX(info!$AA$2:$AA$192,MATCH(PHC!$X522&amp;PHC!$Y522,info!$X$2:$X$192&amp;info!$Y$2:$Y$192,0))</f>
        <v>Other</v>
      </c>
      <c r="AA522" s="183" t="s">
        <v>4245</v>
      </c>
      <c r="AB522" s="9" t="s">
        <v>654</v>
      </c>
      <c r="AC522" s="9" t="s">
        <v>654</v>
      </c>
      <c r="AD522" s="9" t="s">
        <v>654</v>
      </c>
      <c r="AE522" s="9" t="s">
        <v>654</v>
      </c>
      <c r="AF522" s="184"/>
      <c r="AG522" s="183"/>
      <c r="AH522" s="183"/>
      <c r="AI522" s="183"/>
      <c r="AJ522" s="183"/>
      <c r="AK522" s="9" t="s">
        <v>654</v>
      </c>
      <c r="AL522" s="183"/>
      <c r="AM522" s="186" t="str">
        <f>IF(AF522="","","Q"&amp;INT((MONTH(AF522)-1)/3)+1&amp;YEAR(AF522)&amp;#REF!&amp;T522)</f>
        <v/>
      </c>
      <c r="AN522" s="186" t="e">
        <f>IF(K522="","","Q"&amp;INT((MONTH(K522)-1)/3)+1&amp;YEAR(K522)&amp;#REF!)</f>
        <v>#REF!</v>
      </c>
    </row>
    <row r="523" spans="1:40" ht="20.100000000000001" customHeight="1" x14ac:dyDescent="0.25">
      <c r="A523" s="8">
        <v>521</v>
      </c>
      <c r="B523" s="8" t="s">
        <v>399</v>
      </c>
      <c r="C523" s="8" t="s">
        <v>1997</v>
      </c>
      <c r="D523" s="8" t="s">
        <v>2416</v>
      </c>
      <c r="E523" s="8" t="s">
        <v>1998</v>
      </c>
      <c r="F523" s="183" t="s">
        <v>4647</v>
      </c>
      <c r="G523" s="183"/>
      <c r="H523" s="183" t="s">
        <v>4646</v>
      </c>
      <c r="I523" s="183" t="s">
        <v>618</v>
      </c>
      <c r="J523" s="183"/>
      <c r="K523" s="184">
        <v>46064</v>
      </c>
      <c r="L523" s="183">
        <v>78</v>
      </c>
      <c r="M523" s="185" t="str">
        <f>IF(phc_8[[#This Row],[Register No.]]="","",C523&amp;"-"&amp;D523&amp;"-"&amp;"BHA-PHC-"&amp;phc_8[[#This Row],[Register No.]])</f>
        <v>Shining Star-Mobile Clinic-BHA-PHC-78</v>
      </c>
      <c r="N523" s="9" t="s">
        <v>401</v>
      </c>
      <c r="O523" s="183" t="s">
        <v>4237</v>
      </c>
      <c r="P523" s="183">
        <v>39</v>
      </c>
      <c r="Q523" s="183"/>
      <c r="R523" s="183"/>
      <c r="S523" s="186" t="str">
        <f t="shared" ref="S523:S527" si="19">IF(AND(ISBLANK(P523),ISBLANK(Q523),ISBLANK(R523))," ",
IF(OR(P523&lt;5,AND(P523=" ",Q523&lt;&gt;" ",R523&lt;&gt;" ")),"&lt;5 yrs",
IF(AND(P523&gt;=5,P523&lt;=14),"5 - 14 yrs",
IF(AND(P523&gt;=15,P523&lt;=18),"15 - 18 yrs",
IF(AND(P523&gt;=19,P523&lt;=49),"19 - 49 yrs","50 yrs +")))))</f>
        <v>19 - 49 yrs</v>
      </c>
      <c r="T523" s="183" t="s">
        <v>603</v>
      </c>
      <c r="U523" s="183"/>
      <c r="V523" s="183" t="s">
        <v>4242</v>
      </c>
      <c r="W523" s="183" t="s">
        <v>4217</v>
      </c>
      <c r="X523" s="183" t="s">
        <v>242</v>
      </c>
      <c r="Y523" s="186" t="str">
        <f>INDEX(info!$Y$2:$Y$192,MATCH(phc_8[[#This Row],[Sub_Category]],info!$X$2:$X$192,0))</f>
        <v>Accident/minor sugical and injuries</v>
      </c>
      <c r="Z523" s="186" t="str">
        <f t="array" ref="Z523">INDEX(info!$AA$2:$AA$192,MATCH(PHC!$X523&amp;PHC!$Y523,info!$X$2:$X$192&amp;info!$Y$2:$Y$192,0))</f>
        <v>Injury related</v>
      </c>
      <c r="AA523" s="183" t="s">
        <v>4246</v>
      </c>
      <c r="AB523" s="9" t="s">
        <v>654</v>
      </c>
      <c r="AC523" s="9" t="s">
        <v>654</v>
      </c>
      <c r="AD523" s="9" t="s">
        <v>654</v>
      </c>
      <c r="AE523" s="9" t="s">
        <v>654</v>
      </c>
      <c r="AF523" s="184"/>
      <c r="AG523" s="183"/>
      <c r="AH523" s="183"/>
      <c r="AI523" s="183"/>
      <c r="AJ523" s="183"/>
      <c r="AK523" s="9" t="s">
        <v>654</v>
      </c>
      <c r="AL523" s="183"/>
      <c r="AM523" s="186" t="str">
        <f>IF(AF523="","","Q"&amp;INT((MONTH(AF523)-1)/3)+1&amp;YEAR(AF523)&amp;#REF!&amp;T523)</f>
        <v/>
      </c>
      <c r="AN523" s="186" t="e">
        <f>IF(K523="","","Q"&amp;INT((MONTH(K523)-1)/3)+1&amp;YEAR(K523)&amp;#REF!)</f>
        <v>#REF!</v>
      </c>
    </row>
    <row r="524" spans="1:40" ht="20.100000000000001" customHeight="1" x14ac:dyDescent="0.25">
      <c r="A524" s="8">
        <v>522</v>
      </c>
      <c r="B524" s="8" t="s">
        <v>399</v>
      </c>
      <c r="C524" s="8" t="s">
        <v>1997</v>
      </c>
      <c r="D524" s="8" t="s">
        <v>2416</v>
      </c>
      <c r="E524" s="8" t="s">
        <v>1998</v>
      </c>
      <c r="F524" s="183" t="s">
        <v>4647</v>
      </c>
      <c r="G524" s="183"/>
      <c r="H524" s="183" t="s">
        <v>4646</v>
      </c>
      <c r="I524" s="183" t="s">
        <v>618</v>
      </c>
      <c r="J524" s="183"/>
      <c r="K524" s="184">
        <v>46064</v>
      </c>
      <c r="L524" s="183">
        <v>79</v>
      </c>
      <c r="M524" s="185" t="str">
        <f>IF(phc_8[[#This Row],[Register No.]]="","",C524&amp;"-"&amp;D524&amp;"-"&amp;"BHA-PHC-"&amp;phc_8[[#This Row],[Register No.]])</f>
        <v>Shining Star-Mobile Clinic-BHA-PHC-79</v>
      </c>
      <c r="N524" s="9" t="s">
        <v>401</v>
      </c>
      <c r="O524" s="183" t="s">
        <v>4238</v>
      </c>
      <c r="P524" s="183">
        <v>40</v>
      </c>
      <c r="Q524" s="183"/>
      <c r="R524" s="183"/>
      <c r="S524" s="186" t="str">
        <f t="shared" si="19"/>
        <v>19 - 49 yrs</v>
      </c>
      <c r="T524" s="183" t="s">
        <v>603</v>
      </c>
      <c r="U524" s="183"/>
      <c r="V524" s="183" t="s">
        <v>2143</v>
      </c>
      <c r="W524" s="183" t="s">
        <v>2003</v>
      </c>
      <c r="X524" s="183" t="s">
        <v>181</v>
      </c>
      <c r="Y524" s="186" t="str">
        <f>INDEX(info!$Y$2:$Y$192,MATCH(phc_8[[#This Row],[Sub_Category]],info!$X$2:$X$192,0))</f>
        <v>Chronic medical disease</v>
      </c>
      <c r="Z524" s="186" t="str">
        <f t="array" ref="Z524">INDEX(info!$AA$2:$AA$192,MATCH(PHC!$X524&amp;PHC!$Y524,info!$X$2:$X$192&amp;info!$Y$2:$Y$192,0))</f>
        <v>Non-communicable disease</v>
      </c>
      <c r="AA524" s="183" t="s">
        <v>4247</v>
      </c>
      <c r="AB524" s="9" t="s">
        <v>654</v>
      </c>
      <c r="AC524" s="9" t="s">
        <v>654</v>
      </c>
      <c r="AD524" s="9" t="s">
        <v>654</v>
      </c>
      <c r="AE524" s="9" t="s">
        <v>654</v>
      </c>
      <c r="AF524" s="184"/>
      <c r="AG524" s="183"/>
      <c r="AH524" s="183"/>
      <c r="AI524" s="183"/>
      <c r="AJ524" s="183"/>
      <c r="AK524" s="9" t="s">
        <v>654</v>
      </c>
      <c r="AL524" s="183"/>
      <c r="AM524" s="186" t="str">
        <f>IF(AF524="","","Q"&amp;INT((MONTH(AF524)-1)/3)+1&amp;YEAR(AF524)&amp;#REF!&amp;T524)</f>
        <v/>
      </c>
      <c r="AN524" s="186" t="e">
        <f>IF(K524="","","Q"&amp;INT((MONTH(K524)-1)/3)+1&amp;YEAR(K524)&amp;#REF!)</f>
        <v>#REF!</v>
      </c>
    </row>
    <row r="525" spans="1:40" ht="20.100000000000001" customHeight="1" x14ac:dyDescent="0.25">
      <c r="A525" s="8">
        <v>523</v>
      </c>
      <c r="B525" s="8" t="s">
        <v>399</v>
      </c>
      <c r="C525" s="8" t="s">
        <v>1997</v>
      </c>
      <c r="D525" s="8" t="s">
        <v>2416</v>
      </c>
      <c r="E525" s="8" t="s">
        <v>1998</v>
      </c>
      <c r="F525" s="183" t="s">
        <v>4647</v>
      </c>
      <c r="G525" s="183"/>
      <c r="H525" s="183" t="s">
        <v>4646</v>
      </c>
      <c r="I525" s="183" t="s">
        <v>618</v>
      </c>
      <c r="J525" s="183"/>
      <c r="K525" s="184">
        <v>46064</v>
      </c>
      <c r="L525" s="183">
        <v>80</v>
      </c>
      <c r="M525" s="185" t="str">
        <f>IF(phc_8[[#This Row],[Register No.]]="","",C525&amp;"-"&amp;D525&amp;"-"&amp;"BHA-PHC-"&amp;phc_8[[#This Row],[Register No.]])</f>
        <v>Shining Star-Mobile Clinic-BHA-PHC-80</v>
      </c>
      <c r="N525" s="9" t="s">
        <v>401</v>
      </c>
      <c r="O525" s="183" t="s">
        <v>4239</v>
      </c>
      <c r="P525" s="183">
        <v>49</v>
      </c>
      <c r="Q525" s="183"/>
      <c r="R525" s="183"/>
      <c r="S525" s="186" t="str">
        <f t="shared" si="19"/>
        <v>19 - 49 yrs</v>
      </c>
      <c r="T525" s="183" t="s">
        <v>603</v>
      </c>
      <c r="U525" s="183"/>
      <c r="V525" s="183" t="s">
        <v>4243</v>
      </c>
      <c r="W525" s="183" t="s">
        <v>3611</v>
      </c>
      <c r="X525" s="183" t="s">
        <v>213</v>
      </c>
      <c r="Y525" s="186" t="str">
        <f>INDEX(info!$Y$2:$Y$192,MATCH(phc_8[[#This Row],[Sub_Category]],info!$X$2:$X$192,0))</f>
        <v>Other</v>
      </c>
      <c r="Z525" s="186" t="str">
        <f t="array" ref="Z525">INDEX(info!$AA$2:$AA$192,MATCH(PHC!$X525&amp;PHC!$Y525,info!$X$2:$X$192&amp;info!$Y$2:$Y$192,0))</f>
        <v>Other</v>
      </c>
      <c r="AA525" s="183" t="s">
        <v>4248</v>
      </c>
      <c r="AB525" s="9" t="s">
        <v>654</v>
      </c>
      <c r="AC525" s="9" t="s">
        <v>654</v>
      </c>
      <c r="AD525" s="9" t="s">
        <v>654</v>
      </c>
      <c r="AE525" s="9" t="s">
        <v>654</v>
      </c>
      <c r="AF525" s="184"/>
      <c r="AG525" s="183"/>
      <c r="AH525" s="183"/>
      <c r="AI525" s="183"/>
      <c r="AJ525" s="183"/>
      <c r="AK525" s="9" t="s">
        <v>654</v>
      </c>
      <c r="AL525" s="183"/>
      <c r="AM525" s="186" t="str">
        <f>IF(AF525="","","Q"&amp;INT((MONTH(AF525)-1)/3)+1&amp;YEAR(AF525)&amp;#REF!&amp;T525)</f>
        <v/>
      </c>
      <c r="AN525" s="186" t="e">
        <f>IF(K525="","","Q"&amp;INT((MONTH(K525)-1)/3)+1&amp;YEAR(K525)&amp;#REF!)</f>
        <v>#REF!</v>
      </c>
    </row>
    <row r="526" spans="1:40" ht="20.100000000000001" customHeight="1" x14ac:dyDescent="0.25">
      <c r="A526" s="8">
        <v>524</v>
      </c>
      <c r="B526" s="8" t="s">
        <v>399</v>
      </c>
      <c r="C526" s="8" t="s">
        <v>1997</v>
      </c>
      <c r="D526" s="8" t="s">
        <v>2416</v>
      </c>
      <c r="E526" s="8" t="s">
        <v>1998</v>
      </c>
      <c r="F526" s="183" t="s">
        <v>4647</v>
      </c>
      <c r="G526" s="183"/>
      <c r="H526" s="183" t="s">
        <v>4646</v>
      </c>
      <c r="I526" s="183" t="s">
        <v>618</v>
      </c>
      <c r="J526" s="183"/>
      <c r="K526" s="184">
        <v>46064</v>
      </c>
      <c r="L526" s="183">
        <v>81</v>
      </c>
      <c r="M526" s="185" t="str">
        <f>IF(phc_8[[#This Row],[Register No.]]="","",C526&amp;"-"&amp;D526&amp;"-"&amp;"BHA-PHC-"&amp;phc_8[[#This Row],[Register No.]])</f>
        <v>Shining Star-Mobile Clinic-BHA-PHC-81</v>
      </c>
      <c r="N526" s="9" t="s">
        <v>401</v>
      </c>
      <c r="O526" s="183" t="s">
        <v>4249</v>
      </c>
      <c r="P526" s="183">
        <v>40</v>
      </c>
      <c r="Q526" s="183"/>
      <c r="R526" s="183"/>
      <c r="S526" s="186" t="str">
        <f t="shared" si="19"/>
        <v>19 - 49 yrs</v>
      </c>
      <c r="T526" s="183" t="s">
        <v>603</v>
      </c>
      <c r="U526" s="183"/>
      <c r="V526" s="183" t="s">
        <v>4254</v>
      </c>
      <c r="W526" s="183" t="s">
        <v>2028</v>
      </c>
      <c r="X526" s="183" t="s">
        <v>108</v>
      </c>
      <c r="Y526" s="186" t="str">
        <f>INDEX(info!$Y$2:$Y$192,MATCH(phc_8[[#This Row],[Sub_Category]],info!$X$2:$X$192,0))</f>
        <v>ARI/RTI</v>
      </c>
      <c r="Z526" s="186" t="str">
        <f t="array" ref="Z526">INDEX(info!$AA$2:$AA$192,MATCH(PHC!$X526&amp;PHC!$Y526,info!$X$2:$X$192&amp;info!$Y$2:$Y$192,0))</f>
        <v>Communicable disease</v>
      </c>
      <c r="AA526" s="183" t="s">
        <v>4259</v>
      </c>
      <c r="AB526" s="9" t="s">
        <v>654</v>
      </c>
      <c r="AC526" s="9" t="s">
        <v>654</v>
      </c>
      <c r="AD526" s="9" t="s">
        <v>654</v>
      </c>
      <c r="AE526" s="9" t="s">
        <v>654</v>
      </c>
      <c r="AF526" s="184"/>
      <c r="AG526" s="183"/>
      <c r="AH526" s="183"/>
      <c r="AI526" s="183"/>
      <c r="AJ526" s="183"/>
      <c r="AK526" s="9" t="s">
        <v>654</v>
      </c>
      <c r="AL526" s="183"/>
      <c r="AM526" s="186" t="str">
        <f>IF(AF526="","","Q"&amp;INT((MONTH(AF526)-1)/3)+1&amp;YEAR(AF526)&amp;#REF!&amp;T526)</f>
        <v/>
      </c>
      <c r="AN526" s="186" t="e">
        <f>IF(K526="","","Q"&amp;INT((MONTH(K526)-1)/3)+1&amp;YEAR(K526)&amp;#REF!)</f>
        <v>#REF!</v>
      </c>
    </row>
    <row r="527" spans="1:40" ht="20.100000000000001" customHeight="1" x14ac:dyDescent="0.25">
      <c r="A527" s="8">
        <v>525</v>
      </c>
      <c r="B527" s="8" t="s">
        <v>399</v>
      </c>
      <c r="C527" s="8" t="s">
        <v>1997</v>
      </c>
      <c r="D527" s="8" t="s">
        <v>2416</v>
      </c>
      <c r="E527" s="8" t="s">
        <v>1998</v>
      </c>
      <c r="F527" s="183" t="s">
        <v>4647</v>
      </c>
      <c r="G527" s="183"/>
      <c r="H527" s="183" t="s">
        <v>4646</v>
      </c>
      <c r="I527" s="183" t="s">
        <v>618</v>
      </c>
      <c r="J527" s="183"/>
      <c r="K527" s="184">
        <v>46064</v>
      </c>
      <c r="L527" s="183">
        <v>82</v>
      </c>
      <c r="M527" s="185" t="str">
        <f>IF(phc_8[[#This Row],[Register No.]]="","",C527&amp;"-"&amp;D527&amp;"-"&amp;"BHA-PHC-"&amp;phc_8[[#This Row],[Register No.]])</f>
        <v>Shining Star-Mobile Clinic-BHA-PHC-82</v>
      </c>
      <c r="N527" s="9" t="s">
        <v>401</v>
      </c>
      <c r="O527" s="183" t="s">
        <v>4250</v>
      </c>
      <c r="P527" s="183">
        <v>72</v>
      </c>
      <c r="Q527" s="183"/>
      <c r="R527" s="183"/>
      <c r="S527" s="186" t="str">
        <f t="shared" si="19"/>
        <v>50 yrs +</v>
      </c>
      <c r="T527" s="183" t="s">
        <v>402</v>
      </c>
      <c r="U527" s="183"/>
      <c r="V527" s="183" t="s">
        <v>4123</v>
      </c>
      <c r="W527" s="183" t="s">
        <v>4258</v>
      </c>
      <c r="X527" s="183" t="s">
        <v>181</v>
      </c>
      <c r="Y527" s="186" t="str">
        <f>INDEX(info!$Y$2:$Y$192,MATCH(phc_8[[#This Row],[Sub_Category]],info!$X$2:$X$192,0))</f>
        <v>Chronic medical disease</v>
      </c>
      <c r="Z527" s="186" t="str">
        <f t="array" ref="Z527">INDEX(info!$AA$2:$AA$192,MATCH(PHC!$X527&amp;PHC!$Y527,info!$X$2:$X$192&amp;info!$Y$2:$Y$192,0))</f>
        <v>Non-communicable disease</v>
      </c>
      <c r="AA527" s="183" t="s">
        <v>4260</v>
      </c>
      <c r="AB527" s="9" t="s">
        <v>654</v>
      </c>
      <c r="AC527" s="9" t="s">
        <v>654</v>
      </c>
      <c r="AD527" s="9" t="s">
        <v>654</v>
      </c>
      <c r="AE527" s="9" t="s">
        <v>654</v>
      </c>
      <c r="AF527" s="184"/>
      <c r="AG527" s="183"/>
      <c r="AH527" s="183"/>
      <c r="AI527" s="183"/>
      <c r="AJ527" s="183"/>
      <c r="AK527" s="9" t="s">
        <v>654</v>
      </c>
      <c r="AL527" s="183"/>
      <c r="AM527" s="186" t="str">
        <f>IF(AF527="","","Q"&amp;INT((MONTH(AF527)-1)/3)+1&amp;YEAR(AF527)&amp;#REF!&amp;T527)</f>
        <v/>
      </c>
      <c r="AN527" s="186" t="e">
        <f>IF(K527="","","Q"&amp;INT((MONTH(K527)-1)/3)+1&amp;YEAR(K527)&amp;#REF!)</f>
        <v>#REF!</v>
      </c>
    </row>
    <row r="528" spans="1:40" ht="20.100000000000001" customHeight="1" x14ac:dyDescent="0.25">
      <c r="A528" s="8">
        <v>526</v>
      </c>
      <c r="B528" s="8" t="s">
        <v>399</v>
      </c>
      <c r="C528" s="8" t="s">
        <v>1997</v>
      </c>
      <c r="D528" s="8" t="s">
        <v>2416</v>
      </c>
      <c r="E528" s="8" t="s">
        <v>1998</v>
      </c>
      <c r="F528" s="183" t="s">
        <v>4647</v>
      </c>
      <c r="G528" s="183"/>
      <c r="H528" s="183" t="s">
        <v>4646</v>
      </c>
      <c r="I528" s="183" t="s">
        <v>618</v>
      </c>
      <c r="J528" s="183"/>
      <c r="K528" s="184">
        <v>46064</v>
      </c>
      <c r="L528" s="183">
        <v>83</v>
      </c>
      <c r="M528" s="185" t="str">
        <f>IF(phc_8[[#This Row],[Register No.]]="","",C528&amp;"-"&amp;D528&amp;"-"&amp;"BHA-PHC-"&amp;phc_8[[#This Row],[Register No.]])</f>
        <v>Shining Star-Mobile Clinic-BHA-PHC-83</v>
      </c>
      <c r="N528" s="9" t="s">
        <v>401</v>
      </c>
      <c r="O528" s="183" t="s">
        <v>4251</v>
      </c>
      <c r="P528" s="183">
        <v>42</v>
      </c>
      <c r="Q528" s="183"/>
      <c r="R528" s="183"/>
      <c r="S528" s="186" t="str">
        <f t="shared" ref="S528:S559" si="20">IF(AND(ISBLANK(P528),ISBLANK(Q528),ISBLANK(R528))," ",
IF(OR(P528&lt;5,AND(P528=" ",Q528&lt;&gt;" ",R528&lt;&gt;" ")),"&lt;5 yrs",
IF(AND(P528&gt;=5,P528&lt;=14),"5 - 14 yrs",
IF(AND(P528&gt;=15,P528&lt;=18),"15 - 18 yrs",
IF(AND(P528&gt;=19,P528&lt;=49),"19 - 49 yrs","50 yrs +")))))</f>
        <v>19 - 49 yrs</v>
      </c>
      <c r="T528" s="183" t="s">
        <v>603</v>
      </c>
      <c r="U528" s="183"/>
      <c r="V528" s="183" t="s">
        <v>4255</v>
      </c>
      <c r="W528" s="183" t="s">
        <v>2003</v>
      </c>
      <c r="X528" s="183" t="s">
        <v>181</v>
      </c>
      <c r="Y528" s="186" t="str">
        <f>INDEX(info!$Y$2:$Y$192,MATCH(phc_8[[#This Row],[Sub_Category]],info!$X$2:$X$192,0))</f>
        <v>Chronic medical disease</v>
      </c>
      <c r="Z528" s="186" t="str">
        <f t="array" ref="Z528">INDEX(info!$AA$2:$AA$192,MATCH(PHC!$X528&amp;PHC!$Y528,info!$X$2:$X$192&amp;info!$Y$2:$Y$192,0))</f>
        <v>Non-communicable disease</v>
      </c>
      <c r="AA528" s="183" t="s">
        <v>3093</v>
      </c>
      <c r="AB528" s="9" t="s">
        <v>654</v>
      </c>
      <c r="AC528" s="9" t="s">
        <v>654</v>
      </c>
      <c r="AD528" s="9" t="s">
        <v>654</v>
      </c>
      <c r="AE528" s="9" t="s">
        <v>654</v>
      </c>
      <c r="AF528" s="184"/>
      <c r="AG528" s="183"/>
      <c r="AH528" s="183"/>
      <c r="AI528" s="183"/>
      <c r="AJ528" s="183"/>
      <c r="AK528" s="9" t="s">
        <v>654</v>
      </c>
      <c r="AL528" s="183"/>
      <c r="AM528" s="186" t="str">
        <f>IF(AF528="","","Q"&amp;INT((MONTH(AF528)-1)/3)+1&amp;YEAR(AF528)&amp;#REF!&amp;T528)</f>
        <v/>
      </c>
      <c r="AN528" s="186" t="e">
        <f>IF(K528="","","Q"&amp;INT((MONTH(K528)-1)/3)+1&amp;YEAR(K528)&amp;#REF!)</f>
        <v>#REF!</v>
      </c>
    </row>
    <row r="529" spans="1:40" ht="20.100000000000001" customHeight="1" x14ac:dyDescent="0.25">
      <c r="A529" s="8">
        <v>527</v>
      </c>
      <c r="B529" s="8" t="s">
        <v>399</v>
      </c>
      <c r="C529" s="8" t="s">
        <v>1997</v>
      </c>
      <c r="D529" s="8" t="s">
        <v>2416</v>
      </c>
      <c r="E529" s="8" t="s">
        <v>1998</v>
      </c>
      <c r="F529" s="183" t="s">
        <v>4647</v>
      </c>
      <c r="G529" s="183"/>
      <c r="H529" s="183" t="s">
        <v>4646</v>
      </c>
      <c r="I529" s="183" t="s">
        <v>618</v>
      </c>
      <c r="J529" s="183"/>
      <c r="K529" s="184">
        <v>46064</v>
      </c>
      <c r="L529" s="183">
        <v>84</v>
      </c>
      <c r="M529" s="185" t="str">
        <f>IF(phc_8[[#This Row],[Register No.]]="","",C529&amp;"-"&amp;D529&amp;"-"&amp;"BHA-PHC-"&amp;phc_8[[#This Row],[Register No.]])</f>
        <v>Shining Star-Mobile Clinic-BHA-PHC-84</v>
      </c>
      <c r="N529" s="9" t="s">
        <v>401</v>
      </c>
      <c r="O529" s="183" t="s">
        <v>4252</v>
      </c>
      <c r="P529" s="183">
        <v>3</v>
      </c>
      <c r="Q529" s="183">
        <v>6</v>
      </c>
      <c r="R529" s="183"/>
      <c r="S529" s="186" t="str">
        <f t="shared" si="20"/>
        <v>&lt;5 yrs</v>
      </c>
      <c r="T529" s="183" t="s">
        <v>603</v>
      </c>
      <c r="U529" s="183"/>
      <c r="V529" s="183" t="s">
        <v>4256</v>
      </c>
      <c r="W529" s="183" t="s">
        <v>4257</v>
      </c>
      <c r="X529" s="183" t="s">
        <v>294</v>
      </c>
      <c r="Y529" s="186" t="str">
        <f>INDEX(info!$Y$2:$Y$192,MATCH(phc_8[[#This Row],[Sub_Category]],info!$X$2:$X$192,0))</f>
        <v>Other (non-communicable)</v>
      </c>
      <c r="Z529" s="186" t="str">
        <f t="array" ref="Z529">INDEX(info!$AA$2:$AA$192,MATCH(PHC!$X529&amp;PHC!$Y529,info!$X$2:$X$192&amp;info!$Y$2:$Y$192,0))</f>
        <v>Other</v>
      </c>
      <c r="AA529" s="183" t="s">
        <v>2033</v>
      </c>
      <c r="AB529" s="9" t="s">
        <v>654</v>
      </c>
      <c r="AC529" s="9" t="s">
        <v>654</v>
      </c>
      <c r="AD529" s="9" t="s">
        <v>654</v>
      </c>
      <c r="AE529" s="9" t="s">
        <v>654</v>
      </c>
      <c r="AF529" s="184"/>
      <c r="AG529" s="183"/>
      <c r="AH529" s="183"/>
      <c r="AI529" s="183"/>
      <c r="AJ529" s="183"/>
      <c r="AK529" s="9" t="s">
        <v>654</v>
      </c>
      <c r="AL529" s="183"/>
      <c r="AM529" s="186" t="str">
        <f>IF(AF529="","","Q"&amp;INT((MONTH(AF529)-1)/3)+1&amp;YEAR(AF529)&amp;#REF!&amp;T529)</f>
        <v/>
      </c>
      <c r="AN529" s="186" t="e">
        <f>IF(K529="","","Q"&amp;INT((MONTH(K529)-1)/3)+1&amp;YEAR(K529)&amp;#REF!)</f>
        <v>#REF!</v>
      </c>
    </row>
    <row r="530" spans="1:40" ht="20.100000000000001" customHeight="1" x14ac:dyDescent="0.25">
      <c r="A530" s="8">
        <v>528</v>
      </c>
      <c r="B530" s="8" t="s">
        <v>399</v>
      </c>
      <c r="C530" s="8" t="s">
        <v>1997</v>
      </c>
      <c r="D530" s="8" t="s">
        <v>2416</v>
      </c>
      <c r="E530" s="8" t="s">
        <v>1998</v>
      </c>
      <c r="F530" s="183" t="s">
        <v>4647</v>
      </c>
      <c r="G530" s="183"/>
      <c r="H530" s="183" t="s">
        <v>4646</v>
      </c>
      <c r="I530" s="183" t="s">
        <v>618</v>
      </c>
      <c r="J530" s="183"/>
      <c r="K530" s="184">
        <v>46064</v>
      </c>
      <c r="L530" s="183">
        <v>85</v>
      </c>
      <c r="M530" s="185" t="str">
        <f>IF(phc_8[[#This Row],[Register No.]]="","",C530&amp;"-"&amp;D530&amp;"-"&amp;"BHA-PHC-"&amp;phc_8[[#This Row],[Register No.]])</f>
        <v>Shining Star-Mobile Clinic-BHA-PHC-85</v>
      </c>
      <c r="N530" s="9" t="s">
        <v>401</v>
      </c>
      <c r="O530" s="183" t="s">
        <v>4253</v>
      </c>
      <c r="P530" s="183"/>
      <c r="Q530" s="183"/>
      <c r="R530" s="183">
        <v>13</v>
      </c>
      <c r="S530" s="186" t="str">
        <f t="shared" si="20"/>
        <v>&lt;5 yrs</v>
      </c>
      <c r="T530" s="183" t="s">
        <v>603</v>
      </c>
      <c r="U530" s="183"/>
      <c r="V530" s="183" t="s">
        <v>4256</v>
      </c>
      <c r="W530" s="183" t="s">
        <v>3196</v>
      </c>
      <c r="X530" s="183"/>
      <c r="Y530" s="186" t="e">
        <f>INDEX(info!$Y$2:$Y$192,MATCH(phc_8[[#This Row],[Sub_Category]],info!$X$2:$X$192,0))</f>
        <v>#N/A</v>
      </c>
      <c r="Z530" s="186" t="e">
        <f t="array" ref="Z530">INDEX(info!$AA$2:$AA$192,MATCH(PHC!$X530&amp;PHC!$Y530,info!$X$2:$X$192&amp;info!$Y$2:$Y$192,0))</f>
        <v>#N/A</v>
      </c>
      <c r="AA530" s="183"/>
      <c r="AB530" s="9" t="s">
        <v>654</v>
      </c>
      <c r="AC530" s="9" t="s">
        <v>654</v>
      </c>
      <c r="AD530" s="9" t="s">
        <v>654</v>
      </c>
      <c r="AE530" s="9" t="s">
        <v>654</v>
      </c>
      <c r="AF530" s="184"/>
      <c r="AG530" s="183"/>
      <c r="AH530" s="183"/>
      <c r="AI530" s="183"/>
      <c r="AJ530" s="183"/>
      <c r="AK530" s="9" t="s">
        <v>654</v>
      </c>
      <c r="AL530" s="183"/>
      <c r="AM530" s="186" t="str">
        <f>IF(AF530="","","Q"&amp;INT((MONTH(AF530)-1)/3)+1&amp;YEAR(AF530)&amp;#REF!&amp;T530)</f>
        <v/>
      </c>
      <c r="AN530" s="186" t="e">
        <f>IF(K530="","","Q"&amp;INT((MONTH(K530)-1)/3)+1&amp;YEAR(K530)&amp;#REF!)</f>
        <v>#REF!</v>
      </c>
    </row>
    <row r="531" spans="1:40" ht="20.100000000000001" customHeight="1" x14ac:dyDescent="0.25">
      <c r="A531" s="8">
        <v>529</v>
      </c>
      <c r="B531" s="8" t="s">
        <v>399</v>
      </c>
      <c r="C531" s="8" t="s">
        <v>1997</v>
      </c>
      <c r="D531" s="8" t="s">
        <v>2416</v>
      </c>
      <c r="E531" s="8" t="s">
        <v>1998</v>
      </c>
      <c r="F531" s="183" t="s">
        <v>4647</v>
      </c>
      <c r="G531" s="183"/>
      <c r="H531" s="183" t="s">
        <v>4646</v>
      </c>
      <c r="I531" s="183" t="s">
        <v>618</v>
      </c>
      <c r="J531" s="183"/>
      <c r="K531" s="184">
        <v>46064</v>
      </c>
      <c r="L531" s="183">
        <v>86</v>
      </c>
      <c r="M531" s="185" t="str">
        <f>IF(phc_8[[#This Row],[Register No.]]="","",C531&amp;"-"&amp;D531&amp;"-"&amp;"BHA-PHC-"&amp;phc_8[[#This Row],[Register No.]])</f>
        <v>Shining Star-Mobile Clinic-BHA-PHC-86</v>
      </c>
      <c r="N531" s="9" t="s">
        <v>401</v>
      </c>
      <c r="O531" s="183" t="s">
        <v>4261</v>
      </c>
      <c r="P531" s="183">
        <v>29</v>
      </c>
      <c r="Q531" s="183"/>
      <c r="R531" s="183"/>
      <c r="S531" s="186" t="str">
        <f t="shared" si="20"/>
        <v>19 - 49 yrs</v>
      </c>
      <c r="T531" s="183" t="s">
        <v>603</v>
      </c>
      <c r="U531" s="183"/>
      <c r="V531" s="183" t="s">
        <v>4266</v>
      </c>
      <c r="W531" s="183" t="s">
        <v>408</v>
      </c>
      <c r="X531" s="183"/>
      <c r="Y531" s="186" t="e">
        <f>INDEX(info!$Y$2:$Y$192,MATCH(phc_8[[#This Row],[Sub_Category]],info!$X$2:$X$192,0))</f>
        <v>#N/A</v>
      </c>
      <c r="Z531" s="186" t="e">
        <f t="array" ref="Z531">INDEX(info!$AA$2:$AA$192,MATCH(PHC!$X531&amp;PHC!$Y531,info!$X$2:$X$192&amp;info!$Y$2:$Y$192,0))</f>
        <v>#N/A</v>
      </c>
      <c r="AA531" s="183" t="s">
        <v>4270</v>
      </c>
      <c r="AB531" s="9" t="s">
        <v>654</v>
      </c>
      <c r="AC531" s="9" t="s">
        <v>654</v>
      </c>
      <c r="AD531" s="9" t="s">
        <v>654</v>
      </c>
      <c r="AE531" s="9" t="s">
        <v>654</v>
      </c>
      <c r="AF531" s="184"/>
      <c r="AG531" s="183"/>
      <c r="AH531" s="183"/>
      <c r="AI531" s="183"/>
      <c r="AJ531" s="183"/>
      <c r="AK531" s="9" t="s">
        <v>654</v>
      </c>
      <c r="AL531" s="183"/>
      <c r="AM531" s="186" t="str">
        <f>IF(AF531="","","Q"&amp;INT((MONTH(AF531)-1)/3)+1&amp;YEAR(AF531)&amp;#REF!&amp;T531)</f>
        <v/>
      </c>
      <c r="AN531" s="186" t="e">
        <f>IF(K531="","","Q"&amp;INT((MONTH(K531)-1)/3)+1&amp;YEAR(K531)&amp;#REF!)</f>
        <v>#REF!</v>
      </c>
    </row>
    <row r="532" spans="1:40" ht="20.100000000000001" customHeight="1" x14ac:dyDescent="0.25">
      <c r="A532" s="8">
        <v>530</v>
      </c>
      <c r="B532" s="8" t="s">
        <v>399</v>
      </c>
      <c r="C532" s="8" t="s">
        <v>1997</v>
      </c>
      <c r="D532" s="8" t="s">
        <v>2416</v>
      </c>
      <c r="E532" s="8" t="s">
        <v>1998</v>
      </c>
      <c r="F532" s="183" t="s">
        <v>4647</v>
      </c>
      <c r="G532" s="183"/>
      <c r="H532" s="183" t="s">
        <v>4646</v>
      </c>
      <c r="I532" s="183" t="s">
        <v>618</v>
      </c>
      <c r="J532" s="183"/>
      <c r="K532" s="184">
        <v>46064</v>
      </c>
      <c r="L532" s="183">
        <v>87</v>
      </c>
      <c r="M532" s="185" t="str">
        <f>IF(phc_8[[#This Row],[Register No.]]="","",C532&amp;"-"&amp;D532&amp;"-"&amp;"BHA-PHC-"&amp;phc_8[[#This Row],[Register No.]])</f>
        <v>Shining Star-Mobile Clinic-BHA-PHC-87</v>
      </c>
      <c r="N532" s="9" t="s">
        <v>401</v>
      </c>
      <c r="O532" s="183" t="s">
        <v>4262</v>
      </c>
      <c r="P532" s="183">
        <v>2</v>
      </c>
      <c r="Q532" s="183">
        <v>2</v>
      </c>
      <c r="R532" s="183"/>
      <c r="S532" s="186" t="str">
        <f t="shared" si="20"/>
        <v>&lt;5 yrs</v>
      </c>
      <c r="T532" s="183" t="s">
        <v>402</v>
      </c>
      <c r="U532" s="183"/>
      <c r="V532" s="183" t="s">
        <v>4267</v>
      </c>
      <c r="W532" s="183" t="s">
        <v>3308</v>
      </c>
      <c r="X532" s="183" t="s">
        <v>113</v>
      </c>
      <c r="Y532" s="186" t="str">
        <f>INDEX(info!$Y$2:$Y$192,MATCH(phc_8[[#This Row],[Sub_Category]],info!$X$2:$X$192,0))</f>
        <v>ARI/RTI</v>
      </c>
      <c r="Z532" s="186" t="str">
        <f t="array" ref="Z532">INDEX(info!$AA$2:$AA$192,MATCH(PHC!$X532&amp;PHC!$Y532,info!$X$2:$X$192&amp;info!$Y$2:$Y$192,0))</f>
        <v>Communicable disease</v>
      </c>
      <c r="AA532" s="183" t="s">
        <v>4271</v>
      </c>
      <c r="AB532" s="9" t="s">
        <v>654</v>
      </c>
      <c r="AC532" s="9" t="s">
        <v>654</v>
      </c>
      <c r="AD532" s="9" t="s">
        <v>654</v>
      </c>
      <c r="AE532" s="9" t="s">
        <v>654</v>
      </c>
      <c r="AF532" s="184"/>
      <c r="AG532" s="183"/>
      <c r="AH532" s="183"/>
      <c r="AI532" s="183"/>
      <c r="AJ532" s="183"/>
      <c r="AK532" s="9" t="s">
        <v>654</v>
      </c>
      <c r="AL532" s="183"/>
      <c r="AM532" s="186" t="str">
        <f>IF(AF532="","","Q"&amp;INT((MONTH(AF532)-1)/3)+1&amp;YEAR(AF532)&amp;#REF!&amp;T532)</f>
        <v/>
      </c>
      <c r="AN532" s="186" t="e">
        <f>IF(K532="","","Q"&amp;INT((MONTH(K532)-1)/3)+1&amp;YEAR(K532)&amp;#REF!)</f>
        <v>#REF!</v>
      </c>
    </row>
    <row r="533" spans="1:40" ht="20.100000000000001" customHeight="1" x14ac:dyDescent="0.25">
      <c r="A533" s="8">
        <v>531</v>
      </c>
      <c r="B533" s="8" t="s">
        <v>399</v>
      </c>
      <c r="C533" s="8" t="s">
        <v>1997</v>
      </c>
      <c r="D533" s="8" t="s">
        <v>2416</v>
      </c>
      <c r="E533" s="8" t="s">
        <v>1998</v>
      </c>
      <c r="F533" s="183" t="s">
        <v>4647</v>
      </c>
      <c r="G533" s="183"/>
      <c r="H533" s="183" t="s">
        <v>4646</v>
      </c>
      <c r="I533" s="183" t="s">
        <v>618</v>
      </c>
      <c r="J533" s="183"/>
      <c r="K533" s="184">
        <v>46064</v>
      </c>
      <c r="L533" s="183">
        <v>88</v>
      </c>
      <c r="M533" s="185" t="str">
        <f>IF(phc_8[[#This Row],[Register No.]]="","",C533&amp;"-"&amp;D533&amp;"-"&amp;"BHA-PHC-"&amp;phc_8[[#This Row],[Register No.]])</f>
        <v>Shining Star-Mobile Clinic-BHA-PHC-88</v>
      </c>
      <c r="N533" s="9" t="s">
        <v>401</v>
      </c>
      <c r="O533" s="183" t="s">
        <v>4263</v>
      </c>
      <c r="P533" s="183">
        <v>31</v>
      </c>
      <c r="Q533" s="183"/>
      <c r="R533" s="183"/>
      <c r="S533" s="186" t="str">
        <f t="shared" si="20"/>
        <v>19 - 49 yrs</v>
      </c>
      <c r="T533" s="183" t="s">
        <v>603</v>
      </c>
      <c r="U533" s="183"/>
      <c r="V533" s="183" t="s">
        <v>4268</v>
      </c>
      <c r="W533" s="183" t="s">
        <v>4257</v>
      </c>
      <c r="X533" s="183" t="s">
        <v>294</v>
      </c>
      <c r="Y533" s="186" t="str">
        <f>INDEX(info!$Y$2:$Y$192,MATCH(phc_8[[#This Row],[Sub_Category]],info!$X$2:$X$192,0))</f>
        <v>Other (non-communicable)</v>
      </c>
      <c r="Z533" s="186" t="str">
        <f t="array" ref="Z533">INDEX(info!$AA$2:$AA$192,MATCH(PHC!$X533&amp;PHC!$Y533,info!$X$2:$X$192&amp;info!$Y$2:$Y$192,0))</f>
        <v>Other</v>
      </c>
      <c r="AA533" s="183" t="s">
        <v>4272</v>
      </c>
      <c r="AB533" s="9" t="s">
        <v>654</v>
      </c>
      <c r="AC533" s="9" t="s">
        <v>654</v>
      </c>
      <c r="AD533" s="9" t="s">
        <v>654</v>
      </c>
      <c r="AE533" s="9" t="s">
        <v>654</v>
      </c>
      <c r="AF533" s="184"/>
      <c r="AG533" s="183"/>
      <c r="AH533" s="183"/>
      <c r="AI533" s="183"/>
      <c r="AJ533" s="183"/>
      <c r="AK533" s="9" t="s">
        <v>654</v>
      </c>
      <c r="AL533" s="183"/>
      <c r="AM533" s="186" t="str">
        <f>IF(AF533="","","Q"&amp;INT((MONTH(AF533)-1)/3)+1&amp;YEAR(AF533)&amp;#REF!&amp;T533)</f>
        <v/>
      </c>
      <c r="AN533" s="186" t="e">
        <f>IF(K533="","","Q"&amp;INT((MONTH(K533)-1)/3)+1&amp;YEAR(K533)&amp;#REF!)</f>
        <v>#REF!</v>
      </c>
    </row>
    <row r="534" spans="1:40" ht="20.100000000000001" customHeight="1" x14ac:dyDescent="0.25">
      <c r="A534" s="8">
        <v>532</v>
      </c>
      <c r="B534" s="8" t="s">
        <v>399</v>
      </c>
      <c r="C534" s="8" t="s">
        <v>1997</v>
      </c>
      <c r="D534" s="8" t="s">
        <v>2416</v>
      </c>
      <c r="E534" s="8" t="s">
        <v>1998</v>
      </c>
      <c r="F534" s="183" t="s">
        <v>4647</v>
      </c>
      <c r="G534" s="183"/>
      <c r="H534" s="183" t="s">
        <v>4646</v>
      </c>
      <c r="I534" s="183" t="s">
        <v>618</v>
      </c>
      <c r="J534" s="183"/>
      <c r="K534" s="184">
        <v>46064</v>
      </c>
      <c r="L534" s="183">
        <v>89</v>
      </c>
      <c r="M534" s="185" t="str">
        <f>IF(phc_8[[#This Row],[Register No.]]="","",C534&amp;"-"&amp;D534&amp;"-"&amp;"BHA-PHC-"&amp;phc_8[[#This Row],[Register No.]])</f>
        <v>Shining Star-Mobile Clinic-BHA-PHC-89</v>
      </c>
      <c r="N534" s="9" t="s">
        <v>401</v>
      </c>
      <c r="O534" s="183" t="s">
        <v>4264</v>
      </c>
      <c r="P534" s="183">
        <v>67</v>
      </c>
      <c r="Q534" s="183"/>
      <c r="R534" s="183"/>
      <c r="S534" s="186" t="str">
        <f t="shared" si="20"/>
        <v>50 yrs +</v>
      </c>
      <c r="T534" s="183" t="s">
        <v>402</v>
      </c>
      <c r="U534" s="183"/>
      <c r="V534" s="183" t="s">
        <v>2909</v>
      </c>
      <c r="W534" s="183" t="s">
        <v>2003</v>
      </c>
      <c r="X534" s="183" t="s">
        <v>181</v>
      </c>
      <c r="Y534" s="186" t="str">
        <f>INDEX(info!$Y$2:$Y$192,MATCH(phc_8[[#This Row],[Sub_Category]],info!$X$2:$X$192,0))</f>
        <v>Chronic medical disease</v>
      </c>
      <c r="Z534" s="186" t="str">
        <f t="array" ref="Z534">INDEX(info!$AA$2:$AA$192,MATCH(PHC!$X534&amp;PHC!$Y534,info!$X$2:$X$192&amp;info!$Y$2:$Y$192,0))</f>
        <v>Non-communicable disease</v>
      </c>
      <c r="AA534" s="183" t="s">
        <v>4273</v>
      </c>
      <c r="AB534" s="9" t="s">
        <v>654</v>
      </c>
      <c r="AC534" s="9" t="s">
        <v>654</v>
      </c>
      <c r="AD534" s="9" t="s">
        <v>654</v>
      </c>
      <c r="AE534" s="9" t="s">
        <v>654</v>
      </c>
      <c r="AF534" s="184"/>
      <c r="AG534" s="183"/>
      <c r="AH534" s="183"/>
      <c r="AI534" s="183"/>
      <c r="AJ534" s="183"/>
      <c r="AK534" s="9" t="s">
        <v>654</v>
      </c>
      <c r="AL534" s="183"/>
      <c r="AM534" s="186" t="str">
        <f>IF(AF534="","","Q"&amp;INT((MONTH(AF534)-1)/3)+1&amp;YEAR(AF534)&amp;#REF!&amp;T534)</f>
        <v/>
      </c>
      <c r="AN534" s="186" t="e">
        <f>IF(K534="","","Q"&amp;INT((MONTH(K534)-1)/3)+1&amp;YEAR(K534)&amp;#REF!)</f>
        <v>#REF!</v>
      </c>
    </row>
    <row r="535" spans="1:40" ht="20.100000000000001" customHeight="1" x14ac:dyDescent="0.25">
      <c r="A535" s="8">
        <v>533</v>
      </c>
      <c r="B535" s="8" t="s">
        <v>399</v>
      </c>
      <c r="C535" s="8" t="s">
        <v>1997</v>
      </c>
      <c r="D535" s="8" t="s">
        <v>2416</v>
      </c>
      <c r="E535" s="8" t="s">
        <v>1998</v>
      </c>
      <c r="F535" s="183" t="s">
        <v>4647</v>
      </c>
      <c r="G535" s="183"/>
      <c r="H535" s="183" t="s">
        <v>4646</v>
      </c>
      <c r="I535" s="183" t="s">
        <v>618</v>
      </c>
      <c r="J535" s="183"/>
      <c r="K535" s="184">
        <v>46064</v>
      </c>
      <c r="L535" s="183">
        <v>90</v>
      </c>
      <c r="M535" s="185" t="str">
        <f>IF(phc_8[[#This Row],[Register No.]]="","",C535&amp;"-"&amp;D535&amp;"-"&amp;"BHA-PHC-"&amp;phc_8[[#This Row],[Register No.]])</f>
        <v>Shining Star-Mobile Clinic-BHA-PHC-90</v>
      </c>
      <c r="N535" s="9" t="s">
        <v>401</v>
      </c>
      <c r="O535" s="183" t="s">
        <v>4265</v>
      </c>
      <c r="P535" s="183">
        <v>57</v>
      </c>
      <c r="Q535" s="183"/>
      <c r="R535" s="183"/>
      <c r="S535" s="186" t="str">
        <f t="shared" si="20"/>
        <v>50 yrs +</v>
      </c>
      <c r="T535" s="183" t="s">
        <v>603</v>
      </c>
      <c r="U535" s="183"/>
      <c r="V535" s="183" t="s">
        <v>4269</v>
      </c>
      <c r="W535" s="183" t="s">
        <v>3308</v>
      </c>
      <c r="X535" s="183" t="s">
        <v>113</v>
      </c>
      <c r="Y535" s="186" t="str">
        <f>INDEX(info!$Y$2:$Y$192,MATCH(phc_8[[#This Row],[Sub_Category]],info!$X$2:$X$192,0))</f>
        <v>ARI/RTI</v>
      </c>
      <c r="Z535" s="186" t="str">
        <f t="array" ref="Z535">INDEX(info!$AA$2:$AA$192,MATCH(PHC!$X535&amp;PHC!$Y535,info!$X$2:$X$192&amp;info!$Y$2:$Y$192,0))</f>
        <v>Communicable disease</v>
      </c>
      <c r="AA535" s="183" t="s">
        <v>4274</v>
      </c>
      <c r="AB535" s="9" t="s">
        <v>654</v>
      </c>
      <c r="AC535" s="9" t="s">
        <v>654</v>
      </c>
      <c r="AD535" s="9" t="s">
        <v>654</v>
      </c>
      <c r="AE535" s="9" t="s">
        <v>654</v>
      </c>
      <c r="AF535" s="184"/>
      <c r="AG535" s="183"/>
      <c r="AH535" s="183"/>
      <c r="AI535" s="183"/>
      <c r="AJ535" s="183"/>
      <c r="AK535" s="9" t="s">
        <v>654</v>
      </c>
      <c r="AL535" s="183"/>
      <c r="AM535" s="186" t="str">
        <f>IF(AF535="","","Q"&amp;INT((MONTH(AF535)-1)/3)+1&amp;YEAR(AF535)&amp;#REF!&amp;T535)</f>
        <v/>
      </c>
      <c r="AN535" s="186" t="e">
        <f>IF(K535="","","Q"&amp;INT((MONTH(K535)-1)/3)+1&amp;YEAR(K535)&amp;#REF!)</f>
        <v>#REF!</v>
      </c>
    </row>
    <row r="536" spans="1:40" ht="20.100000000000001" customHeight="1" x14ac:dyDescent="0.25">
      <c r="A536" s="8">
        <v>534</v>
      </c>
      <c r="B536" s="8" t="s">
        <v>399</v>
      </c>
      <c r="C536" s="8" t="s">
        <v>1997</v>
      </c>
      <c r="D536" s="8" t="s">
        <v>2416</v>
      </c>
      <c r="E536" s="8" t="s">
        <v>1998</v>
      </c>
      <c r="F536" s="183" t="s">
        <v>4647</v>
      </c>
      <c r="G536" s="183"/>
      <c r="H536" s="183" t="s">
        <v>4646</v>
      </c>
      <c r="I536" s="183" t="s">
        <v>618</v>
      </c>
      <c r="J536" s="183"/>
      <c r="K536" s="184">
        <v>46064</v>
      </c>
      <c r="L536" s="183">
        <v>91</v>
      </c>
      <c r="M536" s="185" t="str">
        <f>IF(phc_8[[#This Row],[Register No.]]="","",C536&amp;"-"&amp;D536&amp;"-"&amp;"BHA-PHC-"&amp;phc_8[[#This Row],[Register No.]])</f>
        <v>Shining Star-Mobile Clinic-BHA-PHC-91</v>
      </c>
      <c r="N536" s="9" t="s">
        <v>401</v>
      </c>
      <c r="O536" s="183" t="s">
        <v>4275</v>
      </c>
      <c r="P536" s="183">
        <v>65</v>
      </c>
      <c r="Q536" s="183"/>
      <c r="R536" s="183"/>
      <c r="S536" s="186" t="str">
        <f t="shared" si="20"/>
        <v>50 yrs +</v>
      </c>
      <c r="T536" s="183" t="s">
        <v>603</v>
      </c>
      <c r="U536" s="183"/>
      <c r="V536" s="183" t="s">
        <v>4278</v>
      </c>
      <c r="W536" s="183" t="s">
        <v>2028</v>
      </c>
      <c r="X536" s="183" t="s">
        <v>108</v>
      </c>
      <c r="Y536" s="186" t="str">
        <f>INDEX(info!$Y$2:$Y$192,MATCH(phc_8[[#This Row],[Sub_Category]],info!$X$2:$X$192,0))</f>
        <v>ARI/RTI</v>
      </c>
      <c r="Z536" s="186" t="str">
        <f t="array" ref="Z536">INDEX(info!$AA$2:$AA$192,MATCH(PHC!$X536&amp;PHC!$Y536,info!$X$2:$X$192&amp;info!$Y$2:$Y$192,0))</f>
        <v>Communicable disease</v>
      </c>
      <c r="AA536" s="183" t="s">
        <v>4281</v>
      </c>
      <c r="AB536" s="9" t="s">
        <v>654</v>
      </c>
      <c r="AC536" s="9" t="s">
        <v>654</v>
      </c>
      <c r="AD536" s="9" t="s">
        <v>654</v>
      </c>
      <c r="AE536" s="9" t="s">
        <v>654</v>
      </c>
      <c r="AF536" s="184"/>
      <c r="AG536" s="183"/>
      <c r="AH536" s="183"/>
      <c r="AI536" s="183"/>
      <c r="AJ536" s="183"/>
      <c r="AK536" s="9" t="s">
        <v>654</v>
      </c>
      <c r="AL536" s="183"/>
      <c r="AM536" s="186" t="str">
        <f>IF(AF536="","","Q"&amp;INT((MONTH(AF536)-1)/3)+1&amp;YEAR(AF536)&amp;#REF!&amp;T536)</f>
        <v/>
      </c>
      <c r="AN536" s="186" t="e">
        <f>IF(K536="","","Q"&amp;INT((MONTH(K536)-1)/3)+1&amp;YEAR(K536)&amp;#REF!)</f>
        <v>#REF!</v>
      </c>
    </row>
    <row r="537" spans="1:40" ht="20.100000000000001" customHeight="1" x14ac:dyDescent="0.25">
      <c r="A537" s="8">
        <v>535</v>
      </c>
      <c r="B537" s="8" t="s">
        <v>399</v>
      </c>
      <c r="C537" s="8" t="s">
        <v>1997</v>
      </c>
      <c r="D537" s="8" t="s">
        <v>2416</v>
      </c>
      <c r="E537" s="8" t="s">
        <v>1998</v>
      </c>
      <c r="F537" s="183" t="s">
        <v>4647</v>
      </c>
      <c r="G537" s="183"/>
      <c r="H537" s="183" t="s">
        <v>4646</v>
      </c>
      <c r="I537" s="183" t="s">
        <v>618</v>
      </c>
      <c r="J537" s="183"/>
      <c r="K537" s="184">
        <v>46064</v>
      </c>
      <c r="L537" s="183">
        <v>92</v>
      </c>
      <c r="M537" s="185" t="str">
        <f>IF(phc_8[[#This Row],[Register No.]]="","",C537&amp;"-"&amp;D537&amp;"-"&amp;"BHA-PHC-"&amp;phc_8[[#This Row],[Register No.]])</f>
        <v>Shining Star-Mobile Clinic-BHA-PHC-92</v>
      </c>
      <c r="N537" s="9" t="s">
        <v>401</v>
      </c>
      <c r="O537" s="183" t="s">
        <v>4254</v>
      </c>
      <c r="P537" s="183">
        <v>60</v>
      </c>
      <c r="Q537" s="183"/>
      <c r="R537" s="183"/>
      <c r="S537" s="186" t="str">
        <f t="shared" si="20"/>
        <v>50 yrs +</v>
      </c>
      <c r="T537" s="183" t="s">
        <v>402</v>
      </c>
      <c r="U537" s="183"/>
      <c r="V537" s="183" t="s">
        <v>2679</v>
      </c>
      <c r="W537" s="183" t="s">
        <v>3611</v>
      </c>
      <c r="X537" s="183" t="s">
        <v>213</v>
      </c>
      <c r="Y537" s="186" t="str">
        <f>INDEX(info!$Y$2:$Y$192,MATCH(phc_8[[#This Row],[Sub_Category]],info!$X$2:$X$192,0))</f>
        <v>Other</v>
      </c>
      <c r="Z537" s="186" t="str">
        <f t="array" ref="Z537">INDEX(info!$AA$2:$AA$192,MATCH(PHC!$X537&amp;PHC!$Y537,info!$X$2:$X$192&amp;info!$Y$2:$Y$192,0))</f>
        <v>Other</v>
      </c>
      <c r="AA537" s="183" t="s">
        <v>4282</v>
      </c>
      <c r="AB537" s="9" t="s">
        <v>654</v>
      </c>
      <c r="AC537" s="9" t="s">
        <v>654</v>
      </c>
      <c r="AD537" s="9" t="s">
        <v>654</v>
      </c>
      <c r="AE537" s="9" t="s">
        <v>654</v>
      </c>
      <c r="AF537" s="184"/>
      <c r="AG537" s="183"/>
      <c r="AH537" s="183"/>
      <c r="AI537" s="183"/>
      <c r="AJ537" s="183"/>
      <c r="AK537" s="9" t="s">
        <v>654</v>
      </c>
      <c r="AL537" s="183"/>
      <c r="AM537" s="186" t="str">
        <f>IF(AF537="","","Q"&amp;INT((MONTH(AF537)-1)/3)+1&amp;YEAR(AF537)&amp;#REF!&amp;T537)</f>
        <v/>
      </c>
      <c r="AN537" s="186" t="e">
        <f>IF(K537="","","Q"&amp;INT((MONTH(K537)-1)/3)+1&amp;YEAR(K537)&amp;#REF!)</f>
        <v>#REF!</v>
      </c>
    </row>
    <row r="538" spans="1:40" ht="20.100000000000001" customHeight="1" x14ac:dyDescent="0.25">
      <c r="A538" s="8">
        <v>536</v>
      </c>
      <c r="B538" s="8" t="s">
        <v>399</v>
      </c>
      <c r="C538" s="8" t="s">
        <v>1997</v>
      </c>
      <c r="D538" s="8" t="s">
        <v>2416</v>
      </c>
      <c r="E538" s="8" t="s">
        <v>1998</v>
      </c>
      <c r="F538" s="183" t="s">
        <v>4647</v>
      </c>
      <c r="G538" s="183"/>
      <c r="H538" s="183" t="s">
        <v>4646</v>
      </c>
      <c r="I538" s="183" t="s">
        <v>618</v>
      </c>
      <c r="J538" s="183"/>
      <c r="K538" s="184">
        <v>46064</v>
      </c>
      <c r="L538" s="183">
        <v>93</v>
      </c>
      <c r="M538" s="185" t="str">
        <f>IF(phc_8[[#This Row],[Register No.]]="","",C538&amp;"-"&amp;D538&amp;"-"&amp;"BHA-PHC-"&amp;phc_8[[#This Row],[Register No.]])</f>
        <v>Shining Star-Mobile Clinic-BHA-PHC-93</v>
      </c>
      <c r="N538" s="9" t="s">
        <v>401</v>
      </c>
      <c r="O538" s="183" t="s">
        <v>3270</v>
      </c>
      <c r="P538" s="183">
        <v>60</v>
      </c>
      <c r="Q538" s="183"/>
      <c r="R538" s="183"/>
      <c r="S538" s="186" t="str">
        <f t="shared" si="20"/>
        <v>50 yrs +</v>
      </c>
      <c r="T538" s="183" t="s">
        <v>603</v>
      </c>
      <c r="U538" s="183"/>
      <c r="V538" s="183" t="s">
        <v>2058</v>
      </c>
      <c r="W538" s="183" t="s">
        <v>294</v>
      </c>
      <c r="X538" s="183" t="s">
        <v>294</v>
      </c>
      <c r="Y538" s="186" t="str">
        <f>INDEX(info!$Y$2:$Y$192,MATCH(phc_8[[#This Row],[Sub_Category]],info!$X$2:$X$192,0))</f>
        <v>Other (non-communicable)</v>
      </c>
      <c r="Z538" s="186" t="str">
        <f t="array" ref="Z538">INDEX(info!$AA$2:$AA$192,MATCH(PHC!$X538&amp;PHC!$Y538,info!$X$2:$X$192&amp;info!$Y$2:$Y$192,0))</f>
        <v>Other</v>
      </c>
      <c r="AA538" s="183" t="s">
        <v>4283</v>
      </c>
      <c r="AB538" s="9" t="s">
        <v>654</v>
      </c>
      <c r="AC538" s="9" t="s">
        <v>654</v>
      </c>
      <c r="AD538" s="9" t="s">
        <v>654</v>
      </c>
      <c r="AE538" s="9" t="s">
        <v>654</v>
      </c>
      <c r="AF538" s="184"/>
      <c r="AG538" s="183"/>
      <c r="AH538" s="183"/>
      <c r="AI538" s="183"/>
      <c r="AJ538" s="183"/>
      <c r="AK538" s="9" t="s">
        <v>654</v>
      </c>
      <c r="AL538" s="183"/>
      <c r="AM538" s="186" t="str">
        <f>IF(AF538="","","Q"&amp;INT((MONTH(AF538)-1)/3)+1&amp;YEAR(AF538)&amp;#REF!&amp;T538)</f>
        <v/>
      </c>
      <c r="AN538" s="186" t="e">
        <f>IF(K538="","","Q"&amp;INT((MONTH(K538)-1)/3)+1&amp;YEAR(K538)&amp;#REF!)</f>
        <v>#REF!</v>
      </c>
    </row>
    <row r="539" spans="1:40" ht="20.100000000000001" customHeight="1" x14ac:dyDescent="0.25">
      <c r="A539" s="8">
        <v>537</v>
      </c>
      <c r="B539" s="8" t="s">
        <v>399</v>
      </c>
      <c r="C539" s="8" t="s">
        <v>1997</v>
      </c>
      <c r="D539" s="8" t="s">
        <v>2416</v>
      </c>
      <c r="E539" s="8" t="s">
        <v>1998</v>
      </c>
      <c r="F539" s="183" t="s">
        <v>4647</v>
      </c>
      <c r="G539" s="183"/>
      <c r="H539" s="183" t="s">
        <v>4646</v>
      </c>
      <c r="I539" s="183" t="s">
        <v>618</v>
      </c>
      <c r="J539" s="183"/>
      <c r="K539" s="184">
        <v>46064</v>
      </c>
      <c r="L539" s="183">
        <v>94</v>
      </c>
      <c r="M539" s="185" t="str">
        <f>IF(phc_8[[#This Row],[Register No.]]="","",C539&amp;"-"&amp;D539&amp;"-"&amp;"BHA-PHC-"&amp;phc_8[[#This Row],[Register No.]])</f>
        <v>Shining Star-Mobile Clinic-BHA-PHC-94</v>
      </c>
      <c r="N539" s="9" t="s">
        <v>401</v>
      </c>
      <c r="O539" s="183" t="s">
        <v>4276</v>
      </c>
      <c r="P539" s="183">
        <v>3</v>
      </c>
      <c r="Q539" s="183"/>
      <c r="R539" s="183"/>
      <c r="S539" s="186" t="str">
        <f t="shared" si="20"/>
        <v>&lt;5 yrs</v>
      </c>
      <c r="T539" s="183" t="s">
        <v>603</v>
      </c>
      <c r="U539" s="183"/>
      <c r="V539" s="183" t="s">
        <v>4279</v>
      </c>
      <c r="W539" s="183" t="s">
        <v>3308</v>
      </c>
      <c r="X539" s="183" t="s">
        <v>113</v>
      </c>
      <c r="Y539" s="186" t="str">
        <f>INDEX(info!$Y$2:$Y$192,MATCH(phc_8[[#This Row],[Sub_Category]],info!$X$2:$X$192,0))</f>
        <v>ARI/RTI</v>
      </c>
      <c r="Z539" s="186" t="str">
        <f t="array" ref="Z539">INDEX(info!$AA$2:$AA$192,MATCH(PHC!$X539&amp;PHC!$Y539,info!$X$2:$X$192&amp;info!$Y$2:$Y$192,0))</f>
        <v>Communicable disease</v>
      </c>
      <c r="AA539" s="183" t="s">
        <v>2177</v>
      </c>
      <c r="AB539" s="9" t="s">
        <v>654</v>
      </c>
      <c r="AC539" s="9" t="s">
        <v>654</v>
      </c>
      <c r="AD539" s="9" t="s">
        <v>654</v>
      </c>
      <c r="AE539" s="9" t="s">
        <v>654</v>
      </c>
      <c r="AF539" s="184"/>
      <c r="AG539" s="183"/>
      <c r="AH539" s="183"/>
      <c r="AI539" s="183"/>
      <c r="AJ539" s="183"/>
      <c r="AK539" s="9" t="s">
        <v>654</v>
      </c>
      <c r="AL539" s="183"/>
      <c r="AM539" s="186" t="str">
        <f>IF(AF539="","","Q"&amp;INT((MONTH(AF539)-1)/3)+1&amp;YEAR(AF539)&amp;#REF!&amp;T539)</f>
        <v/>
      </c>
      <c r="AN539" s="186" t="e">
        <f>IF(K539="","","Q"&amp;INT((MONTH(K539)-1)/3)+1&amp;YEAR(K539)&amp;#REF!)</f>
        <v>#REF!</v>
      </c>
    </row>
    <row r="540" spans="1:40" ht="20.100000000000001" customHeight="1" x14ac:dyDescent="0.25">
      <c r="A540" s="8">
        <v>538</v>
      </c>
      <c r="B540" s="8" t="s">
        <v>399</v>
      </c>
      <c r="C540" s="8" t="s">
        <v>1997</v>
      </c>
      <c r="D540" s="8" t="s">
        <v>2416</v>
      </c>
      <c r="E540" s="8" t="s">
        <v>1998</v>
      </c>
      <c r="F540" s="183" t="s">
        <v>4647</v>
      </c>
      <c r="G540" s="183"/>
      <c r="H540" s="183" t="s">
        <v>4646</v>
      </c>
      <c r="I540" s="183" t="s">
        <v>618</v>
      </c>
      <c r="J540" s="183"/>
      <c r="K540" s="184">
        <v>46064</v>
      </c>
      <c r="L540" s="183">
        <v>95</v>
      </c>
      <c r="M540" s="185" t="str">
        <f>IF(phc_8[[#This Row],[Register No.]]="","",C540&amp;"-"&amp;D540&amp;"-"&amp;"BHA-PHC-"&amp;phc_8[[#This Row],[Register No.]])</f>
        <v>Shining Star-Mobile Clinic-BHA-PHC-95</v>
      </c>
      <c r="N540" s="9" t="s">
        <v>401</v>
      </c>
      <c r="O540" s="183" t="s">
        <v>4277</v>
      </c>
      <c r="P540" s="183">
        <v>2</v>
      </c>
      <c r="Q540" s="183"/>
      <c r="R540" s="183"/>
      <c r="S540" s="186" t="str">
        <f t="shared" si="20"/>
        <v>&lt;5 yrs</v>
      </c>
      <c r="T540" s="183" t="s">
        <v>402</v>
      </c>
      <c r="U540" s="183"/>
      <c r="V540" s="183" t="s">
        <v>4280</v>
      </c>
      <c r="W540" s="183" t="s">
        <v>3308</v>
      </c>
      <c r="X540" s="183" t="s">
        <v>113</v>
      </c>
      <c r="Y540" s="186" t="str">
        <f>INDEX(info!$Y$2:$Y$192,MATCH(phc_8[[#This Row],[Sub_Category]],info!$X$2:$X$192,0))</f>
        <v>ARI/RTI</v>
      </c>
      <c r="Z540" s="186" t="str">
        <f t="array" ref="Z540">INDEX(info!$AA$2:$AA$192,MATCH(PHC!$X540&amp;PHC!$Y540,info!$X$2:$X$192&amp;info!$Y$2:$Y$192,0))</f>
        <v>Communicable disease</v>
      </c>
      <c r="AA540" s="183" t="s">
        <v>2177</v>
      </c>
      <c r="AB540" s="9" t="s">
        <v>654</v>
      </c>
      <c r="AC540" s="9" t="s">
        <v>654</v>
      </c>
      <c r="AD540" s="9" t="s">
        <v>654</v>
      </c>
      <c r="AE540" s="9" t="s">
        <v>654</v>
      </c>
      <c r="AF540" s="184"/>
      <c r="AG540" s="183"/>
      <c r="AH540" s="183"/>
      <c r="AI540" s="183"/>
      <c r="AJ540" s="183"/>
      <c r="AK540" s="9" t="s">
        <v>654</v>
      </c>
      <c r="AL540" s="183"/>
      <c r="AM540" s="186" t="str">
        <f>IF(AF540="","","Q"&amp;INT((MONTH(AF540)-1)/3)+1&amp;YEAR(AF540)&amp;#REF!&amp;T540)</f>
        <v/>
      </c>
      <c r="AN540" s="186" t="e">
        <f>IF(K540="","","Q"&amp;INT((MONTH(K540)-1)/3)+1&amp;YEAR(K540)&amp;#REF!)</f>
        <v>#REF!</v>
      </c>
    </row>
    <row r="541" spans="1:40" ht="20.100000000000001" customHeight="1" x14ac:dyDescent="0.25">
      <c r="A541" s="8">
        <v>539</v>
      </c>
      <c r="B541" s="8" t="s">
        <v>399</v>
      </c>
      <c r="C541" s="8" t="s">
        <v>1997</v>
      </c>
      <c r="D541" s="8" t="s">
        <v>2416</v>
      </c>
      <c r="E541" s="8" t="s">
        <v>1998</v>
      </c>
      <c r="F541" s="183" t="s">
        <v>4647</v>
      </c>
      <c r="G541" s="183"/>
      <c r="H541" s="183" t="s">
        <v>4646</v>
      </c>
      <c r="I541" s="183" t="s">
        <v>618</v>
      </c>
      <c r="J541" s="183"/>
      <c r="K541" s="184">
        <v>46064</v>
      </c>
      <c r="L541" s="183">
        <v>96</v>
      </c>
      <c r="M541" s="185" t="str">
        <f>IF(phc_8[[#This Row],[Register No.]]="","",C541&amp;"-"&amp;D541&amp;"-"&amp;"BHA-PHC-"&amp;phc_8[[#This Row],[Register No.]])</f>
        <v>Shining Star-Mobile Clinic-BHA-PHC-96</v>
      </c>
      <c r="N541" s="9" t="s">
        <v>401</v>
      </c>
      <c r="O541" s="183" t="s">
        <v>4284</v>
      </c>
      <c r="P541" s="183">
        <v>32</v>
      </c>
      <c r="Q541" s="183"/>
      <c r="R541" s="183"/>
      <c r="S541" s="186" t="str">
        <f t="shared" si="20"/>
        <v>19 - 49 yrs</v>
      </c>
      <c r="T541" s="183" t="s">
        <v>603</v>
      </c>
      <c r="U541" s="183"/>
      <c r="V541" s="183" t="s">
        <v>4288</v>
      </c>
      <c r="W541" s="183" t="s">
        <v>4293</v>
      </c>
      <c r="X541" s="183" t="s">
        <v>233</v>
      </c>
      <c r="Y541" s="186" t="str">
        <f>INDEX(info!$Y$2:$Y$192,MATCH(phc_8[[#This Row],[Sub_Category]],info!$X$2:$X$192,0))</f>
        <v>Other (non-communicable)</v>
      </c>
      <c r="Z541" s="186" t="str">
        <f t="array" ref="Z541">INDEX(info!$AA$2:$AA$192,MATCH(PHC!$X541&amp;PHC!$Y541,info!$X$2:$X$192&amp;info!$Y$2:$Y$192,0))</f>
        <v>Other</v>
      </c>
      <c r="AA541" s="183" t="s">
        <v>3864</v>
      </c>
      <c r="AB541" s="9" t="s">
        <v>654</v>
      </c>
      <c r="AC541" s="9" t="s">
        <v>654</v>
      </c>
      <c r="AD541" s="9" t="s">
        <v>654</v>
      </c>
      <c r="AE541" s="9" t="s">
        <v>654</v>
      </c>
      <c r="AF541" s="184"/>
      <c r="AG541" s="183"/>
      <c r="AH541" s="183"/>
      <c r="AI541" s="183"/>
      <c r="AJ541" s="183"/>
      <c r="AK541" s="9" t="s">
        <v>654</v>
      </c>
      <c r="AL541" s="183"/>
      <c r="AM541" s="186" t="str">
        <f>IF(AF541="","","Q"&amp;INT((MONTH(AF541)-1)/3)+1&amp;YEAR(AF541)&amp;#REF!&amp;T541)</f>
        <v/>
      </c>
      <c r="AN541" s="186" t="e">
        <f>IF(K541="","","Q"&amp;INT((MONTH(K541)-1)/3)+1&amp;YEAR(K541)&amp;#REF!)</f>
        <v>#REF!</v>
      </c>
    </row>
    <row r="542" spans="1:40" ht="20.100000000000001" customHeight="1" x14ac:dyDescent="0.25">
      <c r="A542" s="8">
        <v>540</v>
      </c>
      <c r="B542" s="8" t="s">
        <v>399</v>
      </c>
      <c r="C542" s="8" t="s">
        <v>1997</v>
      </c>
      <c r="D542" s="8" t="s">
        <v>2416</v>
      </c>
      <c r="E542" s="8" t="s">
        <v>1998</v>
      </c>
      <c r="F542" s="183" t="s">
        <v>4647</v>
      </c>
      <c r="G542" s="183"/>
      <c r="H542" s="183" t="s">
        <v>4646</v>
      </c>
      <c r="I542" s="183" t="s">
        <v>618</v>
      </c>
      <c r="J542" s="183"/>
      <c r="K542" s="184">
        <v>46064</v>
      </c>
      <c r="L542" s="183">
        <v>97</v>
      </c>
      <c r="M542" s="185" t="str">
        <f>IF(phc_8[[#This Row],[Register No.]]="","",C542&amp;"-"&amp;D542&amp;"-"&amp;"BHA-PHC-"&amp;phc_8[[#This Row],[Register No.]])</f>
        <v>Shining Star-Mobile Clinic-BHA-PHC-97</v>
      </c>
      <c r="N542" s="9" t="s">
        <v>401</v>
      </c>
      <c r="O542" s="183" t="s">
        <v>4285</v>
      </c>
      <c r="P542" s="183">
        <v>24</v>
      </c>
      <c r="Q542" s="183"/>
      <c r="R542" s="183"/>
      <c r="S542" s="186" t="str">
        <f t="shared" si="20"/>
        <v>19 - 49 yrs</v>
      </c>
      <c r="T542" s="183" t="s">
        <v>402</v>
      </c>
      <c r="U542" s="183"/>
      <c r="V542" s="183" t="s">
        <v>4289</v>
      </c>
      <c r="W542" s="183" t="s">
        <v>4294</v>
      </c>
      <c r="X542" s="183"/>
      <c r="Y542" s="186" t="e">
        <f>INDEX(info!$Y$2:$Y$192,MATCH(phc_8[[#This Row],[Sub_Category]],info!$X$2:$X$192,0))</f>
        <v>#N/A</v>
      </c>
      <c r="Z542" s="186" t="e">
        <f t="array" ref="Z542">INDEX(info!$AA$2:$AA$192,MATCH(PHC!$X542&amp;PHC!$Y542,info!$X$2:$X$192&amp;info!$Y$2:$Y$192,0))</f>
        <v>#N/A</v>
      </c>
      <c r="AA542" s="183" t="s">
        <v>4295</v>
      </c>
      <c r="AB542" s="9" t="s">
        <v>654</v>
      </c>
      <c r="AC542" s="9" t="s">
        <v>654</v>
      </c>
      <c r="AD542" s="9" t="s">
        <v>654</v>
      </c>
      <c r="AE542" s="9" t="s">
        <v>654</v>
      </c>
      <c r="AF542" s="184"/>
      <c r="AG542" s="183"/>
      <c r="AH542" s="183"/>
      <c r="AI542" s="183"/>
      <c r="AJ542" s="183"/>
      <c r="AK542" s="9" t="s">
        <v>654</v>
      </c>
      <c r="AL542" s="183"/>
      <c r="AM542" s="186" t="str">
        <f>IF(AF542="","","Q"&amp;INT((MONTH(AF542)-1)/3)+1&amp;YEAR(AF542)&amp;#REF!&amp;T542)</f>
        <v/>
      </c>
      <c r="AN542" s="186" t="e">
        <f>IF(K542="","","Q"&amp;INT((MONTH(K542)-1)/3)+1&amp;YEAR(K542)&amp;#REF!)</f>
        <v>#REF!</v>
      </c>
    </row>
    <row r="543" spans="1:40" ht="20.100000000000001" customHeight="1" x14ac:dyDescent="0.25">
      <c r="A543" s="8">
        <v>541</v>
      </c>
      <c r="B543" s="8" t="s">
        <v>399</v>
      </c>
      <c r="C543" s="8" t="s">
        <v>1997</v>
      </c>
      <c r="D543" s="8" t="s">
        <v>2416</v>
      </c>
      <c r="E543" s="8" t="s">
        <v>1998</v>
      </c>
      <c r="F543" s="183" t="s">
        <v>4647</v>
      </c>
      <c r="G543" s="183"/>
      <c r="H543" s="183" t="s">
        <v>4646</v>
      </c>
      <c r="I543" s="183" t="s">
        <v>618</v>
      </c>
      <c r="J543" s="183"/>
      <c r="K543" s="184">
        <v>46064</v>
      </c>
      <c r="L543" s="183">
        <v>98</v>
      </c>
      <c r="M543" s="185" t="str">
        <f>IF(phc_8[[#This Row],[Register No.]]="","",C543&amp;"-"&amp;D543&amp;"-"&amp;"BHA-PHC-"&amp;phc_8[[#This Row],[Register No.]])</f>
        <v>Shining Star-Mobile Clinic-BHA-PHC-98</v>
      </c>
      <c r="N543" s="9" t="s">
        <v>401</v>
      </c>
      <c r="O543" s="183" t="s">
        <v>3215</v>
      </c>
      <c r="P543" s="183">
        <v>63</v>
      </c>
      <c r="Q543" s="183"/>
      <c r="R543" s="183"/>
      <c r="S543" s="186" t="str">
        <f t="shared" si="20"/>
        <v>50 yrs +</v>
      </c>
      <c r="T543" s="183" t="s">
        <v>603</v>
      </c>
      <c r="U543" s="183"/>
      <c r="V543" s="183" t="s">
        <v>4290</v>
      </c>
      <c r="W543" s="183" t="s">
        <v>112</v>
      </c>
      <c r="X543" s="183" t="s">
        <v>112</v>
      </c>
      <c r="Y543" s="186" t="str">
        <f>INDEX(info!$Y$2:$Y$192,MATCH(phc_8[[#This Row],[Sub_Category]],info!$X$2:$X$192,0))</f>
        <v>Asthma</v>
      </c>
      <c r="Z543" s="186" t="str">
        <f t="array" ref="Z543">INDEX(info!$AA$2:$AA$192,MATCH(PHC!$X543&amp;PHC!$Y543,info!$X$2:$X$192&amp;info!$Y$2:$Y$192,0))</f>
        <v>Non-communicable disease</v>
      </c>
      <c r="AA543" s="183" t="s">
        <v>4296</v>
      </c>
      <c r="AB543" s="9" t="s">
        <v>654</v>
      </c>
      <c r="AC543" s="9" t="s">
        <v>654</v>
      </c>
      <c r="AD543" s="9" t="s">
        <v>654</v>
      </c>
      <c r="AE543" s="9" t="s">
        <v>654</v>
      </c>
      <c r="AF543" s="184"/>
      <c r="AG543" s="183"/>
      <c r="AH543" s="183"/>
      <c r="AI543" s="183"/>
      <c r="AJ543" s="183"/>
      <c r="AK543" s="9" t="s">
        <v>654</v>
      </c>
      <c r="AL543" s="183"/>
      <c r="AM543" s="186" t="str">
        <f>IF(AF543="","","Q"&amp;INT((MONTH(AF543)-1)/3)+1&amp;YEAR(AF543)&amp;#REF!&amp;T543)</f>
        <v/>
      </c>
      <c r="AN543" s="186" t="e">
        <f>IF(K543="","","Q"&amp;INT((MONTH(K543)-1)/3)+1&amp;YEAR(K543)&amp;#REF!)</f>
        <v>#REF!</v>
      </c>
    </row>
    <row r="544" spans="1:40" ht="20.100000000000001" customHeight="1" x14ac:dyDescent="0.25">
      <c r="A544" s="8">
        <v>542</v>
      </c>
      <c r="B544" s="8" t="s">
        <v>399</v>
      </c>
      <c r="C544" s="8" t="s">
        <v>1997</v>
      </c>
      <c r="D544" s="8" t="s">
        <v>2416</v>
      </c>
      <c r="E544" s="8" t="s">
        <v>1998</v>
      </c>
      <c r="F544" s="183" t="s">
        <v>4647</v>
      </c>
      <c r="G544" s="183"/>
      <c r="H544" s="183" t="s">
        <v>4646</v>
      </c>
      <c r="I544" s="183" t="s">
        <v>618</v>
      </c>
      <c r="J544" s="183"/>
      <c r="K544" s="184">
        <v>46064</v>
      </c>
      <c r="L544" s="183">
        <v>99</v>
      </c>
      <c r="M544" s="185" t="str">
        <f>IF(phc_8[[#This Row],[Register No.]]="","",C544&amp;"-"&amp;D544&amp;"-"&amp;"BHA-PHC-"&amp;phc_8[[#This Row],[Register No.]])</f>
        <v>Shining Star-Mobile Clinic-BHA-PHC-99</v>
      </c>
      <c r="N544" s="9" t="s">
        <v>401</v>
      </c>
      <c r="O544" s="183" t="s">
        <v>4286</v>
      </c>
      <c r="P544" s="183">
        <v>53</v>
      </c>
      <c r="Q544" s="183"/>
      <c r="R544" s="183"/>
      <c r="S544" s="186" t="str">
        <f t="shared" si="20"/>
        <v>50 yrs +</v>
      </c>
      <c r="T544" s="183" t="s">
        <v>603</v>
      </c>
      <c r="U544" s="183"/>
      <c r="V544" s="183" t="s">
        <v>4291</v>
      </c>
      <c r="W544" s="183" t="s">
        <v>2059</v>
      </c>
      <c r="X544" s="183" t="s">
        <v>242</v>
      </c>
      <c r="Y544" s="186" t="str">
        <f>INDEX(info!$Y$2:$Y$192,MATCH(phc_8[[#This Row],[Sub_Category]],info!$X$2:$X$192,0))</f>
        <v>Accident/minor sugical and injuries</v>
      </c>
      <c r="Z544" s="186" t="str">
        <f t="array" ref="Z544">INDEX(info!$AA$2:$AA$192,MATCH(PHC!$X544&amp;PHC!$Y544,info!$X$2:$X$192&amp;info!$Y$2:$Y$192,0))</f>
        <v>Injury related</v>
      </c>
      <c r="AA544" s="183" t="s">
        <v>3527</v>
      </c>
      <c r="AB544" s="9" t="s">
        <v>654</v>
      </c>
      <c r="AC544" s="9" t="s">
        <v>654</v>
      </c>
      <c r="AD544" s="9" t="s">
        <v>654</v>
      </c>
      <c r="AE544" s="9" t="s">
        <v>654</v>
      </c>
      <c r="AF544" s="184"/>
      <c r="AG544" s="183"/>
      <c r="AH544" s="183"/>
      <c r="AI544" s="183"/>
      <c r="AJ544" s="183"/>
      <c r="AK544" s="9" t="s">
        <v>654</v>
      </c>
      <c r="AL544" s="183"/>
      <c r="AM544" s="186" t="str">
        <f>IF(AF544="","","Q"&amp;INT((MONTH(AF544)-1)/3)+1&amp;YEAR(AF544)&amp;#REF!&amp;T544)</f>
        <v/>
      </c>
      <c r="AN544" s="186" t="e">
        <f>IF(K544="","","Q"&amp;INT((MONTH(K544)-1)/3)+1&amp;YEAR(K544)&amp;#REF!)</f>
        <v>#REF!</v>
      </c>
    </row>
    <row r="545" spans="1:40" ht="20.100000000000001" customHeight="1" x14ac:dyDescent="0.25">
      <c r="A545" s="8">
        <v>543</v>
      </c>
      <c r="B545" s="8" t="s">
        <v>399</v>
      </c>
      <c r="C545" s="8" t="s">
        <v>1997</v>
      </c>
      <c r="D545" s="8" t="s">
        <v>2416</v>
      </c>
      <c r="E545" s="8" t="s">
        <v>1998</v>
      </c>
      <c r="F545" s="183" t="s">
        <v>4647</v>
      </c>
      <c r="G545" s="183"/>
      <c r="H545" s="183" t="s">
        <v>4646</v>
      </c>
      <c r="I545" s="183" t="s">
        <v>618</v>
      </c>
      <c r="J545" s="183"/>
      <c r="K545" s="184">
        <v>46064</v>
      </c>
      <c r="L545" s="183">
        <v>100</v>
      </c>
      <c r="M545" s="185" t="str">
        <f>IF(phc_8[[#This Row],[Register No.]]="","",C545&amp;"-"&amp;D545&amp;"-"&amp;"BHA-PHC-"&amp;phc_8[[#This Row],[Register No.]])</f>
        <v>Shining Star-Mobile Clinic-BHA-PHC-100</v>
      </c>
      <c r="N545" s="9" t="s">
        <v>401</v>
      </c>
      <c r="O545" s="183" t="s">
        <v>4287</v>
      </c>
      <c r="P545" s="183"/>
      <c r="Q545" s="183">
        <v>10</v>
      </c>
      <c r="R545" s="183"/>
      <c r="S545" s="186" t="str">
        <f t="shared" si="20"/>
        <v>&lt;5 yrs</v>
      </c>
      <c r="T545" s="183" t="s">
        <v>603</v>
      </c>
      <c r="U545" s="183"/>
      <c r="V545" s="183" t="s">
        <v>4292</v>
      </c>
      <c r="W545" s="183" t="s">
        <v>3611</v>
      </c>
      <c r="X545" s="183" t="s">
        <v>213</v>
      </c>
      <c r="Y545" s="186" t="str">
        <f>INDEX(info!$Y$2:$Y$192,MATCH(phc_8[[#This Row],[Sub_Category]],info!$X$2:$X$192,0))</f>
        <v>Other</v>
      </c>
      <c r="Z545" s="186" t="str">
        <f t="array" ref="Z545">INDEX(info!$AA$2:$AA$192,MATCH(PHC!$X545&amp;PHC!$Y545,info!$X$2:$X$192&amp;info!$Y$2:$Y$192,0))</f>
        <v>Other</v>
      </c>
      <c r="AA545" s="183" t="s">
        <v>4297</v>
      </c>
      <c r="AB545" s="9" t="s">
        <v>654</v>
      </c>
      <c r="AC545" s="9" t="s">
        <v>654</v>
      </c>
      <c r="AD545" s="9" t="s">
        <v>654</v>
      </c>
      <c r="AE545" s="9" t="s">
        <v>654</v>
      </c>
      <c r="AF545" s="184"/>
      <c r="AG545" s="183"/>
      <c r="AH545" s="183"/>
      <c r="AI545" s="183"/>
      <c r="AJ545" s="183"/>
      <c r="AK545" s="9" t="s">
        <v>654</v>
      </c>
      <c r="AL545" s="183"/>
      <c r="AM545" s="186" t="str">
        <f>IF(AF545="","","Q"&amp;INT((MONTH(AF545)-1)/3)+1&amp;YEAR(AF545)&amp;#REF!&amp;T545)</f>
        <v/>
      </c>
      <c r="AN545" s="186" t="e">
        <f>IF(K545="","","Q"&amp;INT((MONTH(K545)-1)/3)+1&amp;YEAR(K545)&amp;#REF!)</f>
        <v>#REF!</v>
      </c>
    </row>
    <row r="546" spans="1:40" ht="20.100000000000001" customHeight="1" x14ac:dyDescent="0.25">
      <c r="A546" s="8">
        <v>544</v>
      </c>
      <c r="B546" s="8" t="s">
        <v>399</v>
      </c>
      <c r="C546" s="8" t="s">
        <v>1997</v>
      </c>
      <c r="D546" s="8" t="s">
        <v>2416</v>
      </c>
      <c r="E546" s="8" t="s">
        <v>1998</v>
      </c>
      <c r="F546" s="183" t="s">
        <v>4647</v>
      </c>
      <c r="G546" s="183"/>
      <c r="H546" s="183" t="s">
        <v>4646</v>
      </c>
      <c r="I546" s="183" t="s">
        <v>618</v>
      </c>
      <c r="J546" s="183"/>
      <c r="K546" s="184">
        <v>46064</v>
      </c>
      <c r="L546" s="183">
        <v>101</v>
      </c>
      <c r="M546" s="185" t="str">
        <f>IF(phc_8[[#This Row],[Register No.]]="","",C546&amp;"-"&amp;D546&amp;"-"&amp;"BHA-PHC-"&amp;phc_8[[#This Row],[Register No.]])</f>
        <v>Shining Star-Mobile Clinic-BHA-PHC-101</v>
      </c>
      <c r="N546" s="9" t="s">
        <v>401</v>
      </c>
      <c r="O546" s="183" t="s">
        <v>4298</v>
      </c>
      <c r="P546" s="183">
        <v>8</v>
      </c>
      <c r="Q546" s="183"/>
      <c r="R546" s="183"/>
      <c r="S546" s="186" t="str">
        <f t="shared" si="20"/>
        <v>5 - 14 yrs</v>
      </c>
      <c r="T546" s="183" t="s">
        <v>603</v>
      </c>
      <c r="U546" s="183"/>
      <c r="V546" s="183" t="s">
        <v>4303</v>
      </c>
      <c r="W546" s="183" t="s">
        <v>3308</v>
      </c>
      <c r="X546" s="183" t="s">
        <v>113</v>
      </c>
      <c r="Y546" s="186" t="str">
        <f>INDEX(info!$Y$2:$Y$192,MATCH(phc_8[[#This Row],[Sub_Category]],info!$X$2:$X$192,0))</f>
        <v>ARI/RTI</v>
      </c>
      <c r="Z546" s="186" t="str">
        <f t="array" ref="Z546">INDEX(info!$AA$2:$AA$192,MATCH(PHC!$X546&amp;PHC!$Y546,info!$X$2:$X$192&amp;info!$Y$2:$Y$192,0))</f>
        <v>Communicable disease</v>
      </c>
      <c r="AA546" s="183" t="s">
        <v>4308</v>
      </c>
      <c r="AB546" s="9" t="s">
        <v>654</v>
      </c>
      <c r="AC546" s="9" t="s">
        <v>654</v>
      </c>
      <c r="AD546" s="9" t="s">
        <v>654</v>
      </c>
      <c r="AE546" s="9" t="s">
        <v>654</v>
      </c>
      <c r="AF546" s="184"/>
      <c r="AG546" s="183"/>
      <c r="AH546" s="183"/>
      <c r="AI546" s="183"/>
      <c r="AJ546" s="183"/>
      <c r="AK546" s="9" t="s">
        <v>654</v>
      </c>
      <c r="AL546" s="183"/>
      <c r="AM546" s="186" t="str">
        <f>IF(AF546="","","Q"&amp;INT((MONTH(AF546)-1)/3)+1&amp;YEAR(AF546)&amp;#REF!&amp;T546)</f>
        <v/>
      </c>
      <c r="AN546" s="186" t="e">
        <f>IF(K546="","","Q"&amp;INT((MONTH(K546)-1)/3)+1&amp;YEAR(K546)&amp;#REF!)</f>
        <v>#REF!</v>
      </c>
    </row>
    <row r="547" spans="1:40" ht="20.100000000000001" customHeight="1" x14ac:dyDescent="0.25">
      <c r="A547" s="8">
        <v>545</v>
      </c>
      <c r="B547" s="8" t="s">
        <v>399</v>
      </c>
      <c r="C547" s="8" t="s">
        <v>1997</v>
      </c>
      <c r="D547" s="8" t="s">
        <v>2416</v>
      </c>
      <c r="E547" s="8" t="s">
        <v>1998</v>
      </c>
      <c r="F547" s="183" t="s">
        <v>4647</v>
      </c>
      <c r="G547" s="183"/>
      <c r="H547" s="183" t="s">
        <v>4646</v>
      </c>
      <c r="I547" s="183" t="s">
        <v>618</v>
      </c>
      <c r="J547" s="183"/>
      <c r="K547" s="184">
        <v>46064</v>
      </c>
      <c r="L547" s="183">
        <v>102</v>
      </c>
      <c r="M547" s="185" t="str">
        <f>IF(phc_8[[#This Row],[Register No.]]="","",C547&amp;"-"&amp;D547&amp;"-"&amp;"BHA-PHC-"&amp;phc_8[[#This Row],[Register No.]])</f>
        <v>Shining Star-Mobile Clinic-BHA-PHC-102</v>
      </c>
      <c r="N547" s="9" t="s">
        <v>401</v>
      </c>
      <c r="O547" s="183" t="s">
        <v>4299</v>
      </c>
      <c r="P547" s="183">
        <v>72</v>
      </c>
      <c r="Q547" s="183"/>
      <c r="R547" s="183"/>
      <c r="S547" s="186" t="str">
        <f t="shared" si="20"/>
        <v>50 yrs +</v>
      </c>
      <c r="T547" s="183" t="s">
        <v>603</v>
      </c>
      <c r="U547" s="183"/>
      <c r="V547" s="183" t="s">
        <v>4304</v>
      </c>
      <c r="W547" s="183" t="s">
        <v>178</v>
      </c>
      <c r="X547" s="183" t="s">
        <v>178</v>
      </c>
      <c r="Y547" s="186" t="str">
        <f>INDEX(info!$Y$2:$Y$192,MATCH(phc_8[[#This Row],[Sub_Category]],info!$X$2:$X$192,0))</f>
        <v>Chronic medical disease</v>
      </c>
      <c r="Z547" s="186" t="str">
        <f t="array" ref="Z547">INDEX(info!$AA$2:$AA$192,MATCH(PHC!$X547&amp;PHC!$Y547,info!$X$2:$X$192&amp;info!$Y$2:$Y$192,0))</f>
        <v>Non-communicable disease</v>
      </c>
      <c r="AA547" s="183" t="s">
        <v>4309</v>
      </c>
      <c r="AB547" s="9" t="s">
        <v>654</v>
      </c>
      <c r="AC547" s="9" t="s">
        <v>654</v>
      </c>
      <c r="AD547" s="9" t="s">
        <v>654</v>
      </c>
      <c r="AE547" s="9" t="s">
        <v>654</v>
      </c>
      <c r="AF547" s="184"/>
      <c r="AG547" s="183"/>
      <c r="AH547" s="183"/>
      <c r="AI547" s="183"/>
      <c r="AJ547" s="183"/>
      <c r="AK547" s="9" t="s">
        <v>654</v>
      </c>
      <c r="AL547" s="183"/>
      <c r="AM547" s="186" t="str">
        <f>IF(AF547="","","Q"&amp;INT((MONTH(AF547)-1)/3)+1&amp;YEAR(AF547)&amp;#REF!&amp;T547)</f>
        <v/>
      </c>
      <c r="AN547" s="186" t="e">
        <f>IF(K547="","","Q"&amp;INT((MONTH(K547)-1)/3)+1&amp;YEAR(K547)&amp;#REF!)</f>
        <v>#REF!</v>
      </c>
    </row>
    <row r="548" spans="1:40" ht="20.100000000000001" customHeight="1" x14ac:dyDescent="0.25">
      <c r="A548" s="8">
        <v>546</v>
      </c>
      <c r="B548" s="8" t="s">
        <v>399</v>
      </c>
      <c r="C548" s="8" t="s">
        <v>1997</v>
      </c>
      <c r="D548" s="8" t="s">
        <v>2416</v>
      </c>
      <c r="E548" s="8" t="s">
        <v>1998</v>
      </c>
      <c r="F548" s="183" t="s">
        <v>4647</v>
      </c>
      <c r="G548" s="183"/>
      <c r="H548" s="183" t="s">
        <v>4646</v>
      </c>
      <c r="I548" s="183" t="s">
        <v>618</v>
      </c>
      <c r="J548" s="183"/>
      <c r="K548" s="184">
        <v>46064</v>
      </c>
      <c r="L548" s="183">
        <v>103</v>
      </c>
      <c r="M548" s="185" t="str">
        <f>IF(phc_8[[#This Row],[Register No.]]="","",C548&amp;"-"&amp;D548&amp;"-"&amp;"BHA-PHC-"&amp;phc_8[[#This Row],[Register No.]])</f>
        <v>Shining Star-Mobile Clinic-BHA-PHC-103</v>
      </c>
      <c r="N548" s="9" t="s">
        <v>401</v>
      </c>
      <c r="O548" s="183" t="s">
        <v>4300</v>
      </c>
      <c r="P548" s="183">
        <v>39</v>
      </c>
      <c r="Q548" s="183"/>
      <c r="R548" s="183"/>
      <c r="S548" s="186" t="str">
        <f t="shared" si="20"/>
        <v>19 - 49 yrs</v>
      </c>
      <c r="T548" s="183" t="s">
        <v>603</v>
      </c>
      <c r="U548" s="183"/>
      <c r="V548" s="183" t="s">
        <v>4305</v>
      </c>
      <c r="W548" s="183" t="s">
        <v>233</v>
      </c>
      <c r="X548" s="183" t="s">
        <v>233</v>
      </c>
      <c r="Y548" s="186" t="str">
        <f>INDEX(info!$Y$2:$Y$192,MATCH(phc_8[[#This Row],[Sub_Category]],info!$X$2:$X$192,0))</f>
        <v>Other (non-communicable)</v>
      </c>
      <c r="Z548" s="186" t="str">
        <f t="array" ref="Z548">INDEX(info!$AA$2:$AA$192,MATCH(PHC!$X548&amp;PHC!$Y548,info!$X$2:$X$192&amp;info!$Y$2:$Y$192,0))</f>
        <v>Other</v>
      </c>
      <c r="AA548" s="183" t="s">
        <v>4310</v>
      </c>
      <c r="AB548" s="9" t="s">
        <v>654</v>
      </c>
      <c r="AC548" s="9" t="s">
        <v>654</v>
      </c>
      <c r="AD548" s="9" t="s">
        <v>654</v>
      </c>
      <c r="AE548" s="9" t="s">
        <v>654</v>
      </c>
      <c r="AF548" s="184"/>
      <c r="AG548" s="183"/>
      <c r="AH548" s="183"/>
      <c r="AI548" s="183"/>
      <c r="AJ548" s="183"/>
      <c r="AK548" s="9" t="s">
        <v>654</v>
      </c>
      <c r="AL548" s="183"/>
      <c r="AM548" s="186" t="str">
        <f>IF(AF548="","","Q"&amp;INT((MONTH(AF548)-1)/3)+1&amp;YEAR(AF548)&amp;#REF!&amp;T548)</f>
        <v/>
      </c>
      <c r="AN548" s="186" t="e">
        <f>IF(K548="","","Q"&amp;INT((MONTH(K548)-1)/3)+1&amp;YEAR(K548)&amp;#REF!)</f>
        <v>#REF!</v>
      </c>
    </row>
    <row r="549" spans="1:40" ht="20.100000000000001" customHeight="1" x14ac:dyDescent="0.25">
      <c r="A549" s="8">
        <v>547</v>
      </c>
      <c r="B549" s="8" t="s">
        <v>399</v>
      </c>
      <c r="C549" s="8" t="s">
        <v>1997</v>
      </c>
      <c r="D549" s="8" t="s">
        <v>2416</v>
      </c>
      <c r="E549" s="8" t="s">
        <v>1998</v>
      </c>
      <c r="F549" s="183" t="s">
        <v>4647</v>
      </c>
      <c r="G549" s="183"/>
      <c r="H549" s="183" t="s">
        <v>4646</v>
      </c>
      <c r="I549" s="183" t="s">
        <v>618</v>
      </c>
      <c r="J549" s="183"/>
      <c r="K549" s="184">
        <v>46064</v>
      </c>
      <c r="L549" s="183">
        <v>104</v>
      </c>
      <c r="M549" s="185" t="str">
        <f>IF(phc_8[[#This Row],[Register No.]]="","",C549&amp;"-"&amp;D549&amp;"-"&amp;"BHA-PHC-"&amp;phc_8[[#This Row],[Register No.]])</f>
        <v>Shining Star-Mobile Clinic-BHA-PHC-104</v>
      </c>
      <c r="N549" s="9" t="s">
        <v>401</v>
      </c>
      <c r="O549" s="183" t="s">
        <v>4301</v>
      </c>
      <c r="P549" s="183">
        <v>23</v>
      </c>
      <c r="Q549" s="183"/>
      <c r="R549" s="183"/>
      <c r="S549" s="186" t="str">
        <f t="shared" si="20"/>
        <v>19 - 49 yrs</v>
      </c>
      <c r="T549" s="183" t="s">
        <v>603</v>
      </c>
      <c r="U549" s="183"/>
      <c r="V549" s="183" t="s">
        <v>4306</v>
      </c>
      <c r="W549" s="183" t="s">
        <v>2028</v>
      </c>
      <c r="X549" s="183" t="s">
        <v>213</v>
      </c>
      <c r="Y549" s="186" t="str">
        <f>INDEX(info!$Y$2:$Y$192,MATCH(phc_8[[#This Row],[Sub_Category]],info!$X$2:$X$192,0))</f>
        <v>Other</v>
      </c>
      <c r="Z549" s="186" t="str">
        <f t="array" ref="Z549">INDEX(info!$AA$2:$AA$192,MATCH(PHC!$X549&amp;PHC!$Y549,info!$X$2:$X$192&amp;info!$Y$2:$Y$192,0))</f>
        <v>Other</v>
      </c>
      <c r="AA549" s="183" t="s">
        <v>4022</v>
      </c>
      <c r="AB549" s="9" t="s">
        <v>654</v>
      </c>
      <c r="AC549" s="9" t="s">
        <v>654</v>
      </c>
      <c r="AD549" s="9" t="s">
        <v>654</v>
      </c>
      <c r="AE549" s="9" t="s">
        <v>654</v>
      </c>
      <c r="AF549" s="184"/>
      <c r="AG549" s="183"/>
      <c r="AH549" s="183"/>
      <c r="AI549" s="183"/>
      <c r="AJ549" s="183"/>
      <c r="AK549" s="9" t="s">
        <v>654</v>
      </c>
      <c r="AL549" s="183"/>
      <c r="AM549" s="186" t="str">
        <f>IF(AF549="","","Q"&amp;INT((MONTH(AF549)-1)/3)+1&amp;YEAR(AF549)&amp;#REF!&amp;T549)</f>
        <v/>
      </c>
      <c r="AN549" s="186" t="e">
        <f>IF(K549="","","Q"&amp;INT((MONTH(K549)-1)/3)+1&amp;YEAR(K549)&amp;#REF!)</f>
        <v>#REF!</v>
      </c>
    </row>
    <row r="550" spans="1:40" ht="20.100000000000001" customHeight="1" x14ac:dyDescent="0.25">
      <c r="A550" s="8">
        <v>548</v>
      </c>
      <c r="B550" s="8" t="s">
        <v>399</v>
      </c>
      <c r="C550" s="8" t="s">
        <v>1997</v>
      </c>
      <c r="D550" s="8" t="s">
        <v>2416</v>
      </c>
      <c r="E550" s="8" t="s">
        <v>1998</v>
      </c>
      <c r="F550" s="183" t="s">
        <v>4647</v>
      </c>
      <c r="G550" s="183"/>
      <c r="H550" s="183" t="s">
        <v>4646</v>
      </c>
      <c r="I550" s="183" t="s">
        <v>618</v>
      </c>
      <c r="J550" s="183"/>
      <c r="K550" s="184">
        <v>46064</v>
      </c>
      <c r="L550" s="183">
        <v>105</v>
      </c>
      <c r="M550" s="185" t="str">
        <f>IF(phc_8[[#This Row],[Register No.]]="","",C550&amp;"-"&amp;D550&amp;"-"&amp;"BHA-PHC-"&amp;phc_8[[#This Row],[Register No.]])</f>
        <v>Shining Star-Mobile Clinic-BHA-PHC-105</v>
      </c>
      <c r="N550" s="9" t="s">
        <v>401</v>
      </c>
      <c r="O550" s="183" t="s">
        <v>4302</v>
      </c>
      <c r="P550" s="183">
        <v>44</v>
      </c>
      <c r="Q550" s="183"/>
      <c r="R550" s="183"/>
      <c r="S550" s="186" t="str">
        <f t="shared" si="20"/>
        <v>19 - 49 yrs</v>
      </c>
      <c r="T550" s="183" t="s">
        <v>402</v>
      </c>
      <c r="U550" s="183"/>
      <c r="V550" s="183" t="s">
        <v>4307</v>
      </c>
      <c r="W550" s="183" t="s">
        <v>294</v>
      </c>
      <c r="X550" s="183" t="s">
        <v>294</v>
      </c>
      <c r="Y550" s="186" t="str">
        <f>INDEX(info!$Y$2:$Y$192,MATCH(phc_8[[#This Row],[Sub_Category]],info!$X$2:$X$192,0))</f>
        <v>Other (non-communicable)</v>
      </c>
      <c r="Z550" s="186" t="str">
        <f t="array" ref="Z550">INDEX(info!$AA$2:$AA$192,MATCH(PHC!$X550&amp;PHC!$Y550,info!$X$2:$X$192&amp;info!$Y$2:$Y$192,0))</f>
        <v>Other</v>
      </c>
      <c r="AA550" s="183" t="s">
        <v>4311</v>
      </c>
      <c r="AB550" s="9" t="s">
        <v>654</v>
      </c>
      <c r="AC550" s="9" t="s">
        <v>654</v>
      </c>
      <c r="AD550" s="9" t="s">
        <v>654</v>
      </c>
      <c r="AE550" s="9" t="s">
        <v>654</v>
      </c>
      <c r="AF550" s="184"/>
      <c r="AG550" s="183"/>
      <c r="AH550" s="183"/>
      <c r="AI550" s="183"/>
      <c r="AJ550" s="183"/>
      <c r="AK550" s="9" t="s">
        <v>654</v>
      </c>
      <c r="AL550" s="183"/>
      <c r="AM550" s="186" t="str">
        <f>IF(AF550="","","Q"&amp;INT((MONTH(AF550)-1)/3)+1&amp;YEAR(AF550)&amp;#REF!&amp;T550)</f>
        <v/>
      </c>
      <c r="AN550" s="186" t="e">
        <f>IF(K550="","","Q"&amp;INT((MONTH(K550)-1)/3)+1&amp;YEAR(K550)&amp;#REF!)</f>
        <v>#REF!</v>
      </c>
    </row>
    <row r="551" spans="1:40" ht="20.100000000000001" customHeight="1" x14ac:dyDescent="0.25">
      <c r="A551" s="8">
        <v>549</v>
      </c>
      <c r="B551" s="8" t="s">
        <v>399</v>
      </c>
      <c r="C551" s="8" t="s">
        <v>1997</v>
      </c>
      <c r="D551" s="8" t="s">
        <v>2416</v>
      </c>
      <c r="E551" s="8" t="s">
        <v>1998</v>
      </c>
      <c r="F551" s="183" t="s">
        <v>4647</v>
      </c>
      <c r="G551" s="183"/>
      <c r="H551" s="183" t="s">
        <v>4646</v>
      </c>
      <c r="I551" s="183" t="s">
        <v>618</v>
      </c>
      <c r="J551" s="183"/>
      <c r="K551" s="184">
        <v>46064</v>
      </c>
      <c r="L551" s="183">
        <v>106</v>
      </c>
      <c r="M551" s="185" t="str">
        <f>IF(phc_8[[#This Row],[Register No.]]="","",C551&amp;"-"&amp;D551&amp;"-"&amp;"BHA-PHC-"&amp;phc_8[[#This Row],[Register No.]])</f>
        <v>Shining Star-Mobile Clinic-BHA-PHC-106</v>
      </c>
      <c r="N551" s="9" t="s">
        <v>401</v>
      </c>
      <c r="O551" s="183" t="s">
        <v>4312</v>
      </c>
      <c r="P551" s="183">
        <v>76</v>
      </c>
      <c r="Q551" s="183"/>
      <c r="R551" s="183"/>
      <c r="S551" s="186" t="str">
        <f t="shared" si="20"/>
        <v>50 yrs +</v>
      </c>
      <c r="T551" s="183" t="s">
        <v>603</v>
      </c>
      <c r="U551" s="183"/>
      <c r="V551" s="183" t="s">
        <v>2143</v>
      </c>
      <c r="W551" s="183" t="s">
        <v>2003</v>
      </c>
      <c r="X551" s="183" t="s">
        <v>181</v>
      </c>
      <c r="Y551" s="186" t="str">
        <f>INDEX(info!$Y$2:$Y$192,MATCH(phc_8[[#This Row],[Sub_Category]],info!$X$2:$X$192,0))</f>
        <v>Chronic medical disease</v>
      </c>
      <c r="Z551" s="186" t="str">
        <f t="array" ref="Z551">INDEX(info!$AA$2:$AA$192,MATCH(PHC!$X551&amp;PHC!$Y551,info!$X$2:$X$192&amp;info!$Y$2:$Y$192,0))</f>
        <v>Non-communicable disease</v>
      </c>
      <c r="AA551" s="183" t="s">
        <v>4320</v>
      </c>
      <c r="AB551" s="9" t="s">
        <v>654</v>
      </c>
      <c r="AC551" s="9" t="s">
        <v>654</v>
      </c>
      <c r="AD551" s="9" t="s">
        <v>654</v>
      </c>
      <c r="AE551" s="9" t="s">
        <v>654</v>
      </c>
      <c r="AF551" s="184"/>
      <c r="AG551" s="183"/>
      <c r="AH551" s="183"/>
      <c r="AI551" s="183"/>
      <c r="AJ551" s="183"/>
      <c r="AK551" s="9" t="s">
        <v>654</v>
      </c>
      <c r="AL551" s="183"/>
      <c r="AM551" s="186" t="str">
        <f>IF(AF551="","","Q"&amp;INT((MONTH(AF551)-1)/3)+1&amp;YEAR(AF551)&amp;#REF!&amp;T551)</f>
        <v/>
      </c>
      <c r="AN551" s="186" t="e">
        <f>IF(K551="","","Q"&amp;INT((MONTH(K551)-1)/3)+1&amp;YEAR(K551)&amp;#REF!)</f>
        <v>#REF!</v>
      </c>
    </row>
    <row r="552" spans="1:40" ht="20.100000000000001" customHeight="1" x14ac:dyDescent="0.25">
      <c r="A552" s="8">
        <v>550</v>
      </c>
      <c r="B552" s="8" t="s">
        <v>399</v>
      </c>
      <c r="C552" s="8" t="s">
        <v>1997</v>
      </c>
      <c r="D552" s="8" t="s">
        <v>2416</v>
      </c>
      <c r="E552" s="8" t="s">
        <v>1998</v>
      </c>
      <c r="F552" s="183" t="s">
        <v>4647</v>
      </c>
      <c r="G552" s="183"/>
      <c r="H552" s="183" t="s">
        <v>4646</v>
      </c>
      <c r="I552" s="183" t="s">
        <v>618</v>
      </c>
      <c r="J552" s="183"/>
      <c r="K552" s="184">
        <v>46064</v>
      </c>
      <c r="L552" s="183">
        <v>107</v>
      </c>
      <c r="M552" s="185" t="str">
        <f>IF(phc_8[[#This Row],[Register No.]]="","",C552&amp;"-"&amp;D552&amp;"-"&amp;"BHA-PHC-"&amp;phc_8[[#This Row],[Register No.]])</f>
        <v>Shining Star-Mobile Clinic-BHA-PHC-107</v>
      </c>
      <c r="N552" s="9" t="s">
        <v>401</v>
      </c>
      <c r="O552" s="183" t="s">
        <v>3905</v>
      </c>
      <c r="P552" s="183">
        <v>61</v>
      </c>
      <c r="Q552" s="183"/>
      <c r="R552" s="183"/>
      <c r="S552" s="186" t="str">
        <f t="shared" si="20"/>
        <v>50 yrs +</v>
      </c>
      <c r="T552" s="183" t="s">
        <v>402</v>
      </c>
      <c r="U552" s="183"/>
      <c r="V552" s="183" t="s">
        <v>4316</v>
      </c>
      <c r="W552" s="183" t="s">
        <v>2014</v>
      </c>
      <c r="X552" s="183" t="s">
        <v>2014</v>
      </c>
      <c r="Y552" s="186" t="str">
        <f>INDEX(info!$Y$2:$Y$192,MATCH(phc_8[[#This Row],[Sub_Category]],info!$X$2:$X$192,0))</f>
        <v>Other (non-communicable)</v>
      </c>
      <c r="Z552" s="186" t="str">
        <f t="array" ref="Z552">INDEX(info!$AA$2:$AA$192,MATCH(PHC!$X552&amp;PHC!$Y552,info!$X$2:$X$192&amp;info!$Y$2:$Y$192,0))</f>
        <v>Other</v>
      </c>
      <c r="AA552" s="183" t="s">
        <v>4321</v>
      </c>
      <c r="AB552" s="9" t="s">
        <v>654</v>
      </c>
      <c r="AC552" s="9" t="s">
        <v>654</v>
      </c>
      <c r="AD552" s="9" t="s">
        <v>654</v>
      </c>
      <c r="AE552" s="9" t="s">
        <v>654</v>
      </c>
      <c r="AF552" s="184"/>
      <c r="AG552" s="183"/>
      <c r="AH552" s="183"/>
      <c r="AI552" s="183"/>
      <c r="AJ552" s="183"/>
      <c r="AK552" s="9" t="s">
        <v>654</v>
      </c>
      <c r="AL552" s="183"/>
      <c r="AM552" s="186" t="str">
        <f>IF(AF552="","","Q"&amp;INT((MONTH(AF552)-1)/3)+1&amp;YEAR(AF552)&amp;#REF!&amp;T552)</f>
        <v/>
      </c>
      <c r="AN552" s="186" t="e">
        <f>IF(K552="","","Q"&amp;INT((MONTH(K552)-1)/3)+1&amp;YEAR(K552)&amp;#REF!)</f>
        <v>#REF!</v>
      </c>
    </row>
    <row r="553" spans="1:40" ht="20.100000000000001" customHeight="1" x14ac:dyDescent="0.25">
      <c r="A553" s="8">
        <v>551</v>
      </c>
      <c r="B553" s="8" t="s">
        <v>399</v>
      </c>
      <c r="C553" s="8" t="s">
        <v>1997</v>
      </c>
      <c r="D553" s="8" t="s">
        <v>2416</v>
      </c>
      <c r="E553" s="8" t="s">
        <v>1998</v>
      </c>
      <c r="F553" s="183" t="s">
        <v>4647</v>
      </c>
      <c r="G553" s="183"/>
      <c r="H553" s="183" t="s">
        <v>4646</v>
      </c>
      <c r="I553" s="183" t="s">
        <v>618</v>
      </c>
      <c r="J553" s="183"/>
      <c r="K553" s="184">
        <v>46064</v>
      </c>
      <c r="L553" s="183">
        <v>108</v>
      </c>
      <c r="M553" s="185" t="str">
        <f>IF(phc_8[[#This Row],[Register No.]]="","",C553&amp;"-"&amp;D553&amp;"-"&amp;"BHA-PHC-"&amp;phc_8[[#This Row],[Register No.]])</f>
        <v>Shining Star-Mobile Clinic-BHA-PHC-108</v>
      </c>
      <c r="N553" s="9" t="s">
        <v>401</v>
      </c>
      <c r="O553" s="183" t="s">
        <v>4313</v>
      </c>
      <c r="P553" s="183">
        <v>1</v>
      </c>
      <c r="Q553" s="183">
        <v>3</v>
      </c>
      <c r="R553" s="183"/>
      <c r="S553" s="186" t="str">
        <f t="shared" si="20"/>
        <v>&lt;5 yrs</v>
      </c>
      <c r="T553" s="183" t="s">
        <v>603</v>
      </c>
      <c r="U553" s="183"/>
      <c r="V553" s="183" t="s">
        <v>4317</v>
      </c>
      <c r="W553" s="183" t="s">
        <v>3079</v>
      </c>
      <c r="X553" s="183" t="s">
        <v>113</v>
      </c>
      <c r="Y553" s="186" t="str">
        <f>INDEX(info!$Y$2:$Y$192,MATCH(phc_8[[#This Row],[Sub_Category]],info!$X$2:$X$192,0))</f>
        <v>ARI/RTI</v>
      </c>
      <c r="Z553" s="186" t="str">
        <f t="array" ref="Z553">INDEX(info!$AA$2:$AA$192,MATCH(PHC!$X553&amp;PHC!$Y553,info!$X$2:$X$192&amp;info!$Y$2:$Y$192,0))</f>
        <v>Communicable disease</v>
      </c>
      <c r="AA553" s="183" t="s">
        <v>4322</v>
      </c>
      <c r="AB553" s="9" t="s">
        <v>654</v>
      </c>
      <c r="AC553" s="9" t="s">
        <v>654</v>
      </c>
      <c r="AD553" s="9" t="s">
        <v>654</v>
      </c>
      <c r="AE553" s="9" t="s">
        <v>654</v>
      </c>
      <c r="AF553" s="184"/>
      <c r="AG553" s="183"/>
      <c r="AH553" s="183"/>
      <c r="AI553" s="183"/>
      <c r="AJ553" s="183"/>
      <c r="AK553" s="9" t="s">
        <v>654</v>
      </c>
      <c r="AL553" s="183"/>
      <c r="AM553" s="186" t="str">
        <f>IF(AF553="","","Q"&amp;INT((MONTH(AF553)-1)/3)+1&amp;YEAR(AF553)&amp;#REF!&amp;T553)</f>
        <v/>
      </c>
      <c r="AN553" s="186" t="e">
        <f>IF(K553="","","Q"&amp;INT((MONTH(K553)-1)/3)+1&amp;YEAR(K553)&amp;#REF!)</f>
        <v>#REF!</v>
      </c>
    </row>
    <row r="554" spans="1:40" ht="20.100000000000001" customHeight="1" x14ac:dyDescent="0.25">
      <c r="A554" s="8">
        <v>552</v>
      </c>
      <c r="B554" s="8" t="s">
        <v>399</v>
      </c>
      <c r="C554" s="8" t="s">
        <v>1997</v>
      </c>
      <c r="D554" s="8" t="s">
        <v>2416</v>
      </c>
      <c r="E554" s="8" t="s">
        <v>1998</v>
      </c>
      <c r="F554" s="183" t="s">
        <v>4647</v>
      </c>
      <c r="G554" s="183"/>
      <c r="H554" s="183" t="s">
        <v>4646</v>
      </c>
      <c r="I554" s="183" t="s">
        <v>618</v>
      </c>
      <c r="J554" s="183"/>
      <c r="K554" s="184">
        <v>46064</v>
      </c>
      <c r="L554" s="183">
        <v>109</v>
      </c>
      <c r="M554" s="185" t="str">
        <f>IF(phc_8[[#This Row],[Register No.]]="","",C554&amp;"-"&amp;D554&amp;"-"&amp;"BHA-PHC-"&amp;phc_8[[#This Row],[Register No.]])</f>
        <v>Shining Star-Mobile Clinic-BHA-PHC-109</v>
      </c>
      <c r="N554" s="9" t="s">
        <v>401</v>
      </c>
      <c r="O554" s="183" t="s">
        <v>4314</v>
      </c>
      <c r="P554" s="183">
        <v>9</v>
      </c>
      <c r="Q554" s="183"/>
      <c r="R554" s="183"/>
      <c r="S554" s="186" t="str">
        <f t="shared" si="20"/>
        <v>5 - 14 yrs</v>
      </c>
      <c r="T554" s="183" t="s">
        <v>402</v>
      </c>
      <c r="U554" s="183"/>
      <c r="V554" s="183" t="s">
        <v>4318</v>
      </c>
      <c r="W554" s="183" t="s">
        <v>3659</v>
      </c>
      <c r="X554" s="183" t="s">
        <v>113</v>
      </c>
      <c r="Y554" s="186" t="str">
        <f>INDEX(info!$Y$2:$Y$192,MATCH(phc_8[[#This Row],[Sub_Category]],info!$X$2:$X$192,0))</f>
        <v>ARI/RTI</v>
      </c>
      <c r="Z554" s="186" t="str">
        <f t="array" ref="Z554">INDEX(info!$AA$2:$AA$192,MATCH(PHC!$X554&amp;PHC!$Y554,info!$X$2:$X$192&amp;info!$Y$2:$Y$192,0))</f>
        <v>Communicable disease</v>
      </c>
      <c r="AA554" s="183" t="s">
        <v>4323</v>
      </c>
      <c r="AB554" s="9" t="s">
        <v>654</v>
      </c>
      <c r="AC554" s="9" t="s">
        <v>654</v>
      </c>
      <c r="AD554" s="9" t="s">
        <v>654</v>
      </c>
      <c r="AE554" s="9" t="s">
        <v>654</v>
      </c>
      <c r="AF554" s="184"/>
      <c r="AG554" s="183"/>
      <c r="AH554" s="183"/>
      <c r="AI554" s="183"/>
      <c r="AJ554" s="183"/>
      <c r="AK554" s="9" t="s">
        <v>654</v>
      </c>
      <c r="AL554" s="183"/>
      <c r="AM554" s="186" t="str">
        <f>IF(AF554="","","Q"&amp;INT((MONTH(AF554)-1)/3)+1&amp;YEAR(AF554)&amp;#REF!&amp;T554)</f>
        <v/>
      </c>
      <c r="AN554" s="186" t="e">
        <f>IF(K554="","","Q"&amp;INT((MONTH(K554)-1)/3)+1&amp;YEAR(K554)&amp;#REF!)</f>
        <v>#REF!</v>
      </c>
    </row>
    <row r="555" spans="1:40" ht="20.100000000000001" customHeight="1" x14ac:dyDescent="0.25">
      <c r="A555" s="8">
        <v>553</v>
      </c>
      <c r="B555" s="8" t="s">
        <v>399</v>
      </c>
      <c r="C555" s="8" t="s">
        <v>1997</v>
      </c>
      <c r="D555" s="8" t="s">
        <v>2416</v>
      </c>
      <c r="E555" s="8" t="s">
        <v>1998</v>
      </c>
      <c r="F555" s="183" t="s">
        <v>4647</v>
      </c>
      <c r="G555" s="183"/>
      <c r="H555" s="183" t="s">
        <v>4646</v>
      </c>
      <c r="I555" s="183" t="s">
        <v>618</v>
      </c>
      <c r="J555" s="183"/>
      <c r="K555" s="184">
        <v>46064</v>
      </c>
      <c r="L555" s="183">
        <v>110</v>
      </c>
      <c r="M555" s="185" t="str">
        <f>IF(phc_8[[#This Row],[Register No.]]="","",C555&amp;"-"&amp;D555&amp;"-"&amp;"BHA-PHC-"&amp;phc_8[[#This Row],[Register No.]])</f>
        <v>Shining Star-Mobile Clinic-BHA-PHC-110</v>
      </c>
      <c r="N555" s="9" t="s">
        <v>401</v>
      </c>
      <c r="O555" s="183" t="s">
        <v>4315</v>
      </c>
      <c r="P555" s="183">
        <v>63</v>
      </c>
      <c r="Q555" s="183"/>
      <c r="R555" s="183"/>
      <c r="S555" s="186" t="str">
        <f t="shared" si="20"/>
        <v>50 yrs +</v>
      </c>
      <c r="T555" s="183" t="s">
        <v>603</v>
      </c>
      <c r="U555" s="183"/>
      <c r="V555" s="183" t="s">
        <v>4319</v>
      </c>
      <c r="W555" s="183" t="s">
        <v>3322</v>
      </c>
      <c r="X555" s="183" t="s">
        <v>242</v>
      </c>
      <c r="Y555" s="186" t="str">
        <f>INDEX(info!$Y$2:$Y$192,MATCH(phc_8[[#This Row],[Sub_Category]],info!$X$2:$X$192,0))</f>
        <v>Accident/minor sugical and injuries</v>
      </c>
      <c r="Z555" s="186" t="str">
        <f t="array" ref="Z555">INDEX(info!$AA$2:$AA$192,MATCH(PHC!$X555&amp;PHC!$Y555,info!$X$2:$X$192&amp;info!$Y$2:$Y$192,0))</f>
        <v>Injury related</v>
      </c>
      <c r="AA555" s="183" t="s">
        <v>4324</v>
      </c>
      <c r="AB555" s="9" t="s">
        <v>654</v>
      </c>
      <c r="AC555" s="9" t="s">
        <v>654</v>
      </c>
      <c r="AD555" s="9" t="s">
        <v>654</v>
      </c>
      <c r="AE555" s="9" t="s">
        <v>654</v>
      </c>
      <c r="AF555" s="184"/>
      <c r="AG555" s="183"/>
      <c r="AH555" s="183"/>
      <c r="AI555" s="183"/>
      <c r="AJ555" s="183"/>
      <c r="AK555" s="9" t="s">
        <v>654</v>
      </c>
      <c r="AL555" s="183"/>
      <c r="AM555" s="186" t="str">
        <f>IF(AF555="","","Q"&amp;INT((MONTH(AF555)-1)/3)+1&amp;YEAR(AF555)&amp;#REF!&amp;T555)</f>
        <v/>
      </c>
      <c r="AN555" s="186" t="e">
        <f>IF(K555="","","Q"&amp;INT((MONTH(K555)-1)/3)+1&amp;YEAR(K555)&amp;#REF!)</f>
        <v>#REF!</v>
      </c>
    </row>
    <row r="556" spans="1:40" ht="20.100000000000001" customHeight="1" x14ac:dyDescent="0.25">
      <c r="A556" s="8">
        <v>554</v>
      </c>
      <c r="B556" s="8" t="s">
        <v>399</v>
      </c>
      <c r="C556" s="8" t="s">
        <v>1997</v>
      </c>
      <c r="D556" s="8" t="s">
        <v>2416</v>
      </c>
      <c r="E556" s="8" t="s">
        <v>1998</v>
      </c>
      <c r="F556" s="183" t="s">
        <v>4647</v>
      </c>
      <c r="G556" s="183"/>
      <c r="H556" s="183" t="s">
        <v>4646</v>
      </c>
      <c r="I556" s="183" t="s">
        <v>618</v>
      </c>
      <c r="J556" s="183"/>
      <c r="K556" s="184">
        <v>46064</v>
      </c>
      <c r="L556" s="183">
        <v>111</v>
      </c>
      <c r="M556" s="185" t="str">
        <f>IF(phc_8[[#This Row],[Register No.]]="","",C556&amp;"-"&amp;D556&amp;"-"&amp;"BHA-PHC-"&amp;phc_8[[#This Row],[Register No.]])</f>
        <v>Shining Star-Mobile Clinic-BHA-PHC-111</v>
      </c>
      <c r="N556" s="9" t="s">
        <v>401</v>
      </c>
      <c r="O556" s="183" t="s">
        <v>2196</v>
      </c>
      <c r="P556" s="183">
        <v>33</v>
      </c>
      <c r="Q556" s="183"/>
      <c r="R556" s="183"/>
      <c r="S556" s="186" t="str">
        <f t="shared" si="20"/>
        <v>19 - 49 yrs</v>
      </c>
      <c r="T556" s="183" t="s">
        <v>603</v>
      </c>
      <c r="U556" s="183"/>
      <c r="V556" s="183" t="s">
        <v>4254</v>
      </c>
      <c r="W556" s="183" t="s">
        <v>321</v>
      </c>
      <c r="X556" s="183"/>
      <c r="Y556" s="186" t="e">
        <f>INDEX(info!$Y$2:$Y$192,MATCH(phc_8[[#This Row],[Sub_Category]],info!$X$2:$X$192,0))</f>
        <v>#N/A</v>
      </c>
      <c r="Z556" s="186" t="e">
        <f t="array" ref="Z556">INDEX(info!$AA$2:$AA$192,MATCH(PHC!$X556&amp;PHC!$Y556,info!$X$2:$X$192&amp;info!$Y$2:$Y$192,0))</f>
        <v>#N/A</v>
      </c>
      <c r="AA556" s="183" t="s">
        <v>2192</v>
      </c>
      <c r="AB556" s="9" t="s">
        <v>654</v>
      </c>
      <c r="AC556" s="9" t="s">
        <v>654</v>
      </c>
      <c r="AD556" s="9" t="s">
        <v>654</v>
      </c>
      <c r="AE556" s="9" t="s">
        <v>654</v>
      </c>
      <c r="AF556" s="184"/>
      <c r="AG556" s="183"/>
      <c r="AH556" s="183"/>
      <c r="AI556" s="183"/>
      <c r="AJ556" s="183"/>
      <c r="AK556" s="9" t="s">
        <v>654</v>
      </c>
      <c r="AL556" s="183"/>
      <c r="AM556" s="186" t="str">
        <f>IF(AF556="","","Q"&amp;INT((MONTH(AF556)-1)/3)+1&amp;YEAR(AF556)&amp;#REF!&amp;T556)</f>
        <v/>
      </c>
      <c r="AN556" s="186" t="e">
        <f>IF(K556="","","Q"&amp;INT((MONTH(K556)-1)/3)+1&amp;YEAR(K556)&amp;#REF!)</f>
        <v>#REF!</v>
      </c>
    </row>
    <row r="557" spans="1:40" ht="20.100000000000001" customHeight="1" x14ac:dyDescent="0.25">
      <c r="A557" s="8">
        <v>555</v>
      </c>
      <c r="B557" s="8" t="s">
        <v>399</v>
      </c>
      <c r="C557" s="8" t="s">
        <v>1997</v>
      </c>
      <c r="D557" s="8" t="s">
        <v>2416</v>
      </c>
      <c r="E557" s="182" t="s">
        <v>1998</v>
      </c>
      <c r="F557" s="183" t="s">
        <v>2222</v>
      </c>
      <c r="G557" s="183"/>
      <c r="H557" s="183" t="s">
        <v>4392</v>
      </c>
      <c r="I557" s="183" t="s">
        <v>579</v>
      </c>
      <c r="J557" s="183"/>
      <c r="K557" s="184">
        <v>46069</v>
      </c>
      <c r="L557" s="183">
        <v>1</v>
      </c>
      <c r="M557" s="185" t="str">
        <f>IF(phc_8[[#This Row],[Register No.]]="","",C557&amp;"-"&amp;D557&amp;"-"&amp;"BHA-PHC-"&amp;phc_8[[#This Row],[Register No.]])</f>
        <v>Shining Star-Mobile Clinic-BHA-PHC-1</v>
      </c>
      <c r="N557" s="9" t="s">
        <v>401</v>
      </c>
      <c r="O557" s="183" t="s">
        <v>4378</v>
      </c>
      <c r="P557" s="183">
        <v>49</v>
      </c>
      <c r="Q557" s="183"/>
      <c r="R557" s="183"/>
      <c r="S557" s="186" t="str">
        <f t="shared" si="20"/>
        <v>19 - 49 yrs</v>
      </c>
      <c r="T557" s="183" t="s">
        <v>603</v>
      </c>
      <c r="U557" s="183"/>
      <c r="V557" s="183" t="s">
        <v>4381</v>
      </c>
      <c r="W557" s="183" t="s">
        <v>2003</v>
      </c>
      <c r="X557" s="183" t="s">
        <v>181</v>
      </c>
      <c r="Y557" s="186" t="str">
        <f>INDEX(info!$Y$2:$Y$192,MATCH(phc_8[[#This Row],[Sub_Category]],info!$X$2:$X$192,0))</f>
        <v>Chronic medical disease</v>
      </c>
      <c r="Z557" s="186" t="str">
        <f t="array" ref="Z557">INDEX(info!$AA$2:$AA$192,MATCH(PHC!$X557&amp;PHC!$Y557,info!$X$2:$X$192&amp;info!$Y$2:$Y$192,0))</f>
        <v>Non-communicable disease</v>
      </c>
      <c r="AA557" s="183" t="s">
        <v>4387</v>
      </c>
      <c r="AB557" s="9" t="s">
        <v>654</v>
      </c>
      <c r="AC557" s="9" t="s">
        <v>654</v>
      </c>
      <c r="AD557" s="9" t="s">
        <v>654</v>
      </c>
      <c r="AE557" s="9" t="s">
        <v>654</v>
      </c>
      <c r="AF557" s="184"/>
      <c r="AG557" s="183"/>
      <c r="AH557" s="183"/>
      <c r="AI557" s="183"/>
      <c r="AJ557" s="183"/>
      <c r="AK557" s="9" t="s">
        <v>654</v>
      </c>
      <c r="AL557" s="183"/>
      <c r="AM557" s="186" t="str">
        <f>IF(AF557="","","Q"&amp;INT((MONTH(AF557)-1)/3)+1&amp;YEAR(AF557)&amp;#REF!&amp;T557)</f>
        <v/>
      </c>
      <c r="AN557" s="186" t="e">
        <f>IF(K557="","","Q"&amp;INT((MONTH(K557)-1)/3)+1&amp;YEAR(K557)&amp;#REF!)</f>
        <v>#REF!</v>
      </c>
    </row>
    <row r="558" spans="1:40" ht="20.100000000000001" customHeight="1" x14ac:dyDescent="0.25">
      <c r="A558" s="8">
        <v>556</v>
      </c>
      <c r="B558" s="8" t="s">
        <v>399</v>
      </c>
      <c r="C558" s="8" t="s">
        <v>1997</v>
      </c>
      <c r="D558" s="8" t="s">
        <v>2416</v>
      </c>
      <c r="E558" s="182" t="s">
        <v>1998</v>
      </c>
      <c r="F558" s="183" t="s">
        <v>2222</v>
      </c>
      <c r="G558" s="183"/>
      <c r="H558" s="183" t="s">
        <v>4392</v>
      </c>
      <c r="I558" s="183" t="s">
        <v>579</v>
      </c>
      <c r="J558" s="183"/>
      <c r="K558" s="184">
        <v>46069</v>
      </c>
      <c r="L558" s="183">
        <v>2</v>
      </c>
      <c r="M558" s="185" t="str">
        <f>IF(phc_8[[#This Row],[Register No.]]="","",C558&amp;"-"&amp;D558&amp;"-"&amp;"BHA-PHC-"&amp;phc_8[[#This Row],[Register No.]])</f>
        <v>Shining Star-Mobile Clinic-BHA-PHC-2</v>
      </c>
      <c r="N558" s="9" t="s">
        <v>401</v>
      </c>
      <c r="O558" s="183" t="s">
        <v>3317</v>
      </c>
      <c r="P558" s="183">
        <v>72</v>
      </c>
      <c r="Q558" s="183"/>
      <c r="R558" s="183"/>
      <c r="S558" s="186" t="str">
        <f t="shared" si="20"/>
        <v>50 yrs +</v>
      </c>
      <c r="T558" s="183" t="s">
        <v>603</v>
      </c>
      <c r="U558" s="183"/>
      <c r="V558" s="183" t="s">
        <v>4382</v>
      </c>
      <c r="W558" s="183" t="s">
        <v>2003</v>
      </c>
      <c r="X558" s="183" t="s">
        <v>181</v>
      </c>
      <c r="Y558" s="186" t="str">
        <f>INDEX(info!$Y$2:$Y$192,MATCH(phc_8[[#This Row],[Sub_Category]],info!$X$2:$X$192,0))</f>
        <v>Chronic medical disease</v>
      </c>
      <c r="Z558" s="186" t="str">
        <f t="array" ref="Z558">INDEX(info!$AA$2:$AA$192,MATCH(PHC!$X558&amp;PHC!$Y558,info!$X$2:$X$192&amp;info!$Y$2:$Y$192,0))</f>
        <v>Non-communicable disease</v>
      </c>
      <c r="AA558" s="183" t="s">
        <v>4388</v>
      </c>
      <c r="AB558" s="9" t="s">
        <v>654</v>
      </c>
      <c r="AC558" s="9" t="s">
        <v>654</v>
      </c>
      <c r="AD558" s="9" t="s">
        <v>654</v>
      </c>
      <c r="AE558" s="9" t="s">
        <v>654</v>
      </c>
      <c r="AF558" s="184"/>
      <c r="AG558" s="183"/>
      <c r="AH558" s="183"/>
      <c r="AI558" s="183"/>
      <c r="AJ558" s="183"/>
      <c r="AK558" s="9" t="s">
        <v>654</v>
      </c>
      <c r="AL558" s="183"/>
      <c r="AM558" s="186" t="str">
        <f>IF(AF558="","","Q"&amp;INT((MONTH(AF558)-1)/3)+1&amp;YEAR(AF558)&amp;#REF!&amp;T558)</f>
        <v/>
      </c>
      <c r="AN558" s="186" t="e">
        <f>IF(K558="","","Q"&amp;INT((MONTH(K558)-1)/3)+1&amp;YEAR(K558)&amp;#REF!)</f>
        <v>#REF!</v>
      </c>
    </row>
    <row r="559" spans="1:40" ht="20.100000000000001" customHeight="1" x14ac:dyDescent="0.25">
      <c r="A559" s="8">
        <v>557</v>
      </c>
      <c r="B559" s="8" t="s">
        <v>399</v>
      </c>
      <c r="C559" s="8" t="s">
        <v>1997</v>
      </c>
      <c r="D559" s="8" t="s">
        <v>2416</v>
      </c>
      <c r="E559" s="182" t="s">
        <v>1998</v>
      </c>
      <c r="F559" s="183" t="s">
        <v>2222</v>
      </c>
      <c r="G559" s="183"/>
      <c r="H559" s="183" t="s">
        <v>4392</v>
      </c>
      <c r="I559" s="183" t="s">
        <v>579</v>
      </c>
      <c r="J559" s="183"/>
      <c r="K559" s="184">
        <v>46069</v>
      </c>
      <c r="L559" s="183">
        <v>3</v>
      </c>
      <c r="M559" s="185" t="str">
        <f>IF(phc_8[[#This Row],[Register No.]]="","",C559&amp;"-"&amp;D559&amp;"-"&amp;"BHA-PHC-"&amp;phc_8[[#This Row],[Register No.]])</f>
        <v>Shining Star-Mobile Clinic-BHA-PHC-3</v>
      </c>
      <c r="N559" s="9" t="s">
        <v>401</v>
      </c>
      <c r="O559" s="183" t="s">
        <v>4379</v>
      </c>
      <c r="P559" s="183">
        <v>90</v>
      </c>
      <c r="Q559" s="183"/>
      <c r="R559" s="183"/>
      <c r="S559" s="186" t="str">
        <f t="shared" si="20"/>
        <v>50 yrs +</v>
      </c>
      <c r="T559" s="183" t="s">
        <v>402</v>
      </c>
      <c r="U559" s="183"/>
      <c r="V559" s="183" t="s">
        <v>4383</v>
      </c>
      <c r="W559" s="183" t="s">
        <v>186</v>
      </c>
      <c r="X559" s="183" t="s">
        <v>186</v>
      </c>
      <c r="Y559" s="186" t="str">
        <f>INDEX(info!$Y$2:$Y$192,MATCH(phc_8[[#This Row],[Sub_Category]],info!$X$2:$X$192,0))</f>
        <v>Chronic medical disease</v>
      </c>
      <c r="Z559" s="186" t="str">
        <f t="array" ref="Z559">INDEX(info!$AA$2:$AA$192,MATCH(PHC!$X559&amp;PHC!$Y559,info!$X$2:$X$192&amp;info!$Y$2:$Y$192,0))</f>
        <v>Non-communicable disease</v>
      </c>
      <c r="AA559" s="183" t="s">
        <v>4389</v>
      </c>
      <c r="AB559" s="9" t="s">
        <v>654</v>
      </c>
      <c r="AC559" s="9" t="s">
        <v>654</v>
      </c>
      <c r="AD559" s="9" t="s">
        <v>654</v>
      </c>
      <c r="AE559" s="9" t="s">
        <v>654</v>
      </c>
      <c r="AF559" s="184"/>
      <c r="AG559" s="183"/>
      <c r="AH559" s="183"/>
      <c r="AI559" s="183"/>
      <c r="AJ559" s="183"/>
      <c r="AK559" s="9" t="s">
        <v>654</v>
      </c>
      <c r="AL559" s="183"/>
      <c r="AM559" s="186" t="str">
        <f>IF(AF559="","","Q"&amp;INT((MONTH(AF559)-1)/3)+1&amp;YEAR(AF559)&amp;#REF!&amp;T559)</f>
        <v/>
      </c>
      <c r="AN559" s="186" t="e">
        <f>IF(K559="","","Q"&amp;INT((MONTH(K559)-1)/3)+1&amp;YEAR(K559)&amp;#REF!)</f>
        <v>#REF!</v>
      </c>
    </row>
    <row r="560" spans="1:40" ht="20.100000000000001" customHeight="1" x14ac:dyDescent="0.25">
      <c r="A560" s="8">
        <v>558</v>
      </c>
      <c r="B560" s="8" t="s">
        <v>399</v>
      </c>
      <c r="C560" s="8" t="s">
        <v>1997</v>
      </c>
      <c r="D560" s="8" t="s">
        <v>2416</v>
      </c>
      <c r="E560" s="182" t="s">
        <v>1998</v>
      </c>
      <c r="F560" s="183" t="s">
        <v>2222</v>
      </c>
      <c r="G560" s="183"/>
      <c r="H560" s="183" t="s">
        <v>4392</v>
      </c>
      <c r="I560" s="183" t="s">
        <v>579</v>
      </c>
      <c r="J560" s="183"/>
      <c r="K560" s="184">
        <v>46069</v>
      </c>
      <c r="L560" s="183">
        <v>4</v>
      </c>
      <c r="M560" s="185" t="str">
        <f>IF(phc_8[[#This Row],[Register No.]]="","",C560&amp;"-"&amp;D560&amp;"-"&amp;"BHA-PHC-"&amp;phc_8[[#This Row],[Register No.]])</f>
        <v>Shining Star-Mobile Clinic-BHA-PHC-4</v>
      </c>
      <c r="N560" s="9" t="s">
        <v>401</v>
      </c>
      <c r="O560" s="183" t="s">
        <v>2936</v>
      </c>
      <c r="P560" s="183">
        <v>70</v>
      </c>
      <c r="Q560" s="183"/>
      <c r="R560" s="183"/>
      <c r="S560" s="186" t="str">
        <f t="shared" ref="S560:S591" si="21">IF(AND(ISBLANK(P560),ISBLANK(Q560),ISBLANK(R560))," ",
IF(OR(P560&lt;5,AND(P560=" ",Q560&lt;&gt;" ",R560&lt;&gt;" ")),"&lt;5 yrs",
IF(AND(P560&gt;=5,P560&lt;=14),"5 - 14 yrs",
IF(AND(P560&gt;=15,P560&lt;=18),"15 - 18 yrs",
IF(AND(P560&gt;=19,P560&lt;=49),"19 - 49 yrs","50 yrs +")))))</f>
        <v>50 yrs +</v>
      </c>
      <c r="T560" s="183" t="s">
        <v>603</v>
      </c>
      <c r="U560" s="183"/>
      <c r="V560" s="183" t="s">
        <v>4384</v>
      </c>
      <c r="W560" s="183" t="s">
        <v>4386</v>
      </c>
      <c r="X560" s="183" t="s">
        <v>181</v>
      </c>
      <c r="Y560" s="186" t="str">
        <f>INDEX(info!$Y$2:$Y$192,MATCH(phc_8[[#This Row],[Sub_Category]],info!$X$2:$X$192,0))</f>
        <v>Chronic medical disease</v>
      </c>
      <c r="Z560" s="186" t="str">
        <f t="array" ref="Z560">INDEX(info!$AA$2:$AA$192,MATCH(PHC!$X560&amp;PHC!$Y560,info!$X$2:$X$192&amp;info!$Y$2:$Y$192,0))</f>
        <v>Non-communicable disease</v>
      </c>
      <c r="AA560" s="183" t="s">
        <v>4390</v>
      </c>
      <c r="AB560" s="9" t="s">
        <v>654</v>
      </c>
      <c r="AC560" s="9" t="s">
        <v>654</v>
      </c>
      <c r="AD560" s="9" t="s">
        <v>654</v>
      </c>
      <c r="AE560" s="9" t="s">
        <v>654</v>
      </c>
      <c r="AF560" s="184"/>
      <c r="AG560" s="183"/>
      <c r="AH560" s="183"/>
      <c r="AI560" s="183"/>
      <c r="AJ560" s="183"/>
      <c r="AK560" s="9" t="s">
        <v>654</v>
      </c>
      <c r="AL560" s="183"/>
      <c r="AM560" s="186" t="str">
        <f>IF(AF560="","","Q"&amp;INT((MONTH(AF560)-1)/3)+1&amp;YEAR(AF560)&amp;#REF!&amp;T560)</f>
        <v/>
      </c>
      <c r="AN560" s="186" t="e">
        <f>IF(K560="","","Q"&amp;INT((MONTH(K560)-1)/3)+1&amp;YEAR(K560)&amp;#REF!)</f>
        <v>#REF!</v>
      </c>
    </row>
    <row r="561" spans="1:40" ht="20.100000000000001" customHeight="1" x14ac:dyDescent="0.25">
      <c r="A561" s="8">
        <v>559</v>
      </c>
      <c r="B561" s="8" t="s">
        <v>399</v>
      </c>
      <c r="C561" s="8" t="s">
        <v>1997</v>
      </c>
      <c r="D561" s="8" t="s">
        <v>2416</v>
      </c>
      <c r="E561" s="182" t="s">
        <v>1998</v>
      </c>
      <c r="F561" s="183" t="s">
        <v>2222</v>
      </c>
      <c r="G561" s="183"/>
      <c r="H561" s="183" t="s">
        <v>4392</v>
      </c>
      <c r="I561" s="183" t="s">
        <v>579</v>
      </c>
      <c r="J561" s="183"/>
      <c r="K561" s="184">
        <v>46069</v>
      </c>
      <c r="L561" s="183">
        <v>5</v>
      </c>
      <c r="M561" s="185" t="str">
        <f>IF(phc_8[[#This Row],[Register No.]]="","",C561&amp;"-"&amp;D561&amp;"-"&amp;"BHA-PHC-"&amp;phc_8[[#This Row],[Register No.]])</f>
        <v>Shining Star-Mobile Clinic-BHA-PHC-5</v>
      </c>
      <c r="N561" s="9" t="s">
        <v>401</v>
      </c>
      <c r="O561" s="183" t="s">
        <v>4380</v>
      </c>
      <c r="P561" s="183">
        <v>75</v>
      </c>
      <c r="Q561" s="183"/>
      <c r="R561" s="183"/>
      <c r="S561" s="186" t="str">
        <f t="shared" si="21"/>
        <v>50 yrs +</v>
      </c>
      <c r="T561" s="183" t="s">
        <v>603</v>
      </c>
      <c r="U561" s="183"/>
      <c r="V561" s="183" t="s">
        <v>4385</v>
      </c>
      <c r="W561" s="183" t="s">
        <v>294</v>
      </c>
      <c r="X561" s="183" t="s">
        <v>294</v>
      </c>
      <c r="Y561" s="186" t="str">
        <f>INDEX(info!$Y$2:$Y$192,MATCH(phc_8[[#This Row],[Sub_Category]],info!$X$2:$X$192,0))</f>
        <v>Other (non-communicable)</v>
      </c>
      <c r="Z561" s="186" t="str">
        <f t="array" ref="Z561">INDEX(info!$AA$2:$AA$192,MATCH(PHC!$X561&amp;PHC!$Y561,info!$X$2:$X$192&amp;info!$Y$2:$Y$192,0))</f>
        <v>Other</v>
      </c>
      <c r="AA561" s="183" t="s">
        <v>4391</v>
      </c>
      <c r="AB561" s="9" t="s">
        <v>654</v>
      </c>
      <c r="AC561" s="9" t="s">
        <v>654</v>
      </c>
      <c r="AD561" s="9" t="s">
        <v>654</v>
      </c>
      <c r="AE561" s="9" t="s">
        <v>654</v>
      </c>
      <c r="AF561" s="184"/>
      <c r="AG561" s="183"/>
      <c r="AH561" s="183"/>
      <c r="AI561" s="183"/>
      <c r="AJ561" s="183"/>
      <c r="AK561" s="9" t="s">
        <v>654</v>
      </c>
      <c r="AL561" s="183"/>
      <c r="AM561" s="186" t="str">
        <f>IF(AF561="","","Q"&amp;INT((MONTH(AF561)-1)/3)+1&amp;YEAR(AF561)&amp;#REF!&amp;T561)</f>
        <v/>
      </c>
      <c r="AN561" s="186" t="e">
        <f>IF(K561="","","Q"&amp;INT((MONTH(K561)-1)/3)+1&amp;YEAR(K561)&amp;#REF!)</f>
        <v>#REF!</v>
      </c>
    </row>
    <row r="562" spans="1:40" ht="20.100000000000001" customHeight="1" x14ac:dyDescent="0.25">
      <c r="A562" s="8">
        <v>560</v>
      </c>
      <c r="B562" s="8" t="s">
        <v>399</v>
      </c>
      <c r="C562" s="8" t="s">
        <v>1997</v>
      </c>
      <c r="D562" s="8" t="s">
        <v>2416</v>
      </c>
      <c r="E562" s="182" t="s">
        <v>1998</v>
      </c>
      <c r="F562" s="183" t="s">
        <v>2222</v>
      </c>
      <c r="G562" s="183"/>
      <c r="H562" s="183" t="s">
        <v>4392</v>
      </c>
      <c r="I562" s="183" t="s">
        <v>579</v>
      </c>
      <c r="J562" s="183"/>
      <c r="K562" s="184">
        <v>46069</v>
      </c>
      <c r="L562" s="183">
        <v>6</v>
      </c>
      <c r="M562" s="185" t="str">
        <f>IF(phc_8[[#This Row],[Register No.]]="","",C562&amp;"-"&amp;D562&amp;"-"&amp;"BHA-PHC-"&amp;phc_8[[#This Row],[Register No.]])</f>
        <v>Shining Star-Mobile Clinic-BHA-PHC-6</v>
      </c>
      <c r="N562" s="9" t="s">
        <v>401</v>
      </c>
      <c r="O562" s="183" t="s">
        <v>4393</v>
      </c>
      <c r="P562" s="183">
        <v>83</v>
      </c>
      <c r="Q562" s="183"/>
      <c r="R562" s="183"/>
      <c r="S562" s="186" t="str">
        <f t="shared" si="21"/>
        <v>50 yrs +</v>
      </c>
      <c r="T562" s="183" t="s">
        <v>402</v>
      </c>
      <c r="U562" s="183"/>
      <c r="V562" s="183" t="s">
        <v>3807</v>
      </c>
      <c r="W562" s="183" t="s">
        <v>4258</v>
      </c>
      <c r="X562" s="183" t="s">
        <v>181</v>
      </c>
      <c r="Y562" s="186" t="str">
        <f>INDEX(info!$Y$2:$Y$192,MATCH(phc_8[[#This Row],[Sub_Category]],info!$X$2:$X$192,0))</f>
        <v>Chronic medical disease</v>
      </c>
      <c r="Z562" s="186" t="str">
        <f t="array" ref="Z562">INDEX(info!$AA$2:$AA$192,MATCH(PHC!$X562&amp;PHC!$Y562,info!$X$2:$X$192&amp;info!$Y$2:$Y$192,0))</f>
        <v>Non-communicable disease</v>
      </c>
      <c r="AA562" s="183" t="s">
        <v>4401</v>
      </c>
      <c r="AB562" s="9" t="s">
        <v>654</v>
      </c>
      <c r="AC562" s="9" t="s">
        <v>654</v>
      </c>
      <c r="AD562" s="9" t="s">
        <v>654</v>
      </c>
      <c r="AE562" s="9" t="s">
        <v>654</v>
      </c>
      <c r="AF562" s="184"/>
      <c r="AG562" s="183"/>
      <c r="AH562" s="183"/>
      <c r="AI562" s="183"/>
      <c r="AJ562" s="183"/>
      <c r="AK562" s="9" t="s">
        <v>654</v>
      </c>
      <c r="AL562" s="183"/>
      <c r="AM562" s="186" t="str">
        <f>IF(AF562="","","Q"&amp;INT((MONTH(AF562)-1)/3)+1&amp;YEAR(AF562)&amp;#REF!&amp;T562)</f>
        <v/>
      </c>
      <c r="AN562" s="186" t="e">
        <f>IF(K562="","","Q"&amp;INT((MONTH(K562)-1)/3)+1&amp;YEAR(K562)&amp;#REF!)</f>
        <v>#REF!</v>
      </c>
    </row>
    <row r="563" spans="1:40" ht="20.100000000000001" customHeight="1" x14ac:dyDescent="0.25">
      <c r="A563" s="8">
        <v>561</v>
      </c>
      <c r="B563" s="8" t="s">
        <v>399</v>
      </c>
      <c r="C563" s="8" t="s">
        <v>1997</v>
      </c>
      <c r="D563" s="8" t="s">
        <v>2416</v>
      </c>
      <c r="E563" s="182" t="s">
        <v>1998</v>
      </c>
      <c r="F563" s="183" t="s">
        <v>2222</v>
      </c>
      <c r="G563" s="183"/>
      <c r="H563" s="183" t="s">
        <v>4392</v>
      </c>
      <c r="I563" s="183" t="s">
        <v>579</v>
      </c>
      <c r="J563" s="183"/>
      <c r="K563" s="184">
        <v>46069</v>
      </c>
      <c r="L563" s="183">
        <v>7</v>
      </c>
      <c r="M563" s="185" t="str">
        <f>IF(phc_8[[#This Row],[Register No.]]="","",C563&amp;"-"&amp;D563&amp;"-"&amp;"BHA-PHC-"&amp;phc_8[[#This Row],[Register No.]])</f>
        <v>Shining Star-Mobile Clinic-BHA-PHC-7</v>
      </c>
      <c r="N563" s="9" t="s">
        <v>401</v>
      </c>
      <c r="O563" s="183" t="s">
        <v>3175</v>
      </c>
      <c r="P563" s="183">
        <v>97</v>
      </c>
      <c r="Q563" s="183"/>
      <c r="R563" s="183"/>
      <c r="S563" s="186" t="str">
        <f t="shared" si="21"/>
        <v>50 yrs +</v>
      </c>
      <c r="T563" s="183" t="s">
        <v>603</v>
      </c>
      <c r="U563" s="183"/>
      <c r="V563" s="183" t="s">
        <v>4397</v>
      </c>
      <c r="W563" s="183" t="s">
        <v>294</v>
      </c>
      <c r="X563" s="183" t="s">
        <v>294</v>
      </c>
      <c r="Y563" s="186" t="str">
        <f>INDEX(info!$Y$2:$Y$192,MATCH(phc_8[[#This Row],[Sub_Category]],info!$X$2:$X$192,0))</f>
        <v>Other (non-communicable)</v>
      </c>
      <c r="Z563" s="186" t="str">
        <f t="array" ref="Z563">INDEX(info!$AA$2:$AA$192,MATCH(PHC!$X563&amp;PHC!$Y563,info!$X$2:$X$192&amp;info!$Y$2:$Y$192,0))</f>
        <v>Other</v>
      </c>
      <c r="AA563" s="183" t="s">
        <v>4402</v>
      </c>
      <c r="AB563" s="9" t="s">
        <v>654</v>
      </c>
      <c r="AC563" s="9" t="s">
        <v>654</v>
      </c>
      <c r="AD563" s="9" t="s">
        <v>654</v>
      </c>
      <c r="AE563" s="9" t="s">
        <v>654</v>
      </c>
      <c r="AF563" s="184"/>
      <c r="AG563" s="183"/>
      <c r="AH563" s="183"/>
      <c r="AI563" s="183"/>
      <c r="AJ563" s="183"/>
      <c r="AK563" s="9" t="s">
        <v>654</v>
      </c>
      <c r="AL563" s="183"/>
      <c r="AM563" s="186" t="str">
        <f>IF(AF563="","","Q"&amp;INT((MONTH(AF563)-1)/3)+1&amp;YEAR(AF563)&amp;#REF!&amp;T563)</f>
        <v/>
      </c>
      <c r="AN563" s="186" t="e">
        <f>IF(K563="","","Q"&amp;INT((MONTH(K563)-1)/3)+1&amp;YEAR(K563)&amp;#REF!)</f>
        <v>#REF!</v>
      </c>
    </row>
    <row r="564" spans="1:40" ht="20.100000000000001" customHeight="1" x14ac:dyDescent="0.25">
      <c r="A564" s="8">
        <v>562</v>
      </c>
      <c r="B564" s="8" t="s">
        <v>399</v>
      </c>
      <c r="C564" s="8" t="s">
        <v>1997</v>
      </c>
      <c r="D564" s="8" t="s">
        <v>2416</v>
      </c>
      <c r="E564" s="182" t="s">
        <v>1998</v>
      </c>
      <c r="F564" s="183" t="s">
        <v>2222</v>
      </c>
      <c r="G564" s="183"/>
      <c r="H564" s="183" t="s">
        <v>4392</v>
      </c>
      <c r="I564" s="183" t="s">
        <v>579</v>
      </c>
      <c r="J564" s="183"/>
      <c r="K564" s="184">
        <v>46069</v>
      </c>
      <c r="L564" s="183">
        <v>8</v>
      </c>
      <c r="M564" s="185" t="str">
        <f>IF(phc_8[[#This Row],[Register No.]]="","",C564&amp;"-"&amp;D564&amp;"-"&amp;"BHA-PHC-"&amp;phc_8[[#This Row],[Register No.]])</f>
        <v>Shining Star-Mobile Clinic-BHA-PHC-8</v>
      </c>
      <c r="N564" s="9" t="s">
        <v>401</v>
      </c>
      <c r="O564" s="183" t="s">
        <v>4394</v>
      </c>
      <c r="P564" s="183">
        <v>82</v>
      </c>
      <c r="Q564" s="183"/>
      <c r="R564" s="183"/>
      <c r="S564" s="186" t="str">
        <f t="shared" si="21"/>
        <v>50 yrs +</v>
      </c>
      <c r="T564" s="183" t="s">
        <v>603</v>
      </c>
      <c r="U564" s="183"/>
      <c r="V564" s="183" t="s">
        <v>4398</v>
      </c>
      <c r="W564" s="183" t="s">
        <v>2003</v>
      </c>
      <c r="X564" s="183" t="s">
        <v>181</v>
      </c>
      <c r="Y564" s="186" t="str">
        <f>INDEX(info!$Y$2:$Y$192,MATCH(phc_8[[#This Row],[Sub_Category]],info!$X$2:$X$192,0))</f>
        <v>Chronic medical disease</v>
      </c>
      <c r="Z564" s="186" t="str">
        <f t="array" ref="Z564">INDEX(info!$AA$2:$AA$192,MATCH(PHC!$X564&amp;PHC!$Y564,info!$X$2:$X$192&amp;info!$Y$2:$Y$192,0))</f>
        <v>Non-communicable disease</v>
      </c>
      <c r="AA564" s="183" t="s">
        <v>4403</v>
      </c>
      <c r="AB564" s="9" t="s">
        <v>654</v>
      </c>
      <c r="AC564" s="9" t="s">
        <v>654</v>
      </c>
      <c r="AD564" s="9" t="s">
        <v>654</v>
      </c>
      <c r="AE564" s="9" t="s">
        <v>654</v>
      </c>
      <c r="AF564" s="184"/>
      <c r="AG564" s="183"/>
      <c r="AH564" s="183"/>
      <c r="AI564" s="183"/>
      <c r="AJ564" s="183"/>
      <c r="AK564" s="9" t="s">
        <v>654</v>
      </c>
      <c r="AL564" s="183"/>
      <c r="AM564" s="186" t="str">
        <f>IF(AF564="","","Q"&amp;INT((MONTH(AF564)-1)/3)+1&amp;YEAR(AF564)&amp;#REF!&amp;T564)</f>
        <v/>
      </c>
      <c r="AN564" s="186" t="e">
        <f>IF(K564="","","Q"&amp;INT((MONTH(K564)-1)/3)+1&amp;YEAR(K564)&amp;#REF!)</f>
        <v>#REF!</v>
      </c>
    </row>
    <row r="565" spans="1:40" ht="20.100000000000001" customHeight="1" x14ac:dyDescent="0.25">
      <c r="A565" s="8">
        <v>563</v>
      </c>
      <c r="B565" s="8" t="s">
        <v>399</v>
      </c>
      <c r="C565" s="8" t="s">
        <v>1997</v>
      </c>
      <c r="D565" s="8" t="s">
        <v>2416</v>
      </c>
      <c r="E565" s="182" t="s">
        <v>1998</v>
      </c>
      <c r="F565" s="183" t="s">
        <v>2222</v>
      </c>
      <c r="G565" s="183"/>
      <c r="H565" s="183" t="s">
        <v>4392</v>
      </c>
      <c r="I565" s="183" t="s">
        <v>579</v>
      </c>
      <c r="J565" s="183"/>
      <c r="K565" s="184">
        <v>46069</v>
      </c>
      <c r="L565" s="183">
        <v>9</v>
      </c>
      <c r="M565" s="185" t="str">
        <f>IF(phc_8[[#This Row],[Register No.]]="","",C565&amp;"-"&amp;D565&amp;"-"&amp;"BHA-PHC-"&amp;phc_8[[#This Row],[Register No.]])</f>
        <v>Shining Star-Mobile Clinic-BHA-PHC-9</v>
      </c>
      <c r="N565" s="9" t="s">
        <v>401</v>
      </c>
      <c r="O565" s="183" t="s">
        <v>4395</v>
      </c>
      <c r="P565" s="183">
        <v>78</v>
      </c>
      <c r="Q565" s="183"/>
      <c r="R565" s="183"/>
      <c r="S565" s="186" t="str">
        <f t="shared" si="21"/>
        <v>50 yrs +</v>
      </c>
      <c r="T565" s="183" t="s">
        <v>603</v>
      </c>
      <c r="U565" s="183"/>
      <c r="V565" s="183" t="s">
        <v>3807</v>
      </c>
      <c r="W565" s="183" t="s">
        <v>4399</v>
      </c>
      <c r="X565" s="183" t="s">
        <v>242</v>
      </c>
      <c r="Y565" s="186" t="str">
        <f>INDEX(info!$Y$2:$Y$192,MATCH(phc_8[[#This Row],[Sub_Category]],info!$X$2:$X$192,0))</f>
        <v>Accident/minor sugical and injuries</v>
      </c>
      <c r="Z565" s="186" t="str">
        <f t="array" ref="Z565">INDEX(info!$AA$2:$AA$192,MATCH(PHC!$X565&amp;PHC!$Y565,info!$X$2:$X$192&amp;info!$Y$2:$Y$192,0))</f>
        <v>Injury related</v>
      </c>
      <c r="AA565" s="183" t="s">
        <v>4404</v>
      </c>
      <c r="AB565" s="9" t="s">
        <v>654</v>
      </c>
      <c r="AC565" s="9" t="s">
        <v>654</v>
      </c>
      <c r="AD565" s="9" t="s">
        <v>654</v>
      </c>
      <c r="AE565" s="9" t="s">
        <v>654</v>
      </c>
      <c r="AF565" s="184"/>
      <c r="AG565" s="183"/>
      <c r="AH565" s="183"/>
      <c r="AI565" s="183"/>
      <c r="AJ565" s="183"/>
      <c r="AK565" s="9" t="s">
        <v>654</v>
      </c>
      <c r="AL565" s="183"/>
      <c r="AM565" s="186" t="str">
        <f>IF(AF565="","","Q"&amp;INT((MONTH(AF565)-1)/3)+1&amp;YEAR(AF565)&amp;#REF!&amp;T565)</f>
        <v/>
      </c>
      <c r="AN565" s="186" t="e">
        <f>IF(K565="","","Q"&amp;INT((MONTH(K565)-1)/3)+1&amp;YEAR(K565)&amp;#REF!)</f>
        <v>#REF!</v>
      </c>
    </row>
    <row r="566" spans="1:40" ht="20.100000000000001" customHeight="1" x14ac:dyDescent="0.25">
      <c r="A566" s="8">
        <v>564</v>
      </c>
      <c r="B566" s="8" t="s">
        <v>399</v>
      </c>
      <c r="C566" s="8" t="s">
        <v>1997</v>
      </c>
      <c r="D566" s="8" t="s">
        <v>2416</v>
      </c>
      <c r="E566" s="182" t="s">
        <v>1998</v>
      </c>
      <c r="F566" s="183" t="s">
        <v>2222</v>
      </c>
      <c r="G566" s="183"/>
      <c r="H566" s="183" t="s">
        <v>4392</v>
      </c>
      <c r="I566" s="183" t="s">
        <v>579</v>
      </c>
      <c r="J566" s="183"/>
      <c r="K566" s="184">
        <v>46069</v>
      </c>
      <c r="L566" s="183">
        <v>10</v>
      </c>
      <c r="M566" s="185" t="str">
        <f>IF(phc_8[[#This Row],[Register No.]]="","",C566&amp;"-"&amp;D566&amp;"-"&amp;"BHA-PHC-"&amp;phc_8[[#This Row],[Register No.]])</f>
        <v>Shining Star-Mobile Clinic-BHA-PHC-10</v>
      </c>
      <c r="N566" s="9" t="s">
        <v>401</v>
      </c>
      <c r="O566" s="183" t="s">
        <v>4396</v>
      </c>
      <c r="P566" s="183">
        <v>73</v>
      </c>
      <c r="Q566" s="183"/>
      <c r="R566" s="183"/>
      <c r="S566" s="186" t="str">
        <f t="shared" si="21"/>
        <v>50 yrs +</v>
      </c>
      <c r="T566" s="183" t="s">
        <v>603</v>
      </c>
      <c r="U566" s="183"/>
      <c r="V566" s="183" t="s">
        <v>3331</v>
      </c>
      <c r="W566" s="183" t="s">
        <v>4400</v>
      </c>
      <c r="X566" s="183" t="s">
        <v>181</v>
      </c>
      <c r="Y566" s="186" t="str">
        <f>INDEX(info!$Y$2:$Y$192,MATCH(phc_8[[#This Row],[Sub_Category]],info!$X$2:$X$192,0))</f>
        <v>Chronic medical disease</v>
      </c>
      <c r="Z566" s="186" t="str">
        <f t="array" ref="Z566">INDEX(info!$AA$2:$AA$192,MATCH(PHC!$X566&amp;PHC!$Y566,info!$X$2:$X$192&amp;info!$Y$2:$Y$192,0))</f>
        <v>Non-communicable disease</v>
      </c>
      <c r="AA566" s="183" t="s">
        <v>4405</v>
      </c>
      <c r="AB566" s="9" t="s">
        <v>654</v>
      </c>
      <c r="AC566" s="9" t="s">
        <v>654</v>
      </c>
      <c r="AD566" s="9" t="s">
        <v>654</v>
      </c>
      <c r="AE566" s="9" t="s">
        <v>654</v>
      </c>
      <c r="AF566" s="184"/>
      <c r="AG566" s="183"/>
      <c r="AH566" s="183"/>
      <c r="AI566" s="183"/>
      <c r="AJ566" s="183"/>
      <c r="AK566" s="9" t="s">
        <v>654</v>
      </c>
      <c r="AL566" s="183"/>
      <c r="AM566" s="186" t="str">
        <f>IF(AF566="","","Q"&amp;INT((MONTH(AF566)-1)/3)+1&amp;YEAR(AF566)&amp;#REF!&amp;T566)</f>
        <v/>
      </c>
      <c r="AN566" s="186" t="e">
        <f>IF(K566="","","Q"&amp;INT((MONTH(K566)-1)/3)+1&amp;YEAR(K566)&amp;#REF!)</f>
        <v>#REF!</v>
      </c>
    </row>
    <row r="567" spans="1:40" ht="20.100000000000001" customHeight="1" x14ac:dyDescent="0.25">
      <c r="A567" s="8">
        <v>565</v>
      </c>
      <c r="B567" s="8" t="s">
        <v>399</v>
      </c>
      <c r="C567" s="8" t="s">
        <v>1997</v>
      </c>
      <c r="D567" s="8" t="s">
        <v>2416</v>
      </c>
      <c r="E567" s="182" t="s">
        <v>1998</v>
      </c>
      <c r="F567" s="183" t="s">
        <v>2222</v>
      </c>
      <c r="G567" s="183"/>
      <c r="H567" s="183" t="s">
        <v>4392</v>
      </c>
      <c r="I567" s="183" t="s">
        <v>579</v>
      </c>
      <c r="J567" s="183"/>
      <c r="K567" s="184">
        <v>46069</v>
      </c>
      <c r="L567" s="183">
        <v>11</v>
      </c>
      <c r="M567" s="185" t="str">
        <f>IF(phc_8[[#This Row],[Register No.]]="","",C567&amp;"-"&amp;D567&amp;"-"&amp;"BHA-PHC-"&amp;phc_8[[#This Row],[Register No.]])</f>
        <v>Shining Star-Mobile Clinic-BHA-PHC-11</v>
      </c>
      <c r="N567" s="9" t="s">
        <v>401</v>
      </c>
      <c r="O567" s="183" t="s">
        <v>4406</v>
      </c>
      <c r="P567" s="183">
        <v>74</v>
      </c>
      <c r="Q567" s="183"/>
      <c r="R567" s="183"/>
      <c r="S567" s="186" t="str">
        <f t="shared" si="21"/>
        <v>50 yrs +</v>
      </c>
      <c r="T567" s="183" t="s">
        <v>603</v>
      </c>
      <c r="U567" s="183"/>
      <c r="V567" s="183" t="s">
        <v>4409</v>
      </c>
      <c r="W567" s="183" t="s">
        <v>294</v>
      </c>
      <c r="X567" s="183" t="s">
        <v>294</v>
      </c>
      <c r="Y567" s="186" t="str">
        <f>INDEX(info!$Y$2:$Y$192,MATCH(phc_8[[#This Row],[Sub_Category]],info!$X$2:$X$192,0))</f>
        <v>Other (non-communicable)</v>
      </c>
      <c r="Z567" s="186" t="str">
        <f t="array" ref="Z567">INDEX(info!$AA$2:$AA$192,MATCH(PHC!$X567&amp;PHC!$Y567,info!$X$2:$X$192&amp;info!$Y$2:$Y$192,0))</f>
        <v>Other</v>
      </c>
      <c r="AA567" s="183" t="s">
        <v>4416</v>
      </c>
      <c r="AB567" s="9" t="s">
        <v>654</v>
      </c>
      <c r="AC567" s="9" t="s">
        <v>654</v>
      </c>
      <c r="AD567" s="9" t="s">
        <v>654</v>
      </c>
      <c r="AE567" s="9" t="s">
        <v>654</v>
      </c>
      <c r="AF567" s="184"/>
      <c r="AG567" s="183"/>
      <c r="AH567" s="183"/>
      <c r="AI567" s="183"/>
      <c r="AJ567" s="183"/>
      <c r="AK567" s="9" t="s">
        <v>654</v>
      </c>
      <c r="AL567" s="183"/>
      <c r="AM567" s="186" t="str">
        <f>IF(AF567="","","Q"&amp;INT((MONTH(AF567)-1)/3)+1&amp;YEAR(AF567)&amp;#REF!&amp;T567)</f>
        <v/>
      </c>
      <c r="AN567" s="186" t="e">
        <f>IF(K567="","","Q"&amp;INT((MONTH(K567)-1)/3)+1&amp;YEAR(K567)&amp;#REF!)</f>
        <v>#REF!</v>
      </c>
    </row>
    <row r="568" spans="1:40" ht="20.100000000000001" customHeight="1" x14ac:dyDescent="0.25">
      <c r="A568" s="8">
        <v>566</v>
      </c>
      <c r="B568" s="8" t="s">
        <v>399</v>
      </c>
      <c r="C568" s="8" t="s">
        <v>1997</v>
      </c>
      <c r="D568" s="8" t="s">
        <v>2416</v>
      </c>
      <c r="E568" s="182" t="s">
        <v>1998</v>
      </c>
      <c r="F568" s="183" t="s">
        <v>2222</v>
      </c>
      <c r="G568" s="183"/>
      <c r="H568" s="183" t="s">
        <v>4392</v>
      </c>
      <c r="I568" s="183" t="s">
        <v>579</v>
      </c>
      <c r="J568" s="183"/>
      <c r="K568" s="184">
        <v>46069</v>
      </c>
      <c r="L568" s="183">
        <v>12</v>
      </c>
      <c r="M568" s="185" t="str">
        <f>IF(phc_8[[#This Row],[Register No.]]="","",C568&amp;"-"&amp;D568&amp;"-"&amp;"BHA-PHC-"&amp;phc_8[[#This Row],[Register No.]])</f>
        <v>Shining Star-Mobile Clinic-BHA-PHC-12</v>
      </c>
      <c r="N568" s="9" t="s">
        <v>401</v>
      </c>
      <c r="O568" s="183" t="s">
        <v>4407</v>
      </c>
      <c r="P568" s="183">
        <v>69</v>
      </c>
      <c r="Q568" s="183"/>
      <c r="R568" s="183"/>
      <c r="S568" s="186" t="str">
        <f t="shared" si="21"/>
        <v>50 yrs +</v>
      </c>
      <c r="T568" s="183" t="s">
        <v>603</v>
      </c>
      <c r="U568" s="183"/>
      <c r="V568" s="183" t="s">
        <v>4410</v>
      </c>
      <c r="W568" s="183" t="s">
        <v>4414</v>
      </c>
      <c r="X568" s="183" t="s">
        <v>181</v>
      </c>
      <c r="Y568" s="186" t="str">
        <f>INDEX(info!$Y$2:$Y$192,MATCH(phc_8[[#This Row],[Sub_Category]],info!$X$2:$X$192,0))</f>
        <v>Chronic medical disease</v>
      </c>
      <c r="Z568" s="186" t="str">
        <f t="array" ref="Z568">INDEX(info!$AA$2:$AA$192,MATCH(PHC!$X568&amp;PHC!$Y568,info!$X$2:$X$192&amp;info!$Y$2:$Y$192,0))</f>
        <v>Non-communicable disease</v>
      </c>
      <c r="AA568" s="183" t="s">
        <v>4417</v>
      </c>
      <c r="AB568" s="9" t="s">
        <v>654</v>
      </c>
      <c r="AC568" s="9" t="s">
        <v>654</v>
      </c>
      <c r="AD568" s="9" t="s">
        <v>654</v>
      </c>
      <c r="AE568" s="9" t="s">
        <v>654</v>
      </c>
      <c r="AF568" s="184"/>
      <c r="AG568" s="183"/>
      <c r="AH568" s="183"/>
      <c r="AI568" s="183"/>
      <c r="AJ568" s="183"/>
      <c r="AK568" s="9" t="s">
        <v>654</v>
      </c>
      <c r="AL568" s="183"/>
      <c r="AM568" s="186" t="str">
        <f>IF(AF568="","","Q"&amp;INT((MONTH(AF568)-1)/3)+1&amp;YEAR(AF568)&amp;#REF!&amp;T568)</f>
        <v/>
      </c>
      <c r="AN568" s="186" t="e">
        <f>IF(K568="","","Q"&amp;INT((MONTH(K568)-1)/3)+1&amp;YEAR(K568)&amp;#REF!)</f>
        <v>#REF!</v>
      </c>
    </row>
    <row r="569" spans="1:40" ht="20.100000000000001" customHeight="1" x14ac:dyDescent="0.25">
      <c r="A569" s="8">
        <v>567</v>
      </c>
      <c r="B569" s="8" t="s">
        <v>399</v>
      </c>
      <c r="C569" s="8" t="s">
        <v>1997</v>
      </c>
      <c r="D569" s="8" t="s">
        <v>2416</v>
      </c>
      <c r="E569" s="182" t="s">
        <v>1998</v>
      </c>
      <c r="F569" s="183" t="s">
        <v>2222</v>
      </c>
      <c r="G569" s="183"/>
      <c r="H569" s="183" t="s">
        <v>4392</v>
      </c>
      <c r="I569" s="183" t="s">
        <v>579</v>
      </c>
      <c r="J569" s="183"/>
      <c r="K569" s="184">
        <v>46069</v>
      </c>
      <c r="L569" s="183">
        <v>13</v>
      </c>
      <c r="M569" s="185" t="str">
        <f>IF(phc_8[[#This Row],[Register No.]]="","",C569&amp;"-"&amp;D569&amp;"-"&amp;"BHA-PHC-"&amp;phc_8[[#This Row],[Register No.]])</f>
        <v>Shining Star-Mobile Clinic-BHA-PHC-13</v>
      </c>
      <c r="N569" s="9" t="s">
        <v>401</v>
      </c>
      <c r="O569" s="183" t="s">
        <v>3180</v>
      </c>
      <c r="P569" s="183">
        <v>70</v>
      </c>
      <c r="Q569" s="183"/>
      <c r="R569" s="183"/>
      <c r="S569" s="186" t="str">
        <f t="shared" si="21"/>
        <v>50 yrs +</v>
      </c>
      <c r="T569" s="183" t="s">
        <v>402</v>
      </c>
      <c r="U569" s="183"/>
      <c r="V569" s="183" t="s">
        <v>4411</v>
      </c>
      <c r="W569" s="183" t="s">
        <v>3078</v>
      </c>
      <c r="X569" s="183" t="s">
        <v>3078</v>
      </c>
      <c r="Y569" s="186" t="str">
        <f>INDEX(info!$Y$2:$Y$192,MATCH(phc_8[[#This Row],[Sub_Category]],info!$X$2:$X$192,0))</f>
        <v>ARI/RTI</v>
      </c>
      <c r="Z569" s="186" t="str">
        <f t="array" ref="Z569">INDEX(info!$AA$2:$AA$192,MATCH(PHC!$X569&amp;PHC!$Y569,info!$X$2:$X$192&amp;info!$Y$2:$Y$192,0))</f>
        <v>Communicable disease</v>
      </c>
      <c r="AA569" s="183" t="s">
        <v>2164</v>
      </c>
      <c r="AB569" s="9" t="s">
        <v>654</v>
      </c>
      <c r="AC569" s="9" t="s">
        <v>654</v>
      </c>
      <c r="AD569" s="9" t="s">
        <v>654</v>
      </c>
      <c r="AE569" s="9" t="s">
        <v>654</v>
      </c>
      <c r="AF569" s="184"/>
      <c r="AG569" s="183"/>
      <c r="AH569" s="183"/>
      <c r="AI569" s="183"/>
      <c r="AJ569" s="183"/>
      <c r="AK569" s="9" t="s">
        <v>654</v>
      </c>
      <c r="AL569" s="183"/>
      <c r="AM569" s="186" t="str">
        <f>IF(AF569="","","Q"&amp;INT((MONTH(AF569)-1)/3)+1&amp;YEAR(AF569)&amp;#REF!&amp;T569)</f>
        <v/>
      </c>
      <c r="AN569" s="186" t="e">
        <f>IF(K569="","","Q"&amp;INT((MONTH(K569)-1)/3)+1&amp;YEAR(K569)&amp;#REF!)</f>
        <v>#REF!</v>
      </c>
    </row>
    <row r="570" spans="1:40" ht="20.100000000000001" customHeight="1" x14ac:dyDescent="0.25">
      <c r="A570" s="8">
        <v>568</v>
      </c>
      <c r="B570" s="8" t="s">
        <v>399</v>
      </c>
      <c r="C570" s="8" t="s">
        <v>1997</v>
      </c>
      <c r="D570" s="8" t="s">
        <v>2416</v>
      </c>
      <c r="E570" s="182" t="s">
        <v>1998</v>
      </c>
      <c r="F570" s="183" t="s">
        <v>2222</v>
      </c>
      <c r="G570" s="183"/>
      <c r="H570" s="183" t="s">
        <v>4392</v>
      </c>
      <c r="I570" s="183" t="s">
        <v>579</v>
      </c>
      <c r="J570" s="183"/>
      <c r="K570" s="184">
        <v>46069</v>
      </c>
      <c r="L570" s="183">
        <v>14</v>
      </c>
      <c r="M570" s="185" t="str">
        <f>IF(phc_8[[#This Row],[Register No.]]="","",C570&amp;"-"&amp;D570&amp;"-"&amp;"BHA-PHC-"&amp;phc_8[[#This Row],[Register No.]])</f>
        <v>Shining Star-Mobile Clinic-BHA-PHC-14</v>
      </c>
      <c r="N570" s="9" t="s">
        <v>401</v>
      </c>
      <c r="O570" s="183" t="s">
        <v>4408</v>
      </c>
      <c r="P570" s="183">
        <v>73</v>
      </c>
      <c r="Q570" s="183"/>
      <c r="R570" s="183"/>
      <c r="S570" s="186" t="str">
        <f t="shared" si="21"/>
        <v>50 yrs +</v>
      </c>
      <c r="T570" s="183" t="s">
        <v>603</v>
      </c>
      <c r="U570" s="183"/>
      <c r="V570" s="183" t="s">
        <v>4412</v>
      </c>
      <c r="W570" s="183" t="s">
        <v>4415</v>
      </c>
      <c r="X570" s="183" t="s">
        <v>3105</v>
      </c>
      <c r="Y570" s="186" t="str">
        <f>INDEX(info!$Y$2:$Y$192,MATCH(phc_8[[#This Row],[Sub_Category]],info!$X$2:$X$192,0))</f>
        <v>Chronic medical disease</v>
      </c>
      <c r="Z570" s="186" t="str">
        <f t="array" ref="Z570">INDEX(info!$AA$2:$AA$192,MATCH(PHC!$X570&amp;PHC!$Y570,info!$X$2:$X$192&amp;info!$Y$2:$Y$192,0))</f>
        <v>Non-communicable disease</v>
      </c>
      <c r="AA570" s="183" t="s">
        <v>4418</v>
      </c>
      <c r="AB570" s="9" t="s">
        <v>654</v>
      </c>
      <c r="AC570" s="9" t="s">
        <v>654</v>
      </c>
      <c r="AD570" s="9" t="s">
        <v>654</v>
      </c>
      <c r="AE570" s="9" t="s">
        <v>654</v>
      </c>
      <c r="AF570" s="184"/>
      <c r="AG570" s="183"/>
      <c r="AH570" s="183"/>
      <c r="AI570" s="183"/>
      <c r="AJ570" s="183"/>
      <c r="AK570" s="9" t="s">
        <v>654</v>
      </c>
      <c r="AL570" s="183"/>
      <c r="AM570" s="186" t="str">
        <f>IF(AF570="","","Q"&amp;INT((MONTH(AF570)-1)/3)+1&amp;YEAR(AF570)&amp;#REF!&amp;T570)</f>
        <v/>
      </c>
      <c r="AN570" s="186" t="e">
        <f>IF(K570="","","Q"&amp;INT((MONTH(K570)-1)/3)+1&amp;YEAR(K570)&amp;#REF!)</f>
        <v>#REF!</v>
      </c>
    </row>
    <row r="571" spans="1:40" ht="20.100000000000001" customHeight="1" x14ac:dyDescent="0.25">
      <c r="A571" s="8">
        <v>569</v>
      </c>
      <c r="B571" s="8" t="s">
        <v>399</v>
      </c>
      <c r="C571" s="8" t="s">
        <v>1997</v>
      </c>
      <c r="D571" s="8" t="s">
        <v>2416</v>
      </c>
      <c r="E571" s="182" t="s">
        <v>1998</v>
      </c>
      <c r="F571" s="183" t="s">
        <v>2222</v>
      </c>
      <c r="G571" s="183"/>
      <c r="H571" s="183" t="s">
        <v>4392</v>
      </c>
      <c r="I571" s="183" t="s">
        <v>579</v>
      </c>
      <c r="J571" s="183"/>
      <c r="K571" s="184">
        <v>46069</v>
      </c>
      <c r="L571" s="183">
        <v>15</v>
      </c>
      <c r="M571" s="185" t="str">
        <f>IF(phc_8[[#This Row],[Register No.]]="","",C571&amp;"-"&amp;D571&amp;"-"&amp;"BHA-PHC-"&amp;phc_8[[#This Row],[Register No.]])</f>
        <v>Shining Star-Mobile Clinic-BHA-PHC-15</v>
      </c>
      <c r="N571" s="9" t="s">
        <v>401</v>
      </c>
      <c r="O571" s="183" t="s">
        <v>2582</v>
      </c>
      <c r="P571" s="183">
        <v>95</v>
      </c>
      <c r="Q571" s="183"/>
      <c r="R571" s="183"/>
      <c r="S571" s="186" t="str">
        <f t="shared" si="21"/>
        <v>50 yrs +</v>
      </c>
      <c r="T571" s="183" t="s">
        <v>603</v>
      </c>
      <c r="U571" s="183"/>
      <c r="V571" s="183" t="s">
        <v>4413</v>
      </c>
      <c r="W571" s="183" t="s">
        <v>218</v>
      </c>
      <c r="X571" s="183" t="s">
        <v>218</v>
      </c>
      <c r="Y571" s="186" t="str">
        <f>INDEX(info!$Y$2:$Y$192,MATCH(phc_8[[#This Row],[Sub_Category]],info!$X$2:$X$192,0))</f>
        <v>Genito-urinary diseases</v>
      </c>
      <c r="Z571" s="186" t="str">
        <f t="array" ref="Z571">INDEX(info!$AA$2:$AA$192,MATCH(PHC!$X571&amp;PHC!$Y571,info!$X$2:$X$192&amp;info!$Y$2:$Y$192,0))</f>
        <v>Communicable disease</v>
      </c>
      <c r="AA571" s="183" t="s">
        <v>4419</v>
      </c>
      <c r="AB571" s="9" t="s">
        <v>654</v>
      </c>
      <c r="AC571" s="9" t="s">
        <v>654</v>
      </c>
      <c r="AD571" s="9" t="s">
        <v>654</v>
      </c>
      <c r="AE571" s="9" t="s">
        <v>654</v>
      </c>
      <c r="AF571" s="184"/>
      <c r="AG571" s="183"/>
      <c r="AH571" s="183"/>
      <c r="AI571" s="183"/>
      <c r="AJ571" s="183"/>
      <c r="AK571" s="9" t="s">
        <v>654</v>
      </c>
      <c r="AL571" s="183"/>
      <c r="AM571" s="186" t="str">
        <f>IF(AF571="","","Q"&amp;INT((MONTH(AF571)-1)/3)+1&amp;YEAR(AF571)&amp;#REF!&amp;T571)</f>
        <v/>
      </c>
      <c r="AN571" s="186" t="e">
        <f>IF(K571="","","Q"&amp;INT((MONTH(K571)-1)/3)+1&amp;YEAR(K571)&amp;#REF!)</f>
        <v>#REF!</v>
      </c>
    </row>
    <row r="572" spans="1:40" ht="20.100000000000001" customHeight="1" x14ac:dyDescent="0.25">
      <c r="A572" s="8">
        <v>570</v>
      </c>
      <c r="B572" s="8" t="s">
        <v>399</v>
      </c>
      <c r="C572" s="8" t="s">
        <v>1997</v>
      </c>
      <c r="D572" s="8" t="s">
        <v>2416</v>
      </c>
      <c r="E572" s="182" t="s">
        <v>1998</v>
      </c>
      <c r="F572" s="183" t="s">
        <v>2222</v>
      </c>
      <c r="G572" s="183"/>
      <c r="H572" s="183" t="s">
        <v>4392</v>
      </c>
      <c r="I572" s="183" t="s">
        <v>579</v>
      </c>
      <c r="J572" s="183"/>
      <c r="K572" s="184">
        <v>46069</v>
      </c>
      <c r="L572" s="183">
        <v>16</v>
      </c>
      <c r="M572" s="185" t="str">
        <f>IF(phc_8[[#This Row],[Register No.]]="","",C572&amp;"-"&amp;D572&amp;"-"&amp;"BHA-PHC-"&amp;phc_8[[#This Row],[Register No.]])</f>
        <v>Shining Star-Mobile Clinic-BHA-PHC-16</v>
      </c>
      <c r="N572" s="9" t="s">
        <v>401</v>
      </c>
      <c r="O572" s="183" t="s">
        <v>4420</v>
      </c>
      <c r="P572" s="183">
        <v>70</v>
      </c>
      <c r="Q572" s="183"/>
      <c r="R572" s="183"/>
      <c r="S572" s="186" t="str">
        <f t="shared" si="21"/>
        <v>50 yrs +</v>
      </c>
      <c r="T572" s="183" t="s">
        <v>603</v>
      </c>
      <c r="U572" s="183"/>
      <c r="V572" s="183" t="s">
        <v>4384</v>
      </c>
      <c r="W572" s="183" t="s">
        <v>2003</v>
      </c>
      <c r="X572" s="183" t="s">
        <v>181</v>
      </c>
      <c r="Y572" s="186" t="str">
        <f>INDEX(info!$Y$2:$Y$192,MATCH(phc_8[[#This Row],[Sub_Category]],info!$X$2:$X$192,0))</f>
        <v>Chronic medical disease</v>
      </c>
      <c r="Z572" s="186" t="str">
        <f t="array" ref="Z572">INDEX(info!$AA$2:$AA$192,MATCH(PHC!$X572&amp;PHC!$Y572,info!$X$2:$X$192&amp;info!$Y$2:$Y$192,0))</f>
        <v>Non-communicable disease</v>
      </c>
      <c r="AA572" s="183" t="s">
        <v>4428</v>
      </c>
      <c r="AB572" s="9" t="s">
        <v>654</v>
      </c>
      <c r="AC572" s="9" t="s">
        <v>654</v>
      </c>
      <c r="AD572" s="9" t="s">
        <v>654</v>
      </c>
      <c r="AE572" s="9" t="s">
        <v>654</v>
      </c>
      <c r="AF572" s="184"/>
      <c r="AG572" s="183"/>
      <c r="AH572" s="183"/>
      <c r="AI572" s="183"/>
      <c r="AJ572" s="183"/>
      <c r="AK572" s="9" t="s">
        <v>654</v>
      </c>
      <c r="AL572" s="183"/>
      <c r="AM572" s="186" t="str">
        <f>IF(AF572="","","Q"&amp;INT((MONTH(AF572)-1)/3)+1&amp;YEAR(AF572)&amp;#REF!&amp;T572)</f>
        <v/>
      </c>
      <c r="AN572" s="186" t="e">
        <f>IF(K572="","","Q"&amp;INT((MONTH(K572)-1)/3)+1&amp;YEAR(K572)&amp;#REF!)</f>
        <v>#REF!</v>
      </c>
    </row>
    <row r="573" spans="1:40" ht="20.100000000000001" customHeight="1" x14ac:dyDescent="0.25">
      <c r="A573" s="8">
        <v>571</v>
      </c>
      <c r="B573" s="8" t="s">
        <v>399</v>
      </c>
      <c r="C573" s="8" t="s">
        <v>1997</v>
      </c>
      <c r="D573" s="8" t="s">
        <v>2416</v>
      </c>
      <c r="E573" s="182" t="s">
        <v>1998</v>
      </c>
      <c r="F573" s="183" t="s">
        <v>2222</v>
      </c>
      <c r="G573" s="183"/>
      <c r="H573" s="183" t="s">
        <v>4392</v>
      </c>
      <c r="I573" s="183" t="s">
        <v>579</v>
      </c>
      <c r="J573" s="183"/>
      <c r="K573" s="184">
        <v>46069</v>
      </c>
      <c r="L573" s="183">
        <v>17</v>
      </c>
      <c r="M573" s="185" t="str">
        <f>IF(phc_8[[#This Row],[Register No.]]="","",C573&amp;"-"&amp;D573&amp;"-"&amp;"BHA-PHC-"&amp;phc_8[[#This Row],[Register No.]])</f>
        <v>Shining Star-Mobile Clinic-BHA-PHC-17</v>
      </c>
      <c r="N573" s="9" t="s">
        <v>401</v>
      </c>
      <c r="O573" s="183" t="s">
        <v>4421</v>
      </c>
      <c r="P573" s="183">
        <v>83</v>
      </c>
      <c r="Q573" s="183"/>
      <c r="R573" s="183"/>
      <c r="S573" s="186" t="str">
        <f t="shared" si="21"/>
        <v>50 yrs +</v>
      </c>
      <c r="T573" s="183" t="s">
        <v>603</v>
      </c>
      <c r="U573" s="183"/>
      <c r="V573" s="183" t="s">
        <v>4424</v>
      </c>
      <c r="W573" s="183" t="s">
        <v>2003</v>
      </c>
      <c r="X573" s="183" t="s">
        <v>181</v>
      </c>
      <c r="Y573" s="186" t="str">
        <f>INDEX(info!$Y$2:$Y$192,MATCH(phc_8[[#This Row],[Sub_Category]],info!$X$2:$X$192,0))</f>
        <v>Chronic medical disease</v>
      </c>
      <c r="Z573" s="186" t="str">
        <f t="array" ref="Z573">INDEX(info!$AA$2:$AA$192,MATCH(PHC!$X573&amp;PHC!$Y573,info!$X$2:$X$192&amp;info!$Y$2:$Y$192,0))</f>
        <v>Non-communicable disease</v>
      </c>
      <c r="AA573" s="183" t="s">
        <v>4429</v>
      </c>
      <c r="AB573" s="9" t="s">
        <v>654</v>
      </c>
      <c r="AC573" s="9" t="s">
        <v>654</v>
      </c>
      <c r="AD573" s="9" t="s">
        <v>654</v>
      </c>
      <c r="AE573" s="9" t="s">
        <v>654</v>
      </c>
      <c r="AF573" s="184"/>
      <c r="AG573" s="183"/>
      <c r="AH573" s="183"/>
      <c r="AI573" s="183"/>
      <c r="AJ573" s="183"/>
      <c r="AK573" s="9" t="s">
        <v>654</v>
      </c>
      <c r="AL573" s="183"/>
      <c r="AM573" s="186" t="str">
        <f>IF(AF573="","","Q"&amp;INT((MONTH(AF573)-1)/3)+1&amp;YEAR(AF573)&amp;#REF!&amp;T573)</f>
        <v/>
      </c>
      <c r="AN573" s="186" t="e">
        <f>IF(K573="","","Q"&amp;INT((MONTH(K573)-1)/3)+1&amp;YEAR(K573)&amp;#REF!)</f>
        <v>#REF!</v>
      </c>
    </row>
    <row r="574" spans="1:40" ht="20.100000000000001" customHeight="1" x14ac:dyDescent="0.25">
      <c r="A574" s="8">
        <v>572</v>
      </c>
      <c r="B574" s="8" t="s">
        <v>399</v>
      </c>
      <c r="C574" s="8" t="s">
        <v>1997</v>
      </c>
      <c r="D574" s="8" t="s">
        <v>2416</v>
      </c>
      <c r="E574" s="182" t="s">
        <v>1998</v>
      </c>
      <c r="F574" s="183" t="s">
        <v>2222</v>
      </c>
      <c r="G574" s="183"/>
      <c r="H574" s="183" t="s">
        <v>4392</v>
      </c>
      <c r="I574" s="183" t="s">
        <v>579</v>
      </c>
      <c r="J574" s="183"/>
      <c r="K574" s="184">
        <v>46069</v>
      </c>
      <c r="L574" s="183">
        <v>18</v>
      </c>
      <c r="M574" s="185" t="str">
        <f>IF(phc_8[[#This Row],[Register No.]]="","",C574&amp;"-"&amp;D574&amp;"-"&amp;"BHA-PHC-"&amp;phc_8[[#This Row],[Register No.]])</f>
        <v>Shining Star-Mobile Clinic-BHA-PHC-18</v>
      </c>
      <c r="N574" s="9" t="s">
        <v>401</v>
      </c>
      <c r="O574" s="183" t="s">
        <v>3213</v>
      </c>
      <c r="P574" s="183">
        <v>92</v>
      </c>
      <c r="Q574" s="183"/>
      <c r="R574" s="183"/>
      <c r="S574" s="186" t="str">
        <f t="shared" si="21"/>
        <v>50 yrs +</v>
      </c>
      <c r="T574" s="183" t="s">
        <v>603</v>
      </c>
      <c r="U574" s="183"/>
      <c r="V574" s="183" t="s">
        <v>4425</v>
      </c>
      <c r="W574" s="183" t="s">
        <v>2003</v>
      </c>
      <c r="X574" s="183" t="s">
        <v>181</v>
      </c>
      <c r="Y574" s="186" t="str">
        <f>INDEX(info!$Y$2:$Y$192,MATCH(phc_8[[#This Row],[Sub_Category]],info!$X$2:$X$192,0))</f>
        <v>Chronic medical disease</v>
      </c>
      <c r="Z574" s="186" t="str">
        <f t="array" ref="Z574">INDEX(info!$AA$2:$AA$192,MATCH(PHC!$X574&amp;PHC!$Y574,info!$X$2:$X$192&amp;info!$Y$2:$Y$192,0))</f>
        <v>Non-communicable disease</v>
      </c>
      <c r="AA574" s="183" t="s">
        <v>2060</v>
      </c>
      <c r="AB574" s="9" t="s">
        <v>654</v>
      </c>
      <c r="AC574" s="9" t="s">
        <v>654</v>
      </c>
      <c r="AD574" s="9" t="s">
        <v>654</v>
      </c>
      <c r="AE574" s="9" t="s">
        <v>654</v>
      </c>
      <c r="AF574" s="184"/>
      <c r="AG574" s="183"/>
      <c r="AH574" s="183"/>
      <c r="AI574" s="183"/>
      <c r="AJ574" s="183"/>
      <c r="AK574" s="9" t="s">
        <v>654</v>
      </c>
      <c r="AL574" s="183"/>
      <c r="AM574" s="186" t="str">
        <f>IF(AF574="","","Q"&amp;INT((MONTH(AF574)-1)/3)+1&amp;YEAR(AF574)&amp;#REF!&amp;T574)</f>
        <v/>
      </c>
      <c r="AN574" s="186" t="e">
        <f>IF(K574="","","Q"&amp;INT((MONTH(K574)-1)/3)+1&amp;YEAR(K574)&amp;#REF!)</f>
        <v>#REF!</v>
      </c>
    </row>
    <row r="575" spans="1:40" ht="20.100000000000001" customHeight="1" x14ac:dyDescent="0.25">
      <c r="A575" s="8">
        <v>573</v>
      </c>
      <c r="B575" s="8" t="s">
        <v>399</v>
      </c>
      <c r="C575" s="8" t="s">
        <v>1997</v>
      </c>
      <c r="D575" s="8" t="s">
        <v>2416</v>
      </c>
      <c r="E575" s="182" t="s">
        <v>1998</v>
      </c>
      <c r="F575" s="183" t="s">
        <v>2222</v>
      </c>
      <c r="G575" s="183"/>
      <c r="H575" s="183" t="s">
        <v>4392</v>
      </c>
      <c r="I575" s="183" t="s">
        <v>579</v>
      </c>
      <c r="J575" s="183"/>
      <c r="K575" s="184">
        <v>46069</v>
      </c>
      <c r="L575" s="183">
        <v>19</v>
      </c>
      <c r="M575" s="185" t="str">
        <f>IF(phc_8[[#This Row],[Register No.]]="","",C575&amp;"-"&amp;D575&amp;"-"&amp;"BHA-PHC-"&amp;phc_8[[#This Row],[Register No.]])</f>
        <v>Shining Star-Mobile Clinic-BHA-PHC-19</v>
      </c>
      <c r="N575" s="9" t="s">
        <v>401</v>
      </c>
      <c r="O575" s="183" t="s">
        <v>4422</v>
      </c>
      <c r="P575" s="183">
        <v>73</v>
      </c>
      <c r="Q575" s="183"/>
      <c r="R575" s="183"/>
      <c r="S575" s="186" t="str">
        <f t="shared" si="21"/>
        <v>50 yrs +</v>
      </c>
      <c r="T575" s="183" t="s">
        <v>603</v>
      </c>
      <c r="U575" s="183"/>
      <c r="V575" s="183" t="s">
        <v>4138</v>
      </c>
      <c r="W575" s="183" t="s">
        <v>4427</v>
      </c>
      <c r="X575" s="183" t="s">
        <v>242</v>
      </c>
      <c r="Y575" s="186" t="str">
        <f>INDEX(info!$Y$2:$Y$192,MATCH(phc_8[[#This Row],[Sub_Category]],info!$X$2:$X$192,0))</f>
        <v>Accident/minor sugical and injuries</v>
      </c>
      <c r="Z575" s="186" t="str">
        <f t="array" ref="Z575">INDEX(info!$AA$2:$AA$192,MATCH(PHC!$X575&amp;PHC!$Y575,info!$X$2:$X$192&amp;info!$Y$2:$Y$192,0))</f>
        <v>Injury related</v>
      </c>
      <c r="AA575" s="183" t="s">
        <v>4430</v>
      </c>
      <c r="AB575" s="9" t="s">
        <v>654</v>
      </c>
      <c r="AC575" s="9" t="s">
        <v>654</v>
      </c>
      <c r="AD575" s="9" t="s">
        <v>654</v>
      </c>
      <c r="AE575" s="9" t="s">
        <v>654</v>
      </c>
      <c r="AF575" s="184"/>
      <c r="AG575" s="183"/>
      <c r="AH575" s="183"/>
      <c r="AI575" s="183"/>
      <c r="AJ575" s="183"/>
      <c r="AK575" s="9" t="s">
        <v>654</v>
      </c>
      <c r="AL575" s="183"/>
      <c r="AM575" s="186" t="str">
        <f>IF(AF575="","","Q"&amp;INT((MONTH(AF575)-1)/3)+1&amp;YEAR(AF575)&amp;#REF!&amp;T575)</f>
        <v/>
      </c>
      <c r="AN575" s="186" t="e">
        <f>IF(K575="","","Q"&amp;INT((MONTH(K575)-1)/3)+1&amp;YEAR(K575)&amp;#REF!)</f>
        <v>#REF!</v>
      </c>
    </row>
    <row r="576" spans="1:40" ht="20.100000000000001" customHeight="1" x14ac:dyDescent="0.25">
      <c r="A576" s="8">
        <v>574</v>
      </c>
      <c r="B576" s="8" t="s">
        <v>399</v>
      </c>
      <c r="C576" s="8" t="s">
        <v>1997</v>
      </c>
      <c r="D576" s="8" t="s">
        <v>2416</v>
      </c>
      <c r="E576" s="182" t="s">
        <v>1998</v>
      </c>
      <c r="F576" s="183" t="s">
        <v>2222</v>
      </c>
      <c r="G576" s="183"/>
      <c r="H576" s="183" t="s">
        <v>4392</v>
      </c>
      <c r="I576" s="183" t="s">
        <v>579</v>
      </c>
      <c r="J576" s="183"/>
      <c r="K576" s="184">
        <v>46069</v>
      </c>
      <c r="L576" s="183">
        <v>20</v>
      </c>
      <c r="M576" s="185" t="str">
        <f>IF(phc_8[[#This Row],[Register No.]]="","",C576&amp;"-"&amp;D576&amp;"-"&amp;"BHA-PHC-"&amp;phc_8[[#This Row],[Register No.]])</f>
        <v>Shining Star-Mobile Clinic-BHA-PHC-20</v>
      </c>
      <c r="N576" s="9" t="s">
        <v>401</v>
      </c>
      <c r="O576" s="183" t="s">
        <v>4423</v>
      </c>
      <c r="P576" s="183">
        <v>76</v>
      </c>
      <c r="Q576" s="183"/>
      <c r="R576" s="183"/>
      <c r="S576" s="186" t="str">
        <f t="shared" si="21"/>
        <v>50 yrs +</v>
      </c>
      <c r="T576" s="183" t="s">
        <v>603</v>
      </c>
      <c r="U576" s="183"/>
      <c r="V576" s="183" t="s">
        <v>4426</v>
      </c>
      <c r="W576" s="183" t="s">
        <v>2003</v>
      </c>
      <c r="X576" s="183" t="s">
        <v>181</v>
      </c>
      <c r="Y576" s="186" t="str">
        <f>INDEX(info!$Y$2:$Y$192,MATCH(phc_8[[#This Row],[Sub_Category]],info!$X$2:$X$192,0))</f>
        <v>Chronic medical disease</v>
      </c>
      <c r="Z576" s="186" t="str">
        <f t="array" ref="Z576">INDEX(info!$AA$2:$AA$192,MATCH(PHC!$X576&amp;PHC!$Y576,info!$X$2:$X$192&amp;info!$Y$2:$Y$192,0))</f>
        <v>Non-communicable disease</v>
      </c>
      <c r="AA576" s="183" t="s">
        <v>4431</v>
      </c>
      <c r="AB576" s="9" t="s">
        <v>654</v>
      </c>
      <c r="AC576" s="9" t="s">
        <v>654</v>
      </c>
      <c r="AD576" s="9" t="s">
        <v>654</v>
      </c>
      <c r="AE576" s="9" t="s">
        <v>654</v>
      </c>
      <c r="AF576" s="184"/>
      <c r="AG576" s="183"/>
      <c r="AH576" s="183"/>
      <c r="AI576" s="183"/>
      <c r="AJ576" s="183"/>
      <c r="AK576" s="9" t="s">
        <v>654</v>
      </c>
      <c r="AL576" s="183"/>
      <c r="AM576" s="186" t="str">
        <f>IF(AF576="","","Q"&amp;INT((MONTH(AF576)-1)/3)+1&amp;YEAR(AF576)&amp;#REF!&amp;T576)</f>
        <v/>
      </c>
      <c r="AN576" s="186" t="e">
        <f>IF(K576="","","Q"&amp;INT((MONTH(K576)-1)/3)+1&amp;YEAR(K576)&amp;#REF!)</f>
        <v>#REF!</v>
      </c>
    </row>
    <row r="577" spans="1:40" ht="20.100000000000001" customHeight="1" x14ac:dyDescent="0.25">
      <c r="A577" s="8">
        <v>575</v>
      </c>
      <c r="B577" s="8" t="s">
        <v>399</v>
      </c>
      <c r="C577" s="8" t="s">
        <v>1997</v>
      </c>
      <c r="D577" s="8" t="s">
        <v>2416</v>
      </c>
      <c r="E577" s="182" t="s">
        <v>1998</v>
      </c>
      <c r="F577" s="183" t="s">
        <v>2222</v>
      </c>
      <c r="G577" s="183"/>
      <c r="H577" s="183" t="s">
        <v>4392</v>
      </c>
      <c r="I577" s="183" t="s">
        <v>579</v>
      </c>
      <c r="J577" s="183"/>
      <c r="K577" s="184">
        <v>46069</v>
      </c>
      <c r="L577" s="183">
        <v>21</v>
      </c>
      <c r="M577" s="185" t="str">
        <f>IF(phc_8[[#This Row],[Register No.]]="","",C577&amp;"-"&amp;D577&amp;"-"&amp;"BHA-PHC-"&amp;phc_8[[#This Row],[Register No.]])</f>
        <v>Shining Star-Mobile Clinic-BHA-PHC-21</v>
      </c>
      <c r="N577" s="9" t="s">
        <v>401</v>
      </c>
      <c r="O577" s="183" t="s">
        <v>4432</v>
      </c>
      <c r="P577" s="183">
        <v>80</v>
      </c>
      <c r="Q577" s="183"/>
      <c r="R577" s="183"/>
      <c r="S577" s="186" t="str">
        <f t="shared" si="21"/>
        <v>50 yrs +</v>
      </c>
      <c r="T577" s="183" t="s">
        <v>603</v>
      </c>
      <c r="U577" s="183"/>
      <c r="V577" s="183" t="s">
        <v>4437</v>
      </c>
      <c r="W577" s="183" t="s">
        <v>4439</v>
      </c>
      <c r="X577" s="183" t="s">
        <v>181</v>
      </c>
      <c r="Y577" s="186" t="str">
        <f>INDEX(info!$Y$2:$Y$192,MATCH(phc_8[[#This Row],[Sub_Category]],info!$X$2:$X$192,0))</f>
        <v>Chronic medical disease</v>
      </c>
      <c r="Z577" s="186" t="str">
        <f t="array" ref="Z577">INDEX(info!$AA$2:$AA$192,MATCH(PHC!$X577&amp;PHC!$Y577,info!$X$2:$X$192&amp;info!$Y$2:$Y$192,0))</f>
        <v>Non-communicable disease</v>
      </c>
      <c r="AA577" s="183" t="s">
        <v>4440</v>
      </c>
      <c r="AB577" s="9" t="s">
        <v>654</v>
      </c>
      <c r="AC577" s="9" t="s">
        <v>654</v>
      </c>
      <c r="AD577" s="9" t="s">
        <v>654</v>
      </c>
      <c r="AE577" s="9" t="s">
        <v>654</v>
      </c>
      <c r="AF577" s="184"/>
      <c r="AG577" s="183"/>
      <c r="AH577" s="183"/>
      <c r="AI577" s="183"/>
      <c r="AJ577" s="183"/>
      <c r="AK577" s="9" t="s">
        <v>654</v>
      </c>
      <c r="AL577" s="183"/>
      <c r="AM577" s="186" t="str">
        <f>IF(AF577="","","Q"&amp;INT((MONTH(AF577)-1)/3)+1&amp;YEAR(AF577)&amp;#REF!&amp;T577)</f>
        <v/>
      </c>
      <c r="AN577" s="186" t="e">
        <f>IF(K577="","","Q"&amp;INT((MONTH(K577)-1)/3)+1&amp;YEAR(K577)&amp;#REF!)</f>
        <v>#REF!</v>
      </c>
    </row>
    <row r="578" spans="1:40" ht="20.100000000000001" customHeight="1" x14ac:dyDescent="0.25">
      <c r="A578" s="8">
        <v>576</v>
      </c>
      <c r="B578" s="8" t="s">
        <v>399</v>
      </c>
      <c r="C578" s="8" t="s">
        <v>1997</v>
      </c>
      <c r="D578" s="8" t="s">
        <v>2416</v>
      </c>
      <c r="E578" s="182" t="s">
        <v>1998</v>
      </c>
      <c r="F578" s="183" t="s">
        <v>2222</v>
      </c>
      <c r="G578" s="183"/>
      <c r="H578" s="183" t="s">
        <v>4392</v>
      </c>
      <c r="I578" s="183" t="s">
        <v>579</v>
      </c>
      <c r="J578" s="183"/>
      <c r="K578" s="184">
        <v>46069</v>
      </c>
      <c r="L578" s="183">
        <v>22</v>
      </c>
      <c r="M578" s="185" t="str">
        <f>IF(phc_8[[#This Row],[Register No.]]="","",C578&amp;"-"&amp;D578&amp;"-"&amp;"BHA-PHC-"&amp;phc_8[[#This Row],[Register No.]])</f>
        <v>Shining Star-Mobile Clinic-BHA-PHC-22</v>
      </c>
      <c r="N578" s="9" t="s">
        <v>401</v>
      </c>
      <c r="O578" s="183" t="s">
        <v>4433</v>
      </c>
      <c r="P578" s="183">
        <v>91</v>
      </c>
      <c r="Q578" s="183"/>
      <c r="R578" s="183"/>
      <c r="S578" s="186" t="str">
        <f t="shared" si="21"/>
        <v>50 yrs +</v>
      </c>
      <c r="T578" s="183" t="s">
        <v>603</v>
      </c>
      <c r="U578" s="183"/>
      <c r="V578" s="183" t="s">
        <v>4438</v>
      </c>
      <c r="W578" s="183" t="s">
        <v>3249</v>
      </c>
      <c r="X578" s="183" t="s">
        <v>196</v>
      </c>
      <c r="Y578" s="186" t="str">
        <f>INDEX(info!$Y$2:$Y$192,MATCH(phc_8[[#This Row],[Sub_Category]],info!$X$2:$X$192,0))</f>
        <v>Skin infection/disease</v>
      </c>
      <c r="Z578" s="186" t="str">
        <f t="array" ref="Z578">INDEX(info!$AA$2:$AA$192,MATCH(PHC!$X578&amp;PHC!$Y578,info!$X$2:$X$192&amp;info!$Y$2:$Y$192,0))</f>
        <v>Non-communicable disease</v>
      </c>
      <c r="AA578" s="183" t="s">
        <v>4441</v>
      </c>
      <c r="AB578" s="9" t="s">
        <v>654</v>
      </c>
      <c r="AC578" s="9" t="s">
        <v>654</v>
      </c>
      <c r="AD578" s="9" t="s">
        <v>654</v>
      </c>
      <c r="AE578" s="9" t="s">
        <v>654</v>
      </c>
      <c r="AF578" s="184"/>
      <c r="AG578" s="183"/>
      <c r="AH578" s="183"/>
      <c r="AI578" s="183"/>
      <c r="AJ578" s="183"/>
      <c r="AK578" s="9" t="s">
        <v>654</v>
      </c>
      <c r="AL578" s="183"/>
      <c r="AM578" s="186" t="str">
        <f>IF(AF578="","","Q"&amp;INT((MONTH(AF578)-1)/3)+1&amp;YEAR(AF578)&amp;#REF!&amp;T578)</f>
        <v/>
      </c>
      <c r="AN578" s="186" t="e">
        <f>IF(K578="","","Q"&amp;INT((MONTH(K578)-1)/3)+1&amp;YEAR(K578)&amp;#REF!)</f>
        <v>#REF!</v>
      </c>
    </row>
    <row r="579" spans="1:40" ht="20.100000000000001" customHeight="1" x14ac:dyDescent="0.25">
      <c r="A579" s="8">
        <v>577</v>
      </c>
      <c r="B579" s="8" t="s">
        <v>399</v>
      </c>
      <c r="C579" s="8" t="s">
        <v>1997</v>
      </c>
      <c r="D579" s="8" t="s">
        <v>2416</v>
      </c>
      <c r="E579" s="182" t="s">
        <v>1998</v>
      </c>
      <c r="F579" s="183" t="s">
        <v>2222</v>
      </c>
      <c r="G579" s="183"/>
      <c r="H579" s="183" t="s">
        <v>4392</v>
      </c>
      <c r="I579" s="183" t="s">
        <v>579</v>
      </c>
      <c r="J579" s="183"/>
      <c r="K579" s="184">
        <v>46069</v>
      </c>
      <c r="L579" s="183">
        <v>23</v>
      </c>
      <c r="M579" s="185" t="str">
        <f>IF(phc_8[[#This Row],[Register No.]]="","",C579&amp;"-"&amp;D579&amp;"-"&amp;"BHA-PHC-"&amp;phc_8[[#This Row],[Register No.]])</f>
        <v>Shining Star-Mobile Clinic-BHA-PHC-23</v>
      </c>
      <c r="N579" s="9" t="s">
        <v>401</v>
      </c>
      <c r="O579" s="183" t="s">
        <v>4434</v>
      </c>
      <c r="P579" s="183">
        <v>78</v>
      </c>
      <c r="Q579" s="183"/>
      <c r="R579" s="183"/>
      <c r="S579" s="186" t="str">
        <f t="shared" si="21"/>
        <v>50 yrs +</v>
      </c>
      <c r="T579" s="183" t="s">
        <v>603</v>
      </c>
      <c r="U579" s="183"/>
      <c r="V579" s="183" t="s">
        <v>4437</v>
      </c>
      <c r="W579" s="183" t="s">
        <v>2003</v>
      </c>
      <c r="X579" s="183" t="s">
        <v>181</v>
      </c>
      <c r="Y579" s="186" t="str">
        <f>INDEX(info!$Y$2:$Y$192,MATCH(phc_8[[#This Row],[Sub_Category]],info!$X$2:$X$192,0))</f>
        <v>Chronic medical disease</v>
      </c>
      <c r="Z579" s="186" t="str">
        <f t="array" ref="Z579">INDEX(info!$AA$2:$AA$192,MATCH(PHC!$X579&amp;PHC!$Y579,info!$X$2:$X$192&amp;info!$Y$2:$Y$192,0))</f>
        <v>Non-communicable disease</v>
      </c>
      <c r="AA579" s="183" t="s">
        <v>4442</v>
      </c>
      <c r="AB579" s="9" t="s">
        <v>654</v>
      </c>
      <c r="AC579" s="9" t="s">
        <v>654</v>
      </c>
      <c r="AD579" s="9" t="s">
        <v>654</v>
      </c>
      <c r="AE579" s="9" t="s">
        <v>654</v>
      </c>
      <c r="AF579" s="184"/>
      <c r="AG579" s="183"/>
      <c r="AH579" s="183"/>
      <c r="AI579" s="183"/>
      <c r="AJ579" s="183"/>
      <c r="AK579" s="9" t="s">
        <v>654</v>
      </c>
      <c r="AL579" s="183"/>
      <c r="AM579" s="186" t="str">
        <f>IF(AF579="","","Q"&amp;INT((MONTH(AF579)-1)/3)+1&amp;YEAR(AF579)&amp;#REF!&amp;T579)</f>
        <v/>
      </c>
      <c r="AN579" s="186" t="e">
        <f>IF(K579="","","Q"&amp;INT((MONTH(K579)-1)/3)+1&amp;YEAR(K579)&amp;#REF!)</f>
        <v>#REF!</v>
      </c>
    </row>
    <row r="580" spans="1:40" ht="20.100000000000001" customHeight="1" x14ac:dyDescent="0.25">
      <c r="A580" s="8">
        <v>578</v>
      </c>
      <c r="B580" s="8" t="s">
        <v>399</v>
      </c>
      <c r="C580" s="8" t="s">
        <v>1997</v>
      </c>
      <c r="D580" s="8" t="s">
        <v>2416</v>
      </c>
      <c r="E580" s="182" t="s">
        <v>1998</v>
      </c>
      <c r="F580" s="183" t="s">
        <v>2222</v>
      </c>
      <c r="G580" s="183"/>
      <c r="H580" s="183" t="s">
        <v>4392</v>
      </c>
      <c r="I580" s="183" t="s">
        <v>579</v>
      </c>
      <c r="J580" s="183"/>
      <c r="K580" s="184">
        <v>46069</v>
      </c>
      <c r="L580" s="183">
        <v>24</v>
      </c>
      <c r="M580" s="185" t="str">
        <f>IF(phc_8[[#This Row],[Register No.]]="","",C580&amp;"-"&amp;D580&amp;"-"&amp;"BHA-PHC-"&amp;phc_8[[#This Row],[Register No.]])</f>
        <v>Shining Star-Mobile Clinic-BHA-PHC-24</v>
      </c>
      <c r="N580" s="9" t="s">
        <v>401</v>
      </c>
      <c r="O580" s="183" t="s">
        <v>4435</v>
      </c>
      <c r="P580" s="183">
        <v>74</v>
      </c>
      <c r="Q580" s="183"/>
      <c r="R580" s="183"/>
      <c r="S580" s="186" t="str">
        <f t="shared" si="21"/>
        <v>50 yrs +</v>
      </c>
      <c r="T580" s="183" t="s">
        <v>402</v>
      </c>
      <c r="U580" s="183"/>
      <c r="V580" s="183" t="s">
        <v>4411</v>
      </c>
      <c r="W580" s="183" t="s">
        <v>2059</v>
      </c>
      <c r="X580" s="183" t="s">
        <v>242</v>
      </c>
      <c r="Y580" s="186" t="str">
        <f>INDEX(info!$Y$2:$Y$192,MATCH(phc_8[[#This Row],[Sub_Category]],info!$X$2:$X$192,0))</f>
        <v>Accident/minor sugical and injuries</v>
      </c>
      <c r="Z580" s="186" t="str">
        <f t="array" ref="Z580">INDEX(info!$AA$2:$AA$192,MATCH(PHC!$X580&amp;PHC!$Y580,info!$X$2:$X$192&amp;info!$Y$2:$Y$192,0))</f>
        <v>Injury related</v>
      </c>
      <c r="AA580" s="183" t="s">
        <v>4443</v>
      </c>
      <c r="AB580" s="9" t="s">
        <v>654</v>
      </c>
      <c r="AC580" s="9" t="s">
        <v>654</v>
      </c>
      <c r="AD580" s="9" t="s">
        <v>654</v>
      </c>
      <c r="AE580" s="9" t="s">
        <v>654</v>
      </c>
      <c r="AF580" s="184"/>
      <c r="AG580" s="183"/>
      <c r="AH580" s="183"/>
      <c r="AI580" s="183"/>
      <c r="AJ580" s="183"/>
      <c r="AK580" s="9" t="s">
        <v>654</v>
      </c>
      <c r="AL580" s="183"/>
      <c r="AM580" s="186" t="str">
        <f>IF(AF580="","","Q"&amp;INT((MONTH(AF580)-1)/3)+1&amp;YEAR(AF580)&amp;#REF!&amp;T580)</f>
        <v/>
      </c>
      <c r="AN580" s="186" t="e">
        <f>IF(K580="","","Q"&amp;INT((MONTH(K580)-1)/3)+1&amp;YEAR(K580)&amp;#REF!)</f>
        <v>#REF!</v>
      </c>
    </row>
    <row r="581" spans="1:40" ht="20.100000000000001" customHeight="1" x14ac:dyDescent="0.25">
      <c r="A581" s="8">
        <v>579</v>
      </c>
      <c r="B581" s="8" t="s">
        <v>399</v>
      </c>
      <c r="C581" s="8" t="s">
        <v>1997</v>
      </c>
      <c r="D581" s="8" t="s">
        <v>2416</v>
      </c>
      <c r="E581" s="182" t="s">
        <v>1998</v>
      </c>
      <c r="F581" s="183" t="s">
        <v>2222</v>
      </c>
      <c r="G581" s="183"/>
      <c r="H581" s="183" t="s">
        <v>4392</v>
      </c>
      <c r="I581" s="183" t="s">
        <v>579</v>
      </c>
      <c r="J581" s="183"/>
      <c r="K581" s="184">
        <v>46069</v>
      </c>
      <c r="L581" s="183">
        <v>25</v>
      </c>
      <c r="M581" s="185" t="str">
        <f>IF(phc_8[[#This Row],[Register No.]]="","",C581&amp;"-"&amp;D581&amp;"-"&amp;"BHA-PHC-"&amp;phc_8[[#This Row],[Register No.]])</f>
        <v>Shining Star-Mobile Clinic-BHA-PHC-25</v>
      </c>
      <c r="N581" s="9" t="s">
        <v>401</v>
      </c>
      <c r="O581" s="183" t="s">
        <v>4436</v>
      </c>
      <c r="P581" s="183">
        <v>85</v>
      </c>
      <c r="Q581" s="183"/>
      <c r="R581" s="183"/>
      <c r="S581" s="186" t="str">
        <f t="shared" si="21"/>
        <v>50 yrs +</v>
      </c>
      <c r="T581" s="183" t="s">
        <v>603</v>
      </c>
      <c r="U581" s="183"/>
      <c r="V581" s="183" t="s">
        <v>2743</v>
      </c>
      <c r="W581" s="183" t="s">
        <v>3698</v>
      </c>
      <c r="X581" s="183" t="s">
        <v>178</v>
      </c>
      <c r="Y581" s="186" t="str">
        <f>INDEX(info!$Y$2:$Y$192,MATCH(phc_8[[#This Row],[Sub_Category]],info!$X$2:$X$192,0))</f>
        <v>Chronic medical disease</v>
      </c>
      <c r="Z581" s="186" t="str">
        <f t="array" ref="Z581">INDEX(info!$AA$2:$AA$192,MATCH(PHC!$X581&amp;PHC!$Y581,info!$X$2:$X$192&amp;info!$Y$2:$Y$192,0))</f>
        <v>Non-communicable disease</v>
      </c>
      <c r="AA581" s="183" t="s">
        <v>4444</v>
      </c>
      <c r="AB581" s="9" t="s">
        <v>654</v>
      </c>
      <c r="AC581" s="9" t="s">
        <v>654</v>
      </c>
      <c r="AD581" s="9" t="s">
        <v>654</v>
      </c>
      <c r="AE581" s="9" t="s">
        <v>654</v>
      </c>
      <c r="AF581" s="184"/>
      <c r="AG581" s="183"/>
      <c r="AH581" s="183"/>
      <c r="AI581" s="183"/>
      <c r="AJ581" s="183"/>
      <c r="AK581" s="9" t="s">
        <v>654</v>
      </c>
      <c r="AL581" s="183"/>
      <c r="AM581" s="186" t="str">
        <f>IF(AF581="","","Q"&amp;INT((MONTH(AF581)-1)/3)+1&amp;YEAR(AF581)&amp;#REF!&amp;T581)</f>
        <v/>
      </c>
      <c r="AN581" s="186" t="e">
        <f>IF(K581="","","Q"&amp;INT((MONTH(K581)-1)/3)+1&amp;YEAR(K581)&amp;#REF!)</f>
        <v>#REF!</v>
      </c>
    </row>
    <row r="582" spans="1:40" ht="20.100000000000001" customHeight="1" x14ac:dyDescent="0.25">
      <c r="A582" s="8">
        <v>580</v>
      </c>
      <c r="B582" s="8" t="s">
        <v>399</v>
      </c>
      <c r="C582" s="8" t="s">
        <v>1997</v>
      </c>
      <c r="D582" s="8" t="s">
        <v>2416</v>
      </c>
      <c r="E582" s="182" t="s">
        <v>1998</v>
      </c>
      <c r="F582" s="183" t="s">
        <v>2222</v>
      </c>
      <c r="G582" s="183"/>
      <c r="H582" s="183" t="s">
        <v>4392</v>
      </c>
      <c r="I582" s="183" t="s">
        <v>579</v>
      </c>
      <c r="J582" s="183"/>
      <c r="K582" s="184">
        <v>46069</v>
      </c>
      <c r="L582" s="183">
        <v>26</v>
      </c>
      <c r="M582" s="185" t="str">
        <f>IF(phc_8[[#This Row],[Register No.]]="","",C582&amp;"-"&amp;D582&amp;"-"&amp;"BHA-PHC-"&amp;phc_8[[#This Row],[Register No.]])</f>
        <v>Shining Star-Mobile Clinic-BHA-PHC-26</v>
      </c>
      <c r="N582" s="9" t="s">
        <v>401</v>
      </c>
      <c r="O582" s="183" t="s">
        <v>4452</v>
      </c>
      <c r="P582" s="183">
        <v>80</v>
      </c>
      <c r="Q582" s="183"/>
      <c r="R582" s="183"/>
      <c r="S582" s="186" t="str">
        <f t="shared" si="21"/>
        <v>50 yrs +</v>
      </c>
      <c r="T582" s="183" t="s">
        <v>603</v>
      </c>
      <c r="U582" s="183"/>
      <c r="V582" s="183" t="s">
        <v>4457</v>
      </c>
      <c r="W582" s="183" t="s">
        <v>4460</v>
      </c>
      <c r="X582" s="183" t="s">
        <v>3105</v>
      </c>
      <c r="Y582" s="186" t="str">
        <f>INDEX(info!$Y$2:$Y$192,MATCH(phc_8[[#This Row],[Sub_Category]],info!$X$2:$X$192,0))</f>
        <v>Chronic medical disease</v>
      </c>
      <c r="Z582" s="186" t="str">
        <f t="array" ref="Z582">INDEX(info!$AA$2:$AA$192,MATCH(PHC!$X582&amp;PHC!$Y582,info!$X$2:$X$192&amp;info!$Y$2:$Y$192,0))</f>
        <v>Non-communicable disease</v>
      </c>
      <c r="AA582" s="183" t="s">
        <v>4462</v>
      </c>
      <c r="AB582" s="9" t="s">
        <v>654</v>
      </c>
      <c r="AC582" s="9" t="s">
        <v>654</v>
      </c>
      <c r="AD582" s="9" t="s">
        <v>654</v>
      </c>
      <c r="AE582" s="9" t="s">
        <v>654</v>
      </c>
      <c r="AF582" s="184"/>
      <c r="AG582" s="183"/>
      <c r="AH582" s="183"/>
      <c r="AI582" s="183"/>
      <c r="AJ582" s="183"/>
      <c r="AK582" s="9" t="s">
        <v>654</v>
      </c>
      <c r="AL582" s="183"/>
      <c r="AM582" s="186" t="str">
        <f>IF(AF582="","","Q"&amp;INT((MONTH(AF582)-1)/3)+1&amp;YEAR(AF582)&amp;#REF!&amp;T582)</f>
        <v/>
      </c>
      <c r="AN582" s="186" t="e">
        <f>IF(K582="","","Q"&amp;INT((MONTH(K582)-1)/3)+1&amp;YEAR(K582)&amp;#REF!)</f>
        <v>#REF!</v>
      </c>
    </row>
    <row r="583" spans="1:40" ht="20.100000000000001" customHeight="1" x14ac:dyDescent="0.25">
      <c r="A583" s="8">
        <v>581</v>
      </c>
      <c r="B583" s="8" t="s">
        <v>399</v>
      </c>
      <c r="C583" s="8" t="s">
        <v>1997</v>
      </c>
      <c r="D583" s="8" t="s">
        <v>2416</v>
      </c>
      <c r="E583" s="182" t="s">
        <v>1998</v>
      </c>
      <c r="F583" s="183" t="s">
        <v>2222</v>
      </c>
      <c r="G583" s="183"/>
      <c r="H583" s="183" t="s">
        <v>4392</v>
      </c>
      <c r="I583" s="183" t="s">
        <v>579</v>
      </c>
      <c r="J583" s="183"/>
      <c r="K583" s="184">
        <v>46069</v>
      </c>
      <c r="L583" s="183">
        <v>27</v>
      </c>
      <c r="M583" s="185" t="str">
        <f>IF(phc_8[[#This Row],[Register No.]]="","",C583&amp;"-"&amp;D583&amp;"-"&amp;"BHA-PHC-"&amp;phc_8[[#This Row],[Register No.]])</f>
        <v>Shining Star-Mobile Clinic-BHA-PHC-27</v>
      </c>
      <c r="N583" s="9" t="s">
        <v>401</v>
      </c>
      <c r="O583" s="183" t="s">
        <v>4453</v>
      </c>
      <c r="P583" s="183">
        <v>73</v>
      </c>
      <c r="Q583" s="183"/>
      <c r="R583" s="183"/>
      <c r="S583" s="186" t="str">
        <f t="shared" si="21"/>
        <v>50 yrs +</v>
      </c>
      <c r="T583" s="183" t="s">
        <v>603</v>
      </c>
      <c r="U583" s="183"/>
      <c r="V583" s="183" t="s">
        <v>4385</v>
      </c>
      <c r="W583" s="183" t="s">
        <v>3078</v>
      </c>
      <c r="X583" s="183" t="s">
        <v>3078</v>
      </c>
      <c r="Y583" s="186" t="str">
        <f>INDEX(info!$Y$2:$Y$192,MATCH(phc_8[[#This Row],[Sub_Category]],info!$X$2:$X$192,0))</f>
        <v>ARI/RTI</v>
      </c>
      <c r="Z583" s="186" t="str">
        <f t="array" ref="Z583">INDEX(info!$AA$2:$AA$192,MATCH(PHC!$X583&amp;PHC!$Y583,info!$X$2:$X$192&amp;info!$Y$2:$Y$192,0))</f>
        <v>Communicable disease</v>
      </c>
      <c r="AA583" s="183" t="s">
        <v>4463</v>
      </c>
      <c r="AB583" s="9" t="s">
        <v>654</v>
      </c>
      <c r="AC583" s="9" t="s">
        <v>654</v>
      </c>
      <c r="AD583" s="9" t="s">
        <v>654</v>
      </c>
      <c r="AE583" s="9" t="s">
        <v>654</v>
      </c>
      <c r="AF583" s="184"/>
      <c r="AG583" s="183"/>
      <c r="AH583" s="183"/>
      <c r="AI583" s="183"/>
      <c r="AJ583" s="183"/>
      <c r="AK583" s="9" t="s">
        <v>654</v>
      </c>
      <c r="AL583" s="183"/>
      <c r="AM583" s="186" t="str">
        <f>IF(AF583="","","Q"&amp;INT((MONTH(AF583)-1)/3)+1&amp;YEAR(AF583)&amp;#REF!&amp;T583)</f>
        <v/>
      </c>
      <c r="AN583" s="186" t="e">
        <f>IF(K583="","","Q"&amp;INT((MONTH(K583)-1)/3)+1&amp;YEAR(K583)&amp;#REF!)</f>
        <v>#REF!</v>
      </c>
    </row>
    <row r="584" spans="1:40" ht="20.100000000000001" customHeight="1" x14ac:dyDescent="0.25">
      <c r="A584" s="8">
        <v>582</v>
      </c>
      <c r="B584" s="8" t="s">
        <v>399</v>
      </c>
      <c r="C584" s="8" t="s">
        <v>1997</v>
      </c>
      <c r="D584" s="8" t="s">
        <v>2416</v>
      </c>
      <c r="E584" s="182" t="s">
        <v>1998</v>
      </c>
      <c r="F584" s="183" t="s">
        <v>2222</v>
      </c>
      <c r="G584" s="183"/>
      <c r="H584" s="183" t="s">
        <v>4392</v>
      </c>
      <c r="I584" s="183" t="s">
        <v>579</v>
      </c>
      <c r="J584" s="183"/>
      <c r="K584" s="184">
        <v>46069</v>
      </c>
      <c r="L584" s="183">
        <v>28</v>
      </c>
      <c r="M584" s="185" t="str">
        <f>IF(phc_8[[#This Row],[Register No.]]="","",C584&amp;"-"&amp;D584&amp;"-"&amp;"BHA-PHC-"&amp;phc_8[[#This Row],[Register No.]])</f>
        <v>Shining Star-Mobile Clinic-BHA-PHC-28</v>
      </c>
      <c r="N584" s="9" t="s">
        <v>401</v>
      </c>
      <c r="O584" s="183" t="s">
        <v>4454</v>
      </c>
      <c r="P584" s="183">
        <v>75</v>
      </c>
      <c r="Q584" s="183"/>
      <c r="R584" s="183"/>
      <c r="S584" s="186" t="str">
        <f t="shared" si="21"/>
        <v>50 yrs +</v>
      </c>
      <c r="T584" s="183" t="s">
        <v>603</v>
      </c>
      <c r="U584" s="183"/>
      <c r="V584" s="183" t="s">
        <v>3963</v>
      </c>
      <c r="W584" s="183" t="s">
        <v>2059</v>
      </c>
      <c r="X584" s="183" t="s">
        <v>242</v>
      </c>
      <c r="Y584" s="186" t="str">
        <f>INDEX(info!$Y$2:$Y$192,MATCH(phc_8[[#This Row],[Sub_Category]],info!$X$2:$X$192,0))</f>
        <v>Accident/minor sugical and injuries</v>
      </c>
      <c r="Z584" s="186" t="str">
        <f t="array" ref="Z584">INDEX(info!$AA$2:$AA$192,MATCH(PHC!$X584&amp;PHC!$Y584,info!$X$2:$X$192&amp;info!$Y$2:$Y$192,0))</f>
        <v>Injury related</v>
      </c>
      <c r="AA584" s="183" t="s">
        <v>4464</v>
      </c>
      <c r="AB584" s="9" t="s">
        <v>654</v>
      </c>
      <c r="AC584" s="9" t="s">
        <v>654</v>
      </c>
      <c r="AD584" s="9" t="s">
        <v>654</v>
      </c>
      <c r="AE584" s="9" t="s">
        <v>654</v>
      </c>
      <c r="AF584" s="184"/>
      <c r="AG584" s="183"/>
      <c r="AH584" s="183"/>
      <c r="AI584" s="183"/>
      <c r="AJ584" s="183"/>
      <c r="AK584" s="9" t="s">
        <v>654</v>
      </c>
      <c r="AL584" s="183"/>
      <c r="AM584" s="186" t="str">
        <f>IF(AF584="","","Q"&amp;INT((MONTH(AF584)-1)/3)+1&amp;YEAR(AF584)&amp;#REF!&amp;T584)</f>
        <v/>
      </c>
      <c r="AN584" s="186" t="e">
        <f>IF(K584="","","Q"&amp;INT((MONTH(K584)-1)/3)+1&amp;YEAR(K584)&amp;#REF!)</f>
        <v>#REF!</v>
      </c>
    </row>
    <row r="585" spans="1:40" ht="20.100000000000001" customHeight="1" x14ac:dyDescent="0.25">
      <c r="A585" s="8">
        <v>583</v>
      </c>
      <c r="B585" s="8" t="s">
        <v>399</v>
      </c>
      <c r="C585" s="8" t="s">
        <v>1997</v>
      </c>
      <c r="D585" s="8" t="s">
        <v>2416</v>
      </c>
      <c r="E585" s="182" t="s">
        <v>1998</v>
      </c>
      <c r="F585" s="183" t="s">
        <v>2222</v>
      </c>
      <c r="G585" s="183"/>
      <c r="H585" s="183" t="s">
        <v>4392</v>
      </c>
      <c r="I585" s="183" t="s">
        <v>579</v>
      </c>
      <c r="J585" s="183"/>
      <c r="K585" s="184">
        <v>46069</v>
      </c>
      <c r="L585" s="183">
        <v>29</v>
      </c>
      <c r="M585" s="185" t="str">
        <f>IF(phc_8[[#This Row],[Register No.]]="","",C585&amp;"-"&amp;D585&amp;"-"&amp;"BHA-PHC-"&amp;phc_8[[#This Row],[Register No.]])</f>
        <v>Shining Star-Mobile Clinic-BHA-PHC-29</v>
      </c>
      <c r="N585" s="9" t="s">
        <v>401</v>
      </c>
      <c r="O585" s="183" t="s">
        <v>4455</v>
      </c>
      <c r="P585" s="183">
        <v>67</v>
      </c>
      <c r="Q585" s="183"/>
      <c r="R585" s="183"/>
      <c r="S585" s="186" t="str">
        <f t="shared" si="21"/>
        <v>50 yrs +</v>
      </c>
      <c r="T585" s="183" t="s">
        <v>402</v>
      </c>
      <c r="U585" s="183"/>
      <c r="V585" s="183" t="s">
        <v>4458</v>
      </c>
      <c r="W585" s="183" t="s">
        <v>2030</v>
      </c>
      <c r="X585" s="183" t="s">
        <v>178</v>
      </c>
      <c r="Y585" s="186" t="str">
        <f>INDEX(info!$Y$2:$Y$192,MATCH(phc_8[[#This Row],[Sub_Category]],info!$X$2:$X$192,0))</f>
        <v>Chronic medical disease</v>
      </c>
      <c r="Z585" s="186" t="str">
        <f t="array" ref="Z585">INDEX(info!$AA$2:$AA$192,MATCH(PHC!$X585&amp;PHC!$Y585,info!$X$2:$X$192&amp;info!$Y$2:$Y$192,0))</f>
        <v>Non-communicable disease</v>
      </c>
      <c r="AA585" s="183" t="s">
        <v>4465</v>
      </c>
      <c r="AB585" s="9" t="s">
        <v>654</v>
      </c>
      <c r="AC585" s="9" t="s">
        <v>654</v>
      </c>
      <c r="AD585" s="9" t="s">
        <v>654</v>
      </c>
      <c r="AE585" s="9" t="s">
        <v>654</v>
      </c>
      <c r="AF585" s="184"/>
      <c r="AG585" s="183"/>
      <c r="AH585" s="183"/>
      <c r="AI585" s="183"/>
      <c r="AJ585" s="183"/>
      <c r="AK585" s="9" t="s">
        <v>654</v>
      </c>
      <c r="AL585" s="183"/>
      <c r="AM585" s="186" t="str">
        <f>IF(AF585="","","Q"&amp;INT((MONTH(AF585)-1)/3)+1&amp;YEAR(AF585)&amp;#REF!&amp;T585)</f>
        <v/>
      </c>
      <c r="AN585" s="186" t="e">
        <f>IF(K585="","","Q"&amp;INT((MONTH(K585)-1)/3)+1&amp;YEAR(K585)&amp;#REF!)</f>
        <v>#REF!</v>
      </c>
    </row>
    <row r="586" spans="1:40" ht="20.100000000000001" customHeight="1" x14ac:dyDescent="0.25">
      <c r="A586" s="8">
        <v>584</v>
      </c>
      <c r="B586" s="8" t="s">
        <v>399</v>
      </c>
      <c r="C586" s="8" t="s">
        <v>1997</v>
      </c>
      <c r="D586" s="8" t="s">
        <v>2416</v>
      </c>
      <c r="E586" s="182" t="s">
        <v>1998</v>
      </c>
      <c r="F586" s="183" t="s">
        <v>2222</v>
      </c>
      <c r="G586" s="183"/>
      <c r="H586" s="183" t="s">
        <v>4392</v>
      </c>
      <c r="I586" s="183" t="s">
        <v>579</v>
      </c>
      <c r="J586" s="183"/>
      <c r="K586" s="184">
        <v>46069</v>
      </c>
      <c r="L586" s="183">
        <v>30</v>
      </c>
      <c r="M586" s="185" t="str">
        <f>IF(phc_8[[#This Row],[Register No.]]="","",C586&amp;"-"&amp;D586&amp;"-"&amp;"BHA-PHC-"&amp;phc_8[[#This Row],[Register No.]])</f>
        <v>Shining Star-Mobile Clinic-BHA-PHC-30</v>
      </c>
      <c r="N586" s="9" t="s">
        <v>401</v>
      </c>
      <c r="O586" s="183" t="s">
        <v>4456</v>
      </c>
      <c r="P586" s="183">
        <v>62</v>
      </c>
      <c r="Q586" s="183"/>
      <c r="R586" s="183"/>
      <c r="S586" s="186" t="str">
        <f t="shared" si="21"/>
        <v>50 yrs +</v>
      </c>
      <c r="T586" s="183" t="s">
        <v>402</v>
      </c>
      <c r="U586" s="183"/>
      <c r="V586" s="183" t="s">
        <v>4459</v>
      </c>
      <c r="W586" s="183" t="s">
        <v>4461</v>
      </c>
      <c r="X586" s="183" t="s">
        <v>113</v>
      </c>
      <c r="Y586" s="186" t="str">
        <f>INDEX(info!$Y$2:$Y$192,MATCH(phc_8[[#This Row],[Sub_Category]],info!$X$2:$X$192,0))</f>
        <v>ARI/RTI</v>
      </c>
      <c r="Z586" s="186" t="str">
        <f t="array" ref="Z586">INDEX(info!$AA$2:$AA$192,MATCH(PHC!$X586&amp;PHC!$Y586,info!$X$2:$X$192&amp;info!$Y$2:$Y$192,0))</f>
        <v>Communicable disease</v>
      </c>
      <c r="AA586" s="183" t="s">
        <v>4466</v>
      </c>
      <c r="AB586" s="9" t="s">
        <v>654</v>
      </c>
      <c r="AC586" s="9" t="s">
        <v>654</v>
      </c>
      <c r="AD586" s="9" t="s">
        <v>654</v>
      </c>
      <c r="AE586" s="9" t="s">
        <v>654</v>
      </c>
      <c r="AF586" s="184"/>
      <c r="AG586" s="183"/>
      <c r="AH586" s="183"/>
      <c r="AI586" s="183"/>
      <c r="AJ586" s="183"/>
      <c r="AK586" s="9" t="s">
        <v>654</v>
      </c>
      <c r="AL586" s="183"/>
      <c r="AM586" s="186" t="str">
        <f>IF(AF586="","","Q"&amp;INT((MONTH(AF586)-1)/3)+1&amp;YEAR(AF586)&amp;#REF!&amp;T586)</f>
        <v/>
      </c>
      <c r="AN586" s="186" t="e">
        <f>IF(K586="","","Q"&amp;INT((MONTH(K586)-1)/3)+1&amp;YEAR(K586)&amp;#REF!)</f>
        <v>#REF!</v>
      </c>
    </row>
    <row r="587" spans="1:40" ht="20.100000000000001" customHeight="1" x14ac:dyDescent="0.25">
      <c r="A587" s="8">
        <v>585</v>
      </c>
      <c r="B587" s="8" t="s">
        <v>399</v>
      </c>
      <c r="C587" s="8" t="s">
        <v>1997</v>
      </c>
      <c r="D587" s="8" t="s">
        <v>2416</v>
      </c>
      <c r="E587" s="182" t="s">
        <v>1998</v>
      </c>
      <c r="F587" s="183" t="s">
        <v>2222</v>
      </c>
      <c r="G587" s="183"/>
      <c r="H587" s="183" t="s">
        <v>4392</v>
      </c>
      <c r="I587" s="183" t="s">
        <v>579</v>
      </c>
      <c r="J587" s="183"/>
      <c r="K587" s="184">
        <v>46069</v>
      </c>
      <c r="L587" s="183">
        <v>31</v>
      </c>
      <c r="M587" s="185" t="str">
        <f>IF(phc_8[[#This Row],[Register No.]]="","",C587&amp;"-"&amp;D587&amp;"-"&amp;"BHA-PHC-"&amp;phc_8[[#This Row],[Register No.]])</f>
        <v>Shining Star-Mobile Clinic-BHA-PHC-31</v>
      </c>
      <c r="N587" s="9" t="s">
        <v>401</v>
      </c>
      <c r="O587" s="183" t="s">
        <v>4467</v>
      </c>
      <c r="P587" s="183">
        <v>53</v>
      </c>
      <c r="Q587" s="183"/>
      <c r="R587" s="183"/>
      <c r="S587" s="186" t="str">
        <f t="shared" si="21"/>
        <v>50 yrs +</v>
      </c>
      <c r="T587" s="183" t="s">
        <v>603</v>
      </c>
      <c r="U587" s="183"/>
      <c r="V587" s="183" t="s">
        <v>4471</v>
      </c>
      <c r="W587" s="183" t="s">
        <v>4257</v>
      </c>
      <c r="X587" s="183" t="s">
        <v>294</v>
      </c>
      <c r="Y587" s="186" t="str">
        <f>INDEX(info!$Y$2:$Y$192,MATCH(phc_8[[#This Row],[Sub_Category]],info!$X$2:$X$192,0))</f>
        <v>Other (non-communicable)</v>
      </c>
      <c r="Z587" s="186" t="str">
        <f t="array" ref="Z587">INDEX(info!$AA$2:$AA$192,MATCH(PHC!$X587&amp;PHC!$Y587,info!$X$2:$X$192&amp;info!$Y$2:$Y$192,0))</f>
        <v>Other</v>
      </c>
      <c r="AA587" s="183" t="s">
        <v>4475</v>
      </c>
      <c r="AB587" s="9" t="s">
        <v>654</v>
      </c>
      <c r="AC587" s="9" t="s">
        <v>654</v>
      </c>
      <c r="AD587" s="9" t="s">
        <v>654</v>
      </c>
      <c r="AE587" s="9" t="s">
        <v>654</v>
      </c>
      <c r="AF587" s="184"/>
      <c r="AG587" s="183"/>
      <c r="AH587" s="183"/>
      <c r="AI587" s="183"/>
      <c r="AJ587" s="183"/>
      <c r="AK587" s="9" t="s">
        <v>654</v>
      </c>
      <c r="AL587" s="183"/>
      <c r="AM587" s="186" t="str">
        <f>IF(AF587="","","Q"&amp;INT((MONTH(AF587)-1)/3)+1&amp;YEAR(AF587)&amp;#REF!&amp;T587)</f>
        <v/>
      </c>
      <c r="AN587" s="186" t="e">
        <f>IF(K587="","","Q"&amp;INT((MONTH(K587)-1)/3)+1&amp;YEAR(K587)&amp;#REF!)</f>
        <v>#REF!</v>
      </c>
    </row>
    <row r="588" spans="1:40" ht="20.100000000000001" customHeight="1" x14ac:dyDescent="0.25">
      <c r="A588" s="8">
        <v>586</v>
      </c>
      <c r="B588" s="8" t="s">
        <v>399</v>
      </c>
      <c r="C588" s="8" t="s">
        <v>1997</v>
      </c>
      <c r="D588" s="8" t="s">
        <v>2416</v>
      </c>
      <c r="E588" s="182" t="s">
        <v>1998</v>
      </c>
      <c r="F588" s="183" t="s">
        <v>2222</v>
      </c>
      <c r="G588" s="183"/>
      <c r="H588" s="183" t="s">
        <v>4392</v>
      </c>
      <c r="I588" s="183" t="s">
        <v>579</v>
      </c>
      <c r="J588" s="183"/>
      <c r="K588" s="184">
        <v>46069</v>
      </c>
      <c r="L588" s="183">
        <v>32</v>
      </c>
      <c r="M588" s="185" t="str">
        <f>IF(phc_8[[#This Row],[Register No.]]="","",C588&amp;"-"&amp;D588&amp;"-"&amp;"BHA-PHC-"&amp;phc_8[[#This Row],[Register No.]])</f>
        <v>Shining Star-Mobile Clinic-BHA-PHC-32</v>
      </c>
      <c r="N588" s="9" t="s">
        <v>401</v>
      </c>
      <c r="O588" s="183" t="s">
        <v>4468</v>
      </c>
      <c r="P588" s="183">
        <v>64</v>
      </c>
      <c r="Q588" s="183"/>
      <c r="R588" s="183"/>
      <c r="S588" s="186" t="str">
        <f t="shared" si="21"/>
        <v>50 yrs +</v>
      </c>
      <c r="T588" s="183" t="s">
        <v>603</v>
      </c>
      <c r="U588" s="183"/>
      <c r="V588" s="183" t="s">
        <v>3657</v>
      </c>
      <c r="W588" s="183" t="s">
        <v>4473</v>
      </c>
      <c r="X588" s="183" t="s">
        <v>2014</v>
      </c>
      <c r="Y588" s="186" t="str">
        <f>INDEX(info!$Y$2:$Y$192,MATCH(phc_8[[#This Row],[Sub_Category]],info!$X$2:$X$192,0))</f>
        <v>Other (non-communicable)</v>
      </c>
      <c r="Z588" s="186" t="str">
        <f t="array" ref="Z588">INDEX(info!$AA$2:$AA$192,MATCH(PHC!$X588&amp;PHC!$Y588,info!$X$2:$X$192&amp;info!$Y$2:$Y$192,0))</f>
        <v>Other</v>
      </c>
      <c r="AA588" s="183" t="s">
        <v>4476</v>
      </c>
      <c r="AB588" s="9" t="s">
        <v>654</v>
      </c>
      <c r="AC588" s="9" t="s">
        <v>654</v>
      </c>
      <c r="AD588" s="9" t="s">
        <v>654</v>
      </c>
      <c r="AE588" s="9" t="s">
        <v>654</v>
      </c>
      <c r="AF588" s="184"/>
      <c r="AG588" s="183"/>
      <c r="AH588" s="183"/>
      <c r="AI588" s="183"/>
      <c r="AJ588" s="183"/>
      <c r="AK588" s="9" t="s">
        <v>654</v>
      </c>
      <c r="AL588" s="183"/>
      <c r="AM588" s="186" t="str">
        <f>IF(AF588="","","Q"&amp;INT((MONTH(AF588)-1)/3)+1&amp;YEAR(AF588)&amp;#REF!&amp;T588)</f>
        <v/>
      </c>
      <c r="AN588" s="186" t="e">
        <f>IF(K588="","","Q"&amp;INT((MONTH(K588)-1)/3)+1&amp;YEAR(K588)&amp;#REF!)</f>
        <v>#REF!</v>
      </c>
    </row>
    <row r="589" spans="1:40" ht="20.100000000000001" customHeight="1" x14ac:dyDescent="0.25">
      <c r="A589" s="8">
        <v>587</v>
      </c>
      <c r="B589" s="8" t="s">
        <v>399</v>
      </c>
      <c r="C589" s="8" t="s">
        <v>1997</v>
      </c>
      <c r="D589" s="8" t="s">
        <v>2416</v>
      </c>
      <c r="E589" s="182" t="s">
        <v>1998</v>
      </c>
      <c r="F589" s="183" t="s">
        <v>2222</v>
      </c>
      <c r="G589" s="183"/>
      <c r="H589" s="183" t="s">
        <v>4392</v>
      </c>
      <c r="I589" s="183" t="s">
        <v>579</v>
      </c>
      <c r="J589" s="183"/>
      <c r="K589" s="184">
        <v>46069</v>
      </c>
      <c r="L589" s="183">
        <v>33</v>
      </c>
      <c r="M589" s="185" t="str">
        <f>IF(phc_8[[#This Row],[Register No.]]="","",C589&amp;"-"&amp;D589&amp;"-"&amp;"BHA-PHC-"&amp;phc_8[[#This Row],[Register No.]])</f>
        <v>Shining Star-Mobile Clinic-BHA-PHC-33</v>
      </c>
      <c r="N589" s="9" t="s">
        <v>401</v>
      </c>
      <c r="O589" s="183" t="s">
        <v>4469</v>
      </c>
      <c r="P589" s="183">
        <v>68</v>
      </c>
      <c r="Q589" s="183"/>
      <c r="R589" s="183"/>
      <c r="S589" s="186" t="str">
        <f t="shared" si="21"/>
        <v>50 yrs +</v>
      </c>
      <c r="T589" s="183" t="s">
        <v>402</v>
      </c>
      <c r="U589" s="183"/>
      <c r="V589" s="183" t="s">
        <v>3262</v>
      </c>
      <c r="W589" s="183" t="s">
        <v>4258</v>
      </c>
      <c r="X589" s="183" t="s">
        <v>181</v>
      </c>
      <c r="Y589" s="186" t="str">
        <f>INDEX(info!$Y$2:$Y$192,MATCH(phc_8[[#This Row],[Sub_Category]],info!$X$2:$X$192,0))</f>
        <v>Chronic medical disease</v>
      </c>
      <c r="Z589" s="186" t="str">
        <f t="array" ref="Z589">INDEX(info!$AA$2:$AA$192,MATCH(PHC!$X589&amp;PHC!$Y589,info!$X$2:$X$192&amp;info!$Y$2:$Y$192,0))</f>
        <v>Non-communicable disease</v>
      </c>
      <c r="AA589" s="183" t="s">
        <v>4477</v>
      </c>
      <c r="AB589" s="9" t="s">
        <v>654</v>
      </c>
      <c r="AC589" s="9" t="s">
        <v>654</v>
      </c>
      <c r="AD589" s="9" t="s">
        <v>654</v>
      </c>
      <c r="AE589" s="9" t="s">
        <v>654</v>
      </c>
      <c r="AF589" s="184"/>
      <c r="AG589" s="183"/>
      <c r="AH589" s="183"/>
      <c r="AI589" s="183"/>
      <c r="AJ589" s="183"/>
      <c r="AK589" s="9" t="s">
        <v>654</v>
      </c>
      <c r="AL589" s="183"/>
      <c r="AM589" s="186" t="str">
        <f>IF(AF589="","","Q"&amp;INT((MONTH(AF589)-1)/3)+1&amp;YEAR(AF589)&amp;#REF!&amp;T589)</f>
        <v/>
      </c>
      <c r="AN589" s="186" t="e">
        <f>IF(K589="","","Q"&amp;INT((MONTH(K589)-1)/3)+1&amp;YEAR(K589)&amp;#REF!)</f>
        <v>#REF!</v>
      </c>
    </row>
    <row r="590" spans="1:40" ht="20.100000000000001" customHeight="1" x14ac:dyDescent="0.25">
      <c r="A590" s="8">
        <v>588</v>
      </c>
      <c r="B590" s="8" t="s">
        <v>399</v>
      </c>
      <c r="C590" s="8" t="s">
        <v>1997</v>
      </c>
      <c r="D590" s="8" t="s">
        <v>2416</v>
      </c>
      <c r="E590" s="182" t="s">
        <v>1998</v>
      </c>
      <c r="F590" s="183" t="s">
        <v>2222</v>
      </c>
      <c r="G590" s="183"/>
      <c r="H590" s="183" t="s">
        <v>4392</v>
      </c>
      <c r="I590" s="183" t="s">
        <v>579</v>
      </c>
      <c r="J590" s="183"/>
      <c r="K590" s="184">
        <v>46069</v>
      </c>
      <c r="L590" s="183">
        <v>34</v>
      </c>
      <c r="M590" s="185" t="str">
        <f>IF(phc_8[[#This Row],[Register No.]]="","",C590&amp;"-"&amp;D590&amp;"-"&amp;"BHA-PHC-"&amp;phc_8[[#This Row],[Register No.]])</f>
        <v>Shining Star-Mobile Clinic-BHA-PHC-34</v>
      </c>
      <c r="N590" s="9" t="s">
        <v>401</v>
      </c>
      <c r="O590" s="183" t="s">
        <v>3286</v>
      </c>
      <c r="P590" s="183">
        <v>85</v>
      </c>
      <c r="Q590" s="183"/>
      <c r="R590" s="183"/>
      <c r="S590" s="186" t="str">
        <f t="shared" si="21"/>
        <v>50 yrs +</v>
      </c>
      <c r="T590" s="183" t="s">
        <v>603</v>
      </c>
      <c r="U590" s="183"/>
      <c r="V590" s="183" t="s">
        <v>4472</v>
      </c>
      <c r="W590" s="183" t="s">
        <v>4474</v>
      </c>
      <c r="X590" s="183" t="s">
        <v>290</v>
      </c>
      <c r="Y590" s="186" t="str">
        <f>INDEX(info!$Y$2:$Y$192,MATCH(phc_8[[#This Row],[Sub_Category]],info!$X$2:$X$192,0))</f>
        <v>Stroke</v>
      </c>
      <c r="Z590" s="186" t="str">
        <f t="array" ref="Z590">INDEX(info!$AA$2:$AA$192,MATCH(PHC!$X590&amp;PHC!$Y590,info!$X$2:$X$192&amp;info!$Y$2:$Y$192,0))</f>
        <v>Non-communicable disease</v>
      </c>
      <c r="AA590" s="183" t="s">
        <v>4478</v>
      </c>
      <c r="AB590" s="9" t="s">
        <v>654</v>
      </c>
      <c r="AC590" s="9" t="s">
        <v>654</v>
      </c>
      <c r="AD590" s="9" t="s">
        <v>654</v>
      </c>
      <c r="AE590" s="9" t="s">
        <v>654</v>
      </c>
      <c r="AF590" s="184"/>
      <c r="AG590" s="183"/>
      <c r="AH590" s="183"/>
      <c r="AI590" s="183"/>
      <c r="AJ590" s="183"/>
      <c r="AK590" s="9" t="s">
        <v>654</v>
      </c>
      <c r="AL590" s="183"/>
      <c r="AM590" s="186" t="str">
        <f>IF(AF590="","","Q"&amp;INT((MONTH(AF590)-1)/3)+1&amp;YEAR(AF590)&amp;#REF!&amp;T590)</f>
        <v/>
      </c>
      <c r="AN590" s="186" t="e">
        <f>IF(K590="","","Q"&amp;INT((MONTH(K590)-1)/3)+1&amp;YEAR(K590)&amp;#REF!)</f>
        <v>#REF!</v>
      </c>
    </row>
    <row r="591" spans="1:40" ht="20.100000000000001" customHeight="1" x14ac:dyDescent="0.25">
      <c r="A591" s="8">
        <v>589</v>
      </c>
      <c r="B591" s="8" t="s">
        <v>399</v>
      </c>
      <c r="C591" s="8" t="s">
        <v>1997</v>
      </c>
      <c r="D591" s="8" t="s">
        <v>2416</v>
      </c>
      <c r="E591" s="182" t="s">
        <v>1998</v>
      </c>
      <c r="F591" s="183" t="s">
        <v>2222</v>
      </c>
      <c r="G591" s="183"/>
      <c r="H591" s="183" t="s">
        <v>4392</v>
      </c>
      <c r="I591" s="183" t="s">
        <v>579</v>
      </c>
      <c r="J591" s="183"/>
      <c r="K591" s="184">
        <v>46069</v>
      </c>
      <c r="L591" s="183">
        <v>35</v>
      </c>
      <c r="M591" s="185" t="str">
        <f>IF(phc_8[[#This Row],[Register No.]]="","",C591&amp;"-"&amp;D591&amp;"-"&amp;"BHA-PHC-"&amp;phc_8[[#This Row],[Register No.]])</f>
        <v>Shining Star-Mobile Clinic-BHA-PHC-35</v>
      </c>
      <c r="N591" s="9" t="s">
        <v>401</v>
      </c>
      <c r="O591" s="183" t="s">
        <v>4470</v>
      </c>
      <c r="P591" s="183">
        <v>69</v>
      </c>
      <c r="Q591" s="183"/>
      <c r="R591" s="183"/>
      <c r="S591" s="186" t="str">
        <f t="shared" si="21"/>
        <v>50 yrs +</v>
      </c>
      <c r="T591" s="183" t="s">
        <v>603</v>
      </c>
      <c r="U591" s="183"/>
      <c r="V591" s="183" t="s">
        <v>4458</v>
      </c>
      <c r="W591" s="183" t="s">
        <v>294</v>
      </c>
      <c r="X591" s="183" t="s">
        <v>294</v>
      </c>
      <c r="Y591" s="186" t="str">
        <f>INDEX(info!$Y$2:$Y$192,MATCH(phc_8[[#This Row],[Sub_Category]],info!$X$2:$X$192,0))</f>
        <v>Other (non-communicable)</v>
      </c>
      <c r="Z591" s="186" t="str">
        <f t="array" ref="Z591">INDEX(info!$AA$2:$AA$192,MATCH(PHC!$X591&amp;PHC!$Y591,info!$X$2:$X$192&amp;info!$Y$2:$Y$192,0))</f>
        <v>Other</v>
      </c>
      <c r="AA591" s="183" t="s">
        <v>4479</v>
      </c>
      <c r="AB591" s="9" t="s">
        <v>654</v>
      </c>
      <c r="AC591" s="9" t="s">
        <v>654</v>
      </c>
      <c r="AD591" s="9" t="s">
        <v>654</v>
      </c>
      <c r="AE591" s="9" t="s">
        <v>654</v>
      </c>
      <c r="AF591" s="184"/>
      <c r="AG591" s="183"/>
      <c r="AH591" s="183"/>
      <c r="AI591" s="183"/>
      <c r="AJ591" s="183"/>
      <c r="AK591" s="9" t="s">
        <v>654</v>
      </c>
      <c r="AL591" s="183"/>
      <c r="AM591" s="186" t="str">
        <f>IF(AF591="","","Q"&amp;INT((MONTH(AF591)-1)/3)+1&amp;YEAR(AF591)&amp;#REF!&amp;T591)</f>
        <v/>
      </c>
      <c r="AN591" s="186" t="e">
        <f>IF(K591="","","Q"&amp;INT((MONTH(K591)-1)/3)+1&amp;YEAR(K591)&amp;#REF!)</f>
        <v>#REF!</v>
      </c>
    </row>
    <row r="592" spans="1:40" ht="20.100000000000001" customHeight="1" x14ac:dyDescent="0.25">
      <c r="A592" s="8">
        <v>590</v>
      </c>
      <c r="B592" s="8" t="s">
        <v>399</v>
      </c>
      <c r="C592" s="8" t="s">
        <v>1997</v>
      </c>
      <c r="D592" s="8" t="s">
        <v>2416</v>
      </c>
      <c r="E592" s="182" t="s">
        <v>1998</v>
      </c>
      <c r="F592" s="183" t="s">
        <v>2222</v>
      </c>
      <c r="G592" s="183"/>
      <c r="H592" s="183" t="s">
        <v>4392</v>
      </c>
      <c r="I592" s="183" t="s">
        <v>579</v>
      </c>
      <c r="J592" s="183"/>
      <c r="K592" s="184">
        <v>46069</v>
      </c>
      <c r="L592" s="183">
        <v>36</v>
      </c>
      <c r="M592" s="185" t="str">
        <f>IF(phc_8[[#This Row],[Register No.]]="","",C592&amp;"-"&amp;D592&amp;"-"&amp;"BHA-PHC-"&amp;phc_8[[#This Row],[Register No.]])</f>
        <v>Shining Star-Mobile Clinic-BHA-PHC-36</v>
      </c>
      <c r="N592" s="9" t="s">
        <v>401</v>
      </c>
      <c r="O592" s="183" t="s">
        <v>4480</v>
      </c>
      <c r="P592" s="183">
        <v>66</v>
      </c>
      <c r="Q592" s="183"/>
      <c r="R592" s="183"/>
      <c r="S592" s="186" t="str">
        <f t="shared" ref="S592:S623" si="22">IF(AND(ISBLANK(P592),ISBLANK(Q592),ISBLANK(R592))," ",
IF(OR(P592&lt;5,AND(P592=" ",Q592&lt;&gt;" ",R592&lt;&gt;" ")),"&lt;5 yrs",
IF(AND(P592&gt;=5,P592&lt;=14),"5 - 14 yrs",
IF(AND(P592&gt;=15,P592&lt;=18),"15 - 18 yrs",
IF(AND(P592&gt;=19,P592&lt;=49),"19 - 49 yrs","50 yrs +")))))</f>
        <v>50 yrs +</v>
      </c>
      <c r="T592" s="183" t="s">
        <v>603</v>
      </c>
      <c r="U592" s="183"/>
      <c r="V592" s="183" t="s">
        <v>4384</v>
      </c>
      <c r="W592" s="183" t="s">
        <v>4487</v>
      </c>
      <c r="X592" s="183" t="s">
        <v>181</v>
      </c>
      <c r="Y592" s="186" t="str">
        <f>INDEX(info!$Y$2:$Y$192,MATCH(phc_8[[#This Row],[Sub_Category]],info!$X$2:$X$192,0))</f>
        <v>Chronic medical disease</v>
      </c>
      <c r="Z592" s="186" t="str">
        <f t="array" ref="Z592">INDEX(info!$AA$2:$AA$192,MATCH(PHC!$X592&amp;PHC!$Y592,info!$X$2:$X$192&amp;info!$Y$2:$Y$192,0))</f>
        <v>Non-communicable disease</v>
      </c>
      <c r="AA592" s="183" t="s">
        <v>4489</v>
      </c>
      <c r="AB592" s="9" t="s">
        <v>654</v>
      </c>
      <c r="AC592" s="9" t="s">
        <v>654</v>
      </c>
      <c r="AD592" s="9" t="s">
        <v>654</v>
      </c>
      <c r="AE592" s="9" t="s">
        <v>654</v>
      </c>
      <c r="AF592" s="184"/>
      <c r="AG592" s="183"/>
      <c r="AH592" s="183"/>
      <c r="AI592" s="183"/>
      <c r="AJ592" s="183"/>
      <c r="AK592" s="9" t="s">
        <v>654</v>
      </c>
      <c r="AL592" s="183"/>
      <c r="AM592" s="186" t="str">
        <f>IF(AF592="","","Q"&amp;INT((MONTH(AF592)-1)/3)+1&amp;YEAR(AF592)&amp;#REF!&amp;T592)</f>
        <v/>
      </c>
      <c r="AN592" s="186" t="e">
        <f>IF(K592="","","Q"&amp;INT((MONTH(K592)-1)/3)+1&amp;YEAR(K592)&amp;#REF!)</f>
        <v>#REF!</v>
      </c>
    </row>
    <row r="593" spans="1:40" ht="20.100000000000001" customHeight="1" x14ac:dyDescent="0.25">
      <c r="A593" s="8">
        <v>591</v>
      </c>
      <c r="B593" s="8" t="s">
        <v>399</v>
      </c>
      <c r="C593" s="8" t="s">
        <v>1997</v>
      </c>
      <c r="D593" s="8" t="s">
        <v>2416</v>
      </c>
      <c r="E593" s="182" t="s">
        <v>1998</v>
      </c>
      <c r="F593" s="183" t="s">
        <v>2222</v>
      </c>
      <c r="G593" s="183"/>
      <c r="H593" s="183" t="s">
        <v>4392</v>
      </c>
      <c r="I593" s="183" t="s">
        <v>579</v>
      </c>
      <c r="J593" s="183"/>
      <c r="K593" s="184">
        <v>46069</v>
      </c>
      <c r="L593" s="183">
        <v>37</v>
      </c>
      <c r="M593" s="185" t="str">
        <f>IF(phc_8[[#This Row],[Register No.]]="","",C593&amp;"-"&amp;D593&amp;"-"&amp;"BHA-PHC-"&amp;phc_8[[#This Row],[Register No.]])</f>
        <v>Shining Star-Mobile Clinic-BHA-PHC-37</v>
      </c>
      <c r="N593" s="9" t="s">
        <v>401</v>
      </c>
      <c r="O593" s="183" t="s">
        <v>4481</v>
      </c>
      <c r="P593" s="183">
        <v>12</v>
      </c>
      <c r="Q593" s="183"/>
      <c r="R593" s="183"/>
      <c r="S593" s="186" t="str">
        <f t="shared" si="22"/>
        <v>5 - 14 yrs</v>
      </c>
      <c r="T593" s="183" t="s">
        <v>603</v>
      </c>
      <c r="U593" s="183"/>
      <c r="V593" s="183" t="s">
        <v>4484</v>
      </c>
      <c r="W593" s="183" t="s">
        <v>4257</v>
      </c>
      <c r="X593" s="183" t="s">
        <v>294</v>
      </c>
      <c r="Y593" s="186" t="str">
        <f>INDEX(info!$Y$2:$Y$192,MATCH(phc_8[[#This Row],[Sub_Category]],info!$X$2:$X$192,0))</f>
        <v>Other (non-communicable)</v>
      </c>
      <c r="Z593" s="186" t="str">
        <f t="array" ref="Z593">INDEX(info!$AA$2:$AA$192,MATCH(PHC!$X593&amp;PHC!$Y593,info!$X$2:$X$192&amp;info!$Y$2:$Y$192,0))</f>
        <v>Other</v>
      </c>
      <c r="AA593" s="183" t="s">
        <v>4490</v>
      </c>
      <c r="AB593" s="9" t="s">
        <v>654</v>
      </c>
      <c r="AC593" s="9" t="s">
        <v>654</v>
      </c>
      <c r="AD593" s="9" t="s">
        <v>654</v>
      </c>
      <c r="AE593" s="9" t="s">
        <v>654</v>
      </c>
      <c r="AF593" s="184"/>
      <c r="AG593" s="183"/>
      <c r="AH593" s="183"/>
      <c r="AI593" s="183"/>
      <c r="AJ593" s="183"/>
      <c r="AK593" s="9" t="s">
        <v>654</v>
      </c>
      <c r="AL593" s="183"/>
      <c r="AM593" s="186" t="str">
        <f>IF(AF593="","","Q"&amp;INT((MONTH(AF593)-1)/3)+1&amp;YEAR(AF593)&amp;#REF!&amp;T593)</f>
        <v/>
      </c>
      <c r="AN593" s="186" t="e">
        <f>IF(K593="","","Q"&amp;INT((MONTH(K593)-1)/3)+1&amp;YEAR(K593)&amp;#REF!)</f>
        <v>#REF!</v>
      </c>
    </row>
    <row r="594" spans="1:40" ht="20.100000000000001" customHeight="1" x14ac:dyDescent="0.25">
      <c r="A594" s="8">
        <v>592</v>
      </c>
      <c r="B594" s="8" t="s">
        <v>399</v>
      </c>
      <c r="C594" s="8" t="s">
        <v>1997</v>
      </c>
      <c r="D594" s="8" t="s">
        <v>2416</v>
      </c>
      <c r="E594" s="182" t="s">
        <v>1998</v>
      </c>
      <c r="F594" s="183" t="s">
        <v>2222</v>
      </c>
      <c r="G594" s="183"/>
      <c r="H594" s="183" t="s">
        <v>4392</v>
      </c>
      <c r="I594" s="183" t="s">
        <v>579</v>
      </c>
      <c r="J594" s="183"/>
      <c r="K594" s="184">
        <v>46069</v>
      </c>
      <c r="L594" s="183">
        <v>38</v>
      </c>
      <c r="M594" s="185" t="str">
        <f>IF(phc_8[[#This Row],[Register No.]]="","",C594&amp;"-"&amp;D594&amp;"-"&amp;"BHA-PHC-"&amp;phc_8[[#This Row],[Register No.]])</f>
        <v>Shining Star-Mobile Clinic-BHA-PHC-38</v>
      </c>
      <c r="N594" s="9" t="s">
        <v>401</v>
      </c>
      <c r="O594" s="183" t="s">
        <v>4482</v>
      </c>
      <c r="P594" s="183">
        <v>60</v>
      </c>
      <c r="Q594" s="183"/>
      <c r="R594" s="183"/>
      <c r="S594" s="186" t="str">
        <f t="shared" si="22"/>
        <v>50 yrs +</v>
      </c>
      <c r="T594" s="183" t="s">
        <v>603</v>
      </c>
      <c r="U594" s="183"/>
      <c r="V594" s="183" t="s">
        <v>4384</v>
      </c>
      <c r="W594" s="183" t="s">
        <v>4488</v>
      </c>
      <c r="X594" s="183" t="s">
        <v>178</v>
      </c>
      <c r="Y594" s="186" t="str">
        <f>INDEX(info!$Y$2:$Y$192,MATCH(phc_8[[#This Row],[Sub_Category]],info!$X$2:$X$192,0))</f>
        <v>Chronic medical disease</v>
      </c>
      <c r="Z594" s="186" t="str">
        <f t="array" ref="Z594">INDEX(info!$AA$2:$AA$192,MATCH(PHC!$X594&amp;PHC!$Y594,info!$X$2:$X$192&amp;info!$Y$2:$Y$192,0))</f>
        <v>Non-communicable disease</v>
      </c>
      <c r="AA594" s="183" t="s">
        <v>4491</v>
      </c>
      <c r="AB594" s="9" t="s">
        <v>654</v>
      </c>
      <c r="AC594" s="9" t="s">
        <v>654</v>
      </c>
      <c r="AD594" s="9" t="s">
        <v>654</v>
      </c>
      <c r="AE594" s="9" t="s">
        <v>654</v>
      </c>
      <c r="AF594" s="184"/>
      <c r="AG594" s="183"/>
      <c r="AH594" s="183"/>
      <c r="AI594" s="183"/>
      <c r="AJ594" s="183"/>
      <c r="AK594" s="9" t="s">
        <v>654</v>
      </c>
      <c r="AL594" s="183"/>
      <c r="AM594" s="186" t="str">
        <f>IF(AF594="","","Q"&amp;INT((MONTH(AF594)-1)/3)+1&amp;YEAR(AF594)&amp;#REF!&amp;T594)</f>
        <v/>
      </c>
      <c r="AN594" s="186" t="e">
        <f>IF(K594="","","Q"&amp;INT((MONTH(K594)-1)/3)+1&amp;YEAR(K594)&amp;#REF!)</f>
        <v>#REF!</v>
      </c>
    </row>
    <row r="595" spans="1:40" ht="20.100000000000001" customHeight="1" x14ac:dyDescent="0.25">
      <c r="A595" s="8">
        <v>593</v>
      </c>
      <c r="B595" s="8" t="s">
        <v>399</v>
      </c>
      <c r="C595" s="8" t="s">
        <v>1997</v>
      </c>
      <c r="D595" s="8" t="s">
        <v>2416</v>
      </c>
      <c r="E595" s="182" t="s">
        <v>1998</v>
      </c>
      <c r="F595" s="183" t="s">
        <v>2222</v>
      </c>
      <c r="G595" s="183"/>
      <c r="H595" s="183" t="s">
        <v>4392</v>
      </c>
      <c r="I595" s="183" t="s">
        <v>579</v>
      </c>
      <c r="J595" s="183"/>
      <c r="K595" s="184">
        <v>46069</v>
      </c>
      <c r="L595" s="183">
        <v>39</v>
      </c>
      <c r="M595" s="185" t="str">
        <f>IF(phc_8[[#This Row],[Register No.]]="","",C595&amp;"-"&amp;D595&amp;"-"&amp;"BHA-PHC-"&amp;phc_8[[#This Row],[Register No.]])</f>
        <v>Shining Star-Mobile Clinic-BHA-PHC-39</v>
      </c>
      <c r="N595" s="9" t="s">
        <v>401</v>
      </c>
      <c r="O595" s="183" t="s">
        <v>3327</v>
      </c>
      <c r="P595" s="183">
        <v>52</v>
      </c>
      <c r="Q595" s="183"/>
      <c r="R595" s="183"/>
      <c r="S595" s="186" t="str">
        <f t="shared" si="22"/>
        <v>50 yrs +</v>
      </c>
      <c r="T595" s="183" t="s">
        <v>603</v>
      </c>
      <c r="U595" s="183"/>
      <c r="V595" s="183" t="s">
        <v>4485</v>
      </c>
      <c r="W595" s="183" t="s">
        <v>2059</v>
      </c>
      <c r="X595" s="183" t="s">
        <v>242</v>
      </c>
      <c r="Y595" s="186" t="str">
        <f>INDEX(info!$Y$2:$Y$192,MATCH(phc_8[[#This Row],[Sub_Category]],info!$X$2:$X$192,0))</f>
        <v>Accident/minor sugical and injuries</v>
      </c>
      <c r="Z595" s="186" t="str">
        <f t="array" ref="Z595">INDEX(info!$AA$2:$AA$192,MATCH(PHC!$X595&amp;PHC!$Y595,info!$X$2:$X$192&amp;info!$Y$2:$Y$192,0))</f>
        <v>Injury related</v>
      </c>
      <c r="AA595" s="183" t="s">
        <v>4492</v>
      </c>
      <c r="AB595" s="9" t="s">
        <v>654</v>
      </c>
      <c r="AC595" s="9" t="s">
        <v>654</v>
      </c>
      <c r="AD595" s="9" t="s">
        <v>654</v>
      </c>
      <c r="AE595" s="9" t="s">
        <v>654</v>
      </c>
      <c r="AF595" s="184"/>
      <c r="AG595" s="183"/>
      <c r="AH595" s="183"/>
      <c r="AI595" s="183"/>
      <c r="AJ595" s="183"/>
      <c r="AK595" s="9" t="s">
        <v>654</v>
      </c>
      <c r="AL595" s="183"/>
      <c r="AM595" s="186" t="str">
        <f>IF(AF595="","","Q"&amp;INT((MONTH(AF595)-1)/3)+1&amp;YEAR(AF595)&amp;#REF!&amp;T595)</f>
        <v/>
      </c>
      <c r="AN595" s="186" t="e">
        <f>IF(K595="","","Q"&amp;INT((MONTH(K595)-1)/3)+1&amp;YEAR(K595)&amp;#REF!)</f>
        <v>#REF!</v>
      </c>
    </row>
    <row r="596" spans="1:40" ht="20.100000000000001" customHeight="1" x14ac:dyDescent="0.25">
      <c r="A596" s="8">
        <v>594</v>
      </c>
      <c r="B596" s="8" t="s">
        <v>399</v>
      </c>
      <c r="C596" s="8" t="s">
        <v>1997</v>
      </c>
      <c r="D596" s="8" t="s">
        <v>2416</v>
      </c>
      <c r="E596" s="182" t="s">
        <v>1998</v>
      </c>
      <c r="F596" s="183" t="s">
        <v>2222</v>
      </c>
      <c r="G596" s="183"/>
      <c r="H596" s="183" t="s">
        <v>4392</v>
      </c>
      <c r="I596" s="183" t="s">
        <v>579</v>
      </c>
      <c r="J596" s="183"/>
      <c r="K596" s="184">
        <v>46069</v>
      </c>
      <c r="L596" s="183">
        <v>40</v>
      </c>
      <c r="M596" s="185" t="str">
        <f>IF(phc_8[[#This Row],[Register No.]]="","",C596&amp;"-"&amp;D596&amp;"-"&amp;"BHA-PHC-"&amp;phc_8[[#This Row],[Register No.]])</f>
        <v>Shining Star-Mobile Clinic-BHA-PHC-40</v>
      </c>
      <c r="N596" s="9" t="s">
        <v>401</v>
      </c>
      <c r="O596" s="183" t="s">
        <v>4483</v>
      </c>
      <c r="P596" s="183">
        <v>32</v>
      </c>
      <c r="Q596" s="183"/>
      <c r="R596" s="183"/>
      <c r="S596" s="186" t="str">
        <f t="shared" si="22"/>
        <v>19 - 49 yrs</v>
      </c>
      <c r="T596" s="183" t="s">
        <v>603</v>
      </c>
      <c r="U596" s="183"/>
      <c r="V596" s="183" t="s">
        <v>4486</v>
      </c>
      <c r="W596" s="183" t="s">
        <v>3079</v>
      </c>
      <c r="X596" s="183" t="s">
        <v>113</v>
      </c>
      <c r="Y596" s="186" t="str">
        <f>INDEX(info!$Y$2:$Y$192,MATCH(phc_8[[#This Row],[Sub_Category]],info!$X$2:$X$192,0))</f>
        <v>ARI/RTI</v>
      </c>
      <c r="Z596" s="186" t="str">
        <f t="array" ref="Z596">INDEX(info!$AA$2:$AA$192,MATCH(PHC!$X596&amp;PHC!$Y596,info!$X$2:$X$192&amp;info!$Y$2:$Y$192,0))</f>
        <v>Communicable disease</v>
      </c>
      <c r="AA596" s="183" t="s">
        <v>4493</v>
      </c>
      <c r="AB596" s="9" t="s">
        <v>654</v>
      </c>
      <c r="AC596" s="9" t="s">
        <v>654</v>
      </c>
      <c r="AD596" s="9" t="s">
        <v>654</v>
      </c>
      <c r="AE596" s="9" t="s">
        <v>654</v>
      </c>
      <c r="AF596" s="184"/>
      <c r="AG596" s="183"/>
      <c r="AH596" s="183"/>
      <c r="AI596" s="183"/>
      <c r="AJ596" s="183"/>
      <c r="AK596" s="9" t="s">
        <v>654</v>
      </c>
      <c r="AL596" s="183"/>
      <c r="AM596" s="186" t="str">
        <f>IF(AF596="","","Q"&amp;INT((MONTH(AF596)-1)/3)+1&amp;YEAR(AF596)&amp;#REF!&amp;T596)</f>
        <v/>
      </c>
      <c r="AN596" s="186" t="e">
        <f>IF(K596="","","Q"&amp;INT((MONTH(K596)-1)/3)+1&amp;YEAR(K596)&amp;#REF!)</f>
        <v>#REF!</v>
      </c>
    </row>
    <row r="597" spans="1:40" ht="20.100000000000001" customHeight="1" x14ac:dyDescent="0.25">
      <c r="A597" s="8">
        <v>595</v>
      </c>
      <c r="B597" s="8" t="s">
        <v>399</v>
      </c>
      <c r="C597" s="8" t="s">
        <v>1997</v>
      </c>
      <c r="D597" s="8" t="s">
        <v>2416</v>
      </c>
      <c r="E597" s="182" t="s">
        <v>1998</v>
      </c>
      <c r="F597" s="183" t="s">
        <v>2222</v>
      </c>
      <c r="G597" s="183"/>
      <c r="H597" s="183" t="s">
        <v>4392</v>
      </c>
      <c r="I597" s="183" t="s">
        <v>579</v>
      </c>
      <c r="J597" s="183"/>
      <c r="K597" s="184">
        <v>46069</v>
      </c>
      <c r="L597" s="183">
        <v>41</v>
      </c>
      <c r="M597" s="185" t="str">
        <f>IF(phc_8[[#This Row],[Register No.]]="","",C597&amp;"-"&amp;D597&amp;"-"&amp;"BHA-PHC-"&amp;phc_8[[#This Row],[Register No.]])</f>
        <v>Shining Star-Mobile Clinic-BHA-PHC-41</v>
      </c>
      <c r="N597" s="9" t="s">
        <v>401</v>
      </c>
      <c r="O597" s="183" t="s">
        <v>4494</v>
      </c>
      <c r="P597" s="183">
        <v>1</v>
      </c>
      <c r="Q597" s="183"/>
      <c r="R597" s="183"/>
      <c r="S597" s="186" t="str">
        <f t="shared" si="22"/>
        <v>&lt;5 yrs</v>
      </c>
      <c r="T597" s="183" t="s">
        <v>402</v>
      </c>
      <c r="U597" s="183"/>
      <c r="V597" s="183" t="s">
        <v>4499</v>
      </c>
      <c r="W597" s="183" t="s">
        <v>4502</v>
      </c>
      <c r="X597" s="183" t="s">
        <v>113</v>
      </c>
      <c r="Y597" s="186" t="str">
        <f>INDEX(info!$Y$2:$Y$192,MATCH(phc_8[[#This Row],[Sub_Category]],info!$X$2:$X$192,0))</f>
        <v>ARI/RTI</v>
      </c>
      <c r="Z597" s="186" t="str">
        <f t="array" ref="Z597">INDEX(info!$AA$2:$AA$192,MATCH(PHC!$X597&amp;PHC!$Y597,info!$X$2:$X$192&amp;info!$Y$2:$Y$192,0))</f>
        <v>Communicable disease</v>
      </c>
      <c r="AA597" s="183" t="s">
        <v>4503</v>
      </c>
      <c r="AB597" s="9" t="s">
        <v>654</v>
      </c>
      <c r="AC597" s="9" t="s">
        <v>654</v>
      </c>
      <c r="AD597" s="9" t="s">
        <v>654</v>
      </c>
      <c r="AE597" s="9" t="s">
        <v>654</v>
      </c>
      <c r="AF597" s="184"/>
      <c r="AG597" s="183"/>
      <c r="AH597" s="183"/>
      <c r="AI597" s="183"/>
      <c r="AJ597" s="183"/>
      <c r="AK597" s="9" t="s">
        <v>654</v>
      </c>
      <c r="AL597" s="183"/>
      <c r="AM597" s="186" t="str">
        <f>IF(AF597="","","Q"&amp;INT((MONTH(AF597)-1)/3)+1&amp;YEAR(AF597)&amp;#REF!&amp;T597)</f>
        <v/>
      </c>
      <c r="AN597" s="186" t="e">
        <f>IF(K597="","","Q"&amp;INT((MONTH(K597)-1)/3)+1&amp;YEAR(K597)&amp;#REF!)</f>
        <v>#REF!</v>
      </c>
    </row>
    <row r="598" spans="1:40" ht="20.100000000000001" customHeight="1" x14ac:dyDescent="0.25">
      <c r="A598" s="8">
        <v>596</v>
      </c>
      <c r="B598" s="8" t="s">
        <v>399</v>
      </c>
      <c r="C598" s="8" t="s">
        <v>1997</v>
      </c>
      <c r="D598" s="8" t="s">
        <v>2416</v>
      </c>
      <c r="E598" s="182" t="s">
        <v>1998</v>
      </c>
      <c r="F598" s="183" t="s">
        <v>2222</v>
      </c>
      <c r="G598" s="183"/>
      <c r="H598" s="183" t="s">
        <v>4392</v>
      </c>
      <c r="I598" s="183" t="s">
        <v>579</v>
      </c>
      <c r="J598" s="183"/>
      <c r="K598" s="184">
        <v>46069</v>
      </c>
      <c r="L598" s="183">
        <v>42</v>
      </c>
      <c r="M598" s="185" t="str">
        <f>IF(phc_8[[#This Row],[Register No.]]="","",C598&amp;"-"&amp;D598&amp;"-"&amp;"BHA-PHC-"&amp;phc_8[[#This Row],[Register No.]])</f>
        <v>Shining Star-Mobile Clinic-BHA-PHC-42</v>
      </c>
      <c r="N598" s="9" t="s">
        <v>401</v>
      </c>
      <c r="O598" s="183" t="s">
        <v>4495</v>
      </c>
      <c r="P598" s="183">
        <v>84</v>
      </c>
      <c r="Q598" s="183"/>
      <c r="R598" s="183"/>
      <c r="S598" s="186" t="str">
        <f t="shared" si="22"/>
        <v>50 yrs +</v>
      </c>
      <c r="T598" s="183" t="s">
        <v>402</v>
      </c>
      <c r="U598" s="183"/>
      <c r="V598" s="183" t="s">
        <v>4410</v>
      </c>
      <c r="W598" s="183" t="s">
        <v>2003</v>
      </c>
      <c r="X598" s="183" t="s">
        <v>181</v>
      </c>
      <c r="Y598" s="186" t="str">
        <f>INDEX(info!$Y$2:$Y$192,MATCH(phc_8[[#This Row],[Sub_Category]],info!$X$2:$X$192,0))</f>
        <v>Chronic medical disease</v>
      </c>
      <c r="Z598" s="186" t="str">
        <f t="array" ref="Z598">INDEX(info!$AA$2:$AA$192,MATCH(PHC!$X598&amp;PHC!$Y598,info!$X$2:$X$192&amp;info!$Y$2:$Y$192,0))</f>
        <v>Non-communicable disease</v>
      </c>
      <c r="AA598" s="183" t="s">
        <v>4504</v>
      </c>
      <c r="AB598" s="9" t="s">
        <v>654</v>
      </c>
      <c r="AC598" s="9" t="s">
        <v>654</v>
      </c>
      <c r="AD598" s="9" t="s">
        <v>654</v>
      </c>
      <c r="AE598" s="9" t="s">
        <v>654</v>
      </c>
      <c r="AF598" s="184"/>
      <c r="AG598" s="183"/>
      <c r="AH598" s="183"/>
      <c r="AI598" s="183"/>
      <c r="AJ598" s="183"/>
      <c r="AK598" s="9" t="s">
        <v>654</v>
      </c>
      <c r="AL598" s="183"/>
      <c r="AM598" s="186" t="str">
        <f>IF(AF598="","","Q"&amp;INT((MONTH(AF598)-1)/3)+1&amp;YEAR(AF598)&amp;#REF!&amp;T598)</f>
        <v/>
      </c>
      <c r="AN598" s="186" t="e">
        <f>IF(K598="","","Q"&amp;INT((MONTH(K598)-1)/3)+1&amp;YEAR(K598)&amp;#REF!)</f>
        <v>#REF!</v>
      </c>
    </row>
    <row r="599" spans="1:40" ht="20.100000000000001" customHeight="1" x14ac:dyDescent="0.25">
      <c r="A599" s="8">
        <v>597</v>
      </c>
      <c r="B599" s="8" t="s">
        <v>399</v>
      </c>
      <c r="C599" s="8" t="s">
        <v>1997</v>
      </c>
      <c r="D599" s="8" t="s">
        <v>2416</v>
      </c>
      <c r="E599" s="182" t="s">
        <v>1998</v>
      </c>
      <c r="F599" s="183" t="s">
        <v>2222</v>
      </c>
      <c r="G599" s="183"/>
      <c r="H599" s="183" t="s">
        <v>4392</v>
      </c>
      <c r="I599" s="183" t="s">
        <v>579</v>
      </c>
      <c r="J599" s="183"/>
      <c r="K599" s="184">
        <v>46069</v>
      </c>
      <c r="L599" s="183">
        <v>43</v>
      </c>
      <c r="M599" s="185" t="str">
        <f>IF(phc_8[[#This Row],[Register No.]]="","",C599&amp;"-"&amp;D599&amp;"-"&amp;"BHA-PHC-"&amp;phc_8[[#This Row],[Register No.]])</f>
        <v>Shining Star-Mobile Clinic-BHA-PHC-43</v>
      </c>
      <c r="N599" s="9" t="s">
        <v>401</v>
      </c>
      <c r="O599" s="183" t="s">
        <v>4496</v>
      </c>
      <c r="P599" s="183">
        <v>84</v>
      </c>
      <c r="Q599" s="183"/>
      <c r="R599" s="183"/>
      <c r="S599" s="186" t="str">
        <f t="shared" si="22"/>
        <v>50 yrs +</v>
      </c>
      <c r="T599" s="183" t="s">
        <v>603</v>
      </c>
      <c r="U599" s="183"/>
      <c r="V599" s="183" t="s">
        <v>4425</v>
      </c>
      <c r="W599" s="183" t="s">
        <v>3682</v>
      </c>
      <c r="X599" s="183" t="s">
        <v>242</v>
      </c>
      <c r="Y599" s="186" t="str">
        <f>INDEX(info!$Y$2:$Y$192,MATCH(phc_8[[#This Row],[Sub_Category]],info!$X$2:$X$192,0))</f>
        <v>Accident/minor sugical and injuries</v>
      </c>
      <c r="Z599" s="186" t="str">
        <f t="array" ref="Z599">INDEX(info!$AA$2:$AA$192,MATCH(PHC!$X599&amp;PHC!$Y599,info!$X$2:$X$192&amp;info!$Y$2:$Y$192,0))</f>
        <v>Injury related</v>
      </c>
      <c r="AA599" s="183" t="s">
        <v>4505</v>
      </c>
      <c r="AB599" s="9" t="s">
        <v>654</v>
      </c>
      <c r="AC599" s="9" t="s">
        <v>654</v>
      </c>
      <c r="AD599" s="9" t="s">
        <v>654</v>
      </c>
      <c r="AE599" s="9" t="s">
        <v>654</v>
      </c>
      <c r="AF599" s="184"/>
      <c r="AG599" s="183"/>
      <c r="AH599" s="183"/>
      <c r="AI599" s="183"/>
      <c r="AJ599" s="183"/>
      <c r="AK599" s="9" t="s">
        <v>654</v>
      </c>
      <c r="AL599" s="183"/>
      <c r="AM599" s="186" t="str">
        <f>IF(AF599="","","Q"&amp;INT((MONTH(AF599)-1)/3)+1&amp;YEAR(AF599)&amp;#REF!&amp;T599)</f>
        <v/>
      </c>
      <c r="AN599" s="186" t="e">
        <f>IF(K599="","","Q"&amp;INT((MONTH(K599)-1)/3)+1&amp;YEAR(K599)&amp;#REF!)</f>
        <v>#REF!</v>
      </c>
    </row>
    <row r="600" spans="1:40" ht="20.100000000000001" customHeight="1" x14ac:dyDescent="0.25">
      <c r="A600" s="8">
        <v>598</v>
      </c>
      <c r="B600" s="8" t="s">
        <v>399</v>
      </c>
      <c r="C600" s="8" t="s">
        <v>1997</v>
      </c>
      <c r="D600" s="8" t="s">
        <v>2416</v>
      </c>
      <c r="E600" s="182" t="s">
        <v>1998</v>
      </c>
      <c r="F600" s="183" t="s">
        <v>2222</v>
      </c>
      <c r="G600" s="183"/>
      <c r="H600" s="183" t="s">
        <v>4392</v>
      </c>
      <c r="I600" s="183" t="s">
        <v>579</v>
      </c>
      <c r="J600" s="183"/>
      <c r="K600" s="184">
        <v>46069</v>
      </c>
      <c r="L600" s="183">
        <v>44</v>
      </c>
      <c r="M600" s="185" t="str">
        <f>IF(phc_8[[#This Row],[Register No.]]="","",C600&amp;"-"&amp;D600&amp;"-"&amp;"BHA-PHC-"&amp;phc_8[[#This Row],[Register No.]])</f>
        <v>Shining Star-Mobile Clinic-BHA-PHC-44</v>
      </c>
      <c r="N600" s="9" t="s">
        <v>401</v>
      </c>
      <c r="O600" s="183" t="s">
        <v>4497</v>
      </c>
      <c r="P600" s="183">
        <v>73</v>
      </c>
      <c r="Q600" s="183"/>
      <c r="R600" s="183"/>
      <c r="S600" s="186" t="str">
        <f t="shared" si="22"/>
        <v>50 yrs +</v>
      </c>
      <c r="T600" s="183" t="s">
        <v>402</v>
      </c>
      <c r="U600" s="183"/>
      <c r="V600" s="183" t="s">
        <v>4500</v>
      </c>
      <c r="W600" s="183" t="s">
        <v>3682</v>
      </c>
      <c r="X600" s="183" t="s">
        <v>242</v>
      </c>
      <c r="Y600" s="186" t="str">
        <f>INDEX(info!$Y$2:$Y$192,MATCH(phc_8[[#This Row],[Sub_Category]],info!$X$2:$X$192,0))</f>
        <v>Accident/minor sugical and injuries</v>
      </c>
      <c r="Z600" s="186" t="str">
        <f t="array" ref="Z600">INDEX(info!$AA$2:$AA$192,MATCH(PHC!$X600&amp;PHC!$Y600,info!$X$2:$X$192&amp;info!$Y$2:$Y$192,0))</f>
        <v>Injury related</v>
      </c>
      <c r="AA600" s="183" t="s">
        <v>4506</v>
      </c>
      <c r="AB600" s="9" t="s">
        <v>654</v>
      </c>
      <c r="AC600" s="9" t="s">
        <v>654</v>
      </c>
      <c r="AD600" s="9" t="s">
        <v>654</v>
      </c>
      <c r="AE600" s="9" t="s">
        <v>654</v>
      </c>
      <c r="AF600" s="184"/>
      <c r="AG600" s="183"/>
      <c r="AH600" s="183"/>
      <c r="AI600" s="183"/>
      <c r="AJ600" s="183"/>
      <c r="AK600" s="9" t="s">
        <v>654</v>
      </c>
      <c r="AL600" s="183"/>
      <c r="AM600" s="186" t="str">
        <f>IF(AF600="","","Q"&amp;INT((MONTH(AF600)-1)/3)+1&amp;YEAR(AF600)&amp;#REF!&amp;T600)</f>
        <v/>
      </c>
      <c r="AN600" s="186" t="e">
        <f>IF(K600="","","Q"&amp;INT((MONTH(K600)-1)/3)+1&amp;YEAR(K600)&amp;#REF!)</f>
        <v>#REF!</v>
      </c>
    </row>
    <row r="601" spans="1:40" ht="20.100000000000001" customHeight="1" x14ac:dyDescent="0.25">
      <c r="A601" s="8">
        <v>599</v>
      </c>
      <c r="B601" s="8" t="s">
        <v>399</v>
      </c>
      <c r="C601" s="8" t="s">
        <v>1997</v>
      </c>
      <c r="D601" s="8" t="s">
        <v>2416</v>
      </c>
      <c r="E601" s="182" t="s">
        <v>1998</v>
      </c>
      <c r="F601" s="183" t="s">
        <v>2222</v>
      </c>
      <c r="G601" s="183"/>
      <c r="H601" s="183" t="s">
        <v>4392</v>
      </c>
      <c r="I601" s="183" t="s">
        <v>579</v>
      </c>
      <c r="J601" s="183"/>
      <c r="K601" s="184">
        <v>46069</v>
      </c>
      <c r="L601" s="183">
        <v>45</v>
      </c>
      <c r="M601" s="185" t="str">
        <f>IF(phc_8[[#This Row],[Register No.]]="","",C601&amp;"-"&amp;D601&amp;"-"&amp;"BHA-PHC-"&amp;phc_8[[#This Row],[Register No.]])</f>
        <v>Shining Star-Mobile Clinic-BHA-PHC-45</v>
      </c>
      <c r="N601" s="9" t="s">
        <v>401</v>
      </c>
      <c r="O601" s="183" t="s">
        <v>4498</v>
      </c>
      <c r="P601" s="183">
        <v>56</v>
      </c>
      <c r="Q601" s="183"/>
      <c r="R601" s="183"/>
      <c r="S601" s="186" t="str">
        <f t="shared" si="22"/>
        <v>50 yrs +</v>
      </c>
      <c r="T601" s="183" t="s">
        <v>603</v>
      </c>
      <c r="U601" s="183"/>
      <c r="V601" s="183" t="s">
        <v>4501</v>
      </c>
      <c r="W601" s="183" t="s">
        <v>294</v>
      </c>
      <c r="X601" s="183" t="s">
        <v>294</v>
      </c>
      <c r="Y601" s="186" t="str">
        <f>INDEX(info!$Y$2:$Y$192,MATCH(phc_8[[#This Row],[Sub_Category]],info!$X$2:$X$192,0))</f>
        <v>Other (non-communicable)</v>
      </c>
      <c r="Z601" s="186" t="str">
        <f t="array" ref="Z601">INDEX(info!$AA$2:$AA$192,MATCH(PHC!$X601&amp;PHC!$Y601,info!$X$2:$X$192&amp;info!$Y$2:$Y$192,0))</f>
        <v>Other</v>
      </c>
      <c r="AA601" s="183" t="s">
        <v>4507</v>
      </c>
      <c r="AB601" s="9" t="s">
        <v>654</v>
      </c>
      <c r="AC601" s="9" t="s">
        <v>654</v>
      </c>
      <c r="AD601" s="9" t="s">
        <v>654</v>
      </c>
      <c r="AE601" s="9" t="s">
        <v>654</v>
      </c>
      <c r="AF601" s="184"/>
      <c r="AG601" s="183"/>
      <c r="AH601" s="183"/>
      <c r="AI601" s="183"/>
      <c r="AJ601" s="183"/>
      <c r="AK601" s="9" t="s">
        <v>654</v>
      </c>
      <c r="AL601" s="183"/>
      <c r="AM601" s="186" t="str">
        <f>IF(AF601="","","Q"&amp;INT((MONTH(AF601)-1)/3)+1&amp;YEAR(AF601)&amp;#REF!&amp;T601)</f>
        <v/>
      </c>
      <c r="AN601" s="186" t="e">
        <f>IF(K601="","","Q"&amp;INT((MONTH(K601)-1)/3)+1&amp;YEAR(K601)&amp;#REF!)</f>
        <v>#REF!</v>
      </c>
    </row>
    <row r="602" spans="1:40" ht="20.100000000000001" customHeight="1" x14ac:dyDescent="0.25">
      <c r="A602" s="8">
        <v>600</v>
      </c>
      <c r="B602" s="8" t="s">
        <v>399</v>
      </c>
      <c r="C602" s="8" t="s">
        <v>1997</v>
      </c>
      <c r="D602" s="8" t="s">
        <v>2416</v>
      </c>
      <c r="E602" s="182" t="s">
        <v>1998</v>
      </c>
      <c r="F602" s="183" t="s">
        <v>2222</v>
      </c>
      <c r="G602" s="183"/>
      <c r="H602" s="183" t="s">
        <v>4392</v>
      </c>
      <c r="I602" s="183" t="s">
        <v>579</v>
      </c>
      <c r="J602" s="183"/>
      <c r="K602" s="184">
        <v>46069</v>
      </c>
      <c r="L602" s="183">
        <v>46</v>
      </c>
      <c r="M602" s="185" t="str">
        <f>IF(phc_8[[#This Row],[Register No.]]="","",C602&amp;"-"&amp;D602&amp;"-"&amp;"BHA-PHC-"&amp;phc_8[[#This Row],[Register No.]])</f>
        <v>Shining Star-Mobile Clinic-BHA-PHC-46</v>
      </c>
      <c r="N602" s="9" t="s">
        <v>401</v>
      </c>
      <c r="O602" s="183" t="s">
        <v>4508</v>
      </c>
      <c r="P602" s="183">
        <v>80</v>
      </c>
      <c r="Q602" s="183"/>
      <c r="R602" s="183"/>
      <c r="S602" s="186" t="str">
        <f t="shared" si="22"/>
        <v>50 yrs +</v>
      </c>
      <c r="T602" s="183" t="s">
        <v>603</v>
      </c>
      <c r="U602" s="183"/>
      <c r="V602" s="183" t="s">
        <v>4409</v>
      </c>
      <c r="W602" s="183" t="s">
        <v>4515</v>
      </c>
      <c r="X602" s="183" t="s">
        <v>242</v>
      </c>
      <c r="Y602" s="186" t="str">
        <f>INDEX(info!$Y$2:$Y$192,MATCH(phc_8[[#This Row],[Sub_Category]],info!$X$2:$X$192,0))</f>
        <v>Accident/minor sugical and injuries</v>
      </c>
      <c r="Z602" s="186" t="str">
        <f t="array" ref="Z602">INDEX(info!$AA$2:$AA$192,MATCH(PHC!$X602&amp;PHC!$Y602,info!$X$2:$X$192&amp;info!$Y$2:$Y$192,0))</f>
        <v>Injury related</v>
      </c>
      <c r="AA602" s="183" t="s">
        <v>4405</v>
      </c>
      <c r="AB602" s="9" t="s">
        <v>654</v>
      </c>
      <c r="AC602" s="9" t="s">
        <v>654</v>
      </c>
      <c r="AD602" s="9" t="s">
        <v>654</v>
      </c>
      <c r="AE602" s="9" t="s">
        <v>654</v>
      </c>
      <c r="AF602" s="184"/>
      <c r="AG602" s="183"/>
      <c r="AH602" s="183"/>
      <c r="AI602" s="183"/>
      <c r="AJ602" s="183"/>
      <c r="AK602" s="9" t="s">
        <v>654</v>
      </c>
      <c r="AL602" s="183"/>
      <c r="AM602" s="186" t="str">
        <f>IF(AF602="","","Q"&amp;INT((MONTH(AF602)-1)/3)+1&amp;YEAR(AF602)&amp;#REF!&amp;T602)</f>
        <v/>
      </c>
      <c r="AN602" s="186" t="e">
        <f>IF(K602="","","Q"&amp;INT((MONTH(K602)-1)/3)+1&amp;YEAR(K602)&amp;#REF!)</f>
        <v>#REF!</v>
      </c>
    </row>
    <row r="603" spans="1:40" ht="20.100000000000001" customHeight="1" x14ac:dyDescent="0.25">
      <c r="A603" s="8">
        <v>601</v>
      </c>
      <c r="B603" s="8" t="s">
        <v>399</v>
      </c>
      <c r="C603" s="8" t="s">
        <v>1997</v>
      </c>
      <c r="D603" s="8" t="s">
        <v>2416</v>
      </c>
      <c r="E603" s="182" t="s">
        <v>1998</v>
      </c>
      <c r="F603" s="183" t="s">
        <v>2222</v>
      </c>
      <c r="G603" s="183"/>
      <c r="H603" s="183" t="s">
        <v>4392</v>
      </c>
      <c r="I603" s="183" t="s">
        <v>579</v>
      </c>
      <c r="J603" s="183"/>
      <c r="K603" s="184">
        <v>46069</v>
      </c>
      <c r="L603" s="183">
        <v>47</v>
      </c>
      <c r="M603" s="185" t="str">
        <f>IF(phc_8[[#This Row],[Register No.]]="","",C603&amp;"-"&amp;D603&amp;"-"&amp;"BHA-PHC-"&amp;phc_8[[#This Row],[Register No.]])</f>
        <v>Shining Star-Mobile Clinic-BHA-PHC-47</v>
      </c>
      <c r="N603" s="9" t="s">
        <v>401</v>
      </c>
      <c r="O603" s="183" t="s">
        <v>4509</v>
      </c>
      <c r="P603" s="183">
        <v>55</v>
      </c>
      <c r="Q603" s="183"/>
      <c r="R603" s="183"/>
      <c r="S603" s="186" t="str">
        <f t="shared" si="22"/>
        <v>50 yrs +</v>
      </c>
      <c r="T603" s="183" t="s">
        <v>603</v>
      </c>
      <c r="U603" s="183"/>
      <c r="V603" s="183" t="s">
        <v>4513</v>
      </c>
      <c r="W603" s="183" t="s">
        <v>4516</v>
      </c>
      <c r="X603" s="183" t="s">
        <v>294</v>
      </c>
      <c r="Y603" s="186" t="str">
        <f>INDEX(info!$Y$2:$Y$192,MATCH(phc_8[[#This Row],[Sub_Category]],info!$X$2:$X$192,0))</f>
        <v>Other (non-communicable)</v>
      </c>
      <c r="Z603" s="186" t="str">
        <f t="array" ref="Z603">INDEX(info!$AA$2:$AA$192,MATCH(PHC!$X603&amp;PHC!$Y603,info!$X$2:$X$192&amp;info!$Y$2:$Y$192,0))</f>
        <v>Other</v>
      </c>
      <c r="AA603" s="183" t="s">
        <v>4518</v>
      </c>
      <c r="AB603" s="9" t="s">
        <v>654</v>
      </c>
      <c r="AC603" s="9" t="s">
        <v>654</v>
      </c>
      <c r="AD603" s="9" t="s">
        <v>654</v>
      </c>
      <c r="AE603" s="9" t="s">
        <v>654</v>
      </c>
      <c r="AF603" s="184"/>
      <c r="AG603" s="183"/>
      <c r="AH603" s="183"/>
      <c r="AI603" s="183"/>
      <c r="AJ603" s="183"/>
      <c r="AK603" s="9" t="s">
        <v>654</v>
      </c>
      <c r="AL603" s="183"/>
      <c r="AM603" s="186" t="str">
        <f>IF(AF603="","","Q"&amp;INT((MONTH(AF603)-1)/3)+1&amp;YEAR(AF603)&amp;#REF!&amp;T603)</f>
        <v/>
      </c>
      <c r="AN603" s="186" t="e">
        <f>IF(K603="","","Q"&amp;INT((MONTH(K603)-1)/3)+1&amp;YEAR(K603)&amp;#REF!)</f>
        <v>#REF!</v>
      </c>
    </row>
    <row r="604" spans="1:40" ht="20.100000000000001" customHeight="1" x14ac:dyDescent="0.25">
      <c r="A604" s="8">
        <v>602</v>
      </c>
      <c r="B604" s="8" t="s">
        <v>399</v>
      </c>
      <c r="C604" s="8" t="s">
        <v>1997</v>
      </c>
      <c r="D604" s="8" t="s">
        <v>2416</v>
      </c>
      <c r="E604" s="182" t="s">
        <v>1998</v>
      </c>
      <c r="F604" s="183" t="s">
        <v>2222</v>
      </c>
      <c r="G604" s="183"/>
      <c r="H604" s="183" t="s">
        <v>4392</v>
      </c>
      <c r="I604" s="183" t="s">
        <v>579</v>
      </c>
      <c r="J604" s="183"/>
      <c r="K604" s="184">
        <v>46069</v>
      </c>
      <c r="L604" s="183">
        <v>48</v>
      </c>
      <c r="M604" s="185" t="str">
        <f>IF(phc_8[[#This Row],[Register No.]]="","",C604&amp;"-"&amp;D604&amp;"-"&amp;"BHA-PHC-"&amp;phc_8[[#This Row],[Register No.]])</f>
        <v>Shining Star-Mobile Clinic-BHA-PHC-48</v>
      </c>
      <c r="N604" s="9" t="s">
        <v>401</v>
      </c>
      <c r="O604" s="183" t="s">
        <v>4510</v>
      </c>
      <c r="P604" s="183">
        <v>85</v>
      </c>
      <c r="Q604" s="183"/>
      <c r="R604" s="183"/>
      <c r="S604" s="186" t="str">
        <f t="shared" si="22"/>
        <v>50 yrs +</v>
      </c>
      <c r="T604" s="183" t="s">
        <v>603</v>
      </c>
      <c r="U604" s="183"/>
      <c r="V604" s="183" t="s">
        <v>4469</v>
      </c>
      <c r="W604" s="183" t="s">
        <v>4517</v>
      </c>
      <c r="X604" s="183" t="s">
        <v>113</v>
      </c>
      <c r="Y604" s="186" t="str">
        <f>INDEX(info!$Y$2:$Y$192,MATCH(phc_8[[#This Row],[Sub_Category]],info!$X$2:$X$192,0))</f>
        <v>ARI/RTI</v>
      </c>
      <c r="Z604" s="186" t="str">
        <f t="array" ref="Z604">INDEX(info!$AA$2:$AA$192,MATCH(PHC!$X604&amp;PHC!$Y604,info!$X$2:$X$192&amp;info!$Y$2:$Y$192,0))</f>
        <v>Communicable disease</v>
      </c>
      <c r="AA604" s="183" t="s">
        <v>4519</v>
      </c>
      <c r="AB604" s="9" t="s">
        <v>654</v>
      </c>
      <c r="AC604" s="9" t="s">
        <v>654</v>
      </c>
      <c r="AD604" s="9" t="s">
        <v>654</v>
      </c>
      <c r="AE604" s="9" t="s">
        <v>654</v>
      </c>
      <c r="AF604" s="184"/>
      <c r="AG604" s="183"/>
      <c r="AH604" s="183"/>
      <c r="AI604" s="183"/>
      <c r="AJ604" s="183"/>
      <c r="AK604" s="9" t="s">
        <v>654</v>
      </c>
      <c r="AL604" s="183"/>
      <c r="AM604" s="186" t="str">
        <f>IF(AF604="","","Q"&amp;INT((MONTH(AF604)-1)/3)+1&amp;YEAR(AF604)&amp;#REF!&amp;T604)</f>
        <v/>
      </c>
      <c r="AN604" s="186" t="e">
        <f>IF(K604="","","Q"&amp;INT((MONTH(K604)-1)/3)+1&amp;YEAR(K604)&amp;#REF!)</f>
        <v>#REF!</v>
      </c>
    </row>
    <row r="605" spans="1:40" ht="20.100000000000001" customHeight="1" x14ac:dyDescent="0.25">
      <c r="A605" s="8">
        <v>603</v>
      </c>
      <c r="B605" s="8" t="s">
        <v>399</v>
      </c>
      <c r="C605" s="8" t="s">
        <v>1997</v>
      </c>
      <c r="D605" s="8" t="s">
        <v>2416</v>
      </c>
      <c r="E605" s="182" t="s">
        <v>1998</v>
      </c>
      <c r="F605" s="183" t="s">
        <v>2222</v>
      </c>
      <c r="G605" s="183"/>
      <c r="H605" s="183" t="s">
        <v>4392</v>
      </c>
      <c r="I605" s="183" t="s">
        <v>579</v>
      </c>
      <c r="J605" s="183"/>
      <c r="K605" s="184">
        <v>46069</v>
      </c>
      <c r="L605" s="183">
        <v>49</v>
      </c>
      <c r="M605" s="185" t="str">
        <f>IF(phc_8[[#This Row],[Register No.]]="","",C605&amp;"-"&amp;D605&amp;"-"&amp;"BHA-PHC-"&amp;phc_8[[#This Row],[Register No.]])</f>
        <v>Shining Star-Mobile Clinic-BHA-PHC-49</v>
      </c>
      <c r="N605" s="9" t="s">
        <v>401</v>
      </c>
      <c r="O605" s="183" t="s">
        <v>4511</v>
      </c>
      <c r="P605" s="183">
        <v>27</v>
      </c>
      <c r="Q605" s="183"/>
      <c r="R605" s="183"/>
      <c r="S605" s="186" t="str">
        <f t="shared" si="22"/>
        <v>19 - 49 yrs</v>
      </c>
      <c r="T605" s="183" t="s">
        <v>402</v>
      </c>
      <c r="U605" s="183"/>
      <c r="V605" s="183" t="s">
        <v>2726</v>
      </c>
      <c r="W605" s="183" t="s">
        <v>294</v>
      </c>
      <c r="X605" s="183" t="s">
        <v>294</v>
      </c>
      <c r="Y605" s="186" t="str">
        <f>INDEX(info!$Y$2:$Y$192,MATCH(phc_8[[#This Row],[Sub_Category]],info!$X$2:$X$192,0))</f>
        <v>Other (non-communicable)</v>
      </c>
      <c r="Z605" s="186" t="str">
        <f t="array" ref="Z605">INDEX(info!$AA$2:$AA$192,MATCH(PHC!$X605&amp;PHC!$Y605,info!$X$2:$X$192&amp;info!$Y$2:$Y$192,0))</f>
        <v>Other</v>
      </c>
      <c r="AA605" s="183" t="s">
        <v>4520</v>
      </c>
      <c r="AB605" s="9" t="s">
        <v>654</v>
      </c>
      <c r="AC605" s="9" t="s">
        <v>654</v>
      </c>
      <c r="AD605" s="9" t="s">
        <v>654</v>
      </c>
      <c r="AE605" s="9" t="s">
        <v>654</v>
      </c>
      <c r="AF605" s="184"/>
      <c r="AG605" s="183"/>
      <c r="AH605" s="183"/>
      <c r="AI605" s="183"/>
      <c r="AJ605" s="183"/>
      <c r="AK605" s="9" t="s">
        <v>654</v>
      </c>
      <c r="AL605" s="183"/>
      <c r="AM605" s="186" t="str">
        <f>IF(AF605="","","Q"&amp;INT((MONTH(AF605)-1)/3)+1&amp;YEAR(AF605)&amp;#REF!&amp;T605)</f>
        <v/>
      </c>
      <c r="AN605" s="186" t="e">
        <f>IF(K605="","","Q"&amp;INT((MONTH(K605)-1)/3)+1&amp;YEAR(K605)&amp;#REF!)</f>
        <v>#REF!</v>
      </c>
    </row>
    <row r="606" spans="1:40" ht="20.100000000000001" customHeight="1" x14ac:dyDescent="0.25">
      <c r="A606" s="8">
        <v>604</v>
      </c>
      <c r="B606" s="8" t="s">
        <v>399</v>
      </c>
      <c r="C606" s="8" t="s">
        <v>1997</v>
      </c>
      <c r="D606" s="8" t="s">
        <v>2416</v>
      </c>
      <c r="E606" s="182" t="s">
        <v>1998</v>
      </c>
      <c r="F606" s="183" t="s">
        <v>2222</v>
      </c>
      <c r="G606" s="183"/>
      <c r="H606" s="183" t="s">
        <v>4392</v>
      </c>
      <c r="I606" s="183" t="s">
        <v>579</v>
      </c>
      <c r="J606" s="183"/>
      <c r="K606" s="184">
        <v>46069</v>
      </c>
      <c r="L606" s="183">
        <v>50</v>
      </c>
      <c r="M606" s="185" t="str">
        <f>IF(phc_8[[#This Row],[Register No.]]="","",C606&amp;"-"&amp;D606&amp;"-"&amp;"BHA-PHC-"&amp;phc_8[[#This Row],[Register No.]])</f>
        <v>Shining Star-Mobile Clinic-BHA-PHC-50</v>
      </c>
      <c r="N606" s="9" t="s">
        <v>401</v>
      </c>
      <c r="O606" s="183" t="s">
        <v>4512</v>
      </c>
      <c r="P606" s="183">
        <v>54</v>
      </c>
      <c r="Q606" s="183"/>
      <c r="R606" s="183"/>
      <c r="S606" s="186" t="str">
        <f t="shared" si="22"/>
        <v>50 yrs +</v>
      </c>
      <c r="T606" s="183" t="s">
        <v>402</v>
      </c>
      <c r="U606" s="183"/>
      <c r="V606" s="183" t="s">
        <v>4514</v>
      </c>
      <c r="W606" s="183" t="s">
        <v>294</v>
      </c>
      <c r="X606" s="183" t="s">
        <v>294</v>
      </c>
      <c r="Y606" s="186" t="str">
        <f>INDEX(info!$Y$2:$Y$192,MATCH(phc_8[[#This Row],[Sub_Category]],info!$X$2:$X$192,0))</f>
        <v>Other (non-communicable)</v>
      </c>
      <c r="Z606" s="186" t="str">
        <f t="array" ref="Z606">INDEX(info!$AA$2:$AA$192,MATCH(PHC!$X606&amp;PHC!$Y606,info!$X$2:$X$192&amp;info!$Y$2:$Y$192,0))</f>
        <v>Other</v>
      </c>
      <c r="AA606" s="183" t="s">
        <v>2164</v>
      </c>
      <c r="AB606" s="9" t="s">
        <v>654</v>
      </c>
      <c r="AC606" s="9" t="s">
        <v>654</v>
      </c>
      <c r="AD606" s="9" t="s">
        <v>654</v>
      </c>
      <c r="AE606" s="9" t="s">
        <v>654</v>
      </c>
      <c r="AF606" s="184"/>
      <c r="AG606" s="183"/>
      <c r="AH606" s="183"/>
      <c r="AI606" s="183"/>
      <c r="AJ606" s="183"/>
      <c r="AK606" s="9" t="s">
        <v>654</v>
      </c>
      <c r="AL606" s="183"/>
      <c r="AM606" s="186" t="str">
        <f>IF(AF606="","","Q"&amp;INT((MONTH(AF606)-1)/3)+1&amp;YEAR(AF606)&amp;#REF!&amp;T606)</f>
        <v/>
      </c>
      <c r="AN606" s="186" t="e">
        <f>IF(K606="","","Q"&amp;INT((MONTH(K606)-1)/3)+1&amp;YEAR(K606)&amp;#REF!)</f>
        <v>#REF!</v>
      </c>
    </row>
    <row r="607" spans="1:40" ht="20.100000000000001" customHeight="1" x14ac:dyDescent="0.25">
      <c r="A607" s="8">
        <v>605</v>
      </c>
      <c r="B607" s="8" t="s">
        <v>399</v>
      </c>
      <c r="C607" s="8" t="s">
        <v>1997</v>
      </c>
      <c r="D607" s="8" t="s">
        <v>2416</v>
      </c>
      <c r="E607" s="182" t="s">
        <v>1998</v>
      </c>
      <c r="F607" s="183" t="s">
        <v>2222</v>
      </c>
      <c r="G607" s="183"/>
      <c r="H607" s="183" t="s">
        <v>4392</v>
      </c>
      <c r="I607" s="183" t="s">
        <v>579</v>
      </c>
      <c r="J607" s="183"/>
      <c r="K607" s="184">
        <v>46069</v>
      </c>
      <c r="L607" s="183">
        <v>51</v>
      </c>
      <c r="M607" s="185" t="str">
        <f>IF(phc_8[[#This Row],[Register No.]]="","",C607&amp;"-"&amp;D607&amp;"-"&amp;"BHA-PHC-"&amp;phc_8[[#This Row],[Register No.]])</f>
        <v>Shining Star-Mobile Clinic-BHA-PHC-51</v>
      </c>
      <c r="N607" s="9" t="s">
        <v>401</v>
      </c>
      <c r="O607" s="183" t="s">
        <v>4521</v>
      </c>
      <c r="P607" s="183">
        <v>85</v>
      </c>
      <c r="Q607" s="183"/>
      <c r="R607" s="183"/>
      <c r="S607" s="186" t="str">
        <f t="shared" si="22"/>
        <v>50 yrs +</v>
      </c>
      <c r="T607" s="183" t="s">
        <v>603</v>
      </c>
      <c r="U607" s="183"/>
      <c r="V607" s="183" t="s">
        <v>2743</v>
      </c>
      <c r="W607" s="183" t="s">
        <v>4529</v>
      </c>
      <c r="X607" s="183" t="s">
        <v>242</v>
      </c>
      <c r="Y607" s="186" t="str">
        <f>INDEX(info!$Y$2:$Y$192,MATCH(phc_8[[#This Row],[Sub_Category]],info!$X$2:$X$192,0))</f>
        <v>Accident/minor sugical and injuries</v>
      </c>
      <c r="Z607" s="186" t="str">
        <f t="array" ref="Z607">INDEX(info!$AA$2:$AA$192,MATCH(PHC!$X607&amp;PHC!$Y607,info!$X$2:$X$192&amp;info!$Y$2:$Y$192,0))</f>
        <v>Injury related</v>
      </c>
      <c r="AA607" s="183" t="s">
        <v>4532</v>
      </c>
      <c r="AB607" s="9" t="s">
        <v>654</v>
      </c>
      <c r="AC607" s="9" t="s">
        <v>654</v>
      </c>
      <c r="AD607" s="9" t="s">
        <v>654</v>
      </c>
      <c r="AE607" s="9" t="s">
        <v>654</v>
      </c>
      <c r="AF607" s="184"/>
      <c r="AG607" s="183"/>
      <c r="AH607" s="183"/>
      <c r="AI607" s="183"/>
      <c r="AJ607" s="183"/>
      <c r="AK607" s="9" t="s">
        <v>654</v>
      </c>
      <c r="AL607" s="183"/>
      <c r="AM607" s="186" t="str">
        <f>IF(AF607="","","Q"&amp;INT((MONTH(AF607)-1)/3)+1&amp;YEAR(AF607)&amp;#REF!&amp;T607)</f>
        <v/>
      </c>
      <c r="AN607" s="186" t="e">
        <f>IF(K607="","","Q"&amp;INT((MONTH(K607)-1)/3)+1&amp;YEAR(K607)&amp;#REF!)</f>
        <v>#REF!</v>
      </c>
    </row>
    <row r="608" spans="1:40" ht="20.100000000000001" customHeight="1" x14ac:dyDescent="0.25">
      <c r="A608" s="8">
        <v>606</v>
      </c>
      <c r="B608" s="8" t="s">
        <v>399</v>
      </c>
      <c r="C608" s="8" t="s">
        <v>1997</v>
      </c>
      <c r="D608" s="8" t="s">
        <v>2416</v>
      </c>
      <c r="E608" s="182" t="s">
        <v>1998</v>
      </c>
      <c r="F608" s="183" t="s">
        <v>2222</v>
      </c>
      <c r="G608" s="183"/>
      <c r="H608" s="183" t="s">
        <v>4392</v>
      </c>
      <c r="I608" s="183" t="s">
        <v>579</v>
      </c>
      <c r="J608" s="183"/>
      <c r="K608" s="184">
        <v>46069</v>
      </c>
      <c r="L608" s="183">
        <v>52</v>
      </c>
      <c r="M608" s="185" t="str">
        <f>IF(phc_8[[#This Row],[Register No.]]="","",C608&amp;"-"&amp;D608&amp;"-"&amp;"BHA-PHC-"&amp;phc_8[[#This Row],[Register No.]])</f>
        <v>Shining Star-Mobile Clinic-BHA-PHC-52</v>
      </c>
      <c r="N608" s="9" t="s">
        <v>401</v>
      </c>
      <c r="O608" s="183" t="s">
        <v>4522</v>
      </c>
      <c r="P608" s="183">
        <v>75</v>
      </c>
      <c r="Q608" s="183"/>
      <c r="R608" s="183"/>
      <c r="S608" s="186" t="str">
        <f t="shared" si="22"/>
        <v>50 yrs +</v>
      </c>
      <c r="T608" s="183" t="s">
        <v>603</v>
      </c>
      <c r="U608" s="183"/>
      <c r="V608" s="183" t="s">
        <v>4526</v>
      </c>
      <c r="W608" s="183" t="s">
        <v>4530</v>
      </c>
      <c r="X608" s="183" t="s">
        <v>242</v>
      </c>
      <c r="Y608" s="186" t="str">
        <f>INDEX(info!$Y$2:$Y$192,MATCH(phc_8[[#This Row],[Sub_Category]],info!$X$2:$X$192,0))</f>
        <v>Accident/minor sugical and injuries</v>
      </c>
      <c r="Z608" s="186" t="str">
        <f t="array" ref="Z608">INDEX(info!$AA$2:$AA$192,MATCH(PHC!$X608&amp;PHC!$Y608,info!$X$2:$X$192&amp;info!$Y$2:$Y$192,0))</f>
        <v>Injury related</v>
      </c>
      <c r="AA608" s="183" t="s">
        <v>4533</v>
      </c>
      <c r="AB608" s="9" t="s">
        <v>654</v>
      </c>
      <c r="AC608" s="9" t="s">
        <v>654</v>
      </c>
      <c r="AD608" s="9" t="s">
        <v>654</v>
      </c>
      <c r="AE608" s="9" t="s">
        <v>654</v>
      </c>
      <c r="AF608" s="184"/>
      <c r="AG608" s="183"/>
      <c r="AH608" s="183"/>
      <c r="AI608" s="183"/>
      <c r="AJ608" s="183"/>
      <c r="AK608" s="9" t="s">
        <v>654</v>
      </c>
      <c r="AL608" s="183"/>
      <c r="AM608" s="186" t="str">
        <f>IF(AF608="","","Q"&amp;INT((MONTH(AF608)-1)/3)+1&amp;YEAR(AF608)&amp;#REF!&amp;T608)</f>
        <v/>
      </c>
      <c r="AN608" s="186" t="e">
        <f>IF(K608="","","Q"&amp;INT((MONTH(K608)-1)/3)+1&amp;YEAR(K608)&amp;#REF!)</f>
        <v>#REF!</v>
      </c>
    </row>
    <row r="609" spans="1:40" ht="20.100000000000001" customHeight="1" x14ac:dyDescent="0.25">
      <c r="A609" s="8">
        <v>607</v>
      </c>
      <c r="B609" s="8" t="s">
        <v>399</v>
      </c>
      <c r="C609" s="8" t="s">
        <v>1997</v>
      </c>
      <c r="D609" s="8" t="s">
        <v>2416</v>
      </c>
      <c r="E609" s="182" t="s">
        <v>1998</v>
      </c>
      <c r="F609" s="183" t="s">
        <v>2222</v>
      </c>
      <c r="G609" s="183"/>
      <c r="H609" s="183" t="s">
        <v>4392</v>
      </c>
      <c r="I609" s="183" t="s">
        <v>579</v>
      </c>
      <c r="J609" s="183"/>
      <c r="K609" s="184">
        <v>46069</v>
      </c>
      <c r="L609" s="183">
        <v>53</v>
      </c>
      <c r="M609" s="185" t="str">
        <f>IF(phc_8[[#This Row],[Register No.]]="","",C609&amp;"-"&amp;D609&amp;"-"&amp;"BHA-PHC-"&amp;phc_8[[#This Row],[Register No.]])</f>
        <v>Shining Star-Mobile Clinic-BHA-PHC-53</v>
      </c>
      <c r="N609" s="9" t="s">
        <v>401</v>
      </c>
      <c r="O609" s="183" t="s">
        <v>4523</v>
      </c>
      <c r="P609" s="183">
        <v>49</v>
      </c>
      <c r="Q609" s="183"/>
      <c r="R609" s="183"/>
      <c r="S609" s="186" t="str">
        <f t="shared" si="22"/>
        <v>19 - 49 yrs</v>
      </c>
      <c r="T609" s="183" t="s">
        <v>402</v>
      </c>
      <c r="U609" s="183"/>
      <c r="V609" s="183" t="s">
        <v>4527</v>
      </c>
      <c r="W609" s="183" t="s">
        <v>4531</v>
      </c>
      <c r="X609" s="183"/>
      <c r="Y609" s="186" t="e">
        <f>INDEX(info!$Y$2:$Y$192,MATCH(phc_8[[#This Row],[Sub_Category]],info!$X$2:$X$192,0))</f>
        <v>#N/A</v>
      </c>
      <c r="Z609" s="186" t="e">
        <f t="array" ref="Z609">INDEX(info!$AA$2:$AA$192,MATCH(PHC!$X609&amp;PHC!$Y609,info!$X$2:$X$192&amp;info!$Y$2:$Y$192,0))</f>
        <v>#N/A</v>
      </c>
      <c r="AA609" s="183" t="s">
        <v>4534</v>
      </c>
      <c r="AB609" s="9" t="s">
        <v>654</v>
      </c>
      <c r="AC609" s="9" t="s">
        <v>654</v>
      </c>
      <c r="AD609" s="9" t="s">
        <v>654</v>
      </c>
      <c r="AE609" s="9" t="s">
        <v>654</v>
      </c>
      <c r="AF609" s="184"/>
      <c r="AG609" s="183"/>
      <c r="AH609" s="183"/>
      <c r="AI609" s="183"/>
      <c r="AJ609" s="183"/>
      <c r="AK609" s="9" t="s">
        <v>654</v>
      </c>
      <c r="AL609" s="183"/>
      <c r="AM609" s="186" t="str">
        <f>IF(AF609="","","Q"&amp;INT((MONTH(AF609)-1)/3)+1&amp;YEAR(AF609)&amp;#REF!&amp;T609)</f>
        <v/>
      </c>
      <c r="AN609" s="186" t="e">
        <f>IF(K609="","","Q"&amp;INT((MONTH(K609)-1)/3)+1&amp;YEAR(K609)&amp;#REF!)</f>
        <v>#REF!</v>
      </c>
    </row>
    <row r="610" spans="1:40" ht="20.100000000000001" customHeight="1" x14ac:dyDescent="0.25">
      <c r="A610" s="8">
        <v>608</v>
      </c>
      <c r="B610" s="8" t="s">
        <v>399</v>
      </c>
      <c r="C610" s="8" t="s">
        <v>1997</v>
      </c>
      <c r="D610" s="8" t="s">
        <v>2416</v>
      </c>
      <c r="E610" s="182" t="s">
        <v>1998</v>
      </c>
      <c r="F610" s="183" t="s">
        <v>2222</v>
      </c>
      <c r="G610" s="183"/>
      <c r="H610" s="183" t="s">
        <v>4392</v>
      </c>
      <c r="I610" s="183" t="s">
        <v>579</v>
      </c>
      <c r="J610" s="183"/>
      <c r="K610" s="184">
        <v>46069</v>
      </c>
      <c r="L610" s="183">
        <v>54</v>
      </c>
      <c r="M610" s="185" t="str">
        <f>IF(phc_8[[#This Row],[Register No.]]="","",C610&amp;"-"&amp;D610&amp;"-"&amp;"BHA-PHC-"&amp;phc_8[[#This Row],[Register No.]])</f>
        <v>Shining Star-Mobile Clinic-BHA-PHC-54</v>
      </c>
      <c r="N610" s="9" t="s">
        <v>401</v>
      </c>
      <c r="O610" s="183" t="s">
        <v>4524</v>
      </c>
      <c r="P610" s="183">
        <v>50</v>
      </c>
      <c r="Q610" s="183"/>
      <c r="R610" s="183"/>
      <c r="S610" s="186" t="str">
        <f t="shared" si="22"/>
        <v>50 yrs +</v>
      </c>
      <c r="T610" s="183" t="s">
        <v>603</v>
      </c>
      <c r="U610" s="183"/>
      <c r="V610" s="183" t="s">
        <v>4528</v>
      </c>
      <c r="W610" s="183" t="s">
        <v>258</v>
      </c>
      <c r="X610" s="183" t="s">
        <v>2014</v>
      </c>
      <c r="Y610" s="186" t="str">
        <f>INDEX(info!$Y$2:$Y$192,MATCH(phc_8[[#This Row],[Sub_Category]],info!$X$2:$X$192,0))</f>
        <v>Other (non-communicable)</v>
      </c>
      <c r="Z610" s="186" t="str">
        <f t="array" ref="Z610">INDEX(info!$AA$2:$AA$192,MATCH(PHC!$X610&amp;PHC!$Y610,info!$X$2:$X$192&amp;info!$Y$2:$Y$192,0))</f>
        <v>Other</v>
      </c>
      <c r="AA610" s="183" t="s">
        <v>4535</v>
      </c>
      <c r="AB610" s="9" t="s">
        <v>654</v>
      </c>
      <c r="AC610" s="9" t="s">
        <v>654</v>
      </c>
      <c r="AD610" s="9" t="s">
        <v>654</v>
      </c>
      <c r="AE610" s="9" t="s">
        <v>654</v>
      </c>
      <c r="AF610" s="184"/>
      <c r="AG610" s="183"/>
      <c r="AH610" s="183"/>
      <c r="AI610" s="183"/>
      <c r="AJ610" s="183"/>
      <c r="AK610" s="9" t="s">
        <v>654</v>
      </c>
      <c r="AL610" s="183"/>
      <c r="AM610" s="186" t="str">
        <f>IF(AF610="","","Q"&amp;INT((MONTH(AF610)-1)/3)+1&amp;YEAR(AF610)&amp;#REF!&amp;T610)</f>
        <v/>
      </c>
      <c r="AN610" s="186" t="e">
        <f>IF(K610="","","Q"&amp;INT((MONTH(K610)-1)/3)+1&amp;YEAR(K610)&amp;#REF!)</f>
        <v>#REF!</v>
      </c>
    </row>
    <row r="611" spans="1:40" ht="20.100000000000001" customHeight="1" x14ac:dyDescent="0.25">
      <c r="A611" s="8">
        <v>609</v>
      </c>
      <c r="B611" s="8" t="s">
        <v>399</v>
      </c>
      <c r="C611" s="8" t="s">
        <v>1997</v>
      </c>
      <c r="D611" s="8" t="s">
        <v>2416</v>
      </c>
      <c r="E611" s="182" t="s">
        <v>1998</v>
      </c>
      <c r="F611" s="183" t="s">
        <v>2222</v>
      </c>
      <c r="G611" s="183"/>
      <c r="H611" s="183" t="s">
        <v>4392</v>
      </c>
      <c r="I611" s="183" t="s">
        <v>579</v>
      </c>
      <c r="J611" s="183"/>
      <c r="K611" s="184">
        <v>46069</v>
      </c>
      <c r="L611" s="183">
        <v>55</v>
      </c>
      <c r="M611" s="185" t="str">
        <f>IF(phc_8[[#This Row],[Register No.]]="","",C611&amp;"-"&amp;D611&amp;"-"&amp;"BHA-PHC-"&amp;phc_8[[#This Row],[Register No.]])</f>
        <v>Shining Star-Mobile Clinic-BHA-PHC-55</v>
      </c>
      <c r="N611" s="9" t="s">
        <v>401</v>
      </c>
      <c r="O611" s="183" t="s">
        <v>4525</v>
      </c>
      <c r="P611" s="183">
        <v>70</v>
      </c>
      <c r="Q611" s="183"/>
      <c r="R611" s="183"/>
      <c r="S611" s="186" t="str">
        <f t="shared" si="22"/>
        <v>50 yrs +</v>
      </c>
      <c r="T611" s="183" t="s">
        <v>402</v>
      </c>
      <c r="U611" s="183"/>
      <c r="V611" s="183" t="s">
        <v>3510</v>
      </c>
      <c r="W611" s="183" t="s">
        <v>2003</v>
      </c>
      <c r="X611" s="183" t="s">
        <v>181</v>
      </c>
      <c r="Y611" s="186" t="str">
        <f>INDEX(info!$Y$2:$Y$192,MATCH(phc_8[[#This Row],[Sub_Category]],info!$X$2:$X$192,0))</f>
        <v>Chronic medical disease</v>
      </c>
      <c r="Z611" s="186" t="str">
        <f t="array" ref="Z611">INDEX(info!$AA$2:$AA$192,MATCH(PHC!$X611&amp;PHC!$Y611,info!$X$2:$X$192&amp;info!$Y$2:$Y$192,0))</f>
        <v>Non-communicable disease</v>
      </c>
      <c r="AA611" s="183" t="s">
        <v>4536</v>
      </c>
      <c r="AB611" s="9" t="s">
        <v>654</v>
      </c>
      <c r="AC611" s="9" t="s">
        <v>654</v>
      </c>
      <c r="AD611" s="9" t="s">
        <v>654</v>
      </c>
      <c r="AE611" s="9" t="s">
        <v>654</v>
      </c>
      <c r="AF611" s="184"/>
      <c r="AG611" s="183"/>
      <c r="AH611" s="183"/>
      <c r="AI611" s="183"/>
      <c r="AJ611" s="183"/>
      <c r="AK611" s="9" t="s">
        <v>654</v>
      </c>
      <c r="AL611" s="183"/>
      <c r="AM611" s="186" t="str">
        <f>IF(AF611="","","Q"&amp;INT((MONTH(AF611)-1)/3)+1&amp;YEAR(AF611)&amp;#REF!&amp;T611)</f>
        <v/>
      </c>
      <c r="AN611" s="186" t="e">
        <f>IF(K611="","","Q"&amp;INT((MONTH(K611)-1)/3)+1&amp;YEAR(K611)&amp;#REF!)</f>
        <v>#REF!</v>
      </c>
    </row>
    <row r="612" spans="1:40" ht="20.100000000000001" customHeight="1" x14ac:dyDescent="0.25">
      <c r="A612" s="8">
        <v>610</v>
      </c>
      <c r="B612" s="8" t="s">
        <v>399</v>
      </c>
      <c r="C612" s="8" t="s">
        <v>1997</v>
      </c>
      <c r="D612" s="8" t="s">
        <v>2416</v>
      </c>
      <c r="E612" s="182" t="s">
        <v>1998</v>
      </c>
      <c r="F612" s="183" t="s">
        <v>2222</v>
      </c>
      <c r="G612" s="183"/>
      <c r="H612" s="183" t="s">
        <v>4392</v>
      </c>
      <c r="I612" s="183" t="s">
        <v>579</v>
      </c>
      <c r="J612" s="183"/>
      <c r="K612" s="184">
        <v>46069</v>
      </c>
      <c r="L612" s="183">
        <v>56</v>
      </c>
      <c r="M612" s="185" t="str">
        <f>IF(phc_8[[#This Row],[Register No.]]="","",C612&amp;"-"&amp;D612&amp;"-"&amp;"BHA-PHC-"&amp;phc_8[[#This Row],[Register No.]])</f>
        <v>Shining Star-Mobile Clinic-BHA-PHC-56</v>
      </c>
      <c r="N612" s="9" t="s">
        <v>401</v>
      </c>
      <c r="O612" s="183" t="s">
        <v>4537</v>
      </c>
      <c r="P612" s="183">
        <v>48</v>
      </c>
      <c r="Q612" s="183"/>
      <c r="R612" s="183"/>
      <c r="S612" s="186" t="str">
        <f t="shared" si="22"/>
        <v>19 - 49 yrs</v>
      </c>
      <c r="T612" s="183" t="s">
        <v>603</v>
      </c>
      <c r="U612" s="183"/>
      <c r="V612" s="183" t="s">
        <v>3366</v>
      </c>
      <c r="W612" s="183" t="s">
        <v>2059</v>
      </c>
      <c r="X612" s="183" t="s">
        <v>242</v>
      </c>
      <c r="Y612" s="186" t="str">
        <f>INDEX(info!$Y$2:$Y$192,MATCH(phc_8[[#This Row],[Sub_Category]],info!$X$2:$X$192,0))</f>
        <v>Accident/minor sugical and injuries</v>
      </c>
      <c r="Z612" s="186" t="str">
        <f t="array" ref="Z612">INDEX(info!$AA$2:$AA$192,MATCH(PHC!$X612&amp;PHC!$Y612,info!$X$2:$X$192&amp;info!$Y$2:$Y$192,0))</f>
        <v>Injury related</v>
      </c>
      <c r="AA612" s="183" t="s">
        <v>4544</v>
      </c>
      <c r="AB612" s="9" t="s">
        <v>654</v>
      </c>
      <c r="AC612" s="9" t="s">
        <v>654</v>
      </c>
      <c r="AD612" s="9" t="s">
        <v>654</v>
      </c>
      <c r="AE612" s="9" t="s">
        <v>654</v>
      </c>
      <c r="AF612" s="184"/>
      <c r="AG612" s="183"/>
      <c r="AH612" s="183"/>
      <c r="AI612" s="183"/>
      <c r="AJ612" s="183"/>
      <c r="AK612" s="9" t="s">
        <v>654</v>
      </c>
      <c r="AL612" s="183"/>
      <c r="AM612" s="186" t="str">
        <f>IF(AF612="","","Q"&amp;INT((MONTH(AF612)-1)/3)+1&amp;YEAR(AF612)&amp;#REF!&amp;T612)</f>
        <v/>
      </c>
      <c r="AN612" s="186" t="e">
        <f>IF(K612="","","Q"&amp;INT((MONTH(K612)-1)/3)+1&amp;YEAR(K612)&amp;#REF!)</f>
        <v>#REF!</v>
      </c>
    </row>
    <row r="613" spans="1:40" ht="20.100000000000001" customHeight="1" x14ac:dyDescent="0.25">
      <c r="A613" s="8">
        <v>611</v>
      </c>
      <c r="B613" s="8" t="s">
        <v>399</v>
      </c>
      <c r="C613" s="8" t="s">
        <v>1997</v>
      </c>
      <c r="D613" s="8" t="s">
        <v>2416</v>
      </c>
      <c r="E613" s="182" t="s">
        <v>1998</v>
      </c>
      <c r="F613" s="183" t="s">
        <v>2222</v>
      </c>
      <c r="G613" s="183"/>
      <c r="H613" s="183" t="s">
        <v>4392</v>
      </c>
      <c r="I613" s="183" t="s">
        <v>579</v>
      </c>
      <c r="J613" s="183"/>
      <c r="K613" s="184">
        <v>46069</v>
      </c>
      <c r="L613" s="183">
        <v>57</v>
      </c>
      <c r="M613" s="185" t="str">
        <f>IF(phc_8[[#This Row],[Register No.]]="","",C613&amp;"-"&amp;D613&amp;"-"&amp;"BHA-PHC-"&amp;phc_8[[#This Row],[Register No.]])</f>
        <v>Shining Star-Mobile Clinic-BHA-PHC-57</v>
      </c>
      <c r="N613" s="9" t="s">
        <v>401</v>
      </c>
      <c r="O613" s="183" t="s">
        <v>4538</v>
      </c>
      <c r="P613" s="183">
        <v>22</v>
      </c>
      <c r="Q613" s="183"/>
      <c r="R613" s="183"/>
      <c r="S613" s="186" t="str">
        <f t="shared" si="22"/>
        <v>19 - 49 yrs</v>
      </c>
      <c r="T613" s="183" t="s">
        <v>402</v>
      </c>
      <c r="U613" s="183"/>
      <c r="V613" s="183" t="s">
        <v>4541</v>
      </c>
      <c r="W613" s="183" t="s">
        <v>225</v>
      </c>
      <c r="X613" s="183" t="s">
        <v>225</v>
      </c>
      <c r="Y613" s="186" t="str">
        <f>INDEX(info!$Y$2:$Y$192,MATCH(phc_8[[#This Row],[Sub_Category]],info!$X$2:$X$192,0))</f>
        <v>GI problem</v>
      </c>
      <c r="Z613" s="186" t="str">
        <f t="array" ref="Z613">INDEX(info!$AA$2:$AA$192,MATCH(PHC!$X613&amp;PHC!$Y613,info!$X$2:$X$192&amp;info!$Y$2:$Y$192,0))</f>
        <v>Non-communicable disease</v>
      </c>
      <c r="AA613" s="183" t="s">
        <v>4545</v>
      </c>
      <c r="AB613" s="9" t="s">
        <v>654</v>
      </c>
      <c r="AC613" s="9" t="s">
        <v>654</v>
      </c>
      <c r="AD613" s="9" t="s">
        <v>654</v>
      </c>
      <c r="AE613" s="9" t="s">
        <v>654</v>
      </c>
      <c r="AF613" s="184"/>
      <c r="AG613" s="183"/>
      <c r="AH613" s="183"/>
      <c r="AI613" s="183"/>
      <c r="AJ613" s="183"/>
      <c r="AK613" s="9" t="s">
        <v>654</v>
      </c>
      <c r="AL613" s="183"/>
      <c r="AM613" s="186" t="str">
        <f>IF(AF613="","","Q"&amp;INT((MONTH(AF613)-1)/3)+1&amp;YEAR(AF613)&amp;#REF!&amp;T613)</f>
        <v/>
      </c>
      <c r="AN613" s="186" t="e">
        <f>IF(K613="","","Q"&amp;INT((MONTH(K613)-1)/3)+1&amp;YEAR(K613)&amp;#REF!)</f>
        <v>#REF!</v>
      </c>
    </row>
    <row r="614" spans="1:40" ht="20.100000000000001" customHeight="1" x14ac:dyDescent="0.25">
      <c r="A614" s="8">
        <v>612</v>
      </c>
      <c r="B614" s="8" t="s">
        <v>399</v>
      </c>
      <c r="C614" s="8" t="s">
        <v>1997</v>
      </c>
      <c r="D614" s="8" t="s">
        <v>2416</v>
      </c>
      <c r="E614" s="182" t="s">
        <v>1998</v>
      </c>
      <c r="F614" s="183" t="s">
        <v>2222</v>
      </c>
      <c r="G614" s="183"/>
      <c r="H614" s="183" t="s">
        <v>4392</v>
      </c>
      <c r="I614" s="183" t="s">
        <v>579</v>
      </c>
      <c r="J614" s="183"/>
      <c r="K614" s="184">
        <v>46069</v>
      </c>
      <c r="L614" s="183">
        <v>58</v>
      </c>
      <c r="M614" s="185" t="str">
        <f>IF(phc_8[[#This Row],[Register No.]]="","",C614&amp;"-"&amp;D614&amp;"-"&amp;"BHA-PHC-"&amp;phc_8[[#This Row],[Register No.]])</f>
        <v>Shining Star-Mobile Clinic-BHA-PHC-58</v>
      </c>
      <c r="N614" s="9" t="s">
        <v>401</v>
      </c>
      <c r="O614" s="183" t="s">
        <v>3229</v>
      </c>
      <c r="P614" s="183">
        <v>64</v>
      </c>
      <c r="Q614" s="183"/>
      <c r="R614" s="183"/>
      <c r="S614" s="186" t="str">
        <f t="shared" si="22"/>
        <v>50 yrs +</v>
      </c>
      <c r="T614" s="183" t="s">
        <v>603</v>
      </c>
      <c r="U614" s="183"/>
      <c r="V614" s="183" t="s">
        <v>4458</v>
      </c>
      <c r="W614" s="183" t="s">
        <v>3698</v>
      </c>
      <c r="X614" s="183" t="s">
        <v>178</v>
      </c>
      <c r="Y614" s="186" t="str">
        <f>INDEX(info!$Y$2:$Y$192,MATCH(phc_8[[#This Row],[Sub_Category]],info!$X$2:$X$192,0))</f>
        <v>Chronic medical disease</v>
      </c>
      <c r="Z614" s="186" t="str">
        <f t="array" ref="Z614">INDEX(info!$AA$2:$AA$192,MATCH(PHC!$X614&amp;PHC!$Y614,info!$X$2:$X$192&amp;info!$Y$2:$Y$192,0))</f>
        <v>Non-communicable disease</v>
      </c>
      <c r="AA614" s="183" t="s">
        <v>4546</v>
      </c>
      <c r="AB614" s="9" t="s">
        <v>654</v>
      </c>
      <c r="AC614" s="9" t="s">
        <v>654</v>
      </c>
      <c r="AD614" s="9" t="s">
        <v>654</v>
      </c>
      <c r="AE614" s="9" t="s">
        <v>654</v>
      </c>
      <c r="AF614" s="184"/>
      <c r="AG614" s="183"/>
      <c r="AH614" s="183"/>
      <c r="AI614" s="183"/>
      <c r="AJ614" s="183"/>
      <c r="AK614" s="9" t="s">
        <v>654</v>
      </c>
      <c r="AL614" s="183"/>
      <c r="AM614" s="186" t="str">
        <f>IF(AF614="","","Q"&amp;INT((MONTH(AF614)-1)/3)+1&amp;YEAR(AF614)&amp;#REF!&amp;T614)</f>
        <v/>
      </c>
      <c r="AN614" s="186" t="e">
        <f>IF(K614="","","Q"&amp;INT((MONTH(K614)-1)/3)+1&amp;YEAR(K614)&amp;#REF!)</f>
        <v>#REF!</v>
      </c>
    </row>
    <row r="615" spans="1:40" ht="20.100000000000001" customHeight="1" x14ac:dyDescent="0.25">
      <c r="A615" s="8">
        <v>613</v>
      </c>
      <c r="B615" s="8" t="s">
        <v>399</v>
      </c>
      <c r="C615" s="8" t="s">
        <v>1997</v>
      </c>
      <c r="D615" s="8" t="s">
        <v>2416</v>
      </c>
      <c r="E615" s="182" t="s">
        <v>1998</v>
      </c>
      <c r="F615" s="183" t="s">
        <v>2222</v>
      </c>
      <c r="G615" s="183"/>
      <c r="H615" s="183" t="s">
        <v>4392</v>
      </c>
      <c r="I615" s="183" t="s">
        <v>579</v>
      </c>
      <c r="J615" s="183"/>
      <c r="K615" s="184">
        <v>46069</v>
      </c>
      <c r="L615" s="183">
        <v>59</v>
      </c>
      <c r="M615" s="185" t="str">
        <f>IF(phc_8[[#This Row],[Register No.]]="","",C615&amp;"-"&amp;D615&amp;"-"&amp;"BHA-PHC-"&amp;phc_8[[#This Row],[Register No.]])</f>
        <v>Shining Star-Mobile Clinic-BHA-PHC-59</v>
      </c>
      <c r="N615" s="9" t="s">
        <v>401</v>
      </c>
      <c r="O615" s="183" t="s">
        <v>4539</v>
      </c>
      <c r="P615" s="183">
        <v>54</v>
      </c>
      <c r="Q615" s="183"/>
      <c r="R615" s="183"/>
      <c r="S615" s="186" t="str">
        <f t="shared" si="22"/>
        <v>50 yrs +</v>
      </c>
      <c r="T615" s="183" t="s">
        <v>603</v>
      </c>
      <c r="U615" s="183"/>
      <c r="V615" s="183" t="s">
        <v>2200</v>
      </c>
      <c r="W615" s="183" t="s">
        <v>4542</v>
      </c>
      <c r="X615" s="183" t="s">
        <v>184</v>
      </c>
      <c r="Y615" s="186" t="str">
        <f>INDEX(info!$Y$2:$Y$192,MATCH(phc_8[[#This Row],[Sub_Category]],info!$X$2:$X$192,0))</f>
        <v>GI problem</v>
      </c>
      <c r="Z615" s="186" t="str">
        <f t="array" ref="Z615">INDEX(info!$AA$2:$AA$192,MATCH(PHC!$X615&amp;PHC!$Y615,info!$X$2:$X$192&amp;info!$Y$2:$Y$192,0))</f>
        <v>Other</v>
      </c>
      <c r="AA615" s="183" t="s">
        <v>4547</v>
      </c>
      <c r="AB615" s="9" t="s">
        <v>654</v>
      </c>
      <c r="AC615" s="9" t="s">
        <v>654</v>
      </c>
      <c r="AD615" s="9" t="s">
        <v>654</v>
      </c>
      <c r="AE615" s="9" t="s">
        <v>654</v>
      </c>
      <c r="AF615" s="184"/>
      <c r="AG615" s="183"/>
      <c r="AH615" s="183"/>
      <c r="AI615" s="183"/>
      <c r="AJ615" s="183"/>
      <c r="AK615" s="9" t="s">
        <v>654</v>
      </c>
      <c r="AL615" s="183"/>
      <c r="AM615" s="186" t="str">
        <f>IF(AF615="","","Q"&amp;INT((MONTH(AF615)-1)/3)+1&amp;YEAR(AF615)&amp;#REF!&amp;T615)</f>
        <v/>
      </c>
      <c r="AN615" s="186" t="e">
        <f>IF(K615="","","Q"&amp;INT((MONTH(K615)-1)/3)+1&amp;YEAR(K615)&amp;#REF!)</f>
        <v>#REF!</v>
      </c>
    </row>
    <row r="616" spans="1:40" ht="20.100000000000001" customHeight="1" x14ac:dyDescent="0.25">
      <c r="A616" s="8">
        <v>614</v>
      </c>
      <c r="B616" s="8" t="s">
        <v>399</v>
      </c>
      <c r="C616" s="8" t="s">
        <v>1997</v>
      </c>
      <c r="D616" s="8" t="s">
        <v>2416</v>
      </c>
      <c r="E616" s="182" t="s">
        <v>1998</v>
      </c>
      <c r="F616" s="183" t="s">
        <v>2222</v>
      </c>
      <c r="G616" s="183"/>
      <c r="H616" s="183" t="s">
        <v>4392</v>
      </c>
      <c r="I616" s="183" t="s">
        <v>579</v>
      </c>
      <c r="J616" s="183"/>
      <c r="K616" s="184">
        <v>46069</v>
      </c>
      <c r="L616" s="183">
        <v>60</v>
      </c>
      <c r="M616" s="185" t="str">
        <f>IF(phc_8[[#This Row],[Register No.]]="","",C616&amp;"-"&amp;D616&amp;"-"&amp;"BHA-PHC-"&amp;phc_8[[#This Row],[Register No.]])</f>
        <v>Shining Star-Mobile Clinic-BHA-PHC-60</v>
      </c>
      <c r="N616" s="9" t="s">
        <v>401</v>
      </c>
      <c r="O616" s="183" t="s">
        <v>4540</v>
      </c>
      <c r="P616" s="183">
        <v>53</v>
      </c>
      <c r="Q616" s="183"/>
      <c r="R616" s="183"/>
      <c r="S616" s="186" t="str">
        <f t="shared" si="22"/>
        <v>50 yrs +</v>
      </c>
      <c r="T616" s="183" t="s">
        <v>603</v>
      </c>
      <c r="U616" s="183"/>
      <c r="V616" s="183" t="s">
        <v>2041</v>
      </c>
      <c r="W616" s="183" t="s">
        <v>4543</v>
      </c>
      <c r="X616" s="183" t="s">
        <v>242</v>
      </c>
      <c r="Y616" s="186" t="str">
        <f>INDEX(info!$Y$2:$Y$192,MATCH(phc_8[[#This Row],[Sub_Category]],info!$X$2:$X$192,0))</f>
        <v>Accident/minor sugical and injuries</v>
      </c>
      <c r="Z616" s="186" t="str">
        <f t="array" ref="Z616">INDEX(info!$AA$2:$AA$192,MATCH(PHC!$X616&amp;PHC!$Y616,info!$X$2:$X$192&amp;info!$Y$2:$Y$192,0))</f>
        <v>Injury related</v>
      </c>
      <c r="AA616" s="183" t="s">
        <v>4548</v>
      </c>
      <c r="AB616" s="9" t="s">
        <v>654</v>
      </c>
      <c r="AC616" s="9" t="s">
        <v>654</v>
      </c>
      <c r="AD616" s="9" t="s">
        <v>654</v>
      </c>
      <c r="AE616" s="9" t="s">
        <v>654</v>
      </c>
      <c r="AF616" s="184"/>
      <c r="AG616" s="183"/>
      <c r="AH616" s="183"/>
      <c r="AI616" s="183"/>
      <c r="AJ616" s="183"/>
      <c r="AK616" s="9" t="s">
        <v>654</v>
      </c>
      <c r="AL616" s="183"/>
      <c r="AM616" s="186" t="str">
        <f>IF(AF616="","","Q"&amp;INT((MONTH(AF616)-1)/3)+1&amp;YEAR(AF616)&amp;#REF!&amp;T616)</f>
        <v/>
      </c>
      <c r="AN616" s="186" t="e">
        <f>IF(K616="","","Q"&amp;INT((MONTH(K616)-1)/3)+1&amp;YEAR(K616)&amp;#REF!)</f>
        <v>#REF!</v>
      </c>
    </row>
    <row r="617" spans="1:40" ht="20.100000000000001" customHeight="1" x14ac:dyDescent="0.25">
      <c r="A617" s="8">
        <v>615</v>
      </c>
      <c r="B617" s="8" t="s">
        <v>399</v>
      </c>
      <c r="C617" s="8" t="s">
        <v>1997</v>
      </c>
      <c r="D617" s="8" t="s">
        <v>2416</v>
      </c>
      <c r="E617" s="182" t="s">
        <v>1998</v>
      </c>
      <c r="F617" s="183" t="s">
        <v>2222</v>
      </c>
      <c r="G617" s="183"/>
      <c r="H617" s="183" t="s">
        <v>4392</v>
      </c>
      <c r="I617" s="183" t="s">
        <v>579</v>
      </c>
      <c r="J617" s="183"/>
      <c r="K617" s="184">
        <v>46069</v>
      </c>
      <c r="L617" s="183">
        <v>61</v>
      </c>
      <c r="M617" s="185" t="str">
        <f>IF(phc_8[[#This Row],[Register No.]]="","",C617&amp;"-"&amp;D617&amp;"-"&amp;"BHA-PHC-"&amp;phc_8[[#This Row],[Register No.]])</f>
        <v>Shining Star-Mobile Clinic-BHA-PHC-61</v>
      </c>
      <c r="N617" s="9" t="s">
        <v>401</v>
      </c>
      <c r="O617" s="183" t="s">
        <v>4549</v>
      </c>
      <c r="P617" s="183">
        <v>50</v>
      </c>
      <c r="Q617" s="183"/>
      <c r="R617" s="183"/>
      <c r="S617" s="186" t="str">
        <f t="shared" si="22"/>
        <v>50 yrs +</v>
      </c>
      <c r="T617" s="183" t="s">
        <v>603</v>
      </c>
      <c r="U617" s="183"/>
      <c r="V617" s="183" t="s">
        <v>4458</v>
      </c>
      <c r="W617" s="183" t="s">
        <v>2215</v>
      </c>
      <c r="X617" s="183"/>
      <c r="Y617" s="186" t="e">
        <f>INDEX(info!$Y$2:$Y$192,MATCH(phc_8[[#This Row],[Sub_Category]],info!$X$2:$X$192,0))</f>
        <v>#N/A</v>
      </c>
      <c r="Z617" s="186" t="e">
        <f t="array" ref="Z617">INDEX(info!$AA$2:$AA$192,MATCH(PHC!$X617&amp;PHC!$Y617,info!$X$2:$X$192&amp;info!$Y$2:$Y$192,0))</f>
        <v>#N/A</v>
      </c>
      <c r="AA617" s="183" t="s">
        <v>3109</v>
      </c>
      <c r="AB617" s="9" t="s">
        <v>654</v>
      </c>
      <c r="AC617" s="9" t="s">
        <v>654</v>
      </c>
      <c r="AD617" s="9" t="s">
        <v>654</v>
      </c>
      <c r="AE617" s="9" t="s">
        <v>654</v>
      </c>
      <c r="AF617" s="184"/>
      <c r="AG617" s="183"/>
      <c r="AH617" s="183"/>
      <c r="AI617" s="183"/>
      <c r="AJ617" s="183"/>
      <c r="AK617" s="9" t="s">
        <v>654</v>
      </c>
      <c r="AL617" s="183"/>
      <c r="AM617" s="186" t="str">
        <f>IF(AF617="","","Q"&amp;INT((MONTH(AF617)-1)/3)+1&amp;YEAR(AF617)&amp;#REF!&amp;T617)</f>
        <v/>
      </c>
      <c r="AN617" s="186" t="e">
        <f>IF(K617="","","Q"&amp;INT((MONTH(K617)-1)/3)+1&amp;YEAR(K617)&amp;#REF!)</f>
        <v>#REF!</v>
      </c>
    </row>
    <row r="618" spans="1:40" ht="20.100000000000001" customHeight="1" x14ac:dyDescent="0.25">
      <c r="A618" s="8">
        <v>616</v>
      </c>
      <c r="B618" s="8" t="s">
        <v>399</v>
      </c>
      <c r="C618" s="8" t="s">
        <v>1997</v>
      </c>
      <c r="D618" s="8" t="s">
        <v>2416</v>
      </c>
      <c r="E618" s="182" t="s">
        <v>1998</v>
      </c>
      <c r="F618" s="183" t="s">
        <v>2222</v>
      </c>
      <c r="G618" s="183"/>
      <c r="H618" s="183" t="s">
        <v>4392</v>
      </c>
      <c r="I618" s="183" t="s">
        <v>579</v>
      </c>
      <c r="J618" s="183"/>
      <c r="K618" s="184">
        <v>46069</v>
      </c>
      <c r="L618" s="183">
        <v>62</v>
      </c>
      <c r="M618" s="185" t="str">
        <f>IF(phc_8[[#This Row],[Register No.]]="","",C618&amp;"-"&amp;D618&amp;"-"&amp;"BHA-PHC-"&amp;phc_8[[#This Row],[Register No.]])</f>
        <v>Shining Star-Mobile Clinic-BHA-PHC-62</v>
      </c>
      <c r="N618" s="9" t="s">
        <v>401</v>
      </c>
      <c r="O618" s="183" t="s">
        <v>4550</v>
      </c>
      <c r="P618" s="183">
        <v>65</v>
      </c>
      <c r="Q618" s="183"/>
      <c r="R618" s="183"/>
      <c r="S618" s="186" t="str">
        <f t="shared" si="22"/>
        <v>50 yrs +</v>
      </c>
      <c r="T618" s="183" t="s">
        <v>603</v>
      </c>
      <c r="U618" s="183"/>
      <c r="V618" s="183" t="s">
        <v>2043</v>
      </c>
      <c r="W618" s="183" t="s">
        <v>294</v>
      </c>
      <c r="X618" s="183" t="s">
        <v>294</v>
      </c>
      <c r="Y618" s="186" t="str">
        <f>INDEX(info!$Y$2:$Y$192,MATCH(phc_8[[#This Row],[Sub_Category]],info!$X$2:$X$192,0))</f>
        <v>Other (non-communicable)</v>
      </c>
      <c r="Z618" s="186" t="str">
        <f t="array" ref="Z618">INDEX(info!$AA$2:$AA$192,MATCH(PHC!$X618&amp;PHC!$Y618,info!$X$2:$X$192&amp;info!$Y$2:$Y$192,0))</f>
        <v>Other</v>
      </c>
      <c r="AA618" s="183" t="s">
        <v>4558</v>
      </c>
      <c r="AB618" s="9" t="s">
        <v>654</v>
      </c>
      <c r="AC618" s="9" t="s">
        <v>654</v>
      </c>
      <c r="AD618" s="9" t="s">
        <v>654</v>
      </c>
      <c r="AE618" s="9" t="s">
        <v>654</v>
      </c>
      <c r="AF618" s="184"/>
      <c r="AG618" s="183"/>
      <c r="AH618" s="183"/>
      <c r="AI618" s="183"/>
      <c r="AJ618" s="183"/>
      <c r="AK618" s="9" t="s">
        <v>654</v>
      </c>
      <c r="AL618" s="183"/>
      <c r="AM618" s="186" t="str">
        <f>IF(AF618="","","Q"&amp;INT((MONTH(AF618)-1)/3)+1&amp;YEAR(AF618)&amp;#REF!&amp;T618)</f>
        <v/>
      </c>
      <c r="AN618" s="186" t="e">
        <f>IF(K618="","","Q"&amp;INT((MONTH(K618)-1)/3)+1&amp;YEAR(K618)&amp;#REF!)</f>
        <v>#REF!</v>
      </c>
    </row>
    <row r="619" spans="1:40" ht="20.100000000000001" customHeight="1" x14ac:dyDescent="0.25">
      <c r="A619" s="8">
        <v>617</v>
      </c>
      <c r="B619" s="8" t="s">
        <v>399</v>
      </c>
      <c r="C619" s="8" t="s">
        <v>1997</v>
      </c>
      <c r="D619" s="8" t="s">
        <v>2416</v>
      </c>
      <c r="E619" s="182" t="s">
        <v>1998</v>
      </c>
      <c r="F619" s="183" t="s">
        <v>2222</v>
      </c>
      <c r="G619" s="183"/>
      <c r="H619" s="183" t="s">
        <v>4392</v>
      </c>
      <c r="I619" s="183" t="s">
        <v>579</v>
      </c>
      <c r="J619" s="183"/>
      <c r="K619" s="184">
        <v>46069</v>
      </c>
      <c r="L619" s="183">
        <v>63</v>
      </c>
      <c r="M619" s="185" t="str">
        <f>IF(phc_8[[#This Row],[Register No.]]="","",C619&amp;"-"&amp;D619&amp;"-"&amp;"BHA-PHC-"&amp;phc_8[[#This Row],[Register No.]])</f>
        <v>Shining Star-Mobile Clinic-BHA-PHC-63</v>
      </c>
      <c r="N619" s="9" t="s">
        <v>401</v>
      </c>
      <c r="O619" s="183" t="s">
        <v>4551</v>
      </c>
      <c r="P619" s="183">
        <v>45</v>
      </c>
      <c r="Q619" s="183"/>
      <c r="R619" s="183"/>
      <c r="S619" s="186" t="str">
        <f t="shared" si="22"/>
        <v>19 - 49 yrs</v>
      </c>
      <c r="T619" s="183" t="s">
        <v>603</v>
      </c>
      <c r="U619" s="183"/>
      <c r="V619" s="183" t="s">
        <v>4554</v>
      </c>
      <c r="W619" s="183" t="s">
        <v>4556</v>
      </c>
      <c r="X619" s="183" t="s">
        <v>288</v>
      </c>
      <c r="Y619" s="186" t="str">
        <f>INDEX(info!$Y$2:$Y$192,MATCH(phc_8[[#This Row],[Sub_Category]],info!$X$2:$X$192,0))</f>
        <v>Gynecological problem</v>
      </c>
      <c r="Z619" s="186" t="str">
        <f t="array" ref="Z619">INDEX(info!$AA$2:$AA$192,MATCH(PHC!$X619&amp;PHC!$Y619,info!$X$2:$X$192&amp;info!$Y$2:$Y$192,0))</f>
        <v>Reproductive Health</v>
      </c>
      <c r="AA619" s="183" t="s">
        <v>4559</v>
      </c>
      <c r="AB619" s="9" t="s">
        <v>654</v>
      </c>
      <c r="AC619" s="9" t="s">
        <v>654</v>
      </c>
      <c r="AD619" s="9" t="s">
        <v>654</v>
      </c>
      <c r="AE619" s="9" t="s">
        <v>654</v>
      </c>
      <c r="AF619" s="184"/>
      <c r="AG619" s="183"/>
      <c r="AH619" s="183"/>
      <c r="AI619" s="183"/>
      <c r="AJ619" s="183"/>
      <c r="AK619" s="9" t="s">
        <v>654</v>
      </c>
      <c r="AL619" s="183"/>
      <c r="AM619" s="186" t="str">
        <f>IF(AF619="","","Q"&amp;INT((MONTH(AF619)-1)/3)+1&amp;YEAR(AF619)&amp;#REF!&amp;T619)</f>
        <v/>
      </c>
      <c r="AN619" s="186" t="e">
        <f>IF(K619="","","Q"&amp;INT((MONTH(K619)-1)/3)+1&amp;YEAR(K619)&amp;#REF!)</f>
        <v>#REF!</v>
      </c>
    </row>
    <row r="620" spans="1:40" ht="20.100000000000001" customHeight="1" x14ac:dyDescent="0.25">
      <c r="A620" s="8">
        <v>618</v>
      </c>
      <c r="B620" s="8" t="s">
        <v>399</v>
      </c>
      <c r="C620" s="8" t="s">
        <v>1997</v>
      </c>
      <c r="D620" s="8" t="s">
        <v>2416</v>
      </c>
      <c r="E620" s="182" t="s">
        <v>1998</v>
      </c>
      <c r="F620" s="183" t="s">
        <v>2222</v>
      </c>
      <c r="G620" s="183"/>
      <c r="H620" s="183" t="s">
        <v>4392</v>
      </c>
      <c r="I620" s="183" t="s">
        <v>579</v>
      </c>
      <c r="J620" s="183"/>
      <c r="K620" s="184">
        <v>46069</v>
      </c>
      <c r="L620" s="183">
        <v>64</v>
      </c>
      <c r="M620" s="185" t="str">
        <f>IF(phc_8[[#This Row],[Register No.]]="","",C620&amp;"-"&amp;D620&amp;"-"&amp;"BHA-PHC-"&amp;phc_8[[#This Row],[Register No.]])</f>
        <v>Shining Star-Mobile Clinic-BHA-PHC-64</v>
      </c>
      <c r="N620" s="9" t="s">
        <v>401</v>
      </c>
      <c r="O620" s="183" t="s">
        <v>4552</v>
      </c>
      <c r="P620" s="183">
        <v>57</v>
      </c>
      <c r="Q620" s="183"/>
      <c r="R620" s="183"/>
      <c r="S620" s="186" t="str">
        <f t="shared" si="22"/>
        <v>50 yrs +</v>
      </c>
      <c r="T620" s="183" t="s">
        <v>603</v>
      </c>
      <c r="U620" s="183"/>
      <c r="V620" s="183" t="s">
        <v>3490</v>
      </c>
      <c r="W620" s="183" t="s">
        <v>2014</v>
      </c>
      <c r="X620" s="183" t="s">
        <v>2014</v>
      </c>
      <c r="Y620" s="186" t="str">
        <f>INDEX(info!$Y$2:$Y$192,MATCH(phc_8[[#This Row],[Sub_Category]],info!$X$2:$X$192,0))</f>
        <v>Other (non-communicable)</v>
      </c>
      <c r="Z620" s="186" t="str">
        <f t="array" ref="Z620">INDEX(info!$AA$2:$AA$192,MATCH(PHC!$X620&amp;PHC!$Y620,info!$X$2:$X$192&amp;info!$Y$2:$Y$192,0))</f>
        <v>Other</v>
      </c>
      <c r="AA620" s="183" t="s">
        <v>4560</v>
      </c>
      <c r="AB620" s="9" t="s">
        <v>654</v>
      </c>
      <c r="AC620" s="9" t="s">
        <v>654</v>
      </c>
      <c r="AD620" s="9" t="s">
        <v>654</v>
      </c>
      <c r="AE620" s="9" t="s">
        <v>654</v>
      </c>
      <c r="AF620" s="184"/>
      <c r="AG620" s="183"/>
      <c r="AH620" s="183"/>
      <c r="AI620" s="183"/>
      <c r="AJ620" s="183"/>
      <c r="AK620" s="9" t="s">
        <v>654</v>
      </c>
      <c r="AL620" s="183"/>
      <c r="AM620" s="186" t="str">
        <f>IF(AF620="","","Q"&amp;INT((MONTH(AF620)-1)/3)+1&amp;YEAR(AF620)&amp;#REF!&amp;T620)</f>
        <v/>
      </c>
      <c r="AN620" s="186" t="e">
        <f>IF(K620="","","Q"&amp;INT((MONTH(K620)-1)/3)+1&amp;YEAR(K620)&amp;#REF!)</f>
        <v>#REF!</v>
      </c>
    </row>
    <row r="621" spans="1:40" ht="20.100000000000001" customHeight="1" x14ac:dyDescent="0.25">
      <c r="A621" s="8">
        <v>619</v>
      </c>
      <c r="B621" s="8" t="s">
        <v>399</v>
      </c>
      <c r="C621" s="8" t="s">
        <v>1997</v>
      </c>
      <c r="D621" s="8" t="s">
        <v>2416</v>
      </c>
      <c r="E621" s="182" t="s">
        <v>1998</v>
      </c>
      <c r="F621" s="183" t="s">
        <v>2222</v>
      </c>
      <c r="G621" s="183"/>
      <c r="H621" s="183" t="s">
        <v>4392</v>
      </c>
      <c r="I621" s="183" t="s">
        <v>579</v>
      </c>
      <c r="J621" s="183"/>
      <c r="K621" s="184">
        <v>46069</v>
      </c>
      <c r="L621" s="183">
        <v>65</v>
      </c>
      <c r="M621" s="185" t="str">
        <f>IF(phc_8[[#This Row],[Register No.]]="","",C621&amp;"-"&amp;D621&amp;"-"&amp;"BHA-PHC-"&amp;phc_8[[#This Row],[Register No.]])</f>
        <v>Shining Star-Mobile Clinic-BHA-PHC-65</v>
      </c>
      <c r="N621" s="9" t="s">
        <v>401</v>
      </c>
      <c r="O621" s="183" t="s">
        <v>4553</v>
      </c>
      <c r="P621" s="183">
        <v>46</v>
      </c>
      <c r="Q621" s="183"/>
      <c r="R621" s="183"/>
      <c r="S621" s="186" t="str">
        <f t="shared" si="22"/>
        <v>19 - 49 yrs</v>
      </c>
      <c r="T621" s="183" t="s">
        <v>402</v>
      </c>
      <c r="U621" s="183"/>
      <c r="V621" s="183" t="s">
        <v>4555</v>
      </c>
      <c r="W621" s="183" t="s">
        <v>4557</v>
      </c>
      <c r="X621" s="183" t="s">
        <v>242</v>
      </c>
      <c r="Y621" s="186" t="str">
        <f>INDEX(info!$Y$2:$Y$192,MATCH(phc_8[[#This Row],[Sub_Category]],info!$X$2:$X$192,0))</f>
        <v>Accident/minor sugical and injuries</v>
      </c>
      <c r="Z621" s="186" t="str">
        <f t="array" ref="Z621">INDEX(info!$AA$2:$AA$192,MATCH(PHC!$X621&amp;PHC!$Y621,info!$X$2:$X$192&amp;info!$Y$2:$Y$192,0))</f>
        <v>Injury related</v>
      </c>
      <c r="AA621" s="183" t="s">
        <v>4142</v>
      </c>
      <c r="AB621" s="9" t="s">
        <v>654</v>
      </c>
      <c r="AC621" s="9" t="s">
        <v>654</v>
      </c>
      <c r="AD621" s="9" t="s">
        <v>654</v>
      </c>
      <c r="AE621" s="9" t="s">
        <v>654</v>
      </c>
      <c r="AF621" s="184"/>
      <c r="AG621" s="183"/>
      <c r="AH621" s="183"/>
      <c r="AI621" s="183"/>
      <c r="AJ621" s="183"/>
      <c r="AK621" s="9" t="s">
        <v>654</v>
      </c>
      <c r="AL621" s="183"/>
      <c r="AM621" s="186" t="str">
        <f>IF(AF621="","","Q"&amp;INT((MONTH(AF621)-1)/3)+1&amp;YEAR(AF621)&amp;#REF!&amp;T621)</f>
        <v/>
      </c>
      <c r="AN621" s="186" t="e">
        <f>IF(K621="","","Q"&amp;INT((MONTH(K621)-1)/3)+1&amp;YEAR(K621)&amp;#REF!)</f>
        <v>#REF!</v>
      </c>
    </row>
    <row r="622" spans="1:40" ht="20.100000000000001" customHeight="1" x14ac:dyDescent="0.25">
      <c r="A622" s="8">
        <v>620</v>
      </c>
      <c r="B622" s="8" t="s">
        <v>399</v>
      </c>
      <c r="C622" s="8" t="s">
        <v>1997</v>
      </c>
      <c r="D622" s="8" t="s">
        <v>2416</v>
      </c>
      <c r="E622" s="182" t="s">
        <v>1998</v>
      </c>
      <c r="F622" s="183" t="s">
        <v>2222</v>
      </c>
      <c r="G622" s="183"/>
      <c r="H622" s="183" t="s">
        <v>4392</v>
      </c>
      <c r="I622" s="183" t="s">
        <v>579</v>
      </c>
      <c r="J622" s="183"/>
      <c r="K622" s="184">
        <v>46069</v>
      </c>
      <c r="L622" s="183">
        <v>66</v>
      </c>
      <c r="M622" s="185" t="str">
        <f>IF(phc_8[[#This Row],[Register No.]]="","",C622&amp;"-"&amp;D622&amp;"-"&amp;"BHA-PHC-"&amp;phc_8[[#This Row],[Register No.]])</f>
        <v>Shining Star-Mobile Clinic-BHA-PHC-66</v>
      </c>
      <c r="N622" s="9" t="s">
        <v>401</v>
      </c>
      <c r="O622" s="183" t="s">
        <v>4561</v>
      </c>
      <c r="P622" s="183">
        <v>75</v>
      </c>
      <c r="Q622" s="183"/>
      <c r="R622" s="183"/>
      <c r="S622" s="186" t="str">
        <f t="shared" si="22"/>
        <v>50 yrs +</v>
      </c>
      <c r="T622" s="183" t="s">
        <v>402</v>
      </c>
      <c r="U622" s="183"/>
      <c r="V622" s="183" t="s">
        <v>4382</v>
      </c>
      <c r="W622" s="183" t="s">
        <v>294</v>
      </c>
      <c r="X622" s="183" t="s">
        <v>294</v>
      </c>
      <c r="Y622" s="186" t="str">
        <f>INDEX(info!$Y$2:$Y$192,MATCH(phc_8[[#This Row],[Sub_Category]],info!$X$2:$X$192,0))</f>
        <v>Other (non-communicable)</v>
      </c>
      <c r="Z622" s="186" t="str">
        <f t="array" ref="Z622">INDEX(info!$AA$2:$AA$192,MATCH(PHC!$X622&amp;PHC!$Y622,info!$X$2:$X$192&amp;info!$Y$2:$Y$192,0))</f>
        <v>Other</v>
      </c>
      <c r="AA622" s="183" t="s">
        <v>4568</v>
      </c>
      <c r="AB622" s="9" t="s">
        <v>654</v>
      </c>
      <c r="AC622" s="9" t="s">
        <v>654</v>
      </c>
      <c r="AD622" s="9" t="s">
        <v>654</v>
      </c>
      <c r="AE622" s="9" t="s">
        <v>654</v>
      </c>
      <c r="AF622" s="184"/>
      <c r="AG622" s="183"/>
      <c r="AH622" s="183"/>
      <c r="AI622" s="183"/>
      <c r="AJ622" s="183"/>
      <c r="AK622" s="9" t="s">
        <v>654</v>
      </c>
      <c r="AL622" s="183"/>
      <c r="AM622" s="186" t="str">
        <f>IF(AF622="","","Q"&amp;INT((MONTH(AF622)-1)/3)+1&amp;YEAR(AF622)&amp;#REF!&amp;T622)</f>
        <v/>
      </c>
      <c r="AN622" s="186" t="e">
        <f>IF(K622="","","Q"&amp;INT((MONTH(K622)-1)/3)+1&amp;YEAR(K622)&amp;#REF!)</f>
        <v>#REF!</v>
      </c>
    </row>
    <row r="623" spans="1:40" ht="20.100000000000001" customHeight="1" x14ac:dyDescent="0.25">
      <c r="A623" s="8">
        <v>621</v>
      </c>
      <c r="B623" s="8" t="s">
        <v>399</v>
      </c>
      <c r="C623" s="8" t="s">
        <v>1997</v>
      </c>
      <c r="D623" s="8" t="s">
        <v>2416</v>
      </c>
      <c r="E623" s="182" t="s">
        <v>1998</v>
      </c>
      <c r="F623" s="183" t="s">
        <v>2222</v>
      </c>
      <c r="G623" s="183"/>
      <c r="H623" s="183" t="s">
        <v>4392</v>
      </c>
      <c r="I623" s="183" t="s">
        <v>579</v>
      </c>
      <c r="J623" s="183"/>
      <c r="K623" s="184">
        <v>46069</v>
      </c>
      <c r="L623" s="183">
        <v>67</v>
      </c>
      <c r="M623" s="185" t="str">
        <f>IF(phc_8[[#This Row],[Register No.]]="","",C623&amp;"-"&amp;D623&amp;"-"&amp;"BHA-PHC-"&amp;phc_8[[#This Row],[Register No.]])</f>
        <v>Shining Star-Mobile Clinic-BHA-PHC-67</v>
      </c>
      <c r="N623" s="9" t="s">
        <v>401</v>
      </c>
      <c r="O623" s="183" t="s">
        <v>2862</v>
      </c>
      <c r="P623" s="183">
        <v>63</v>
      </c>
      <c r="Q623" s="183"/>
      <c r="R623" s="183"/>
      <c r="S623" s="186" t="str">
        <f t="shared" si="22"/>
        <v>50 yrs +</v>
      </c>
      <c r="T623" s="183" t="s">
        <v>603</v>
      </c>
      <c r="U623" s="183"/>
      <c r="V623" s="183" t="s">
        <v>4382</v>
      </c>
      <c r="W623" s="183" t="s">
        <v>4565</v>
      </c>
      <c r="X623" s="183" t="s">
        <v>242</v>
      </c>
      <c r="Y623" s="186" t="str">
        <f>INDEX(info!$Y$2:$Y$192,MATCH(phc_8[[#This Row],[Sub_Category]],info!$X$2:$X$192,0))</f>
        <v>Accident/minor sugical and injuries</v>
      </c>
      <c r="Z623" s="186" t="str">
        <f t="array" ref="Z623">INDEX(info!$AA$2:$AA$192,MATCH(PHC!$X623&amp;PHC!$Y623,info!$X$2:$X$192&amp;info!$Y$2:$Y$192,0))</f>
        <v>Injury related</v>
      </c>
      <c r="AA623" s="183" t="s">
        <v>4569</v>
      </c>
      <c r="AB623" s="9" t="s">
        <v>654</v>
      </c>
      <c r="AC623" s="9" t="s">
        <v>654</v>
      </c>
      <c r="AD623" s="9" t="s">
        <v>654</v>
      </c>
      <c r="AE623" s="9" t="s">
        <v>654</v>
      </c>
      <c r="AF623" s="184"/>
      <c r="AG623" s="183"/>
      <c r="AH623" s="183"/>
      <c r="AI623" s="183"/>
      <c r="AJ623" s="183"/>
      <c r="AK623" s="9" t="s">
        <v>654</v>
      </c>
      <c r="AL623" s="183"/>
      <c r="AM623" s="186" t="str">
        <f>IF(AF623="","","Q"&amp;INT((MONTH(AF623)-1)/3)+1&amp;YEAR(AF623)&amp;#REF!&amp;T623)</f>
        <v/>
      </c>
      <c r="AN623" s="186" t="e">
        <f>IF(K623="","","Q"&amp;INT((MONTH(K623)-1)/3)+1&amp;YEAR(K623)&amp;#REF!)</f>
        <v>#REF!</v>
      </c>
    </row>
    <row r="624" spans="1:40" ht="20.100000000000001" customHeight="1" x14ac:dyDescent="0.25">
      <c r="A624" s="8">
        <v>622</v>
      </c>
      <c r="B624" s="8" t="s">
        <v>399</v>
      </c>
      <c r="C624" s="8" t="s">
        <v>1997</v>
      </c>
      <c r="D624" s="8" t="s">
        <v>2416</v>
      </c>
      <c r="E624" s="182" t="s">
        <v>1998</v>
      </c>
      <c r="F624" s="183" t="s">
        <v>2222</v>
      </c>
      <c r="G624" s="183"/>
      <c r="H624" s="183" t="s">
        <v>4392</v>
      </c>
      <c r="I624" s="183" t="s">
        <v>579</v>
      </c>
      <c r="J624" s="183"/>
      <c r="K624" s="184">
        <v>46069</v>
      </c>
      <c r="L624" s="183">
        <v>68</v>
      </c>
      <c r="M624" s="185" t="str">
        <f>IF(phc_8[[#This Row],[Register No.]]="","",C624&amp;"-"&amp;D624&amp;"-"&amp;"BHA-PHC-"&amp;phc_8[[#This Row],[Register No.]])</f>
        <v>Shining Star-Mobile Clinic-BHA-PHC-68</v>
      </c>
      <c r="N624" s="9" t="s">
        <v>401</v>
      </c>
      <c r="O624" s="183" t="s">
        <v>4562</v>
      </c>
      <c r="P624" s="183">
        <v>62</v>
      </c>
      <c r="Q624" s="183"/>
      <c r="R624" s="183"/>
      <c r="S624" s="186" t="str">
        <f t="shared" ref="S624:S631" si="23">IF(AND(ISBLANK(P624),ISBLANK(Q624),ISBLANK(R624))," ",
IF(OR(P624&lt;5,AND(P624=" ",Q624&lt;&gt;" ",R624&lt;&gt;" ")),"&lt;5 yrs",
IF(AND(P624&gt;=5,P624&lt;=14),"5 - 14 yrs",
IF(AND(P624&gt;=15,P624&lt;=18),"15 - 18 yrs",
IF(AND(P624&gt;=19,P624&lt;=49),"19 - 49 yrs","50 yrs +")))))</f>
        <v>50 yrs +</v>
      </c>
      <c r="T624" s="183" t="s">
        <v>603</v>
      </c>
      <c r="U624" s="183"/>
      <c r="V624" s="183" t="s">
        <v>3289</v>
      </c>
      <c r="W624" s="183" t="s">
        <v>4566</v>
      </c>
      <c r="X624" s="183" t="s">
        <v>242</v>
      </c>
      <c r="Y624" s="186" t="str">
        <f>INDEX(info!$Y$2:$Y$192,MATCH(phc_8[[#This Row],[Sub_Category]],info!$X$2:$X$192,0))</f>
        <v>Accident/minor sugical and injuries</v>
      </c>
      <c r="Z624" s="186" t="str">
        <f t="array" ref="Z624">INDEX(info!$AA$2:$AA$192,MATCH(PHC!$X624&amp;PHC!$Y624,info!$X$2:$X$192&amp;info!$Y$2:$Y$192,0))</f>
        <v>Injury related</v>
      </c>
      <c r="AA624" s="183" t="s">
        <v>4570</v>
      </c>
      <c r="AB624" s="9" t="s">
        <v>654</v>
      </c>
      <c r="AC624" s="9" t="s">
        <v>654</v>
      </c>
      <c r="AD624" s="9" t="s">
        <v>654</v>
      </c>
      <c r="AE624" s="9" t="s">
        <v>654</v>
      </c>
      <c r="AF624" s="184"/>
      <c r="AG624" s="183"/>
      <c r="AH624" s="183"/>
      <c r="AI624" s="183"/>
      <c r="AJ624" s="183"/>
      <c r="AK624" s="9" t="s">
        <v>654</v>
      </c>
      <c r="AL624" s="183"/>
      <c r="AM624" s="186" t="str">
        <f>IF(AF624="","","Q"&amp;INT((MONTH(AF624)-1)/3)+1&amp;YEAR(AF624)&amp;#REF!&amp;T624)</f>
        <v/>
      </c>
      <c r="AN624" s="186" t="e">
        <f>IF(K624="","","Q"&amp;INT((MONTH(K624)-1)/3)+1&amp;YEAR(K624)&amp;#REF!)</f>
        <v>#REF!</v>
      </c>
    </row>
    <row r="625" spans="1:40" ht="20.100000000000001" customHeight="1" x14ac:dyDescent="0.25">
      <c r="A625" s="8">
        <v>623</v>
      </c>
      <c r="B625" s="8" t="s">
        <v>399</v>
      </c>
      <c r="C625" s="8" t="s">
        <v>1997</v>
      </c>
      <c r="D625" s="8" t="s">
        <v>2416</v>
      </c>
      <c r="E625" s="182" t="s">
        <v>1998</v>
      </c>
      <c r="F625" s="183" t="s">
        <v>2222</v>
      </c>
      <c r="G625" s="183"/>
      <c r="H625" s="183" t="s">
        <v>4392</v>
      </c>
      <c r="I625" s="183" t="s">
        <v>579</v>
      </c>
      <c r="J625" s="183"/>
      <c r="K625" s="184">
        <v>46069</v>
      </c>
      <c r="L625" s="183">
        <v>69</v>
      </c>
      <c r="M625" s="185" t="str">
        <f>IF(phc_8[[#This Row],[Register No.]]="","",C625&amp;"-"&amp;D625&amp;"-"&amp;"BHA-PHC-"&amp;phc_8[[#This Row],[Register No.]])</f>
        <v>Shining Star-Mobile Clinic-BHA-PHC-69</v>
      </c>
      <c r="N625" s="9" t="s">
        <v>401</v>
      </c>
      <c r="O625" s="183" t="s">
        <v>4563</v>
      </c>
      <c r="P625" s="183">
        <v>68</v>
      </c>
      <c r="Q625" s="183"/>
      <c r="R625" s="183"/>
      <c r="S625" s="186" t="str">
        <f t="shared" si="23"/>
        <v>50 yrs +</v>
      </c>
      <c r="T625" s="183" t="s">
        <v>402</v>
      </c>
      <c r="U625" s="183"/>
      <c r="V625" s="183" t="s">
        <v>4384</v>
      </c>
      <c r="W625" s="183" t="s">
        <v>2059</v>
      </c>
      <c r="X625" s="183" t="s">
        <v>242</v>
      </c>
      <c r="Y625" s="186" t="str">
        <f>INDEX(info!$Y$2:$Y$192,MATCH(phc_8[[#This Row],[Sub_Category]],info!$X$2:$X$192,0))</f>
        <v>Accident/minor sugical and injuries</v>
      </c>
      <c r="Z625" s="186" t="str">
        <f t="array" ref="Z625">INDEX(info!$AA$2:$AA$192,MATCH(PHC!$X625&amp;PHC!$Y625,info!$X$2:$X$192&amp;info!$Y$2:$Y$192,0))</f>
        <v>Injury related</v>
      </c>
      <c r="AA625" s="183" t="s">
        <v>4443</v>
      </c>
      <c r="AB625" s="9" t="s">
        <v>654</v>
      </c>
      <c r="AC625" s="9" t="s">
        <v>654</v>
      </c>
      <c r="AD625" s="9" t="s">
        <v>654</v>
      </c>
      <c r="AE625" s="9" t="s">
        <v>654</v>
      </c>
      <c r="AF625" s="184"/>
      <c r="AG625" s="183"/>
      <c r="AH625" s="183"/>
      <c r="AI625" s="183"/>
      <c r="AJ625" s="183"/>
      <c r="AK625" s="9" t="s">
        <v>654</v>
      </c>
      <c r="AL625" s="183"/>
      <c r="AM625" s="186" t="str">
        <f>IF(AF625="","","Q"&amp;INT((MONTH(AF625)-1)/3)+1&amp;YEAR(AF625)&amp;#REF!&amp;T625)</f>
        <v/>
      </c>
      <c r="AN625" s="186" t="e">
        <f>IF(K625="","","Q"&amp;INT((MONTH(K625)-1)/3)+1&amp;YEAR(K625)&amp;#REF!)</f>
        <v>#REF!</v>
      </c>
    </row>
    <row r="626" spans="1:40" ht="20.100000000000001" customHeight="1" x14ac:dyDescent="0.25">
      <c r="A626" s="8">
        <v>624</v>
      </c>
      <c r="B626" s="8" t="s">
        <v>399</v>
      </c>
      <c r="C626" s="8" t="s">
        <v>1997</v>
      </c>
      <c r="D626" s="8" t="s">
        <v>2416</v>
      </c>
      <c r="E626" s="182" t="s">
        <v>1998</v>
      </c>
      <c r="F626" s="183" t="s">
        <v>2222</v>
      </c>
      <c r="G626" s="183"/>
      <c r="H626" s="183" t="s">
        <v>4392</v>
      </c>
      <c r="I626" s="183" t="s">
        <v>579</v>
      </c>
      <c r="J626" s="183"/>
      <c r="K626" s="184">
        <v>46069</v>
      </c>
      <c r="L626" s="183">
        <v>70</v>
      </c>
      <c r="M626" s="185" t="str">
        <f>IF(phc_8[[#This Row],[Register No.]]="","",C626&amp;"-"&amp;D626&amp;"-"&amp;"BHA-PHC-"&amp;phc_8[[#This Row],[Register No.]])</f>
        <v>Shining Star-Mobile Clinic-BHA-PHC-70</v>
      </c>
      <c r="N626" s="9" t="s">
        <v>401</v>
      </c>
      <c r="O626" s="183" t="s">
        <v>3509</v>
      </c>
      <c r="P626" s="183">
        <v>70</v>
      </c>
      <c r="Q626" s="183"/>
      <c r="R626" s="183"/>
      <c r="S626" s="186" t="str">
        <f t="shared" si="23"/>
        <v>50 yrs +</v>
      </c>
      <c r="T626" s="183" t="s">
        <v>402</v>
      </c>
      <c r="U626" s="183"/>
      <c r="V626" s="183" t="s">
        <v>4564</v>
      </c>
      <c r="W626" s="183" t="s">
        <v>4567</v>
      </c>
      <c r="X626" s="183" t="s">
        <v>242</v>
      </c>
      <c r="Y626" s="186" t="str">
        <f>INDEX(info!$Y$2:$Y$192,MATCH(phc_8[[#This Row],[Sub_Category]],info!$X$2:$X$192,0))</f>
        <v>Accident/minor sugical and injuries</v>
      </c>
      <c r="Z626" s="186" t="str">
        <f t="array" ref="Z626">INDEX(info!$AA$2:$AA$192,MATCH(PHC!$X626&amp;PHC!$Y626,info!$X$2:$X$192&amp;info!$Y$2:$Y$192,0))</f>
        <v>Injury related</v>
      </c>
      <c r="AA626" s="183" t="s">
        <v>4571</v>
      </c>
      <c r="AB626" s="9" t="s">
        <v>654</v>
      </c>
      <c r="AC626" s="9" t="s">
        <v>654</v>
      </c>
      <c r="AD626" s="9" t="s">
        <v>654</v>
      </c>
      <c r="AE626" s="9" t="s">
        <v>654</v>
      </c>
      <c r="AF626" s="184"/>
      <c r="AG626" s="183"/>
      <c r="AH626" s="183"/>
      <c r="AI626" s="183"/>
      <c r="AJ626" s="183"/>
      <c r="AK626" s="9" t="s">
        <v>654</v>
      </c>
      <c r="AL626" s="183"/>
      <c r="AM626" s="186" t="str">
        <f>IF(AF626="","","Q"&amp;INT((MONTH(AF626)-1)/3)+1&amp;YEAR(AF626)&amp;#REF!&amp;T626)</f>
        <v/>
      </c>
      <c r="AN626" s="186" t="e">
        <f>IF(K626="","","Q"&amp;INT((MONTH(K626)-1)/3)+1&amp;YEAR(K626)&amp;#REF!)</f>
        <v>#REF!</v>
      </c>
    </row>
    <row r="627" spans="1:40" ht="20.100000000000001" customHeight="1" x14ac:dyDescent="0.25">
      <c r="A627" s="8">
        <v>625</v>
      </c>
      <c r="B627" s="8" t="s">
        <v>399</v>
      </c>
      <c r="C627" s="8" t="s">
        <v>1997</v>
      </c>
      <c r="D627" s="8" t="s">
        <v>2416</v>
      </c>
      <c r="E627" s="182" t="s">
        <v>1998</v>
      </c>
      <c r="F627" s="183" t="s">
        <v>2222</v>
      </c>
      <c r="G627" s="183"/>
      <c r="H627" s="183" t="s">
        <v>4392</v>
      </c>
      <c r="I627" s="183" t="s">
        <v>579</v>
      </c>
      <c r="J627" s="183"/>
      <c r="K627" s="184">
        <v>46069</v>
      </c>
      <c r="L627" s="183">
        <v>71</v>
      </c>
      <c r="M627" s="185" t="str">
        <f>IF(phc_8[[#This Row],[Register No.]]="","",C627&amp;"-"&amp;D627&amp;"-"&amp;"BHA-PHC-"&amp;phc_8[[#This Row],[Register No.]])</f>
        <v>Shining Star-Mobile Clinic-BHA-PHC-71</v>
      </c>
      <c r="N627" s="9" t="s">
        <v>401</v>
      </c>
      <c r="O627" s="183" t="s">
        <v>4572</v>
      </c>
      <c r="P627" s="183">
        <v>28</v>
      </c>
      <c r="Q627" s="183"/>
      <c r="R627" s="183"/>
      <c r="S627" s="186" t="str">
        <f t="shared" si="23"/>
        <v>19 - 49 yrs</v>
      </c>
      <c r="T627" s="183" t="s">
        <v>603</v>
      </c>
      <c r="U627" s="183"/>
      <c r="V627" s="183" t="s">
        <v>4576</v>
      </c>
      <c r="W627" s="183" t="s">
        <v>4579</v>
      </c>
      <c r="X627" s="183"/>
      <c r="Y627" s="186" t="e">
        <f>INDEX(info!$Y$2:$Y$192,MATCH(phc_8[[#This Row],[Sub_Category]],info!$X$2:$X$192,0))</f>
        <v>#N/A</v>
      </c>
      <c r="Z627" s="186" t="e">
        <f t="array" ref="Z627">INDEX(info!$AA$2:$AA$192,MATCH(PHC!$X627&amp;PHC!$Y627,info!$X$2:$X$192&amp;info!$Y$2:$Y$192,0))</f>
        <v>#N/A</v>
      </c>
      <c r="AA627" s="183" t="s">
        <v>4581</v>
      </c>
      <c r="AB627" s="9" t="s">
        <v>654</v>
      </c>
      <c r="AC627" s="9" t="s">
        <v>654</v>
      </c>
      <c r="AD627" s="9" t="s">
        <v>654</v>
      </c>
      <c r="AE627" s="9" t="s">
        <v>654</v>
      </c>
      <c r="AF627" s="184"/>
      <c r="AG627" s="183"/>
      <c r="AH627" s="183"/>
      <c r="AI627" s="183"/>
      <c r="AJ627" s="183"/>
      <c r="AK627" s="9" t="s">
        <v>654</v>
      </c>
      <c r="AL627" s="183"/>
      <c r="AM627" s="186" t="str">
        <f>IF(AF627="","","Q"&amp;INT((MONTH(AF627)-1)/3)+1&amp;YEAR(AF627)&amp;#REF!&amp;T627)</f>
        <v/>
      </c>
      <c r="AN627" s="186" t="e">
        <f>IF(K627="","","Q"&amp;INT((MONTH(K627)-1)/3)+1&amp;YEAR(K627)&amp;#REF!)</f>
        <v>#REF!</v>
      </c>
    </row>
    <row r="628" spans="1:40" ht="20.100000000000001" customHeight="1" x14ac:dyDescent="0.25">
      <c r="A628" s="8">
        <v>626</v>
      </c>
      <c r="B628" s="8" t="s">
        <v>399</v>
      </c>
      <c r="C628" s="8" t="s">
        <v>1997</v>
      </c>
      <c r="D628" s="8" t="s">
        <v>2416</v>
      </c>
      <c r="E628" s="182" t="s">
        <v>1998</v>
      </c>
      <c r="F628" s="183" t="s">
        <v>2222</v>
      </c>
      <c r="G628" s="183"/>
      <c r="H628" s="183" t="s">
        <v>4392</v>
      </c>
      <c r="I628" s="183" t="s">
        <v>579</v>
      </c>
      <c r="J628" s="183"/>
      <c r="K628" s="184">
        <v>46069</v>
      </c>
      <c r="L628" s="183">
        <v>72</v>
      </c>
      <c r="M628" s="185" t="str">
        <f>IF(phc_8[[#This Row],[Register No.]]="","",C628&amp;"-"&amp;D628&amp;"-"&amp;"BHA-PHC-"&amp;phc_8[[#This Row],[Register No.]])</f>
        <v>Shining Star-Mobile Clinic-BHA-PHC-72</v>
      </c>
      <c r="N628" s="9" t="s">
        <v>401</v>
      </c>
      <c r="O628" s="183" t="s">
        <v>4573</v>
      </c>
      <c r="P628" s="183">
        <v>8</v>
      </c>
      <c r="Q628" s="183"/>
      <c r="R628" s="183"/>
      <c r="S628" s="186" t="str">
        <f t="shared" si="23"/>
        <v>5 - 14 yrs</v>
      </c>
      <c r="T628" s="183" t="s">
        <v>603</v>
      </c>
      <c r="U628" s="183"/>
      <c r="V628" s="183" t="s">
        <v>4577</v>
      </c>
      <c r="W628" s="183" t="s">
        <v>258</v>
      </c>
      <c r="X628" s="183" t="s">
        <v>2014</v>
      </c>
      <c r="Y628" s="186" t="str">
        <f>INDEX(info!$Y$2:$Y$192,MATCH(phc_8[[#This Row],[Sub_Category]],info!$X$2:$X$192,0))</f>
        <v>Other (non-communicable)</v>
      </c>
      <c r="Z628" s="186" t="str">
        <f t="array" ref="Z628">INDEX(info!$AA$2:$AA$192,MATCH(PHC!$X628&amp;PHC!$Y628,info!$X$2:$X$192&amp;info!$Y$2:$Y$192,0))</f>
        <v>Other</v>
      </c>
      <c r="AA628" s="183" t="s">
        <v>4582</v>
      </c>
      <c r="AB628" s="9" t="s">
        <v>654</v>
      </c>
      <c r="AC628" s="9" t="s">
        <v>654</v>
      </c>
      <c r="AD628" s="9" t="s">
        <v>654</v>
      </c>
      <c r="AE628" s="9" t="s">
        <v>654</v>
      </c>
      <c r="AF628" s="184"/>
      <c r="AG628" s="183"/>
      <c r="AH628" s="183"/>
      <c r="AI628" s="183"/>
      <c r="AJ628" s="183"/>
      <c r="AK628" s="9" t="s">
        <v>654</v>
      </c>
      <c r="AL628" s="183"/>
      <c r="AM628" s="186" t="str">
        <f>IF(AF628="","","Q"&amp;INT((MONTH(AF628)-1)/3)+1&amp;YEAR(AF628)&amp;#REF!&amp;T628)</f>
        <v/>
      </c>
      <c r="AN628" s="186" t="e">
        <f>IF(K628="","","Q"&amp;INT((MONTH(K628)-1)/3)+1&amp;YEAR(K628)&amp;#REF!)</f>
        <v>#REF!</v>
      </c>
    </row>
    <row r="629" spans="1:40" ht="20.100000000000001" customHeight="1" x14ac:dyDescent="0.25">
      <c r="A629" s="8">
        <v>627</v>
      </c>
      <c r="B629" s="8" t="s">
        <v>399</v>
      </c>
      <c r="C629" s="8" t="s">
        <v>1997</v>
      </c>
      <c r="D629" s="8" t="s">
        <v>2416</v>
      </c>
      <c r="E629" s="182" t="s">
        <v>1998</v>
      </c>
      <c r="F629" s="183" t="s">
        <v>2222</v>
      </c>
      <c r="G629" s="183"/>
      <c r="H629" s="183" t="s">
        <v>4392</v>
      </c>
      <c r="I629" s="183" t="s">
        <v>579</v>
      </c>
      <c r="J629" s="183"/>
      <c r="K629" s="184">
        <v>46069</v>
      </c>
      <c r="L629" s="183">
        <v>73</v>
      </c>
      <c r="M629" s="185" t="str">
        <f>IF(phc_8[[#This Row],[Register No.]]="","",C629&amp;"-"&amp;D629&amp;"-"&amp;"BHA-PHC-"&amp;phc_8[[#This Row],[Register No.]])</f>
        <v>Shining Star-Mobile Clinic-BHA-PHC-73</v>
      </c>
      <c r="N629" s="9" t="s">
        <v>401</v>
      </c>
      <c r="O629" s="183" t="s">
        <v>2214</v>
      </c>
      <c r="P629" s="183">
        <v>57</v>
      </c>
      <c r="Q629" s="183"/>
      <c r="R629" s="183"/>
      <c r="S629" s="186" t="str">
        <f t="shared" si="23"/>
        <v>50 yrs +</v>
      </c>
      <c r="T629" s="183" t="s">
        <v>402</v>
      </c>
      <c r="U629" s="183"/>
      <c r="V629" s="183" t="s">
        <v>4578</v>
      </c>
      <c r="W629" s="183" t="s">
        <v>258</v>
      </c>
      <c r="X629" s="183" t="s">
        <v>2014</v>
      </c>
      <c r="Y629" s="186" t="str">
        <f>INDEX(info!$Y$2:$Y$192,MATCH(phc_8[[#This Row],[Sub_Category]],info!$X$2:$X$192,0))</f>
        <v>Other (non-communicable)</v>
      </c>
      <c r="Z629" s="186" t="str">
        <f t="array" ref="Z629">INDEX(info!$AA$2:$AA$192,MATCH(PHC!$X629&amp;PHC!$Y629,info!$X$2:$X$192&amp;info!$Y$2:$Y$192,0))</f>
        <v>Other</v>
      </c>
      <c r="AA629" s="183" t="s">
        <v>3445</v>
      </c>
      <c r="AB629" s="9" t="s">
        <v>654</v>
      </c>
      <c r="AC629" s="9" t="s">
        <v>654</v>
      </c>
      <c r="AD629" s="9" t="s">
        <v>654</v>
      </c>
      <c r="AE629" s="9" t="s">
        <v>654</v>
      </c>
      <c r="AF629" s="184"/>
      <c r="AG629" s="183"/>
      <c r="AH629" s="183"/>
      <c r="AI629" s="183"/>
      <c r="AJ629" s="183"/>
      <c r="AK629" s="9" t="s">
        <v>654</v>
      </c>
      <c r="AL629" s="183"/>
      <c r="AM629" s="186" t="str">
        <f>IF(AF629="","","Q"&amp;INT((MONTH(AF629)-1)/3)+1&amp;YEAR(AF629)&amp;#REF!&amp;T629)</f>
        <v/>
      </c>
      <c r="AN629" s="186" t="e">
        <f>IF(K629="","","Q"&amp;INT((MONTH(K629)-1)/3)+1&amp;YEAR(K629)&amp;#REF!)</f>
        <v>#REF!</v>
      </c>
    </row>
    <row r="630" spans="1:40" ht="20.100000000000001" customHeight="1" x14ac:dyDescent="0.25">
      <c r="A630" s="8">
        <v>628</v>
      </c>
      <c r="B630" s="8" t="s">
        <v>399</v>
      </c>
      <c r="C630" s="8" t="s">
        <v>1997</v>
      </c>
      <c r="D630" s="8" t="s">
        <v>2416</v>
      </c>
      <c r="E630" s="182" t="s">
        <v>1998</v>
      </c>
      <c r="F630" s="183" t="s">
        <v>2222</v>
      </c>
      <c r="G630" s="183"/>
      <c r="H630" s="183" t="s">
        <v>4392</v>
      </c>
      <c r="I630" s="183" t="s">
        <v>579</v>
      </c>
      <c r="J630" s="183"/>
      <c r="K630" s="184">
        <v>46069</v>
      </c>
      <c r="L630" s="183">
        <v>74</v>
      </c>
      <c r="M630" s="185" t="str">
        <f>IF(phc_8[[#This Row],[Register No.]]="","",C630&amp;"-"&amp;D630&amp;"-"&amp;"BHA-PHC-"&amp;phc_8[[#This Row],[Register No.]])</f>
        <v>Shining Star-Mobile Clinic-BHA-PHC-74</v>
      </c>
      <c r="N630" s="9" t="s">
        <v>401</v>
      </c>
      <c r="O630" s="183" t="s">
        <v>4574</v>
      </c>
      <c r="P630" s="183">
        <v>64</v>
      </c>
      <c r="Q630" s="183"/>
      <c r="R630" s="183"/>
      <c r="S630" s="186" t="str">
        <f t="shared" si="23"/>
        <v>50 yrs +</v>
      </c>
      <c r="T630" s="183" t="s">
        <v>603</v>
      </c>
      <c r="U630" s="183"/>
      <c r="V630" s="183" t="s">
        <v>3670</v>
      </c>
      <c r="W630" s="183" t="s">
        <v>2003</v>
      </c>
      <c r="X630" s="183" t="s">
        <v>181</v>
      </c>
      <c r="Y630" s="186" t="str">
        <f>INDEX(info!$Y$2:$Y$192,MATCH(phc_8[[#This Row],[Sub_Category]],info!$X$2:$X$192,0))</f>
        <v>Chronic medical disease</v>
      </c>
      <c r="Z630" s="186" t="str">
        <f t="array" ref="Z630">INDEX(info!$AA$2:$AA$192,MATCH(PHC!$X630&amp;PHC!$Y630,info!$X$2:$X$192&amp;info!$Y$2:$Y$192,0))</f>
        <v>Non-communicable disease</v>
      </c>
      <c r="AA630" s="183" t="s">
        <v>4583</v>
      </c>
      <c r="AB630" s="9" t="s">
        <v>654</v>
      </c>
      <c r="AC630" s="9" t="s">
        <v>654</v>
      </c>
      <c r="AD630" s="9" t="s">
        <v>654</v>
      </c>
      <c r="AE630" s="9" t="s">
        <v>654</v>
      </c>
      <c r="AF630" s="184"/>
      <c r="AG630" s="183"/>
      <c r="AH630" s="183"/>
      <c r="AI630" s="183"/>
      <c r="AJ630" s="183"/>
      <c r="AK630" s="9" t="s">
        <v>654</v>
      </c>
      <c r="AL630" s="183"/>
      <c r="AM630" s="186" t="str">
        <f>IF(AF630="","","Q"&amp;INT((MONTH(AF630)-1)/3)+1&amp;YEAR(AF630)&amp;#REF!&amp;T630)</f>
        <v/>
      </c>
      <c r="AN630" s="186" t="e">
        <f>IF(K630="","","Q"&amp;INT((MONTH(K630)-1)/3)+1&amp;YEAR(K630)&amp;#REF!)</f>
        <v>#REF!</v>
      </c>
    </row>
    <row r="631" spans="1:40" ht="20.100000000000001" customHeight="1" x14ac:dyDescent="0.25">
      <c r="A631" s="8">
        <v>629</v>
      </c>
      <c r="B631" s="8" t="s">
        <v>399</v>
      </c>
      <c r="C631" s="8" t="s">
        <v>1997</v>
      </c>
      <c r="D631" s="8" t="s">
        <v>2416</v>
      </c>
      <c r="E631" s="182" t="s">
        <v>1998</v>
      </c>
      <c r="F631" s="183" t="s">
        <v>2222</v>
      </c>
      <c r="G631" s="183"/>
      <c r="H631" s="183" t="s">
        <v>4392</v>
      </c>
      <c r="I631" s="183" t="s">
        <v>579</v>
      </c>
      <c r="J631" s="183"/>
      <c r="K631" s="184">
        <v>46069</v>
      </c>
      <c r="L631" s="183">
        <v>75</v>
      </c>
      <c r="M631" s="185" t="str">
        <f>IF(phc_8[[#This Row],[Register No.]]="","",C631&amp;"-"&amp;D631&amp;"-"&amp;"BHA-PHC-"&amp;phc_8[[#This Row],[Register No.]])</f>
        <v>Shining Star-Mobile Clinic-BHA-PHC-75</v>
      </c>
      <c r="N631" s="9" t="s">
        <v>401</v>
      </c>
      <c r="O631" s="183" t="s">
        <v>4575</v>
      </c>
      <c r="P631" s="183">
        <v>58</v>
      </c>
      <c r="Q631" s="183"/>
      <c r="R631" s="183"/>
      <c r="S631" s="186" t="str">
        <f t="shared" si="23"/>
        <v>50 yrs +</v>
      </c>
      <c r="T631" s="183" t="s">
        <v>402</v>
      </c>
      <c r="U631" s="183"/>
      <c r="V631" s="183" t="s">
        <v>3289</v>
      </c>
      <c r="W631" s="183" t="s">
        <v>4580</v>
      </c>
      <c r="X631" s="183" t="s">
        <v>242</v>
      </c>
      <c r="Y631" s="186" t="str">
        <f>INDEX(info!$Y$2:$Y$192,MATCH(phc_8[[#This Row],[Sub_Category]],info!$X$2:$X$192,0))</f>
        <v>Accident/minor sugical and injuries</v>
      </c>
      <c r="Z631" s="186" t="str">
        <f t="array" ref="Z631">INDEX(info!$AA$2:$AA$192,MATCH(PHC!$X631&amp;PHC!$Y631,info!$X$2:$X$192&amp;info!$Y$2:$Y$192,0))</f>
        <v>Injury related</v>
      </c>
      <c r="AA631" s="183" t="s">
        <v>4584</v>
      </c>
      <c r="AB631" s="9" t="s">
        <v>654</v>
      </c>
      <c r="AC631" s="9" t="s">
        <v>654</v>
      </c>
      <c r="AD631" s="9" t="s">
        <v>654</v>
      </c>
      <c r="AE631" s="9" t="s">
        <v>654</v>
      </c>
      <c r="AF631" s="184"/>
      <c r="AG631" s="183"/>
      <c r="AH631" s="183"/>
      <c r="AI631" s="183"/>
      <c r="AJ631" s="183"/>
      <c r="AK631" s="9" t="s">
        <v>654</v>
      </c>
      <c r="AL631" s="183"/>
      <c r="AM631" s="186" t="str">
        <f>IF(AF631="","","Q"&amp;INT((MONTH(AF631)-1)/3)+1&amp;YEAR(AF631)&amp;#REF!&amp;T631)</f>
        <v/>
      </c>
      <c r="AN631" s="186" t="e">
        <f>IF(K631="","","Q"&amp;INT((MONTH(K631)-1)/3)+1&amp;YEAR(K631)&amp;#REF!)</f>
        <v>#REF!</v>
      </c>
    </row>
    <row r="632" spans="1:40" ht="20.100000000000001" customHeight="1" x14ac:dyDescent="0.25">
      <c r="A632" s="8">
        <v>630</v>
      </c>
      <c r="B632" s="8" t="s">
        <v>399</v>
      </c>
      <c r="C632" s="8" t="s">
        <v>1997</v>
      </c>
      <c r="D632" s="8" t="s">
        <v>2416</v>
      </c>
      <c r="E632" s="182" t="s">
        <v>1998</v>
      </c>
      <c r="F632" s="183" t="s">
        <v>2222</v>
      </c>
      <c r="G632" s="183"/>
      <c r="H632" s="183" t="s">
        <v>4392</v>
      </c>
      <c r="I632" s="183" t="s">
        <v>579</v>
      </c>
      <c r="J632" s="183"/>
      <c r="K632" s="184">
        <v>46069</v>
      </c>
      <c r="L632" s="183">
        <v>76</v>
      </c>
      <c r="M632" s="185" t="str">
        <f>IF(phc_8[[#This Row],[Register No.]]="","",C632&amp;"-"&amp;D632&amp;"-"&amp;"BHA-PHC-"&amp;phc_8[[#This Row],[Register No.]])</f>
        <v>Shining Star-Mobile Clinic-BHA-PHC-76</v>
      </c>
      <c r="N632" s="9" t="s">
        <v>401</v>
      </c>
      <c r="O632" s="183" t="s">
        <v>4585</v>
      </c>
      <c r="P632" s="183">
        <v>45</v>
      </c>
      <c r="Q632" s="183"/>
      <c r="R632" s="183"/>
      <c r="S632" s="186" t="str">
        <f t="shared" ref="S632:S665" si="24">IF(AND(ISBLANK(P632),ISBLANK(Q632),ISBLANK(R632))," ",
IF(OR(P632&lt;5,AND(P632=" ",Q632&lt;&gt;" ",R632&lt;&gt;" ")),"&lt;5 yrs",
IF(AND(P632&gt;=5,P632&lt;=14),"5 - 14 yrs",
IF(AND(P632&gt;=15,P632&lt;=18),"15 - 18 yrs",
IF(AND(P632&gt;=19,P632&lt;=49),"19 - 49 yrs","50 yrs +")))))</f>
        <v>19 - 49 yrs</v>
      </c>
      <c r="T632" s="183" t="s">
        <v>603</v>
      </c>
      <c r="U632" s="183"/>
      <c r="V632" s="183" t="s">
        <v>2041</v>
      </c>
      <c r="W632" s="183" t="s">
        <v>242</v>
      </c>
      <c r="X632" s="183" t="s">
        <v>242</v>
      </c>
      <c r="Y632" s="186" t="str">
        <f>INDEX(info!$Y$2:$Y$192,MATCH(phc_8[[#This Row],[Sub_Category]],info!$X$2:$X$192,0))</f>
        <v>Accident/minor sugical and injuries</v>
      </c>
      <c r="Z632" s="186" t="str">
        <f t="array" ref="Z632">INDEX(info!$AA$2:$AA$192,MATCH(PHC!$X632&amp;PHC!$Y632,info!$X$2:$X$192&amp;info!$Y$2:$Y$192,0))</f>
        <v>Injury related</v>
      </c>
      <c r="AA632" s="183" t="s">
        <v>2049</v>
      </c>
      <c r="AB632" s="9" t="s">
        <v>654</v>
      </c>
      <c r="AC632" s="9" t="s">
        <v>654</v>
      </c>
      <c r="AD632" s="9" t="s">
        <v>654</v>
      </c>
      <c r="AE632" s="9" t="s">
        <v>654</v>
      </c>
      <c r="AF632" s="184"/>
      <c r="AG632" s="183"/>
      <c r="AH632" s="183"/>
      <c r="AI632" s="183"/>
      <c r="AJ632" s="183"/>
      <c r="AK632" s="9" t="s">
        <v>654</v>
      </c>
      <c r="AL632" s="183"/>
      <c r="AM632" s="186" t="str">
        <f>IF(AF632="","","Q"&amp;INT((MONTH(AF632)-1)/3)+1&amp;YEAR(AF632)&amp;#REF!&amp;T632)</f>
        <v/>
      </c>
      <c r="AN632" s="186" t="e">
        <f>IF(K632="","","Q"&amp;INT((MONTH(K632)-1)/3)+1&amp;YEAR(K632)&amp;#REF!)</f>
        <v>#REF!</v>
      </c>
    </row>
    <row r="633" spans="1:40" ht="20.100000000000001" customHeight="1" x14ac:dyDescent="0.25">
      <c r="A633" s="8">
        <v>631</v>
      </c>
      <c r="B633" s="8" t="s">
        <v>399</v>
      </c>
      <c r="C633" s="8" t="s">
        <v>1997</v>
      </c>
      <c r="D633" s="8" t="s">
        <v>2416</v>
      </c>
      <c r="E633" s="182" t="s">
        <v>1998</v>
      </c>
      <c r="F633" s="183" t="s">
        <v>2222</v>
      </c>
      <c r="G633" s="183"/>
      <c r="H633" s="183" t="s">
        <v>4392</v>
      </c>
      <c r="I633" s="183" t="s">
        <v>579</v>
      </c>
      <c r="J633" s="183"/>
      <c r="K633" s="184">
        <v>46069</v>
      </c>
      <c r="L633" s="183">
        <v>77</v>
      </c>
      <c r="M633" s="185" t="str">
        <f>IF(phc_8[[#This Row],[Register No.]]="","",C633&amp;"-"&amp;D633&amp;"-"&amp;"BHA-PHC-"&amp;phc_8[[#This Row],[Register No.]])</f>
        <v>Shining Star-Mobile Clinic-BHA-PHC-77</v>
      </c>
      <c r="N633" s="9" t="s">
        <v>401</v>
      </c>
      <c r="O633" s="183" t="s">
        <v>4586</v>
      </c>
      <c r="P633" s="183">
        <v>38</v>
      </c>
      <c r="Q633" s="183"/>
      <c r="R633" s="183"/>
      <c r="S633" s="186" t="str">
        <f t="shared" si="24"/>
        <v>19 - 49 yrs</v>
      </c>
      <c r="T633" s="183" t="s">
        <v>603</v>
      </c>
      <c r="U633" s="183"/>
      <c r="V633" s="183" t="s">
        <v>4590</v>
      </c>
      <c r="W633" s="183" t="s">
        <v>4593</v>
      </c>
      <c r="X633" s="183"/>
      <c r="Y633" s="186" t="e">
        <f>INDEX(info!$Y$2:$Y$192,MATCH(phc_8[[#This Row],[Sub_Category]],info!$X$2:$X$192,0))</f>
        <v>#N/A</v>
      </c>
      <c r="Z633" s="186" t="e">
        <f t="array" ref="Z633">INDEX(info!$AA$2:$AA$192,MATCH(PHC!$X633&amp;PHC!$Y633,info!$X$2:$X$192&amp;info!$Y$2:$Y$192,0))</f>
        <v>#N/A</v>
      </c>
      <c r="AA633" s="183" t="s">
        <v>3419</v>
      </c>
      <c r="AB633" s="9" t="s">
        <v>654</v>
      </c>
      <c r="AC633" s="9" t="s">
        <v>654</v>
      </c>
      <c r="AD633" s="9" t="s">
        <v>654</v>
      </c>
      <c r="AE633" s="9" t="s">
        <v>654</v>
      </c>
      <c r="AF633" s="184"/>
      <c r="AG633" s="183"/>
      <c r="AH633" s="183"/>
      <c r="AI633" s="183"/>
      <c r="AJ633" s="183"/>
      <c r="AK633" s="9" t="s">
        <v>654</v>
      </c>
      <c r="AL633" s="183"/>
      <c r="AM633" s="186" t="str">
        <f>IF(AF633="","","Q"&amp;INT((MONTH(AF633)-1)/3)+1&amp;YEAR(AF633)&amp;#REF!&amp;T633)</f>
        <v/>
      </c>
      <c r="AN633" s="186" t="e">
        <f>IF(K633="","","Q"&amp;INT((MONTH(K633)-1)/3)+1&amp;YEAR(K633)&amp;#REF!)</f>
        <v>#REF!</v>
      </c>
    </row>
    <row r="634" spans="1:40" ht="20.100000000000001" customHeight="1" x14ac:dyDescent="0.25">
      <c r="A634" s="8">
        <v>632</v>
      </c>
      <c r="B634" s="8" t="s">
        <v>399</v>
      </c>
      <c r="C634" s="8" t="s">
        <v>1997</v>
      </c>
      <c r="D634" s="8" t="s">
        <v>2416</v>
      </c>
      <c r="E634" s="182" t="s">
        <v>1998</v>
      </c>
      <c r="F634" s="183" t="s">
        <v>2222</v>
      </c>
      <c r="G634" s="183"/>
      <c r="H634" s="183" t="s">
        <v>4392</v>
      </c>
      <c r="I634" s="183" t="s">
        <v>579</v>
      </c>
      <c r="J634" s="183"/>
      <c r="K634" s="184">
        <v>46069</v>
      </c>
      <c r="L634" s="183">
        <v>78</v>
      </c>
      <c r="M634" s="185" t="str">
        <f>IF(phc_8[[#This Row],[Register No.]]="","",C634&amp;"-"&amp;D634&amp;"-"&amp;"BHA-PHC-"&amp;phc_8[[#This Row],[Register No.]])</f>
        <v>Shining Star-Mobile Clinic-BHA-PHC-78</v>
      </c>
      <c r="N634" s="9" t="s">
        <v>401</v>
      </c>
      <c r="O634" s="183" t="s">
        <v>4587</v>
      </c>
      <c r="P634" s="183"/>
      <c r="Q634" s="183"/>
      <c r="R634" s="183">
        <v>21</v>
      </c>
      <c r="S634" s="186" t="str">
        <f t="shared" si="24"/>
        <v>&lt;5 yrs</v>
      </c>
      <c r="T634" s="183" t="s">
        <v>603</v>
      </c>
      <c r="U634" s="183"/>
      <c r="V634" s="183"/>
      <c r="W634" s="183"/>
      <c r="X634" s="183"/>
      <c r="Y634" s="186" t="e">
        <f>INDEX(info!$Y$2:$Y$192,MATCH(phc_8[[#This Row],[Sub_Category]],info!$X$2:$X$192,0))</f>
        <v>#N/A</v>
      </c>
      <c r="Z634" s="186" t="e">
        <f t="array" ref="Z634">INDEX(info!$AA$2:$AA$192,MATCH(PHC!$X634&amp;PHC!$Y634,info!$X$2:$X$192&amp;info!$Y$2:$Y$192,0))</f>
        <v>#N/A</v>
      </c>
      <c r="AA634" s="183" t="s">
        <v>3969</v>
      </c>
      <c r="AB634" s="9" t="s">
        <v>654</v>
      </c>
      <c r="AC634" s="9" t="s">
        <v>654</v>
      </c>
      <c r="AD634" s="9" t="s">
        <v>654</v>
      </c>
      <c r="AE634" s="9" t="s">
        <v>654</v>
      </c>
      <c r="AF634" s="184"/>
      <c r="AG634" s="183"/>
      <c r="AH634" s="183"/>
      <c r="AI634" s="183"/>
      <c r="AJ634" s="183"/>
      <c r="AK634" s="9" t="s">
        <v>654</v>
      </c>
      <c r="AL634" s="183"/>
      <c r="AM634" s="186" t="str">
        <f>IF(AF634="","","Q"&amp;INT((MONTH(AF634)-1)/3)+1&amp;YEAR(AF634)&amp;#REF!&amp;T634)</f>
        <v/>
      </c>
      <c r="AN634" s="186" t="e">
        <f>IF(K634="","","Q"&amp;INT((MONTH(K634)-1)/3)+1&amp;YEAR(K634)&amp;#REF!)</f>
        <v>#REF!</v>
      </c>
    </row>
    <row r="635" spans="1:40" ht="20.100000000000001" customHeight="1" x14ac:dyDescent="0.25">
      <c r="A635" s="8">
        <v>633</v>
      </c>
      <c r="B635" s="8" t="s">
        <v>399</v>
      </c>
      <c r="C635" s="8" t="s">
        <v>1997</v>
      </c>
      <c r="D635" s="8" t="s">
        <v>2416</v>
      </c>
      <c r="E635" s="182" t="s">
        <v>1998</v>
      </c>
      <c r="F635" s="183" t="s">
        <v>2222</v>
      </c>
      <c r="G635" s="183"/>
      <c r="H635" s="183" t="s">
        <v>4392</v>
      </c>
      <c r="I635" s="183" t="s">
        <v>579</v>
      </c>
      <c r="J635" s="183"/>
      <c r="K635" s="184">
        <v>46069</v>
      </c>
      <c r="L635" s="183">
        <v>79</v>
      </c>
      <c r="M635" s="185" t="str">
        <f>IF(phc_8[[#This Row],[Register No.]]="","",C635&amp;"-"&amp;D635&amp;"-"&amp;"BHA-PHC-"&amp;phc_8[[#This Row],[Register No.]])</f>
        <v>Shining Star-Mobile Clinic-BHA-PHC-79</v>
      </c>
      <c r="N635" s="9" t="s">
        <v>401</v>
      </c>
      <c r="O635" s="183" t="s">
        <v>4588</v>
      </c>
      <c r="P635" s="183">
        <v>52</v>
      </c>
      <c r="Q635" s="183"/>
      <c r="R635" s="183"/>
      <c r="S635" s="186" t="str">
        <f t="shared" si="24"/>
        <v>50 yrs +</v>
      </c>
      <c r="T635" s="183" t="s">
        <v>603</v>
      </c>
      <c r="U635" s="183"/>
      <c r="V635" s="183" t="s">
        <v>4591</v>
      </c>
      <c r="W635" s="183" t="s">
        <v>294</v>
      </c>
      <c r="X635" s="183" t="s">
        <v>294</v>
      </c>
      <c r="Y635" s="186" t="str">
        <f>INDEX(info!$Y$2:$Y$192,MATCH(phc_8[[#This Row],[Sub_Category]],info!$X$2:$X$192,0))</f>
        <v>Other (non-communicable)</v>
      </c>
      <c r="Z635" s="186" t="str">
        <f t="array" ref="Z635">INDEX(info!$AA$2:$AA$192,MATCH(PHC!$X635&amp;PHC!$Y635,info!$X$2:$X$192&amp;info!$Y$2:$Y$192,0))</f>
        <v>Other</v>
      </c>
      <c r="AA635" s="183" t="s">
        <v>4443</v>
      </c>
      <c r="AB635" s="9" t="s">
        <v>654</v>
      </c>
      <c r="AC635" s="9" t="s">
        <v>654</v>
      </c>
      <c r="AD635" s="9" t="s">
        <v>654</v>
      </c>
      <c r="AE635" s="9" t="s">
        <v>654</v>
      </c>
      <c r="AF635" s="184"/>
      <c r="AG635" s="183"/>
      <c r="AH635" s="183"/>
      <c r="AI635" s="183"/>
      <c r="AJ635" s="183"/>
      <c r="AK635" s="9" t="s">
        <v>654</v>
      </c>
      <c r="AL635" s="183"/>
      <c r="AM635" s="186" t="str">
        <f>IF(AF635="","","Q"&amp;INT((MONTH(AF635)-1)/3)+1&amp;YEAR(AF635)&amp;#REF!&amp;T635)</f>
        <v/>
      </c>
      <c r="AN635" s="186" t="e">
        <f>IF(K635="","","Q"&amp;INT((MONTH(K635)-1)/3)+1&amp;YEAR(K635)&amp;#REF!)</f>
        <v>#REF!</v>
      </c>
    </row>
    <row r="636" spans="1:40" ht="20.100000000000001" customHeight="1" x14ac:dyDescent="0.25">
      <c r="A636" s="8">
        <v>634</v>
      </c>
      <c r="B636" s="8" t="s">
        <v>399</v>
      </c>
      <c r="C636" s="8" t="s">
        <v>1997</v>
      </c>
      <c r="D636" s="8" t="s">
        <v>2416</v>
      </c>
      <c r="E636" s="182" t="s">
        <v>1998</v>
      </c>
      <c r="F636" s="183" t="s">
        <v>2222</v>
      </c>
      <c r="G636" s="183"/>
      <c r="H636" s="183" t="s">
        <v>4392</v>
      </c>
      <c r="I636" s="183" t="s">
        <v>579</v>
      </c>
      <c r="J636" s="183"/>
      <c r="K636" s="184">
        <v>46069</v>
      </c>
      <c r="L636" s="183">
        <v>80</v>
      </c>
      <c r="M636" s="185" t="str">
        <f>IF(phc_8[[#This Row],[Register No.]]="","",C636&amp;"-"&amp;D636&amp;"-"&amp;"BHA-PHC-"&amp;phc_8[[#This Row],[Register No.]])</f>
        <v>Shining Star-Mobile Clinic-BHA-PHC-80</v>
      </c>
      <c r="N636" s="9" t="s">
        <v>401</v>
      </c>
      <c r="O636" s="183" t="s">
        <v>4589</v>
      </c>
      <c r="P636" s="183">
        <v>63</v>
      </c>
      <c r="Q636" s="183"/>
      <c r="R636" s="183"/>
      <c r="S636" s="186" t="str">
        <f t="shared" si="24"/>
        <v>50 yrs +</v>
      </c>
      <c r="T636" s="183" t="s">
        <v>603</v>
      </c>
      <c r="U636" s="183"/>
      <c r="V636" s="183" t="s">
        <v>4592</v>
      </c>
      <c r="W636" s="183" t="s">
        <v>4594</v>
      </c>
      <c r="X636" s="183" t="s">
        <v>46</v>
      </c>
      <c r="Y636" s="186" t="str">
        <f>INDEX(info!$Y$2:$Y$192,MATCH(phc_8[[#This Row],[Sub_Category]],info!$X$2:$X$192,0))</f>
        <v>Diarrhoea/ GE</v>
      </c>
      <c r="Z636" s="186" t="str">
        <f t="array" ref="Z636">INDEX(info!$AA$2:$AA$192,MATCH(PHC!$X636&amp;PHC!$Y636,info!$X$2:$X$192&amp;info!$Y$2:$Y$192,0))</f>
        <v>Communicable disease</v>
      </c>
      <c r="AA636" s="183" t="s">
        <v>4595</v>
      </c>
      <c r="AB636" s="9" t="s">
        <v>654</v>
      </c>
      <c r="AC636" s="9" t="s">
        <v>654</v>
      </c>
      <c r="AD636" s="9" t="s">
        <v>654</v>
      </c>
      <c r="AE636" s="9" t="s">
        <v>654</v>
      </c>
      <c r="AF636" s="184"/>
      <c r="AG636" s="183"/>
      <c r="AH636" s="183"/>
      <c r="AI636" s="183"/>
      <c r="AJ636" s="183"/>
      <c r="AK636" s="9" t="s">
        <v>654</v>
      </c>
      <c r="AL636" s="183"/>
      <c r="AM636" s="186" t="str">
        <f>IF(AF636="","","Q"&amp;INT((MONTH(AF636)-1)/3)+1&amp;YEAR(AF636)&amp;#REF!&amp;T636)</f>
        <v/>
      </c>
      <c r="AN636" s="186" t="e">
        <f>IF(K636="","","Q"&amp;INT((MONTH(K636)-1)/3)+1&amp;YEAR(K636)&amp;#REF!)</f>
        <v>#REF!</v>
      </c>
    </row>
    <row r="637" spans="1:40" ht="20.100000000000001" customHeight="1" x14ac:dyDescent="0.25">
      <c r="A637" s="8">
        <v>635</v>
      </c>
      <c r="B637" s="8" t="s">
        <v>399</v>
      </c>
      <c r="C637" s="8" t="s">
        <v>1997</v>
      </c>
      <c r="D637" s="8" t="s">
        <v>2416</v>
      </c>
      <c r="E637" s="182" t="s">
        <v>1998</v>
      </c>
      <c r="F637" s="183" t="s">
        <v>2222</v>
      </c>
      <c r="G637" s="183"/>
      <c r="H637" s="183" t="s">
        <v>4392</v>
      </c>
      <c r="I637" s="183" t="s">
        <v>579</v>
      </c>
      <c r="J637" s="183"/>
      <c r="K637" s="184">
        <v>46069</v>
      </c>
      <c r="L637" s="183">
        <v>81</v>
      </c>
      <c r="M637" s="185" t="str">
        <f>IF(phc_8[[#This Row],[Register No.]]="","",C637&amp;"-"&amp;D637&amp;"-"&amp;"BHA-PHC-"&amp;phc_8[[#This Row],[Register No.]])</f>
        <v>Shining Star-Mobile Clinic-BHA-PHC-81</v>
      </c>
      <c r="N637" s="9" t="s">
        <v>401</v>
      </c>
      <c r="O637" s="183" t="s">
        <v>4596</v>
      </c>
      <c r="P637" s="183">
        <v>50</v>
      </c>
      <c r="Q637" s="183"/>
      <c r="R637" s="183"/>
      <c r="S637" s="186" t="str">
        <f t="shared" si="24"/>
        <v>50 yrs +</v>
      </c>
      <c r="T637" s="183" t="s">
        <v>603</v>
      </c>
      <c r="U637" s="183"/>
      <c r="V637" s="183" t="s">
        <v>4597</v>
      </c>
      <c r="W637" s="183" t="s">
        <v>2003</v>
      </c>
      <c r="X637" s="183" t="s">
        <v>181</v>
      </c>
      <c r="Y637" s="186" t="str">
        <f>INDEX(info!$Y$2:$Y$192,MATCH(phc_8[[#This Row],[Sub_Category]],info!$X$2:$X$192,0))</f>
        <v>Chronic medical disease</v>
      </c>
      <c r="Z637" s="186" t="str">
        <f t="array" ref="Z637">INDEX(info!$AA$2:$AA$192,MATCH(PHC!$X637&amp;PHC!$Y637,info!$X$2:$X$192&amp;info!$Y$2:$Y$192,0))</f>
        <v>Non-communicable disease</v>
      </c>
      <c r="AA637" s="183" t="s">
        <v>4260</v>
      </c>
      <c r="AB637" s="9" t="s">
        <v>654</v>
      </c>
      <c r="AC637" s="9" t="s">
        <v>654</v>
      </c>
      <c r="AD637" s="9" t="s">
        <v>654</v>
      </c>
      <c r="AE637" s="9" t="s">
        <v>654</v>
      </c>
      <c r="AF637" s="184"/>
      <c r="AG637" s="183"/>
      <c r="AH637" s="183"/>
      <c r="AI637" s="183"/>
      <c r="AJ637" s="183"/>
      <c r="AK637" s="9" t="s">
        <v>654</v>
      </c>
      <c r="AL637" s="183"/>
      <c r="AM637" s="186" t="str">
        <f>IF(AF637="","","Q"&amp;INT((MONTH(AF637)-1)/3)+1&amp;YEAR(AF637)&amp;#REF!&amp;T637)</f>
        <v/>
      </c>
      <c r="AN637" s="186" t="e">
        <f>IF(K637="","","Q"&amp;INT((MONTH(K637)-1)/3)+1&amp;YEAR(K637)&amp;#REF!)</f>
        <v>#REF!</v>
      </c>
    </row>
    <row r="638" spans="1:40" ht="20.100000000000001" customHeight="1" x14ac:dyDescent="0.25">
      <c r="A638" s="8">
        <v>636</v>
      </c>
      <c r="B638" s="8" t="s">
        <v>399</v>
      </c>
      <c r="C638" s="8" t="s">
        <v>1997</v>
      </c>
      <c r="D638" s="8" t="s">
        <v>2416</v>
      </c>
      <c r="E638" s="182" t="s">
        <v>1998</v>
      </c>
      <c r="F638" s="183" t="s">
        <v>2222</v>
      </c>
      <c r="G638" s="183"/>
      <c r="H638" s="183" t="s">
        <v>4392</v>
      </c>
      <c r="I638" s="183" t="s">
        <v>579</v>
      </c>
      <c r="J638" s="183"/>
      <c r="K638" s="184">
        <v>46069</v>
      </c>
      <c r="L638" s="183">
        <v>82</v>
      </c>
      <c r="M638" s="185" t="str">
        <f>IF(phc_8[[#This Row],[Register No.]]="","",C638&amp;"-"&amp;D638&amp;"-"&amp;"BHA-PHC-"&amp;phc_8[[#This Row],[Register No.]])</f>
        <v>Shining Star-Mobile Clinic-BHA-PHC-82</v>
      </c>
      <c r="N638" s="9" t="s">
        <v>401</v>
      </c>
      <c r="O638" s="183" t="s">
        <v>4597</v>
      </c>
      <c r="P638" s="183">
        <v>74</v>
      </c>
      <c r="Q638" s="183"/>
      <c r="R638" s="183"/>
      <c r="S638" s="186" t="str">
        <f t="shared" si="24"/>
        <v>50 yrs +</v>
      </c>
      <c r="T638" s="183" t="s">
        <v>402</v>
      </c>
      <c r="U638" s="183"/>
      <c r="V638" s="183" t="s">
        <v>4598</v>
      </c>
      <c r="W638" s="183" t="s">
        <v>4600</v>
      </c>
      <c r="X638" s="183" t="s">
        <v>216</v>
      </c>
      <c r="Y638" s="186" t="str">
        <f>INDEX(info!$Y$2:$Y$192,MATCH(phc_8[[#This Row],[Sub_Category]],info!$X$2:$X$192,0))</f>
        <v>Eye problem/disease</v>
      </c>
      <c r="Z638" s="186" t="str">
        <f t="array" ref="Z638">INDEX(info!$AA$2:$AA$192,MATCH(PHC!$X638&amp;PHC!$Y638,info!$X$2:$X$192&amp;info!$Y$2:$Y$192,0))</f>
        <v>Non-communicable disease</v>
      </c>
      <c r="AA638" s="183" t="s">
        <v>4602</v>
      </c>
      <c r="AB638" s="9" t="s">
        <v>654</v>
      </c>
      <c r="AC638" s="9" t="s">
        <v>654</v>
      </c>
      <c r="AD638" s="9" t="s">
        <v>654</v>
      </c>
      <c r="AE638" s="9" t="s">
        <v>654</v>
      </c>
      <c r="AF638" s="184"/>
      <c r="AG638" s="183"/>
      <c r="AH638" s="183"/>
      <c r="AI638" s="183"/>
      <c r="AJ638" s="183"/>
      <c r="AK638" s="9" t="s">
        <v>654</v>
      </c>
      <c r="AL638" s="183"/>
      <c r="AM638" s="186" t="str">
        <f>IF(AF638="","","Q"&amp;INT((MONTH(AF638)-1)/3)+1&amp;YEAR(AF638)&amp;#REF!&amp;T638)</f>
        <v/>
      </c>
      <c r="AN638" s="186" t="e">
        <f>IF(K638="","","Q"&amp;INT((MONTH(K638)-1)/3)+1&amp;YEAR(K638)&amp;#REF!)</f>
        <v>#REF!</v>
      </c>
    </row>
    <row r="639" spans="1:40" ht="20.100000000000001" customHeight="1" x14ac:dyDescent="0.25">
      <c r="A639" s="8">
        <v>637</v>
      </c>
      <c r="B639" s="8" t="s">
        <v>399</v>
      </c>
      <c r="C639" s="8" t="s">
        <v>1997</v>
      </c>
      <c r="D639" s="8" t="s">
        <v>2416</v>
      </c>
      <c r="E639" s="182" t="s">
        <v>1998</v>
      </c>
      <c r="F639" s="183" t="s">
        <v>2222</v>
      </c>
      <c r="G639" s="183"/>
      <c r="H639" s="183" t="s">
        <v>4392</v>
      </c>
      <c r="I639" s="183" t="s">
        <v>579</v>
      </c>
      <c r="J639" s="183"/>
      <c r="K639" s="184">
        <v>46069</v>
      </c>
      <c r="L639" s="183">
        <v>83</v>
      </c>
      <c r="M639" s="185" t="str">
        <f>IF(phc_8[[#This Row],[Register No.]]="","",C639&amp;"-"&amp;D639&amp;"-"&amp;"BHA-PHC-"&amp;phc_8[[#This Row],[Register No.]])</f>
        <v>Shining Star-Mobile Clinic-BHA-PHC-83</v>
      </c>
      <c r="N639" s="9" t="s">
        <v>401</v>
      </c>
      <c r="O639" s="183" t="s">
        <v>3180</v>
      </c>
      <c r="P639" s="183">
        <v>70</v>
      </c>
      <c r="Q639" s="183"/>
      <c r="R639" s="183"/>
      <c r="S639" s="186" t="str">
        <f t="shared" si="24"/>
        <v>50 yrs +</v>
      </c>
      <c r="T639" s="183" t="s">
        <v>402</v>
      </c>
      <c r="U639" s="183"/>
      <c r="V639" s="183" t="s">
        <v>4382</v>
      </c>
      <c r="W639" s="183" t="s">
        <v>2003</v>
      </c>
      <c r="X639" s="183" t="s">
        <v>181</v>
      </c>
      <c r="Y639" s="186" t="str">
        <f>INDEX(info!$Y$2:$Y$192,MATCH(phc_8[[#This Row],[Sub_Category]],info!$X$2:$X$192,0))</f>
        <v>Chronic medical disease</v>
      </c>
      <c r="Z639" s="186" t="str">
        <f t="array" ref="Z639">INDEX(info!$AA$2:$AA$192,MATCH(PHC!$X639&amp;PHC!$Y639,info!$X$2:$X$192&amp;info!$Y$2:$Y$192,0))</f>
        <v>Non-communicable disease</v>
      </c>
      <c r="AA639" s="183" t="s">
        <v>3187</v>
      </c>
      <c r="AB639" s="9" t="s">
        <v>654</v>
      </c>
      <c r="AC639" s="9" t="s">
        <v>654</v>
      </c>
      <c r="AD639" s="9" t="s">
        <v>654</v>
      </c>
      <c r="AE639" s="9" t="s">
        <v>654</v>
      </c>
      <c r="AF639" s="184"/>
      <c r="AG639" s="183"/>
      <c r="AH639" s="183"/>
      <c r="AI639" s="183"/>
      <c r="AJ639" s="183"/>
      <c r="AK639" s="9" t="s">
        <v>654</v>
      </c>
      <c r="AL639" s="183"/>
      <c r="AM639" s="186" t="str">
        <f>IF(AF639="","","Q"&amp;INT((MONTH(AF639)-1)/3)+1&amp;YEAR(AF639)&amp;#REF!&amp;T639)</f>
        <v/>
      </c>
      <c r="AN639" s="186" t="e">
        <f>IF(K639="","","Q"&amp;INT((MONTH(K639)-1)/3)+1&amp;YEAR(K639)&amp;#REF!)</f>
        <v>#REF!</v>
      </c>
    </row>
    <row r="640" spans="1:40" ht="20.100000000000001" customHeight="1" x14ac:dyDescent="0.25">
      <c r="A640" s="8">
        <v>638</v>
      </c>
      <c r="B640" s="8" t="s">
        <v>399</v>
      </c>
      <c r="C640" s="8" t="s">
        <v>1997</v>
      </c>
      <c r="D640" s="8" t="s">
        <v>2416</v>
      </c>
      <c r="E640" s="182" t="s">
        <v>1998</v>
      </c>
      <c r="F640" s="183" t="s">
        <v>2222</v>
      </c>
      <c r="G640" s="183"/>
      <c r="H640" s="183" t="s">
        <v>4392</v>
      </c>
      <c r="I640" s="183" t="s">
        <v>579</v>
      </c>
      <c r="J640" s="183"/>
      <c r="K640" s="184">
        <v>46069</v>
      </c>
      <c r="L640" s="183">
        <v>84</v>
      </c>
      <c r="M640" s="185" t="str">
        <f>IF(phc_8[[#This Row],[Register No.]]="","",C640&amp;"-"&amp;D640&amp;"-"&amp;"BHA-PHC-"&amp;phc_8[[#This Row],[Register No.]])</f>
        <v>Shining Star-Mobile Clinic-BHA-PHC-84</v>
      </c>
      <c r="N640" s="9" t="s">
        <v>401</v>
      </c>
      <c r="O640" s="183" t="s">
        <v>3870</v>
      </c>
      <c r="P640" s="183">
        <v>75</v>
      </c>
      <c r="Q640" s="183"/>
      <c r="R640" s="183"/>
      <c r="S640" s="186" t="str">
        <f t="shared" si="24"/>
        <v>50 yrs +</v>
      </c>
      <c r="T640" s="183" t="s">
        <v>402</v>
      </c>
      <c r="U640" s="183"/>
      <c r="V640" s="183" t="s">
        <v>4397</v>
      </c>
      <c r="W640" s="183" t="s">
        <v>4601</v>
      </c>
      <c r="X640" s="183" t="s">
        <v>181</v>
      </c>
      <c r="Y640" s="186" t="str">
        <f>INDEX(info!$Y$2:$Y$192,MATCH(phc_8[[#This Row],[Sub_Category]],info!$X$2:$X$192,0))</f>
        <v>Chronic medical disease</v>
      </c>
      <c r="Z640" s="186" t="str">
        <f t="array" ref="Z640">INDEX(info!$AA$2:$AA$192,MATCH(PHC!$X640&amp;PHC!$Y640,info!$X$2:$X$192&amp;info!$Y$2:$Y$192,0))</f>
        <v>Non-communicable disease</v>
      </c>
      <c r="AA640" s="183" t="s">
        <v>4603</v>
      </c>
      <c r="AB640" s="9" t="s">
        <v>654</v>
      </c>
      <c r="AC640" s="9" t="s">
        <v>654</v>
      </c>
      <c r="AD640" s="9" t="s">
        <v>654</v>
      </c>
      <c r="AE640" s="9" t="s">
        <v>654</v>
      </c>
      <c r="AF640" s="184"/>
      <c r="AG640" s="183"/>
      <c r="AH640" s="183"/>
      <c r="AI640" s="183"/>
      <c r="AJ640" s="183"/>
      <c r="AK640" s="9" t="s">
        <v>654</v>
      </c>
      <c r="AL640" s="183"/>
      <c r="AM640" s="186" t="str">
        <f>IF(AF640="","","Q"&amp;INT((MONTH(AF640)-1)/3)+1&amp;YEAR(AF640)&amp;#REF!&amp;T640)</f>
        <v/>
      </c>
      <c r="AN640" s="186" t="e">
        <f>IF(K640="","","Q"&amp;INT((MONTH(K640)-1)/3)+1&amp;YEAR(K640)&amp;#REF!)</f>
        <v>#REF!</v>
      </c>
    </row>
    <row r="641" spans="1:40" ht="20.100000000000001" customHeight="1" x14ac:dyDescent="0.25">
      <c r="A641" s="8">
        <v>639</v>
      </c>
      <c r="B641" s="8" t="s">
        <v>399</v>
      </c>
      <c r="C641" s="8" t="s">
        <v>1997</v>
      </c>
      <c r="D641" s="8" t="s">
        <v>2416</v>
      </c>
      <c r="E641" s="182" t="s">
        <v>1998</v>
      </c>
      <c r="F641" s="183" t="s">
        <v>2222</v>
      </c>
      <c r="G641" s="183"/>
      <c r="H641" s="183" t="s">
        <v>4392</v>
      </c>
      <c r="I641" s="183" t="s">
        <v>579</v>
      </c>
      <c r="J641" s="183"/>
      <c r="K641" s="184">
        <v>46069</v>
      </c>
      <c r="L641" s="183">
        <v>85</v>
      </c>
      <c r="M641" s="185" t="str">
        <f>IF(phc_8[[#This Row],[Register No.]]="","",C641&amp;"-"&amp;D641&amp;"-"&amp;"BHA-PHC-"&amp;phc_8[[#This Row],[Register No.]])</f>
        <v>Shining Star-Mobile Clinic-BHA-PHC-85</v>
      </c>
      <c r="N641" s="9" t="s">
        <v>401</v>
      </c>
      <c r="O641" s="183" t="s">
        <v>3593</v>
      </c>
      <c r="P641" s="183">
        <v>74</v>
      </c>
      <c r="Q641" s="183"/>
      <c r="R641" s="183"/>
      <c r="S641" s="186" t="str">
        <f t="shared" si="24"/>
        <v>50 yrs +</v>
      </c>
      <c r="T641" s="183" t="s">
        <v>603</v>
      </c>
      <c r="U641" s="183"/>
      <c r="V641" s="183" t="s">
        <v>4599</v>
      </c>
      <c r="W641" s="183" t="s">
        <v>3182</v>
      </c>
      <c r="X641" s="183" t="s">
        <v>242</v>
      </c>
      <c r="Y641" s="186" t="str">
        <f>INDEX(info!$Y$2:$Y$192,MATCH(phc_8[[#This Row],[Sub_Category]],info!$X$2:$X$192,0))</f>
        <v>Accident/minor sugical and injuries</v>
      </c>
      <c r="Z641" s="186" t="str">
        <f t="array" ref="Z641">INDEX(info!$AA$2:$AA$192,MATCH(PHC!$X641&amp;PHC!$Y641,info!$X$2:$X$192&amp;info!$Y$2:$Y$192,0))</f>
        <v>Injury related</v>
      </c>
      <c r="AA641" s="183" t="s">
        <v>4604</v>
      </c>
      <c r="AB641" s="9" t="s">
        <v>654</v>
      </c>
      <c r="AC641" s="9" t="s">
        <v>654</v>
      </c>
      <c r="AD641" s="9" t="s">
        <v>654</v>
      </c>
      <c r="AE641" s="9" t="s">
        <v>654</v>
      </c>
      <c r="AF641" s="184"/>
      <c r="AG641" s="183"/>
      <c r="AH641" s="183"/>
      <c r="AI641" s="183"/>
      <c r="AJ641" s="183"/>
      <c r="AK641" s="9" t="s">
        <v>654</v>
      </c>
      <c r="AL641" s="183"/>
      <c r="AM641" s="186" t="str">
        <f>IF(AF641="","","Q"&amp;INT((MONTH(AF641)-1)/3)+1&amp;YEAR(AF641)&amp;#REF!&amp;T641)</f>
        <v/>
      </c>
      <c r="AN641" s="186" t="e">
        <f>IF(K641="","","Q"&amp;INT((MONTH(K641)-1)/3)+1&amp;YEAR(K641)&amp;#REF!)</f>
        <v>#REF!</v>
      </c>
    </row>
    <row r="642" spans="1:40" ht="20.100000000000001" customHeight="1" x14ac:dyDescent="0.25">
      <c r="A642" s="8">
        <v>640</v>
      </c>
      <c r="B642" s="8" t="s">
        <v>399</v>
      </c>
      <c r="C642" s="8" t="s">
        <v>1997</v>
      </c>
      <c r="D642" s="8" t="s">
        <v>2416</v>
      </c>
      <c r="E642" s="182" t="s">
        <v>1998</v>
      </c>
      <c r="F642" s="183" t="s">
        <v>2222</v>
      </c>
      <c r="G642" s="183"/>
      <c r="H642" s="183" t="s">
        <v>4392</v>
      </c>
      <c r="I642" s="183" t="s">
        <v>579</v>
      </c>
      <c r="J642" s="183"/>
      <c r="K642" s="184">
        <v>46069</v>
      </c>
      <c r="L642" s="183">
        <v>86</v>
      </c>
      <c r="M642" s="185" t="str">
        <f>IF(phc_8[[#This Row],[Register No.]]="","",C642&amp;"-"&amp;D642&amp;"-"&amp;"BHA-PHC-"&amp;phc_8[[#This Row],[Register No.]])</f>
        <v>Shining Star-Mobile Clinic-BHA-PHC-86</v>
      </c>
      <c r="N642" s="9" t="s">
        <v>401</v>
      </c>
      <c r="O642" s="183" t="s">
        <v>4605</v>
      </c>
      <c r="P642" s="183">
        <v>40</v>
      </c>
      <c r="Q642" s="183"/>
      <c r="R642" s="183"/>
      <c r="S642" s="186" t="str">
        <f t="shared" si="24"/>
        <v>19 - 49 yrs</v>
      </c>
      <c r="T642" s="183" t="s">
        <v>603</v>
      </c>
      <c r="U642" s="183"/>
      <c r="V642" s="183" t="s">
        <v>4610</v>
      </c>
      <c r="W642" s="183" t="s">
        <v>294</v>
      </c>
      <c r="X642" s="183" t="s">
        <v>294</v>
      </c>
      <c r="Y642" s="186" t="str">
        <f>INDEX(info!$Y$2:$Y$192,MATCH(phc_8[[#This Row],[Sub_Category]],info!$X$2:$X$192,0))</f>
        <v>Other (non-communicable)</v>
      </c>
      <c r="Z642" s="186" t="str">
        <f t="array" ref="Z642">INDEX(info!$AA$2:$AA$192,MATCH(PHC!$X642&amp;PHC!$Y642,info!$X$2:$X$192&amp;info!$Y$2:$Y$192,0))</f>
        <v>Other</v>
      </c>
      <c r="AA642" s="183" t="s">
        <v>4613</v>
      </c>
      <c r="AB642" s="9" t="s">
        <v>654</v>
      </c>
      <c r="AC642" s="9" t="s">
        <v>654</v>
      </c>
      <c r="AD642" s="9" t="s">
        <v>654</v>
      </c>
      <c r="AE642" s="9" t="s">
        <v>654</v>
      </c>
      <c r="AF642" s="184"/>
      <c r="AG642" s="183"/>
      <c r="AH642" s="183"/>
      <c r="AI642" s="183"/>
      <c r="AJ642" s="183"/>
      <c r="AK642" s="9" t="s">
        <v>654</v>
      </c>
      <c r="AL642" s="183"/>
      <c r="AM642" s="186" t="str">
        <f>IF(AF642="","","Q"&amp;INT((MONTH(AF642)-1)/3)+1&amp;YEAR(AF642)&amp;#REF!&amp;T642)</f>
        <v/>
      </c>
      <c r="AN642" s="186" t="e">
        <f>IF(K642="","","Q"&amp;INT((MONTH(K642)-1)/3)+1&amp;YEAR(K642)&amp;#REF!)</f>
        <v>#REF!</v>
      </c>
    </row>
    <row r="643" spans="1:40" ht="20.100000000000001" customHeight="1" x14ac:dyDescent="0.25">
      <c r="A643" s="8">
        <v>641</v>
      </c>
      <c r="B643" s="8" t="s">
        <v>399</v>
      </c>
      <c r="C643" s="8" t="s">
        <v>1997</v>
      </c>
      <c r="D643" s="8" t="s">
        <v>2416</v>
      </c>
      <c r="E643" s="182" t="s">
        <v>1998</v>
      </c>
      <c r="F643" s="183" t="s">
        <v>2222</v>
      </c>
      <c r="G643" s="183"/>
      <c r="H643" s="183" t="s">
        <v>4392</v>
      </c>
      <c r="I643" s="183" t="s">
        <v>579</v>
      </c>
      <c r="J643" s="183"/>
      <c r="K643" s="184">
        <v>46069</v>
      </c>
      <c r="L643" s="183">
        <v>87</v>
      </c>
      <c r="M643" s="185" t="str">
        <f>IF(phc_8[[#This Row],[Register No.]]="","",C643&amp;"-"&amp;D643&amp;"-"&amp;"BHA-PHC-"&amp;phc_8[[#This Row],[Register No.]])</f>
        <v>Shining Star-Mobile Clinic-BHA-PHC-87</v>
      </c>
      <c r="N643" s="9" t="s">
        <v>401</v>
      </c>
      <c r="O643" s="183" t="s">
        <v>4606</v>
      </c>
      <c r="P643" s="183">
        <v>70</v>
      </c>
      <c r="Q643" s="183"/>
      <c r="R643" s="183"/>
      <c r="S643" s="186" t="str">
        <f t="shared" si="24"/>
        <v>50 yrs +</v>
      </c>
      <c r="T643" s="183" t="s">
        <v>603</v>
      </c>
      <c r="U643" s="183"/>
      <c r="V643" s="183" t="s">
        <v>2147</v>
      </c>
      <c r="W643" s="183" t="s">
        <v>3698</v>
      </c>
      <c r="X643" s="183" t="s">
        <v>178</v>
      </c>
      <c r="Y643" s="186" t="str">
        <f>INDEX(info!$Y$2:$Y$192,MATCH(phc_8[[#This Row],[Sub_Category]],info!$X$2:$X$192,0))</f>
        <v>Chronic medical disease</v>
      </c>
      <c r="Z643" s="186" t="str">
        <f t="array" ref="Z643">INDEX(info!$AA$2:$AA$192,MATCH(PHC!$X643&amp;PHC!$Y643,info!$X$2:$X$192&amp;info!$Y$2:$Y$192,0))</f>
        <v>Non-communicable disease</v>
      </c>
      <c r="AA643" s="183" t="s">
        <v>4614</v>
      </c>
      <c r="AB643" s="9" t="s">
        <v>654</v>
      </c>
      <c r="AC643" s="9" t="s">
        <v>654</v>
      </c>
      <c r="AD643" s="9" t="s">
        <v>654</v>
      </c>
      <c r="AE643" s="9" t="s">
        <v>654</v>
      </c>
      <c r="AF643" s="184"/>
      <c r="AG643" s="183"/>
      <c r="AH643" s="183"/>
      <c r="AI643" s="183"/>
      <c r="AJ643" s="183"/>
      <c r="AK643" s="9" t="s">
        <v>654</v>
      </c>
      <c r="AL643" s="183"/>
      <c r="AM643" s="186" t="str">
        <f>IF(AF643="","","Q"&amp;INT((MONTH(AF643)-1)/3)+1&amp;YEAR(AF643)&amp;#REF!&amp;T643)</f>
        <v/>
      </c>
      <c r="AN643" s="186" t="e">
        <f>IF(K643="","","Q"&amp;INT((MONTH(K643)-1)/3)+1&amp;YEAR(K643)&amp;#REF!)</f>
        <v>#REF!</v>
      </c>
    </row>
    <row r="644" spans="1:40" ht="20.100000000000001" customHeight="1" x14ac:dyDescent="0.25">
      <c r="A644" s="8">
        <v>642</v>
      </c>
      <c r="B644" s="8" t="s">
        <v>399</v>
      </c>
      <c r="C644" s="8" t="s">
        <v>1997</v>
      </c>
      <c r="D644" s="8" t="s">
        <v>2416</v>
      </c>
      <c r="E644" s="182" t="s">
        <v>1998</v>
      </c>
      <c r="F644" s="183" t="s">
        <v>2222</v>
      </c>
      <c r="G644" s="183"/>
      <c r="H644" s="183" t="s">
        <v>4392</v>
      </c>
      <c r="I644" s="183" t="s">
        <v>579</v>
      </c>
      <c r="J644" s="183"/>
      <c r="K644" s="184">
        <v>46069</v>
      </c>
      <c r="L644" s="183">
        <v>88</v>
      </c>
      <c r="M644" s="185" t="str">
        <f>IF(phc_8[[#This Row],[Register No.]]="","",C644&amp;"-"&amp;D644&amp;"-"&amp;"BHA-PHC-"&amp;phc_8[[#This Row],[Register No.]])</f>
        <v>Shining Star-Mobile Clinic-BHA-PHC-88</v>
      </c>
      <c r="N644" s="9" t="s">
        <v>401</v>
      </c>
      <c r="O644" s="183" t="s">
        <v>4607</v>
      </c>
      <c r="P644" s="183">
        <v>61</v>
      </c>
      <c r="Q644" s="183"/>
      <c r="R644" s="183"/>
      <c r="S644" s="186" t="str">
        <f t="shared" si="24"/>
        <v>50 yrs +</v>
      </c>
      <c r="T644" s="183" t="s">
        <v>603</v>
      </c>
      <c r="U644" s="183"/>
      <c r="V644" s="183" t="s">
        <v>2147</v>
      </c>
      <c r="W644" s="183" t="s">
        <v>4612</v>
      </c>
      <c r="X644" s="183" t="s">
        <v>242</v>
      </c>
      <c r="Y644" s="186" t="str">
        <f>INDEX(info!$Y$2:$Y$192,MATCH(phc_8[[#This Row],[Sub_Category]],info!$X$2:$X$192,0))</f>
        <v>Accident/minor sugical and injuries</v>
      </c>
      <c r="Z644" s="186" t="str">
        <f t="array" ref="Z644">INDEX(info!$AA$2:$AA$192,MATCH(PHC!$X644&amp;PHC!$Y644,info!$X$2:$X$192&amp;info!$Y$2:$Y$192,0))</f>
        <v>Injury related</v>
      </c>
      <c r="AA644" s="183" t="s">
        <v>4615</v>
      </c>
      <c r="AB644" s="9" t="s">
        <v>654</v>
      </c>
      <c r="AC644" s="9" t="s">
        <v>654</v>
      </c>
      <c r="AD644" s="9" t="s">
        <v>654</v>
      </c>
      <c r="AE644" s="9" t="s">
        <v>654</v>
      </c>
      <c r="AF644" s="184"/>
      <c r="AG644" s="183"/>
      <c r="AH644" s="183"/>
      <c r="AI644" s="183"/>
      <c r="AJ644" s="183"/>
      <c r="AK644" s="9" t="s">
        <v>654</v>
      </c>
      <c r="AL644" s="183"/>
      <c r="AM644" s="186" t="str">
        <f>IF(AF644="","","Q"&amp;INT((MONTH(AF644)-1)/3)+1&amp;YEAR(AF644)&amp;#REF!&amp;T644)</f>
        <v/>
      </c>
      <c r="AN644" s="186" t="e">
        <f>IF(K644="","","Q"&amp;INT((MONTH(K644)-1)/3)+1&amp;YEAR(K644)&amp;#REF!)</f>
        <v>#REF!</v>
      </c>
    </row>
    <row r="645" spans="1:40" ht="20.100000000000001" customHeight="1" x14ac:dyDescent="0.25">
      <c r="A645" s="8">
        <v>643</v>
      </c>
      <c r="B645" s="8" t="s">
        <v>399</v>
      </c>
      <c r="C645" s="8" t="s">
        <v>1997</v>
      </c>
      <c r="D645" s="8" t="s">
        <v>2416</v>
      </c>
      <c r="E645" s="182" t="s">
        <v>1998</v>
      </c>
      <c r="F645" s="183" t="s">
        <v>2222</v>
      </c>
      <c r="G645" s="183"/>
      <c r="H645" s="183" t="s">
        <v>4392</v>
      </c>
      <c r="I645" s="183" t="s">
        <v>579</v>
      </c>
      <c r="J645" s="183"/>
      <c r="K645" s="184">
        <v>46069</v>
      </c>
      <c r="L645" s="183">
        <v>89</v>
      </c>
      <c r="M645" s="185" t="str">
        <f>IF(phc_8[[#This Row],[Register No.]]="","",C645&amp;"-"&amp;D645&amp;"-"&amp;"BHA-PHC-"&amp;phc_8[[#This Row],[Register No.]])</f>
        <v>Shining Star-Mobile Clinic-BHA-PHC-89</v>
      </c>
      <c r="N645" s="9" t="s">
        <v>401</v>
      </c>
      <c r="O645" s="183" t="s">
        <v>4608</v>
      </c>
      <c r="P645" s="183">
        <v>58</v>
      </c>
      <c r="Q645" s="183"/>
      <c r="R645" s="183"/>
      <c r="S645" s="186" t="str">
        <f t="shared" si="24"/>
        <v>50 yrs +</v>
      </c>
      <c r="T645" s="183" t="s">
        <v>603</v>
      </c>
      <c r="U645" s="183"/>
      <c r="V645" s="183" t="s">
        <v>4611</v>
      </c>
      <c r="W645" s="183" t="s">
        <v>2059</v>
      </c>
      <c r="X645" s="183" t="s">
        <v>242</v>
      </c>
      <c r="Y645" s="186" t="str">
        <f>INDEX(info!$Y$2:$Y$192,MATCH(phc_8[[#This Row],[Sub_Category]],info!$X$2:$X$192,0))</f>
        <v>Accident/minor sugical and injuries</v>
      </c>
      <c r="Z645" s="186" t="str">
        <f t="array" ref="Z645">INDEX(info!$AA$2:$AA$192,MATCH(PHC!$X645&amp;PHC!$Y645,info!$X$2:$X$192&amp;info!$Y$2:$Y$192,0))</f>
        <v>Injury related</v>
      </c>
      <c r="AA645" s="183" t="s">
        <v>4616</v>
      </c>
      <c r="AB645" s="9" t="s">
        <v>654</v>
      </c>
      <c r="AC645" s="9" t="s">
        <v>654</v>
      </c>
      <c r="AD645" s="9" t="s">
        <v>654</v>
      </c>
      <c r="AE645" s="9" t="s">
        <v>654</v>
      </c>
      <c r="AF645" s="184"/>
      <c r="AG645" s="183"/>
      <c r="AH645" s="183"/>
      <c r="AI645" s="183"/>
      <c r="AJ645" s="183"/>
      <c r="AK645" s="9" t="s">
        <v>654</v>
      </c>
      <c r="AL645" s="183"/>
      <c r="AM645" s="186" t="str">
        <f>IF(AF645="","","Q"&amp;INT((MONTH(AF645)-1)/3)+1&amp;YEAR(AF645)&amp;#REF!&amp;T645)</f>
        <v/>
      </c>
      <c r="AN645" s="186" t="e">
        <f>IF(K645="","","Q"&amp;INT((MONTH(K645)-1)/3)+1&amp;YEAR(K645)&amp;#REF!)</f>
        <v>#REF!</v>
      </c>
    </row>
    <row r="646" spans="1:40" ht="20.100000000000001" customHeight="1" x14ac:dyDescent="0.25">
      <c r="A646" s="8">
        <v>644</v>
      </c>
      <c r="B646" s="8" t="s">
        <v>399</v>
      </c>
      <c r="C646" s="8" t="s">
        <v>1997</v>
      </c>
      <c r="D646" s="8" t="s">
        <v>2416</v>
      </c>
      <c r="E646" s="182" t="s">
        <v>1998</v>
      </c>
      <c r="F646" s="183" t="s">
        <v>2222</v>
      </c>
      <c r="G646" s="183"/>
      <c r="H646" s="183" t="s">
        <v>4392</v>
      </c>
      <c r="I646" s="183" t="s">
        <v>579</v>
      </c>
      <c r="J646" s="183"/>
      <c r="K646" s="184">
        <v>46069</v>
      </c>
      <c r="L646" s="183">
        <v>90</v>
      </c>
      <c r="M646" s="185" t="str">
        <f>IF(phc_8[[#This Row],[Register No.]]="","",C646&amp;"-"&amp;D646&amp;"-"&amp;"BHA-PHC-"&amp;phc_8[[#This Row],[Register No.]])</f>
        <v>Shining Star-Mobile Clinic-BHA-PHC-90</v>
      </c>
      <c r="N646" s="9" t="s">
        <v>401</v>
      </c>
      <c r="O646" s="183" t="s">
        <v>4609</v>
      </c>
      <c r="P646" s="183">
        <v>4</v>
      </c>
      <c r="Q646" s="183"/>
      <c r="R646" s="183"/>
      <c r="S646" s="186" t="str">
        <f t="shared" si="24"/>
        <v>&lt;5 yrs</v>
      </c>
      <c r="T646" s="183" t="s">
        <v>402</v>
      </c>
      <c r="U646" s="183"/>
      <c r="V646" s="183" t="s">
        <v>4096</v>
      </c>
      <c r="W646" s="183" t="s">
        <v>3308</v>
      </c>
      <c r="X646" s="183" t="s">
        <v>113</v>
      </c>
      <c r="Y646" s="186" t="str">
        <f>INDEX(info!$Y$2:$Y$192,MATCH(phc_8[[#This Row],[Sub_Category]],info!$X$2:$X$192,0))</f>
        <v>ARI/RTI</v>
      </c>
      <c r="Z646" s="186" t="str">
        <f t="array" ref="Z646">INDEX(info!$AA$2:$AA$192,MATCH(PHC!$X646&amp;PHC!$Y646,info!$X$2:$X$192&amp;info!$Y$2:$Y$192,0))</f>
        <v>Communicable disease</v>
      </c>
      <c r="AA646" s="183" t="s">
        <v>4617</v>
      </c>
      <c r="AB646" s="9" t="s">
        <v>654</v>
      </c>
      <c r="AC646" s="9" t="s">
        <v>654</v>
      </c>
      <c r="AD646" s="9" t="s">
        <v>654</v>
      </c>
      <c r="AE646" s="9" t="s">
        <v>654</v>
      </c>
      <c r="AF646" s="184"/>
      <c r="AG646" s="183"/>
      <c r="AH646" s="183"/>
      <c r="AI646" s="183"/>
      <c r="AJ646" s="183"/>
      <c r="AK646" s="9" t="s">
        <v>654</v>
      </c>
      <c r="AL646" s="183"/>
      <c r="AM646" s="186" t="str">
        <f>IF(AF646="","","Q"&amp;INT((MONTH(AF646)-1)/3)+1&amp;YEAR(AF646)&amp;#REF!&amp;T646)</f>
        <v/>
      </c>
      <c r="AN646" s="186" t="e">
        <f>IF(K646="","","Q"&amp;INT((MONTH(K646)-1)/3)+1&amp;YEAR(K646)&amp;#REF!)</f>
        <v>#REF!</v>
      </c>
    </row>
    <row r="647" spans="1:40" ht="20.100000000000001" customHeight="1" x14ac:dyDescent="0.25">
      <c r="A647" s="8">
        <v>645</v>
      </c>
      <c r="B647" s="8" t="s">
        <v>399</v>
      </c>
      <c r="C647" s="8" t="s">
        <v>1997</v>
      </c>
      <c r="D647" s="8" t="s">
        <v>2416</v>
      </c>
      <c r="E647" s="182" t="s">
        <v>1998</v>
      </c>
      <c r="F647" s="183" t="s">
        <v>2222</v>
      </c>
      <c r="G647" s="183"/>
      <c r="H647" s="183" t="s">
        <v>4392</v>
      </c>
      <c r="I647" s="183" t="s">
        <v>579</v>
      </c>
      <c r="J647" s="183"/>
      <c r="K647" s="184">
        <v>46069</v>
      </c>
      <c r="L647" s="183">
        <v>91</v>
      </c>
      <c r="M647" s="185" t="str">
        <f>IF(phc_8[[#This Row],[Register No.]]="","",C647&amp;"-"&amp;D647&amp;"-"&amp;"BHA-PHC-"&amp;phc_8[[#This Row],[Register No.]])</f>
        <v>Shining Star-Mobile Clinic-BHA-PHC-91</v>
      </c>
      <c r="N647" s="9" t="s">
        <v>401</v>
      </c>
      <c r="O647" s="183" t="s">
        <v>4586</v>
      </c>
      <c r="P647" s="183">
        <v>50</v>
      </c>
      <c r="Q647" s="183"/>
      <c r="R647" s="183"/>
      <c r="S647" s="186" t="str">
        <f t="shared" si="24"/>
        <v>50 yrs +</v>
      </c>
      <c r="T647" s="183" t="s">
        <v>603</v>
      </c>
      <c r="U647" s="183"/>
      <c r="V647" s="183" t="s">
        <v>3694</v>
      </c>
      <c r="W647" s="183" t="s">
        <v>112</v>
      </c>
      <c r="X647" s="183" t="s">
        <v>112</v>
      </c>
      <c r="Y647" s="186" t="str">
        <f>INDEX(info!$Y$2:$Y$192,MATCH(phc_8[[#This Row],[Sub_Category]],info!$X$2:$X$192,0))</f>
        <v>Asthma</v>
      </c>
      <c r="Z647" s="186" t="str">
        <f t="array" ref="Z647">INDEX(info!$AA$2:$AA$192,MATCH(PHC!$X647&amp;PHC!$Y647,info!$X$2:$X$192&amp;info!$Y$2:$Y$192,0))</f>
        <v>Non-communicable disease</v>
      </c>
      <c r="AA647" s="183" t="s">
        <v>4626</v>
      </c>
      <c r="AB647" s="9" t="s">
        <v>654</v>
      </c>
      <c r="AC647" s="9" t="s">
        <v>654</v>
      </c>
      <c r="AD647" s="9" t="s">
        <v>654</v>
      </c>
      <c r="AE647" s="9" t="s">
        <v>654</v>
      </c>
      <c r="AF647" s="184"/>
      <c r="AG647" s="183"/>
      <c r="AH647" s="183"/>
      <c r="AI647" s="183"/>
      <c r="AJ647" s="183"/>
      <c r="AK647" s="9" t="s">
        <v>654</v>
      </c>
      <c r="AL647" s="183"/>
      <c r="AM647" s="186" t="str">
        <f>IF(AF647="","","Q"&amp;INT((MONTH(AF647)-1)/3)+1&amp;YEAR(AF647)&amp;#REF!&amp;T647)</f>
        <v/>
      </c>
      <c r="AN647" s="186" t="e">
        <f>IF(K647="","","Q"&amp;INT((MONTH(K647)-1)/3)+1&amp;YEAR(K647)&amp;#REF!)</f>
        <v>#REF!</v>
      </c>
    </row>
    <row r="648" spans="1:40" ht="20.100000000000001" customHeight="1" x14ac:dyDescent="0.25">
      <c r="A648" s="8">
        <v>646</v>
      </c>
      <c r="B648" s="8" t="s">
        <v>399</v>
      </c>
      <c r="C648" s="8" t="s">
        <v>1997</v>
      </c>
      <c r="D648" s="8" t="s">
        <v>2416</v>
      </c>
      <c r="E648" s="182" t="s">
        <v>1998</v>
      </c>
      <c r="F648" s="183" t="s">
        <v>2222</v>
      </c>
      <c r="G648" s="183"/>
      <c r="H648" s="183" t="s">
        <v>4392</v>
      </c>
      <c r="I648" s="183" t="s">
        <v>579</v>
      </c>
      <c r="J648" s="183"/>
      <c r="K648" s="184">
        <v>46069</v>
      </c>
      <c r="L648" s="183">
        <v>92</v>
      </c>
      <c r="M648" s="185" t="str">
        <f>IF(phc_8[[#This Row],[Register No.]]="","",C648&amp;"-"&amp;D648&amp;"-"&amp;"BHA-PHC-"&amp;phc_8[[#This Row],[Register No.]])</f>
        <v>Shining Star-Mobile Clinic-BHA-PHC-92</v>
      </c>
      <c r="N648" s="9" t="s">
        <v>401</v>
      </c>
      <c r="O648" s="183" t="s">
        <v>4432</v>
      </c>
      <c r="P648" s="183">
        <v>67</v>
      </c>
      <c r="Q648" s="183"/>
      <c r="R648" s="183"/>
      <c r="S648" s="186" t="str">
        <f t="shared" si="24"/>
        <v>50 yrs +</v>
      </c>
      <c r="T648" s="183" t="s">
        <v>603</v>
      </c>
      <c r="U648" s="183"/>
      <c r="V648" s="183" t="s">
        <v>4621</v>
      </c>
      <c r="W648" s="183" t="s">
        <v>4624</v>
      </c>
      <c r="X648" s="183" t="s">
        <v>181</v>
      </c>
      <c r="Y648" s="186" t="str">
        <f>INDEX(info!$Y$2:$Y$192,MATCH(phc_8[[#This Row],[Sub_Category]],info!$X$2:$X$192,0))</f>
        <v>Chronic medical disease</v>
      </c>
      <c r="Z648" s="186" t="str">
        <f t="array" ref="Z648">INDEX(info!$AA$2:$AA$192,MATCH(PHC!$X648&amp;PHC!$Y648,info!$X$2:$X$192&amp;info!$Y$2:$Y$192,0))</f>
        <v>Non-communicable disease</v>
      </c>
      <c r="AA648" s="183" t="s">
        <v>4627</v>
      </c>
      <c r="AB648" s="9" t="s">
        <v>654</v>
      </c>
      <c r="AC648" s="9" t="s">
        <v>654</v>
      </c>
      <c r="AD648" s="9" t="s">
        <v>654</v>
      </c>
      <c r="AE648" s="9" t="s">
        <v>654</v>
      </c>
      <c r="AF648" s="184"/>
      <c r="AG648" s="183"/>
      <c r="AH648" s="183"/>
      <c r="AI648" s="183"/>
      <c r="AJ648" s="183"/>
      <c r="AK648" s="9" t="s">
        <v>654</v>
      </c>
      <c r="AL648" s="183"/>
      <c r="AM648" s="186" t="str">
        <f>IF(AF648="","","Q"&amp;INT((MONTH(AF648)-1)/3)+1&amp;YEAR(AF648)&amp;#REF!&amp;T648)</f>
        <v/>
      </c>
      <c r="AN648" s="186" t="e">
        <f>IF(K648="","","Q"&amp;INT((MONTH(K648)-1)/3)+1&amp;YEAR(K648)&amp;#REF!)</f>
        <v>#REF!</v>
      </c>
    </row>
    <row r="649" spans="1:40" ht="20.100000000000001" customHeight="1" x14ac:dyDescent="0.25">
      <c r="A649" s="8">
        <v>647</v>
      </c>
      <c r="B649" s="8" t="s">
        <v>399</v>
      </c>
      <c r="C649" s="8" t="s">
        <v>1997</v>
      </c>
      <c r="D649" s="8" t="s">
        <v>2416</v>
      </c>
      <c r="E649" s="182" t="s">
        <v>1998</v>
      </c>
      <c r="F649" s="183" t="s">
        <v>2222</v>
      </c>
      <c r="G649" s="183"/>
      <c r="H649" s="183" t="s">
        <v>4392</v>
      </c>
      <c r="I649" s="183" t="s">
        <v>579</v>
      </c>
      <c r="J649" s="183"/>
      <c r="K649" s="184">
        <v>46069</v>
      </c>
      <c r="L649" s="183">
        <v>93</v>
      </c>
      <c r="M649" s="185" t="str">
        <f>IF(phc_8[[#This Row],[Register No.]]="","",C649&amp;"-"&amp;D649&amp;"-"&amp;"BHA-PHC-"&amp;phc_8[[#This Row],[Register No.]])</f>
        <v>Shining Star-Mobile Clinic-BHA-PHC-93</v>
      </c>
      <c r="N649" s="9" t="s">
        <v>401</v>
      </c>
      <c r="O649" s="183" t="s">
        <v>4618</v>
      </c>
      <c r="P649" s="183">
        <v>54</v>
      </c>
      <c r="Q649" s="183"/>
      <c r="R649" s="183"/>
      <c r="S649" s="186" t="str">
        <f t="shared" si="24"/>
        <v>50 yrs +</v>
      </c>
      <c r="T649" s="183" t="s">
        <v>603</v>
      </c>
      <c r="U649" s="183"/>
      <c r="V649" s="183" t="s">
        <v>3490</v>
      </c>
      <c r="W649" s="183" t="s">
        <v>2059</v>
      </c>
      <c r="X649" s="183" t="s">
        <v>242</v>
      </c>
      <c r="Y649" s="186" t="str">
        <f>INDEX(info!$Y$2:$Y$192,MATCH(phc_8[[#This Row],[Sub_Category]],info!$X$2:$X$192,0))</f>
        <v>Accident/minor sugical and injuries</v>
      </c>
      <c r="Z649" s="186" t="str">
        <f t="array" ref="Z649">INDEX(info!$AA$2:$AA$192,MATCH(PHC!$X649&amp;PHC!$Y649,info!$X$2:$X$192&amp;info!$Y$2:$Y$192,0))</f>
        <v>Injury related</v>
      </c>
      <c r="AA649" s="183" t="s">
        <v>4628</v>
      </c>
      <c r="AB649" s="9" t="s">
        <v>654</v>
      </c>
      <c r="AC649" s="9" t="s">
        <v>654</v>
      </c>
      <c r="AD649" s="9" t="s">
        <v>654</v>
      </c>
      <c r="AE649" s="9" t="s">
        <v>654</v>
      </c>
      <c r="AF649" s="184"/>
      <c r="AG649" s="183"/>
      <c r="AH649" s="183"/>
      <c r="AI649" s="183"/>
      <c r="AJ649" s="183"/>
      <c r="AK649" s="9" t="s">
        <v>654</v>
      </c>
      <c r="AL649" s="183"/>
      <c r="AM649" s="186" t="str">
        <f>IF(AF649="","","Q"&amp;INT((MONTH(AF649)-1)/3)+1&amp;YEAR(AF649)&amp;#REF!&amp;T649)</f>
        <v/>
      </c>
      <c r="AN649" s="186" t="e">
        <f>IF(K649="","","Q"&amp;INT((MONTH(K649)-1)/3)+1&amp;YEAR(K649)&amp;#REF!)</f>
        <v>#REF!</v>
      </c>
    </row>
    <row r="650" spans="1:40" ht="20.100000000000001" customHeight="1" x14ac:dyDescent="0.25">
      <c r="A650" s="8">
        <v>648</v>
      </c>
      <c r="B650" s="8" t="s">
        <v>399</v>
      </c>
      <c r="C650" s="8" t="s">
        <v>1997</v>
      </c>
      <c r="D650" s="8" t="s">
        <v>2416</v>
      </c>
      <c r="E650" s="182" t="s">
        <v>1998</v>
      </c>
      <c r="F650" s="183" t="s">
        <v>2222</v>
      </c>
      <c r="G650" s="183"/>
      <c r="H650" s="183" t="s">
        <v>4392</v>
      </c>
      <c r="I650" s="183" t="s">
        <v>579</v>
      </c>
      <c r="J650" s="183"/>
      <c r="K650" s="184">
        <v>46069</v>
      </c>
      <c r="L650" s="183">
        <v>94</v>
      </c>
      <c r="M650" s="185" t="str">
        <f>IF(phc_8[[#This Row],[Register No.]]="","",C650&amp;"-"&amp;D650&amp;"-"&amp;"BHA-PHC-"&amp;phc_8[[#This Row],[Register No.]])</f>
        <v>Shining Star-Mobile Clinic-BHA-PHC-94</v>
      </c>
      <c r="N650" s="9" t="s">
        <v>401</v>
      </c>
      <c r="O650" s="183" t="s">
        <v>4619</v>
      </c>
      <c r="P650" s="183">
        <v>53</v>
      </c>
      <c r="Q650" s="183"/>
      <c r="R650" s="183"/>
      <c r="S650" s="186" t="str">
        <f t="shared" si="24"/>
        <v>50 yrs +</v>
      </c>
      <c r="T650" s="183" t="s">
        <v>603</v>
      </c>
      <c r="U650" s="183"/>
      <c r="V650" s="183" t="s">
        <v>4622</v>
      </c>
      <c r="W650" s="183" t="s">
        <v>4625</v>
      </c>
      <c r="X650" s="183"/>
      <c r="Y650" s="186" t="e">
        <f>INDEX(info!$Y$2:$Y$192,MATCH(phc_8[[#This Row],[Sub_Category]],info!$X$2:$X$192,0))</f>
        <v>#N/A</v>
      </c>
      <c r="Z650" s="186" t="e">
        <f t="array" ref="Z650">INDEX(info!$AA$2:$AA$192,MATCH(PHC!$X650&amp;PHC!$Y650,info!$X$2:$X$192&amp;info!$Y$2:$Y$192,0))</f>
        <v>#N/A</v>
      </c>
      <c r="AA650" s="183" t="s">
        <v>4629</v>
      </c>
      <c r="AB650" s="9" t="s">
        <v>654</v>
      </c>
      <c r="AC650" s="9" t="s">
        <v>654</v>
      </c>
      <c r="AD650" s="9" t="s">
        <v>654</v>
      </c>
      <c r="AE650" s="9" t="s">
        <v>654</v>
      </c>
      <c r="AF650" s="184"/>
      <c r="AG650" s="183"/>
      <c r="AH650" s="183"/>
      <c r="AI650" s="183"/>
      <c r="AJ650" s="183"/>
      <c r="AK650" s="9" t="s">
        <v>654</v>
      </c>
      <c r="AL650" s="183"/>
      <c r="AM650" s="186" t="str">
        <f>IF(AF650="","","Q"&amp;INT((MONTH(AF650)-1)/3)+1&amp;YEAR(AF650)&amp;#REF!&amp;T650)</f>
        <v/>
      </c>
      <c r="AN650" s="186" t="e">
        <f>IF(K650="","","Q"&amp;INT((MONTH(K650)-1)/3)+1&amp;YEAR(K650)&amp;#REF!)</f>
        <v>#REF!</v>
      </c>
    </row>
    <row r="651" spans="1:40" ht="20.100000000000001" customHeight="1" x14ac:dyDescent="0.25">
      <c r="A651" s="8">
        <v>649</v>
      </c>
      <c r="B651" s="8" t="s">
        <v>399</v>
      </c>
      <c r="C651" s="8" t="s">
        <v>1997</v>
      </c>
      <c r="D651" s="8" t="s">
        <v>2416</v>
      </c>
      <c r="E651" s="182" t="s">
        <v>1998</v>
      </c>
      <c r="F651" s="183" t="s">
        <v>2222</v>
      </c>
      <c r="G651" s="183"/>
      <c r="H651" s="183" t="s">
        <v>4392</v>
      </c>
      <c r="I651" s="183" t="s">
        <v>579</v>
      </c>
      <c r="J651" s="183"/>
      <c r="K651" s="184">
        <v>46069</v>
      </c>
      <c r="L651" s="183">
        <v>95</v>
      </c>
      <c r="M651" s="185" t="str">
        <f>IF(phc_8[[#This Row],[Register No.]]="","",C651&amp;"-"&amp;D651&amp;"-"&amp;"BHA-PHC-"&amp;phc_8[[#This Row],[Register No.]])</f>
        <v>Shining Star-Mobile Clinic-BHA-PHC-95</v>
      </c>
      <c r="N651" s="9" t="s">
        <v>401</v>
      </c>
      <c r="O651" s="183" t="s">
        <v>4620</v>
      </c>
      <c r="P651" s="183">
        <v>55</v>
      </c>
      <c r="Q651" s="183"/>
      <c r="R651" s="183"/>
      <c r="S651" s="186" t="str">
        <f t="shared" si="24"/>
        <v>50 yrs +</v>
      </c>
      <c r="T651" s="183" t="s">
        <v>603</v>
      </c>
      <c r="U651" s="183"/>
      <c r="V651" s="183" t="s">
        <v>4623</v>
      </c>
      <c r="W651" s="183" t="s">
        <v>4530</v>
      </c>
      <c r="X651" s="183" t="s">
        <v>181</v>
      </c>
      <c r="Y651" s="186" t="str">
        <f>INDEX(info!$Y$2:$Y$192,MATCH(phc_8[[#This Row],[Sub_Category]],info!$X$2:$X$192,0))</f>
        <v>Chronic medical disease</v>
      </c>
      <c r="Z651" s="186" t="str">
        <f t="array" ref="Z651">INDEX(info!$AA$2:$AA$192,MATCH(PHC!$X651&amp;PHC!$Y651,info!$X$2:$X$192&amp;info!$Y$2:$Y$192,0))</f>
        <v>Non-communicable disease</v>
      </c>
      <c r="AA651" s="183" t="s">
        <v>4630</v>
      </c>
      <c r="AB651" s="9" t="s">
        <v>654</v>
      </c>
      <c r="AC651" s="9" t="s">
        <v>654</v>
      </c>
      <c r="AD651" s="9" t="s">
        <v>654</v>
      </c>
      <c r="AE651" s="9" t="s">
        <v>654</v>
      </c>
      <c r="AF651" s="184"/>
      <c r="AG651" s="183"/>
      <c r="AH651" s="183"/>
      <c r="AI651" s="183"/>
      <c r="AJ651" s="183"/>
      <c r="AK651" s="9" t="s">
        <v>654</v>
      </c>
      <c r="AL651" s="183"/>
      <c r="AM651" s="186" t="str">
        <f>IF(AF651="","","Q"&amp;INT((MONTH(AF651)-1)/3)+1&amp;YEAR(AF651)&amp;#REF!&amp;T651)</f>
        <v/>
      </c>
      <c r="AN651" s="186" t="e">
        <f>IF(K651="","","Q"&amp;INT((MONTH(K651)-1)/3)+1&amp;YEAR(K651)&amp;#REF!)</f>
        <v>#REF!</v>
      </c>
    </row>
    <row r="652" spans="1:40" ht="20.100000000000001" customHeight="1" x14ac:dyDescent="0.25">
      <c r="A652" s="8">
        <v>650</v>
      </c>
      <c r="B652" s="8" t="s">
        <v>399</v>
      </c>
      <c r="C652" s="8" t="s">
        <v>1997</v>
      </c>
      <c r="D652" s="8" t="s">
        <v>2416</v>
      </c>
      <c r="E652" s="182" t="s">
        <v>1998</v>
      </c>
      <c r="F652" s="183" t="s">
        <v>2222</v>
      </c>
      <c r="G652" s="183"/>
      <c r="H652" s="183" t="s">
        <v>4392</v>
      </c>
      <c r="I652" s="183" t="s">
        <v>579</v>
      </c>
      <c r="J652" s="183"/>
      <c r="K652" s="184">
        <v>46069</v>
      </c>
      <c r="L652" s="183">
        <v>96</v>
      </c>
      <c r="M652" s="185" t="str">
        <f>IF(phc_8[[#This Row],[Register No.]]="","",C652&amp;"-"&amp;D652&amp;"-"&amp;"BHA-PHC-"&amp;phc_8[[#This Row],[Register No.]])</f>
        <v>Shining Star-Mobile Clinic-BHA-PHC-96</v>
      </c>
      <c r="N652" s="9" t="s">
        <v>401</v>
      </c>
      <c r="O652" s="183" t="s">
        <v>4631</v>
      </c>
      <c r="P652" s="183">
        <v>42</v>
      </c>
      <c r="Q652" s="183"/>
      <c r="R652" s="183"/>
      <c r="S652" s="186" t="str">
        <f t="shared" si="24"/>
        <v>19 - 49 yrs</v>
      </c>
      <c r="T652" s="183" t="s">
        <v>603</v>
      </c>
      <c r="U652" s="183"/>
      <c r="V652" s="183" t="s">
        <v>4636</v>
      </c>
      <c r="W652" s="183" t="s">
        <v>233</v>
      </c>
      <c r="X652" s="183" t="s">
        <v>233</v>
      </c>
      <c r="Y652" s="186" t="str">
        <f>INDEX(info!$Y$2:$Y$192,MATCH(phc_8[[#This Row],[Sub_Category]],info!$X$2:$X$192,0))</f>
        <v>Other (non-communicable)</v>
      </c>
      <c r="Z652" s="186" t="str">
        <f t="array" ref="Z652">INDEX(info!$AA$2:$AA$192,MATCH(PHC!$X652&amp;PHC!$Y652,info!$X$2:$X$192&amp;info!$Y$2:$Y$192,0))</f>
        <v>Other</v>
      </c>
      <c r="AA652" s="183" t="s">
        <v>4641</v>
      </c>
      <c r="AB652" s="9" t="s">
        <v>654</v>
      </c>
      <c r="AC652" s="9" t="s">
        <v>654</v>
      </c>
      <c r="AD652" s="9" t="s">
        <v>654</v>
      </c>
      <c r="AE652" s="9" t="s">
        <v>654</v>
      </c>
      <c r="AF652" s="184"/>
      <c r="AG652" s="183"/>
      <c r="AH652" s="183"/>
      <c r="AI652" s="183"/>
      <c r="AJ652" s="183"/>
      <c r="AK652" s="9" t="s">
        <v>654</v>
      </c>
      <c r="AL652" s="183"/>
      <c r="AM652" s="186" t="str">
        <f>IF(AF652="","","Q"&amp;INT((MONTH(AF652)-1)/3)+1&amp;YEAR(AF652)&amp;#REF!&amp;T652)</f>
        <v/>
      </c>
      <c r="AN652" s="186" t="e">
        <f>IF(K652="","","Q"&amp;INT((MONTH(K652)-1)/3)+1&amp;YEAR(K652)&amp;#REF!)</f>
        <v>#REF!</v>
      </c>
    </row>
    <row r="653" spans="1:40" ht="20.100000000000001" customHeight="1" x14ac:dyDescent="0.25">
      <c r="A653" s="8">
        <v>651</v>
      </c>
      <c r="B653" s="8" t="s">
        <v>399</v>
      </c>
      <c r="C653" s="8" t="s">
        <v>1997</v>
      </c>
      <c r="D653" s="8" t="s">
        <v>2416</v>
      </c>
      <c r="E653" s="182" t="s">
        <v>1998</v>
      </c>
      <c r="F653" s="183" t="s">
        <v>2222</v>
      </c>
      <c r="G653" s="183"/>
      <c r="H653" s="183" t="s">
        <v>4392</v>
      </c>
      <c r="I653" s="183" t="s">
        <v>579</v>
      </c>
      <c r="J653" s="183"/>
      <c r="K653" s="184">
        <v>46069</v>
      </c>
      <c r="L653" s="183">
        <v>97</v>
      </c>
      <c r="M653" s="185" t="str">
        <f>IF(phc_8[[#This Row],[Register No.]]="","",C653&amp;"-"&amp;D653&amp;"-"&amp;"BHA-PHC-"&amp;phc_8[[#This Row],[Register No.]])</f>
        <v>Shining Star-Mobile Clinic-BHA-PHC-97</v>
      </c>
      <c r="N653" s="9" t="s">
        <v>401</v>
      </c>
      <c r="O653" s="183" t="s">
        <v>4632</v>
      </c>
      <c r="P653" s="183">
        <v>1</v>
      </c>
      <c r="Q653" s="183"/>
      <c r="R653" s="183"/>
      <c r="S653" s="186" t="str">
        <f t="shared" si="24"/>
        <v>&lt;5 yrs</v>
      </c>
      <c r="T653" s="183" t="s">
        <v>603</v>
      </c>
      <c r="U653" s="183"/>
      <c r="V653" s="183" t="s">
        <v>4637</v>
      </c>
      <c r="W653" s="183" t="s">
        <v>3611</v>
      </c>
      <c r="X653" s="183" t="s">
        <v>213</v>
      </c>
      <c r="Y653" s="186" t="str">
        <f>INDEX(info!$Y$2:$Y$192,MATCH(phc_8[[#This Row],[Sub_Category]],info!$X$2:$X$192,0))</f>
        <v>Other</v>
      </c>
      <c r="Z653" s="186" t="str">
        <f t="array" ref="Z653">INDEX(info!$AA$2:$AA$192,MATCH(PHC!$X653&amp;PHC!$Y653,info!$X$2:$X$192&amp;info!$Y$2:$Y$192,0))</f>
        <v>Other</v>
      </c>
      <c r="AA653" s="183" t="s">
        <v>4642</v>
      </c>
      <c r="AB653" s="9" t="s">
        <v>654</v>
      </c>
      <c r="AC653" s="9" t="s">
        <v>654</v>
      </c>
      <c r="AD653" s="9" t="s">
        <v>654</v>
      </c>
      <c r="AE653" s="9" t="s">
        <v>654</v>
      </c>
      <c r="AF653" s="184"/>
      <c r="AG653" s="183"/>
      <c r="AH653" s="183"/>
      <c r="AI653" s="183"/>
      <c r="AJ653" s="183"/>
      <c r="AK653" s="9" t="s">
        <v>654</v>
      </c>
      <c r="AL653" s="183"/>
      <c r="AM653" s="186" t="str">
        <f>IF(AF653="","","Q"&amp;INT((MONTH(AF653)-1)/3)+1&amp;YEAR(AF653)&amp;#REF!&amp;T653)</f>
        <v/>
      </c>
      <c r="AN653" s="186" t="e">
        <f>IF(K653="","","Q"&amp;INT((MONTH(K653)-1)/3)+1&amp;YEAR(K653)&amp;#REF!)</f>
        <v>#REF!</v>
      </c>
    </row>
    <row r="654" spans="1:40" ht="20.100000000000001" customHeight="1" x14ac:dyDescent="0.25">
      <c r="A654" s="8">
        <v>652</v>
      </c>
      <c r="B654" s="8" t="s">
        <v>399</v>
      </c>
      <c r="C654" s="8" t="s">
        <v>1997</v>
      </c>
      <c r="D654" s="8" t="s">
        <v>2416</v>
      </c>
      <c r="E654" s="182" t="s">
        <v>1998</v>
      </c>
      <c r="F654" s="183" t="s">
        <v>2222</v>
      </c>
      <c r="G654" s="183"/>
      <c r="H654" s="183" t="s">
        <v>4392</v>
      </c>
      <c r="I654" s="183" t="s">
        <v>579</v>
      </c>
      <c r="J654" s="183"/>
      <c r="K654" s="184">
        <v>46069</v>
      </c>
      <c r="L654" s="183">
        <v>98</v>
      </c>
      <c r="M654" s="185" t="str">
        <f>IF(phc_8[[#This Row],[Register No.]]="","",C654&amp;"-"&amp;D654&amp;"-"&amp;"BHA-PHC-"&amp;phc_8[[#This Row],[Register No.]])</f>
        <v>Shining Star-Mobile Clinic-BHA-PHC-98</v>
      </c>
      <c r="N654" s="9" t="s">
        <v>401</v>
      </c>
      <c r="O654" s="183" t="s">
        <v>4633</v>
      </c>
      <c r="P654" s="183">
        <v>29</v>
      </c>
      <c r="Q654" s="183"/>
      <c r="R654" s="183"/>
      <c r="S654" s="186" t="str">
        <f t="shared" si="24"/>
        <v>19 - 49 yrs</v>
      </c>
      <c r="T654" s="183" t="s">
        <v>603</v>
      </c>
      <c r="U654" s="183"/>
      <c r="V654" s="183" t="s">
        <v>3463</v>
      </c>
      <c r="W654" s="183" t="s">
        <v>4639</v>
      </c>
      <c r="X654" s="183"/>
      <c r="Y654" s="186" t="e">
        <f>INDEX(info!$Y$2:$Y$192,MATCH(phc_8[[#This Row],[Sub_Category]],info!$X$2:$X$192,0))</f>
        <v>#N/A</v>
      </c>
      <c r="Z654" s="186" t="e">
        <f t="array" ref="Z654">INDEX(info!$AA$2:$AA$192,MATCH(PHC!$X654&amp;PHC!$Y654,info!$X$2:$X$192&amp;info!$Y$2:$Y$192,0))</f>
        <v>#N/A</v>
      </c>
      <c r="AA654" s="183" t="s">
        <v>4643</v>
      </c>
      <c r="AB654" s="9" t="s">
        <v>654</v>
      </c>
      <c r="AC654" s="9" t="s">
        <v>654</v>
      </c>
      <c r="AD654" s="9" t="s">
        <v>654</v>
      </c>
      <c r="AE654" s="9" t="s">
        <v>654</v>
      </c>
      <c r="AF654" s="184"/>
      <c r="AG654" s="183"/>
      <c r="AH654" s="183"/>
      <c r="AI654" s="183"/>
      <c r="AJ654" s="183"/>
      <c r="AK654" s="9" t="s">
        <v>654</v>
      </c>
      <c r="AL654" s="183"/>
      <c r="AM654" s="186" t="str">
        <f>IF(AF654="","","Q"&amp;INT((MONTH(AF654)-1)/3)+1&amp;YEAR(AF654)&amp;#REF!&amp;T654)</f>
        <v/>
      </c>
      <c r="AN654" s="186" t="e">
        <f>IF(K654="","","Q"&amp;INT((MONTH(K654)-1)/3)+1&amp;YEAR(K654)&amp;#REF!)</f>
        <v>#REF!</v>
      </c>
    </row>
    <row r="655" spans="1:40" ht="20.100000000000001" customHeight="1" x14ac:dyDescent="0.25">
      <c r="A655" s="8">
        <v>653</v>
      </c>
      <c r="B655" s="8" t="s">
        <v>399</v>
      </c>
      <c r="C655" s="8" t="s">
        <v>1997</v>
      </c>
      <c r="D655" s="8" t="s">
        <v>2416</v>
      </c>
      <c r="E655" s="182" t="s">
        <v>1998</v>
      </c>
      <c r="F655" s="183" t="s">
        <v>2222</v>
      </c>
      <c r="G655" s="183"/>
      <c r="H655" s="183" t="s">
        <v>4392</v>
      </c>
      <c r="I655" s="183" t="s">
        <v>579</v>
      </c>
      <c r="J655" s="183"/>
      <c r="K655" s="184">
        <v>46069</v>
      </c>
      <c r="L655" s="183">
        <v>99</v>
      </c>
      <c r="M655" s="185" t="str">
        <f>IF(phc_8[[#This Row],[Register No.]]="","",C655&amp;"-"&amp;D655&amp;"-"&amp;"BHA-PHC-"&amp;phc_8[[#This Row],[Register No.]])</f>
        <v>Shining Star-Mobile Clinic-BHA-PHC-99</v>
      </c>
      <c r="N655" s="9" t="s">
        <v>401</v>
      </c>
      <c r="O655" s="183" t="s">
        <v>4635</v>
      </c>
      <c r="P655" s="183">
        <v>2</v>
      </c>
      <c r="Q655" s="183"/>
      <c r="R655" s="183"/>
      <c r="S655" s="186" t="str">
        <f t="shared" si="24"/>
        <v>&lt;5 yrs</v>
      </c>
      <c r="T655" s="183" t="s">
        <v>603</v>
      </c>
      <c r="U655" s="183"/>
      <c r="V655" s="183" t="s">
        <v>4638</v>
      </c>
      <c r="W655" s="183" t="s">
        <v>4640</v>
      </c>
      <c r="X655" s="183" t="s">
        <v>113</v>
      </c>
      <c r="Y655" s="186" t="str">
        <f>INDEX(info!$Y$2:$Y$192,MATCH(phc_8[[#This Row],[Sub_Category]],info!$X$2:$X$192,0))</f>
        <v>ARI/RTI</v>
      </c>
      <c r="Z655" s="186" t="str">
        <f t="array" ref="Z655">INDEX(info!$AA$2:$AA$192,MATCH(PHC!$X655&amp;PHC!$Y655,info!$X$2:$X$192&amp;info!$Y$2:$Y$192,0))</f>
        <v>Communicable disease</v>
      </c>
      <c r="AA655" s="183" t="s">
        <v>4644</v>
      </c>
      <c r="AB655" s="9" t="s">
        <v>654</v>
      </c>
      <c r="AC655" s="9" t="s">
        <v>654</v>
      </c>
      <c r="AD655" s="9" t="s">
        <v>654</v>
      </c>
      <c r="AE655" s="9" t="s">
        <v>654</v>
      </c>
      <c r="AF655" s="184"/>
      <c r="AG655" s="183"/>
      <c r="AH655" s="183"/>
      <c r="AI655" s="183"/>
      <c r="AJ655" s="183"/>
      <c r="AK655" s="9" t="s">
        <v>654</v>
      </c>
      <c r="AL655" s="183"/>
      <c r="AM655" s="186" t="str">
        <f>IF(AF655="","","Q"&amp;INT((MONTH(AF655)-1)/3)+1&amp;YEAR(AF655)&amp;#REF!&amp;T655)</f>
        <v/>
      </c>
      <c r="AN655" s="186" t="e">
        <f>IF(K655="","","Q"&amp;INT((MONTH(K655)-1)/3)+1&amp;YEAR(K655)&amp;#REF!)</f>
        <v>#REF!</v>
      </c>
    </row>
    <row r="656" spans="1:40" ht="20.100000000000001" customHeight="1" x14ac:dyDescent="0.25">
      <c r="A656" s="8">
        <v>654</v>
      </c>
      <c r="B656" s="8" t="s">
        <v>399</v>
      </c>
      <c r="C656" s="8" t="s">
        <v>1997</v>
      </c>
      <c r="D656" s="8" t="s">
        <v>2416</v>
      </c>
      <c r="E656" s="182" t="s">
        <v>1998</v>
      </c>
      <c r="F656" s="183" t="s">
        <v>2222</v>
      </c>
      <c r="G656" s="183"/>
      <c r="H656" s="183" t="s">
        <v>4392</v>
      </c>
      <c r="I656" s="183" t="s">
        <v>579</v>
      </c>
      <c r="J656" s="183"/>
      <c r="K656" s="184">
        <v>46069</v>
      </c>
      <c r="L656" s="183">
        <v>100</v>
      </c>
      <c r="M656" s="185" t="str">
        <f>IF(phc_8[[#This Row],[Register No.]]="","",C656&amp;"-"&amp;D656&amp;"-"&amp;"BHA-PHC-"&amp;phc_8[[#This Row],[Register No.]])</f>
        <v>Shining Star-Mobile Clinic-BHA-PHC-100</v>
      </c>
      <c r="N656" s="9" t="s">
        <v>401</v>
      </c>
      <c r="O656" s="183" t="s">
        <v>4634</v>
      </c>
      <c r="P656" s="183">
        <v>5</v>
      </c>
      <c r="Q656" s="183">
        <v>9</v>
      </c>
      <c r="R656" s="183"/>
      <c r="S656" s="186" t="str">
        <f t="shared" si="24"/>
        <v>5 - 14 yrs</v>
      </c>
      <c r="T656" s="183" t="s">
        <v>402</v>
      </c>
      <c r="U656" s="183"/>
      <c r="V656" s="183" t="s">
        <v>4638</v>
      </c>
      <c r="W656" s="183" t="s">
        <v>3558</v>
      </c>
      <c r="X656" s="183" t="s">
        <v>195</v>
      </c>
      <c r="Y656" s="186" t="str">
        <f>INDEX(info!$Y$2:$Y$192,MATCH(phc_8[[#This Row],[Sub_Category]],info!$X$2:$X$192,0))</f>
        <v>Bacteria disease</v>
      </c>
      <c r="Z656" s="186" t="str">
        <f t="array" ref="Z656">INDEX(info!$AA$2:$AA$192,MATCH(PHC!$X656&amp;PHC!$Y656,info!$X$2:$X$192&amp;info!$Y$2:$Y$192,0))</f>
        <v>Communicable disease</v>
      </c>
      <c r="AA656" s="183" t="s">
        <v>4645</v>
      </c>
      <c r="AB656" s="9" t="s">
        <v>654</v>
      </c>
      <c r="AC656" s="9" t="s">
        <v>654</v>
      </c>
      <c r="AD656" s="9" t="s">
        <v>654</v>
      </c>
      <c r="AE656" s="9" t="s">
        <v>654</v>
      </c>
      <c r="AF656" s="184"/>
      <c r="AG656" s="183"/>
      <c r="AH656" s="183"/>
      <c r="AI656" s="183"/>
      <c r="AJ656" s="183"/>
      <c r="AK656" s="9" t="s">
        <v>654</v>
      </c>
      <c r="AL656" s="183"/>
      <c r="AM656" s="186" t="str">
        <f>IF(AF656="","","Q"&amp;INT((MONTH(AF656)-1)/3)+1&amp;YEAR(AF656)&amp;#REF!&amp;T656)</f>
        <v/>
      </c>
      <c r="AN656" s="186" t="e">
        <f>IF(K656="","","Q"&amp;INT((MONTH(K656)-1)/3)+1&amp;YEAR(K656)&amp;#REF!)</f>
        <v>#REF!</v>
      </c>
    </row>
    <row r="657" spans="1:40" ht="20.100000000000001" customHeight="1" x14ac:dyDescent="0.25">
      <c r="A657" s="8">
        <v>655</v>
      </c>
      <c r="B657" s="8" t="s">
        <v>399</v>
      </c>
      <c r="C657" s="8" t="s">
        <v>1997</v>
      </c>
      <c r="D657" s="8" t="s">
        <v>2416</v>
      </c>
      <c r="E657" s="182" t="s">
        <v>1998</v>
      </c>
      <c r="F657" s="183" t="s">
        <v>2222</v>
      </c>
      <c r="G657" s="183"/>
      <c r="H657" s="183" t="s">
        <v>4392</v>
      </c>
      <c r="I657" s="183" t="s">
        <v>579</v>
      </c>
      <c r="J657" s="183"/>
      <c r="K657" s="184">
        <v>46069</v>
      </c>
      <c r="L657" s="183">
        <v>101</v>
      </c>
      <c r="M657" s="185" t="str">
        <f>IF(phc_8[[#This Row],[Register No.]]="","",C657&amp;"-"&amp;D657&amp;"-"&amp;"BHA-PHC-"&amp;phc_8[[#This Row],[Register No.]])</f>
        <v>Shining Star-Mobile Clinic-BHA-PHC-101</v>
      </c>
      <c r="N657" s="9" t="s">
        <v>401</v>
      </c>
      <c r="O657" s="183" t="s">
        <v>3938</v>
      </c>
      <c r="P657" s="183">
        <v>46</v>
      </c>
      <c r="Q657" s="183"/>
      <c r="R657" s="183"/>
      <c r="S657" s="186" t="str">
        <f t="shared" si="24"/>
        <v>19 - 49 yrs</v>
      </c>
      <c r="T657" s="183" t="s">
        <v>402</v>
      </c>
      <c r="U657" s="183"/>
      <c r="V657" s="183" t="s">
        <v>4653</v>
      </c>
      <c r="W657" s="183" t="s">
        <v>2003</v>
      </c>
      <c r="X657" s="183" t="s">
        <v>181</v>
      </c>
      <c r="Y657" s="186" t="str">
        <f>INDEX(info!$Y$2:$Y$192,MATCH(phc_8[[#This Row],[Sub_Category]],info!$X$2:$X$192,0))</f>
        <v>Chronic medical disease</v>
      </c>
      <c r="Z657" s="186" t="str">
        <f t="array" ref="Z657">INDEX(info!$AA$2:$AA$192,MATCH(PHC!$X657&amp;PHC!$Y657,info!$X$2:$X$192&amp;info!$Y$2:$Y$192,0))</f>
        <v>Non-communicable disease</v>
      </c>
      <c r="AA657" s="183" t="s">
        <v>4657</v>
      </c>
      <c r="AB657" s="9" t="s">
        <v>654</v>
      </c>
      <c r="AC657" s="9" t="s">
        <v>654</v>
      </c>
      <c r="AD657" s="9" t="s">
        <v>654</v>
      </c>
      <c r="AE657" s="9" t="s">
        <v>654</v>
      </c>
      <c r="AF657" s="184"/>
      <c r="AG657" s="183"/>
      <c r="AH657" s="183"/>
      <c r="AI657" s="183"/>
      <c r="AJ657" s="183"/>
      <c r="AK657" s="9" t="s">
        <v>654</v>
      </c>
      <c r="AL657" s="183"/>
      <c r="AM657" s="186" t="str">
        <f>IF(AF657="","","Q"&amp;INT((MONTH(AF657)-1)/3)+1&amp;YEAR(AF657)&amp;#REF!&amp;T657)</f>
        <v/>
      </c>
      <c r="AN657" s="186" t="e">
        <f>IF(K657="","","Q"&amp;INT((MONTH(K657)-1)/3)+1&amp;YEAR(K657)&amp;#REF!)</f>
        <v>#REF!</v>
      </c>
    </row>
    <row r="658" spans="1:40" ht="20.100000000000001" customHeight="1" x14ac:dyDescent="0.25">
      <c r="A658" s="8">
        <v>656</v>
      </c>
      <c r="B658" s="8" t="s">
        <v>399</v>
      </c>
      <c r="C658" s="8" t="s">
        <v>1997</v>
      </c>
      <c r="D658" s="8" t="s">
        <v>2416</v>
      </c>
      <c r="E658" s="182" t="s">
        <v>1998</v>
      </c>
      <c r="F658" s="183" t="s">
        <v>2222</v>
      </c>
      <c r="G658" s="183"/>
      <c r="H658" s="183" t="s">
        <v>4392</v>
      </c>
      <c r="I658" s="183" t="s">
        <v>579</v>
      </c>
      <c r="J658" s="183"/>
      <c r="K658" s="184">
        <v>46069</v>
      </c>
      <c r="L658" s="183">
        <v>102</v>
      </c>
      <c r="M658" s="185" t="str">
        <f>IF(phc_8[[#This Row],[Register No.]]="","",C658&amp;"-"&amp;D658&amp;"-"&amp;"BHA-PHC-"&amp;phc_8[[#This Row],[Register No.]])</f>
        <v>Shining Star-Mobile Clinic-BHA-PHC-102</v>
      </c>
      <c r="N658" s="9" t="s">
        <v>401</v>
      </c>
      <c r="O658" s="183" t="s">
        <v>4649</v>
      </c>
      <c r="P658" s="183">
        <v>43</v>
      </c>
      <c r="Q658" s="183"/>
      <c r="R658" s="183"/>
      <c r="S658" s="186" t="str">
        <f t="shared" si="24"/>
        <v>19 - 49 yrs</v>
      </c>
      <c r="T658" s="183" t="s">
        <v>603</v>
      </c>
      <c r="U658" s="183"/>
      <c r="V658" s="183" t="s">
        <v>4654</v>
      </c>
      <c r="W658" s="183" t="s">
        <v>2003</v>
      </c>
      <c r="X658" s="183" t="s">
        <v>181</v>
      </c>
      <c r="Y658" s="186" t="str">
        <f>INDEX(info!$Y$2:$Y$192,MATCH(phc_8[[#This Row],[Sub_Category]],info!$X$2:$X$192,0))</f>
        <v>Chronic medical disease</v>
      </c>
      <c r="Z658" s="186" t="str">
        <f t="array" ref="Z658">INDEX(info!$AA$2:$AA$192,MATCH(PHC!$X658&amp;PHC!$Y658,info!$X$2:$X$192&amp;info!$Y$2:$Y$192,0))</f>
        <v>Non-communicable disease</v>
      </c>
      <c r="AA658" s="183" t="s">
        <v>4074</v>
      </c>
      <c r="AB658" s="9" t="s">
        <v>654</v>
      </c>
      <c r="AC658" s="9" t="s">
        <v>654</v>
      </c>
      <c r="AD658" s="9" t="s">
        <v>654</v>
      </c>
      <c r="AE658" s="9" t="s">
        <v>654</v>
      </c>
      <c r="AF658" s="184"/>
      <c r="AG658" s="183"/>
      <c r="AH658" s="183"/>
      <c r="AI658" s="183"/>
      <c r="AJ658" s="183"/>
      <c r="AK658" s="9" t="s">
        <v>654</v>
      </c>
      <c r="AL658" s="183"/>
      <c r="AM658" s="186" t="str">
        <f>IF(AF658="","","Q"&amp;INT((MONTH(AF658)-1)/3)+1&amp;YEAR(AF658)&amp;#REF!&amp;T658)</f>
        <v/>
      </c>
      <c r="AN658" s="186" t="e">
        <f>IF(K658="","","Q"&amp;INT((MONTH(K658)-1)/3)+1&amp;YEAR(K658)&amp;#REF!)</f>
        <v>#REF!</v>
      </c>
    </row>
    <row r="659" spans="1:40" ht="20.100000000000001" customHeight="1" x14ac:dyDescent="0.25">
      <c r="A659" s="8">
        <v>657</v>
      </c>
      <c r="B659" s="8" t="s">
        <v>399</v>
      </c>
      <c r="C659" s="8" t="s">
        <v>1997</v>
      </c>
      <c r="D659" s="8" t="s">
        <v>2416</v>
      </c>
      <c r="E659" s="182" t="s">
        <v>1998</v>
      </c>
      <c r="F659" s="183" t="s">
        <v>2222</v>
      </c>
      <c r="G659" s="183"/>
      <c r="H659" s="183" t="s">
        <v>4392</v>
      </c>
      <c r="I659" s="183" t="s">
        <v>579</v>
      </c>
      <c r="J659" s="183"/>
      <c r="K659" s="184">
        <v>46069</v>
      </c>
      <c r="L659" s="183">
        <v>103</v>
      </c>
      <c r="M659" s="185" t="str">
        <f>IF(phc_8[[#This Row],[Register No.]]="","",C659&amp;"-"&amp;D659&amp;"-"&amp;"BHA-PHC-"&amp;phc_8[[#This Row],[Register No.]])</f>
        <v>Shining Star-Mobile Clinic-BHA-PHC-103</v>
      </c>
      <c r="N659" s="9" t="s">
        <v>401</v>
      </c>
      <c r="O659" s="183" t="s">
        <v>4650</v>
      </c>
      <c r="P659" s="183">
        <v>64</v>
      </c>
      <c r="Q659" s="183"/>
      <c r="R659" s="183"/>
      <c r="S659" s="186" t="str">
        <f t="shared" si="24"/>
        <v>50 yrs +</v>
      </c>
      <c r="T659" s="183" t="s">
        <v>402</v>
      </c>
      <c r="U659" s="183"/>
      <c r="V659" s="183" t="s">
        <v>3463</v>
      </c>
      <c r="W659" s="183" t="s">
        <v>4655</v>
      </c>
      <c r="X659" s="183" t="s">
        <v>242</v>
      </c>
      <c r="Y659" s="186" t="str">
        <f>INDEX(info!$Y$2:$Y$192,MATCH(phc_8[[#This Row],[Sub_Category]],info!$X$2:$X$192,0))</f>
        <v>Accident/minor sugical and injuries</v>
      </c>
      <c r="Z659" s="186" t="str">
        <f t="array" ref="Z659">INDEX(info!$AA$2:$AA$192,MATCH(PHC!$X659&amp;PHC!$Y659,info!$X$2:$X$192&amp;info!$Y$2:$Y$192,0))</f>
        <v>Injury related</v>
      </c>
      <c r="AA659" s="183" t="s">
        <v>4658</v>
      </c>
      <c r="AB659" s="9" t="s">
        <v>654</v>
      </c>
      <c r="AC659" s="9" t="s">
        <v>654</v>
      </c>
      <c r="AD659" s="9" t="s">
        <v>654</v>
      </c>
      <c r="AE659" s="9" t="s">
        <v>654</v>
      </c>
      <c r="AF659" s="184"/>
      <c r="AG659" s="183"/>
      <c r="AH659" s="183"/>
      <c r="AI659" s="183"/>
      <c r="AJ659" s="183"/>
      <c r="AK659" s="9" t="s">
        <v>654</v>
      </c>
      <c r="AL659" s="183"/>
      <c r="AM659" s="186" t="str">
        <f>IF(AF659="","","Q"&amp;INT((MONTH(AF659)-1)/3)+1&amp;YEAR(AF659)&amp;#REF!&amp;T659)</f>
        <v/>
      </c>
      <c r="AN659" s="186" t="e">
        <f>IF(K659="","","Q"&amp;INT((MONTH(K659)-1)/3)+1&amp;YEAR(K659)&amp;#REF!)</f>
        <v>#REF!</v>
      </c>
    </row>
    <row r="660" spans="1:40" ht="20.100000000000001" customHeight="1" x14ac:dyDescent="0.25">
      <c r="A660" s="8">
        <v>658</v>
      </c>
      <c r="B660" s="8" t="s">
        <v>399</v>
      </c>
      <c r="C660" s="8" t="s">
        <v>1997</v>
      </c>
      <c r="D660" s="8" t="s">
        <v>2416</v>
      </c>
      <c r="E660" s="182" t="s">
        <v>1998</v>
      </c>
      <c r="F660" s="183" t="s">
        <v>2222</v>
      </c>
      <c r="G660" s="183"/>
      <c r="H660" s="183" t="s">
        <v>4392</v>
      </c>
      <c r="I660" s="183" t="s">
        <v>579</v>
      </c>
      <c r="J660" s="183"/>
      <c r="K660" s="184">
        <v>46069</v>
      </c>
      <c r="L660" s="183">
        <v>104</v>
      </c>
      <c r="M660" s="185" t="str">
        <f>IF(phc_8[[#This Row],[Register No.]]="","",C660&amp;"-"&amp;D660&amp;"-"&amp;"BHA-PHC-"&amp;phc_8[[#This Row],[Register No.]])</f>
        <v>Shining Star-Mobile Clinic-BHA-PHC-104</v>
      </c>
      <c r="N660" s="9" t="s">
        <v>401</v>
      </c>
      <c r="O660" s="183" t="s">
        <v>4651</v>
      </c>
      <c r="P660" s="183">
        <v>65</v>
      </c>
      <c r="Q660" s="183"/>
      <c r="R660" s="183"/>
      <c r="S660" s="186" t="str">
        <f t="shared" si="24"/>
        <v>50 yrs +</v>
      </c>
      <c r="T660" s="183" t="s">
        <v>603</v>
      </c>
      <c r="U660" s="183"/>
      <c r="V660" s="183" t="s">
        <v>2041</v>
      </c>
      <c r="W660" s="183" t="s">
        <v>4656</v>
      </c>
      <c r="X660" s="183" t="s">
        <v>242</v>
      </c>
      <c r="Y660" s="186" t="str">
        <f>INDEX(info!$Y$2:$Y$192,MATCH(phc_8[[#This Row],[Sub_Category]],info!$X$2:$X$192,0))</f>
        <v>Accident/minor sugical and injuries</v>
      </c>
      <c r="Z660" s="186" t="str">
        <f t="array" ref="Z660">INDEX(info!$AA$2:$AA$192,MATCH(PHC!$X660&amp;PHC!$Y660,info!$X$2:$X$192&amp;info!$Y$2:$Y$192,0))</f>
        <v>Injury related</v>
      </c>
      <c r="AA660" s="183" t="s">
        <v>4659</v>
      </c>
      <c r="AB660" s="9" t="s">
        <v>654</v>
      </c>
      <c r="AC660" s="9" t="s">
        <v>654</v>
      </c>
      <c r="AD660" s="9" t="s">
        <v>654</v>
      </c>
      <c r="AE660" s="9" t="s">
        <v>654</v>
      </c>
      <c r="AF660" s="184"/>
      <c r="AG660" s="183"/>
      <c r="AH660" s="183"/>
      <c r="AI660" s="183"/>
      <c r="AJ660" s="183"/>
      <c r="AK660" s="9" t="s">
        <v>654</v>
      </c>
      <c r="AL660" s="183"/>
      <c r="AM660" s="186" t="str">
        <f>IF(AF660="","","Q"&amp;INT((MONTH(AF660)-1)/3)+1&amp;YEAR(AF660)&amp;#REF!&amp;T660)</f>
        <v/>
      </c>
      <c r="AN660" s="186" t="e">
        <f>IF(K660="","","Q"&amp;INT((MONTH(K660)-1)/3)+1&amp;YEAR(K660)&amp;#REF!)</f>
        <v>#REF!</v>
      </c>
    </row>
    <row r="661" spans="1:40" ht="20.100000000000001" customHeight="1" x14ac:dyDescent="0.25">
      <c r="A661" s="8">
        <v>659</v>
      </c>
      <c r="B661" s="8" t="s">
        <v>399</v>
      </c>
      <c r="C661" s="8" t="s">
        <v>1997</v>
      </c>
      <c r="D661" s="8" t="s">
        <v>2416</v>
      </c>
      <c r="E661" s="182" t="s">
        <v>1998</v>
      </c>
      <c r="F661" s="183" t="s">
        <v>2222</v>
      </c>
      <c r="G661" s="183"/>
      <c r="H661" s="183" t="s">
        <v>4392</v>
      </c>
      <c r="I661" s="183" t="s">
        <v>579</v>
      </c>
      <c r="J661" s="183"/>
      <c r="K661" s="184">
        <v>46069</v>
      </c>
      <c r="L661" s="183">
        <v>105</v>
      </c>
      <c r="M661" s="185" t="str">
        <f>IF(phc_8[[#This Row],[Register No.]]="","",C661&amp;"-"&amp;D661&amp;"-"&amp;"BHA-PHC-"&amp;phc_8[[#This Row],[Register No.]])</f>
        <v>Shining Star-Mobile Clinic-BHA-PHC-105</v>
      </c>
      <c r="N661" s="9" t="s">
        <v>401</v>
      </c>
      <c r="O661" s="183" t="s">
        <v>4652</v>
      </c>
      <c r="P661" s="183">
        <v>61</v>
      </c>
      <c r="Q661" s="183"/>
      <c r="R661" s="183"/>
      <c r="S661" s="186" t="str">
        <f t="shared" si="24"/>
        <v>50 yrs +</v>
      </c>
      <c r="T661" s="183" t="s">
        <v>603</v>
      </c>
      <c r="U661" s="183"/>
      <c r="V661" s="183" t="s">
        <v>3463</v>
      </c>
      <c r="W661" s="183" t="s">
        <v>2059</v>
      </c>
      <c r="X661" s="183" t="s">
        <v>242</v>
      </c>
      <c r="Y661" s="186" t="str">
        <f>INDEX(info!$Y$2:$Y$192,MATCH(phc_8[[#This Row],[Sub_Category]],info!$X$2:$X$192,0))</f>
        <v>Accident/minor sugical and injuries</v>
      </c>
      <c r="Z661" s="186" t="str">
        <f t="array" ref="Z661">INDEX(info!$AA$2:$AA$192,MATCH(PHC!$X661&amp;PHC!$Y661,info!$X$2:$X$192&amp;info!$Y$2:$Y$192,0))</f>
        <v>Injury related</v>
      </c>
      <c r="AA661" s="183" t="s">
        <v>4660</v>
      </c>
      <c r="AB661" s="9" t="s">
        <v>654</v>
      </c>
      <c r="AC661" s="9" t="s">
        <v>654</v>
      </c>
      <c r="AD661" s="9" t="s">
        <v>654</v>
      </c>
      <c r="AE661" s="9" t="s">
        <v>654</v>
      </c>
      <c r="AF661" s="184"/>
      <c r="AG661" s="183"/>
      <c r="AH661" s="183"/>
      <c r="AI661" s="183"/>
      <c r="AJ661" s="183"/>
      <c r="AK661" s="9" t="s">
        <v>654</v>
      </c>
      <c r="AL661" s="183"/>
      <c r="AM661" s="186" t="str">
        <f>IF(AF661="","","Q"&amp;INT((MONTH(AF661)-1)/3)+1&amp;YEAR(AF661)&amp;#REF!&amp;T661)</f>
        <v/>
      </c>
      <c r="AN661" s="186" t="e">
        <f>IF(K661="","","Q"&amp;INT((MONTH(K661)-1)/3)+1&amp;YEAR(K661)&amp;#REF!)</f>
        <v>#REF!</v>
      </c>
    </row>
    <row r="662" spans="1:40" ht="20.100000000000001" customHeight="1" x14ac:dyDescent="0.25">
      <c r="A662" s="8">
        <v>660</v>
      </c>
      <c r="B662" s="8" t="s">
        <v>399</v>
      </c>
      <c r="C662" s="8" t="s">
        <v>1997</v>
      </c>
      <c r="D662" s="8" t="s">
        <v>2416</v>
      </c>
      <c r="E662" s="182" t="s">
        <v>1998</v>
      </c>
      <c r="F662" s="183" t="s">
        <v>2222</v>
      </c>
      <c r="G662" s="183"/>
      <c r="H662" s="183" t="s">
        <v>4392</v>
      </c>
      <c r="I662" s="183" t="s">
        <v>579</v>
      </c>
      <c r="J662" s="183"/>
      <c r="K662" s="184">
        <v>46069</v>
      </c>
      <c r="L662" s="183">
        <v>106</v>
      </c>
      <c r="M662" s="185" t="str">
        <f>IF(phc_8[[#This Row],[Register No.]]="","",C662&amp;"-"&amp;D662&amp;"-"&amp;"BHA-PHC-"&amp;phc_8[[#This Row],[Register No.]])</f>
        <v>Shining Star-Mobile Clinic-BHA-PHC-106</v>
      </c>
      <c r="N662" s="9" t="s">
        <v>401</v>
      </c>
      <c r="O662" s="183" t="s">
        <v>4661</v>
      </c>
      <c r="P662" s="183">
        <v>64</v>
      </c>
      <c r="Q662" s="183"/>
      <c r="R662" s="183"/>
      <c r="S662" s="186" t="str">
        <f t="shared" si="24"/>
        <v>50 yrs +</v>
      </c>
      <c r="T662" s="183" t="s">
        <v>603</v>
      </c>
      <c r="U662" s="183"/>
      <c r="V662" s="183" t="s">
        <v>4669</v>
      </c>
      <c r="W662" s="183" t="s">
        <v>2014</v>
      </c>
      <c r="X662" s="183" t="s">
        <v>2014</v>
      </c>
      <c r="Y662" s="186" t="str">
        <f>INDEX(info!$Y$2:$Y$192,MATCH(phc_8[[#This Row],[Sub_Category]],info!$X$2:$X$192,0))</f>
        <v>Other (non-communicable)</v>
      </c>
      <c r="Z662" s="186" t="str">
        <f t="array" ref="Z662">INDEX(info!$AA$2:$AA$192,MATCH(PHC!$X662&amp;PHC!$Y662,info!$X$2:$X$192&amp;info!$Y$2:$Y$192,0))</f>
        <v>Other</v>
      </c>
      <c r="AA662" s="183" t="s">
        <v>4676</v>
      </c>
      <c r="AB662" s="9" t="s">
        <v>654</v>
      </c>
      <c r="AC662" s="9" t="s">
        <v>654</v>
      </c>
      <c r="AD662" s="9" t="s">
        <v>654</v>
      </c>
      <c r="AE662" s="9" t="s">
        <v>654</v>
      </c>
      <c r="AF662" s="184"/>
      <c r="AG662" s="183"/>
      <c r="AH662" s="183"/>
      <c r="AI662" s="183"/>
      <c r="AJ662" s="183"/>
      <c r="AK662" s="9" t="s">
        <v>654</v>
      </c>
      <c r="AL662" s="183"/>
      <c r="AM662" s="186" t="str">
        <f>IF(AF662="","","Q"&amp;INT((MONTH(AF662)-1)/3)+1&amp;YEAR(AF662)&amp;#REF!&amp;T662)</f>
        <v/>
      </c>
      <c r="AN662" s="186" t="e">
        <f>IF(K662="","","Q"&amp;INT((MONTH(K662)-1)/3)+1&amp;YEAR(K662)&amp;#REF!)</f>
        <v>#REF!</v>
      </c>
    </row>
    <row r="663" spans="1:40" ht="20.100000000000001" customHeight="1" x14ac:dyDescent="0.25">
      <c r="A663" s="8">
        <v>661</v>
      </c>
      <c r="B663" s="8" t="s">
        <v>399</v>
      </c>
      <c r="C663" s="8" t="s">
        <v>1997</v>
      </c>
      <c r="D663" s="8" t="s">
        <v>2416</v>
      </c>
      <c r="E663" s="182" t="s">
        <v>1998</v>
      </c>
      <c r="F663" s="183" t="s">
        <v>2222</v>
      </c>
      <c r="G663" s="183"/>
      <c r="H663" s="183" t="s">
        <v>4392</v>
      </c>
      <c r="I663" s="183" t="s">
        <v>579</v>
      </c>
      <c r="J663" s="183"/>
      <c r="K663" s="184">
        <v>46069</v>
      </c>
      <c r="L663" s="183">
        <v>107</v>
      </c>
      <c r="M663" s="185" t="str">
        <f>IF(phc_8[[#This Row],[Register No.]]="","",C663&amp;"-"&amp;D663&amp;"-"&amp;"BHA-PHC-"&amp;phc_8[[#This Row],[Register No.]])</f>
        <v>Shining Star-Mobile Clinic-BHA-PHC-107</v>
      </c>
      <c r="N663" s="9" t="s">
        <v>401</v>
      </c>
      <c r="O663" s="183" t="s">
        <v>4662</v>
      </c>
      <c r="P663" s="183">
        <v>65</v>
      </c>
      <c r="Q663" s="183"/>
      <c r="R663" s="183"/>
      <c r="S663" s="186" t="str">
        <f t="shared" si="24"/>
        <v>50 yrs +</v>
      </c>
      <c r="T663" s="183" t="s">
        <v>402</v>
      </c>
      <c r="U663" s="183"/>
      <c r="V663" s="183" t="s">
        <v>3209</v>
      </c>
      <c r="W663" s="183" t="s">
        <v>2003</v>
      </c>
      <c r="X663" s="183" t="s">
        <v>181</v>
      </c>
      <c r="Y663" s="186" t="str">
        <f>INDEX(info!$Y$2:$Y$192,MATCH(phc_8[[#This Row],[Sub_Category]],info!$X$2:$X$192,0))</f>
        <v>Chronic medical disease</v>
      </c>
      <c r="Z663" s="186" t="str">
        <f t="array" ref="Z663">INDEX(info!$AA$2:$AA$192,MATCH(PHC!$X663&amp;PHC!$Y663,info!$X$2:$X$192&amp;info!$Y$2:$Y$192,0))</f>
        <v>Non-communicable disease</v>
      </c>
      <c r="AA663" s="183" t="s">
        <v>4677</v>
      </c>
      <c r="AB663" s="9" t="s">
        <v>654</v>
      </c>
      <c r="AC663" s="9" t="s">
        <v>654</v>
      </c>
      <c r="AD663" s="9" t="s">
        <v>654</v>
      </c>
      <c r="AE663" s="9" t="s">
        <v>654</v>
      </c>
      <c r="AF663" s="184"/>
      <c r="AG663" s="183"/>
      <c r="AH663" s="183"/>
      <c r="AI663" s="183"/>
      <c r="AJ663" s="183"/>
      <c r="AK663" s="9" t="s">
        <v>654</v>
      </c>
      <c r="AL663" s="183"/>
      <c r="AM663" s="186" t="str">
        <f>IF(AF663="","","Q"&amp;INT((MONTH(AF663)-1)/3)+1&amp;YEAR(AF663)&amp;#REF!&amp;T663)</f>
        <v/>
      </c>
      <c r="AN663" s="186" t="e">
        <f>IF(K663="","","Q"&amp;INT((MONTH(K663)-1)/3)+1&amp;YEAR(K663)&amp;#REF!)</f>
        <v>#REF!</v>
      </c>
    </row>
    <row r="664" spans="1:40" ht="20.100000000000001" customHeight="1" x14ac:dyDescent="0.25">
      <c r="A664" s="8">
        <v>662</v>
      </c>
      <c r="B664" s="8" t="s">
        <v>399</v>
      </c>
      <c r="C664" s="8" t="s">
        <v>1997</v>
      </c>
      <c r="D664" s="8" t="s">
        <v>2416</v>
      </c>
      <c r="E664" s="182" t="s">
        <v>1998</v>
      </c>
      <c r="F664" s="183" t="s">
        <v>2222</v>
      </c>
      <c r="G664" s="183"/>
      <c r="H664" s="183" t="s">
        <v>4392</v>
      </c>
      <c r="I664" s="183" t="s">
        <v>579</v>
      </c>
      <c r="J664" s="183"/>
      <c r="K664" s="184">
        <v>46069</v>
      </c>
      <c r="L664" s="183">
        <v>108</v>
      </c>
      <c r="M664" s="185" t="str">
        <f>IF(phc_8[[#This Row],[Register No.]]="","",C664&amp;"-"&amp;D664&amp;"-"&amp;"BHA-PHC-"&amp;phc_8[[#This Row],[Register No.]])</f>
        <v>Shining Star-Mobile Clinic-BHA-PHC-108</v>
      </c>
      <c r="N664" s="9" t="s">
        <v>401</v>
      </c>
      <c r="O664" s="183" t="s">
        <v>4663</v>
      </c>
      <c r="P664" s="183">
        <v>60</v>
      </c>
      <c r="Q664" s="183"/>
      <c r="R664" s="183"/>
      <c r="S664" s="186" t="str">
        <f t="shared" si="24"/>
        <v>50 yrs +</v>
      </c>
      <c r="T664" s="183" t="s">
        <v>603</v>
      </c>
      <c r="U664" s="183"/>
      <c r="V664" s="183" t="s">
        <v>4670</v>
      </c>
      <c r="W664" s="183" t="s">
        <v>2014</v>
      </c>
      <c r="X664" s="183" t="s">
        <v>2014</v>
      </c>
      <c r="Y664" s="186" t="str">
        <f>INDEX(info!$Y$2:$Y$192,MATCH(phc_8[[#This Row],[Sub_Category]],info!$X$2:$X$192,0))</f>
        <v>Other (non-communicable)</v>
      </c>
      <c r="Z664" s="186" t="str">
        <f t="array" ref="Z664">INDEX(info!$AA$2:$AA$192,MATCH(PHC!$X664&amp;PHC!$Y664,info!$X$2:$X$192&amp;info!$Y$2:$Y$192,0))</f>
        <v>Other</v>
      </c>
      <c r="AA664" s="183" t="s">
        <v>4678</v>
      </c>
      <c r="AB664" s="9" t="s">
        <v>654</v>
      </c>
      <c r="AC664" s="9" t="s">
        <v>654</v>
      </c>
      <c r="AD664" s="9" t="s">
        <v>654</v>
      </c>
      <c r="AE664" s="9" t="s">
        <v>654</v>
      </c>
      <c r="AF664" s="184"/>
      <c r="AG664" s="183"/>
      <c r="AH664" s="183"/>
      <c r="AI664" s="183"/>
      <c r="AJ664" s="183"/>
      <c r="AK664" s="9" t="s">
        <v>654</v>
      </c>
      <c r="AL664" s="183"/>
      <c r="AM664" s="186" t="str">
        <f>IF(AF664="","","Q"&amp;INT((MONTH(AF664)-1)/3)+1&amp;YEAR(AF664)&amp;#REF!&amp;T664)</f>
        <v/>
      </c>
      <c r="AN664" s="186" t="e">
        <f>IF(K664="","","Q"&amp;INT((MONTH(K664)-1)/3)+1&amp;YEAR(K664)&amp;#REF!)</f>
        <v>#REF!</v>
      </c>
    </row>
    <row r="665" spans="1:40" ht="20.100000000000001" customHeight="1" x14ac:dyDescent="0.25">
      <c r="A665" s="8">
        <v>663</v>
      </c>
      <c r="B665" s="8" t="s">
        <v>399</v>
      </c>
      <c r="C665" s="8" t="s">
        <v>1997</v>
      </c>
      <c r="D665" s="8" t="s">
        <v>2416</v>
      </c>
      <c r="E665" s="182" t="s">
        <v>1998</v>
      </c>
      <c r="F665" s="183" t="s">
        <v>2222</v>
      </c>
      <c r="G665" s="183"/>
      <c r="H665" s="183" t="s">
        <v>4392</v>
      </c>
      <c r="I665" s="183" t="s">
        <v>579</v>
      </c>
      <c r="J665" s="183"/>
      <c r="K665" s="184">
        <v>46069</v>
      </c>
      <c r="L665" s="183">
        <v>109</v>
      </c>
      <c r="M665" s="185" t="str">
        <f>IF(phc_8[[#This Row],[Register No.]]="","",C665&amp;"-"&amp;D665&amp;"-"&amp;"BHA-PHC-"&amp;phc_8[[#This Row],[Register No.]])</f>
        <v>Shining Star-Mobile Clinic-BHA-PHC-109</v>
      </c>
      <c r="N665" s="9" t="s">
        <v>401</v>
      </c>
      <c r="O665" s="183" t="s">
        <v>4664</v>
      </c>
      <c r="P665" s="183">
        <v>40</v>
      </c>
      <c r="Q665" s="183"/>
      <c r="R665" s="183"/>
      <c r="S665" s="186" t="str">
        <f t="shared" si="24"/>
        <v>19 - 49 yrs</v>
      </c>
      <c r="T665" s="183" t="s">
        <v>603</v>
      </c>
      <c r="U665" s="183"/>
      <c r="V665" s="183" t="s">
        <v>4671</v>
      </c>
      <c r="W665" s="183" t="s">
        <v>2014</v>
      </c>
      <c r="X665" s="183" t="s">
        <v>2014</v>
      </c>
      <c r="Y665" s="186" t="str">
        <f>INDEX(info!$Y$2:$Y$192,MATCH(phc_8[[#This Row],[Sub_Category]],info!$X$2:$X$192,0))</f>
        <v>Other (non-communicable)</v>
      </c>
      <c r="Z665" s="186" t="str">
        <f t="array" ref="Z665">INDEX(info!$AA$2:$AA$192,MATCH(PHC!$X665&amp;PHC!$Y665,info!$X$2:$X$192&amp;info!$Y$2:$Y$192,0))</f>
        <v>Other</v>
      </c>
      <c r="AA665" s="183" t="s">
        <v>3718</v>
      </c>
      <c r="AB665" s="9" t="s">
        <v>654</v>
      </c>
      <c r="AC665" s="9" t="s">
        <v>654</v>
      </c>
      <c r="AD665" s="9" t="s">
        <v>654</v>
      </c>
      <c r="AE665" s="9" t="s">
        <v>654</v>
      </c>
      <c r="AF665" s="184"/>
      <c r="AG665" s="183"/>
      <c r="AH665" s="183"/>
      <c r="AI665" s="183"/>
      <c r="AJ665" s="183"/>
      <c r="AK665" s="9" t="s">
        <v>654</v>
      </c>
      <c r="AL665" s="183"/>
      <c r="AM665" s="186" t="str">
        <f>IF(AF665="","","Q"&amp;INT((MONTH(AF665)-1)/3)+1&amp;YEAR(AF665)&amp;#REF!&amp;T665)</f>
        <v/>
      </c>
      <c r="AN665" s="186" t="e">
        <f>IF(K665="","","Q"&amp;INT((MONTH(K665)-1)/3)+1&amp;YEAR(K665)&amp;#REF!)</f>
        <v>#REF!</v>
      </c>
    </row>
    <row r="666" spans="1:40" ht="20.100000000000001" customHeight="1" x14ac:dyDescent="0.25">
      <c r="A666" s="8">
        <v>664</v>
      </c>
      <c r="B666" s="8" t="s">
        <v>399</v>
      </c>
      <c r="C666" s="8" t="s">
        <v>1997</v>
      </c>
      <c r="D666" s="8" t="s">
        <v>2416</v>
      </c>
      <c r="E666" s="182" t="s">
        <v>1998</v>
      </c>
      <c r="F666" s="183" t="s">
        <v>2222</v>
      </c>
      <c r="G666" s="183"/>
      <c r="H666" s="183" t="s">
        <v>4392</v>
      </c>
      <c r="I666" s="183" t="s">
        <v>579</v>
      </c>
      <c r="J666" s="183"/>
      <c r="K666" s="184">
        <v>46069</v>
      </c>
      <c r="L666" s="183">
        <v>110</v>
      </c>
      <c r="M666" s="185" t="str">
        <f>IF(phc_8[[#This Row],[Register No.]]="","",C666&amp;"-"&amp;D666&amp;"-"&amp;"BHA-PHC-"&amp;phc_8[[#This Row],[Register No.]])</f>
        <v>Shining Star-Mobile Clinic-BHA-PHC-110</v>
      </c>
      <c r="N666" s="9" t="s">
        <v>401</v>
      </c>
      <c r="O666" s="183" t="s">
        <v>2937</v>
      </c>
      <c r="P666" s="183">
        <v>32</v>
      </c>
      <c r="Q666" s="183"/>
      <c r="R666" s="183"/>
      <c r="S666" s="186" t="str">
        <f t="shared" ref="S666:S697" si="25">IF(AND(ISBLANK(P666),ISBLANK(Q666),ISBLANK(R666))," ",
IF(OR(P666&lt;5,AND(P666=" ",Q666&lt;&gt;" ",R666&lt;&gt;" ")),"&lt;5 yrs",
IF(AND(P666&gt;=5,P666&lt;=14),"5 - 14 yrs",
IF(AND(P666&gt;=15,P666&lt;=18),"15 - 18 yrs",
IF(AND(P666&gt;=19,P666&lt;=49),"19 - 49 yrs","50 yrs +")))))</f>
        <v>19 - 49 yrs</v>
      </c>
      <c r="T666" s="183" t="s">
        <v>402</v>
      </c>
      <c r="U666" s="183"/>
      <c r="V666" s="183" t="s">
        <v>4672</v>
      </c>
      <c r="W666" s="183" t="s">
        <v>294</v>
      </c>
      <c r="X666" s="183" t="s">
        <v>294</v>
      </c>
      <c r="Y666" s="186" t="str">
        <f>INDEX(info!$Y$2:$Y$192,MATCH(phc_8[[#This Row],[Sub_Category]],info!$X$2:$X$192,0))</f>
        <v>Other (non-communicable)</v>
      </c>
      <c r="Z666" s="186" t="str">
        <f t="array" ref="Z666">INDEX(info!$AA$2:$AA$192,MATCH(PHC!$X666&amp;PHC!$Y666,info!$X$2:$X$192&amp;info!$Y$2:$Y$192,0))</f>
        <v>Other</v>
      </c>
      <c r="AA666" s="183" t="s">
        <v>4679</v>
      </c>
      <c r="AB666" s="9" t="s">
        <v>654</v>
      </c>
      <c r="AC666" s="9" t="s">
        <v>654</v>
      </c>
      <c r="AD666" s="9" t="s">
        <v>654</v>
      </c>
      <c r="AE666" s="9" t="s">
        <v>654</v>
      </c>
      <c r="AF666" s="184"/>
      <c r="AG666" s="183"/>
      <c r="AH666" s="183"/>
      <c r="AI666" s="183"/>
      <c r="AJ666" s="183"/>
      <c r="AK666" s="9" t="s">
        <v>654</v>
      </c>
      <c r="AL666" s="183"/>
      <c r="AM666" s="186" t="str">
        <f>IF(AF666="","","Q"&amp;INT((MONTH(AF666)-1)/3)+1&amp;YEAR(AF666)&amp;#REF!&amp;T666)</f>
        <v/>
      </c>
      <c r="AN666" s="186" t="e">
        <f>IF(K666="","","Q"&amp;INT((MONTH(K666)-1)/3)+1&amp;YEAR(K666)&amp;#REF!)</f>
        <v>#REF!</v>
      </c>
    </row>
    <row r="667" spans="1:40" ht="20.100000000000001" customHeight="1" x14ac:dyDescent="0.25">
      <c r="A667" s="8">
        <v>665</v>
      </c>
      <c r="B667" s="8" t="s">
        <v>399</v>
      </c>
      <c r="C667" s="8" t="s">
        <v>1997</v>
      </c>
      <c r="D667" s="8" t="s">
        <v>2416</v>
      </c>
      <c r="E667" s="182" t="s">
        <v>1998</v>
      </c>
      <c r="F667" s="183" t="s">
        <v>2222</v>
      </c>
      <c r="G667" s="183"/>
      <c r="H667" s="183" t="s">
        <v>4392</v>
      </c>
      <c r="I667" s="183" t="s">
        <v>579</v>
      </c>
      <c r="J667" s="183"/>
      <c r="K667" s="184">
        <v>46069</v>
      </c>
      <c r="L667" s="183">
        <v>111</v>
      </c>
      <c r="M667" s="185" t="str">
        <f>IF(phc_8[[#This Row],[Register No.]]="","",C667&amp;"-"&amp;D667&amp;"-"&amp;"BHA-PHC-"&amp;phc_8[[#This Row],[Register No.]])</f>
        <v>Shining Star-Mobile Clinic-BHA-PHC-111</v>
      </c>
      <c r="N667" s="9" t="s">
        <v>401</v>
      </c>
      <c r="O667" s="183" t="s">
        <v>4665</v>
      </c>
      <c r="P667" s="183">
        <v>79</v>
      </c>
      <c r="Q667" s="183"/>
      <c r="R667" s="183"/>
      <c r="S667" s="186" t="str">
        <f t="shared" si="25"/>
        <v>50 yrs +</v>
      </c>
      <c r="T667" s="183" t="s">
        <v>603</v>
      </c>
      <c r="U667" s="183"/>
      <c r="V667" s="183" t="s">
        <v>3209</v>
      </c>
      <c r="W667" s="183" t="s">
        <v>225</v>
      </c>
      <c r="X667" s="183" t="s">
        <v>225</v>
      </c>
      <c r="Y667" s="186" t="str">
        <f>INDEX(info!$Y$2:$Y$192,MATCH(phc_8[[#This Row],[Sub_Category]],info!$X$2:$X$192,0))</f>
        <v>GI problem</v>
      </c>
      <c r="Z667" s="186" t="str">
        <f t="array" ref="Z667">INDEX(info!$AA$2:$AA$192,MATCH(PHC!$X667&amp;PHC!$Y667,info!$X$2:$X$192&amp;info!$Y$2:$Y$192,0))</f>
        <v>Non-communicable disease</v>
      </c>
      <c r="AA667" s="183" t="s">
        <v>4545</v>
      </c>
      <c r="AB667" s="9" t="s">
        <v>654</v>
      </c>
      <c r="AC667" s="9" t="s">
        <v>654</v>
      </c>
      <c r="AD667" s="9" t="s">
        <v>654</v>
      </c>
      <c r="AE667" s="9" t="s">
        <v>654</v>
      </c>
      <c r="AF667" s="184"/>
      <c r="AG667" s="183"/>
      <c r="AH667" s="183"/>
      <c r="AI667" s="183"/>
      <c r="AJ667" s="183"/>
      <c r="AK667" s="9" t="s">
        <v>654</v>
      </c>
      <c r="AL667" s="183"/>
      <c r="AM667" s="186" t="str">
        <f>IF(AF667="","","Q"&amp;INT((MONTH(AF667)-1)/3)+1&amp;YEAR(AF667)&amp;#REF!&amp;T667)</f>
        <v/>
      </c>
      <c r="AN667" s="186" t="e">
        <f>IF(K667="","","Q"&amp;INT((MONTH(K667)-1)/3)+1&amp;YEAR(K667)&amp;#REF!)</f>
        <v>#REF!</v>
      </c>
    </row>
    <row r="668" spans="1:40" ht="20.100000000000001" customHeight="1" x14ac:dyDescent="0.25">
      <c r="A668" s="8">
        <v>666</v>
      </c>
      <c r="B668" s="8" t="s">
        <v>399</v>
      </c>
      <c r="C668" s="8" t="s">
        <v>1997</v>
      </c>
      <c r="D668" s="8" t="s">
        <v>2416</v>
      </c>
      <c r="E668" s="182" t="s">
        <v>1998</v>
      </c>
      <c r="F668" s="183" t="s">
        <v>2222</v>
      </c>
      <c r="G668" s="183"/>
      <c r="H668" s="183" t="s">
        <v>4392</v>
      </c>
      <c r="I668" s="183" t="s">
        <v>579</v>
      </c>
      <c r="J668" s="183"/>
      <c r="K668" s="184">
        <v>46069</v>
      </c>
      <c r="L668" s="183">
        <v>112</v>
      </c>
      <c r="M668" s="185" t="str">
        <f>IF(phc_8[[#This Row],[Register No.]]="","",C668&amp;"-"&amp;D668&amp;"-"&amp;"BHA-PHC-"&amp;phc_8[[#This Row],[Register No.]])</f>
        <v>Shining Star-Mobile Clinic-BHA-PHC-112</v>
      </c>
      <c r="N668" s="9" t="s">
        <v>401</v>
      </c>
      <c r="O668" s="183" t="s">
        <v>4666</v>
      </c>
      <c r="P668" s="183">
        <v>56</v>
      </c>
      <c r="Q668" s="183"/>
      <c r="R668" s="183"/>
      <c r="S668" s="186" t="str">
        <f t="shared" si="25"/>
        <v>50 yrs +</v>
      </c>
      <c r="T668" s="183" t="s">
        <v>402</v>
      </c>
      <c r="U668" s="183"/>
      <c r="V668" s="183" t="s">
        <v>4673</v>
      </c>
      <c r="W668" s="183" t="s">
        <v>2003</v>
      </c>
      <c r="X668" s="183" t="s">
        <v>181</v>
      </c>
      <c r="Y668" s="186" t="str">
        <f>INDEX(info!$Y$2:$Y$192,MATCH(phc_8[[#This Row],[Sub_Category]],info!$X$2:$X$192,0))</f>
        <v>Chronic medical disease</v>
      </c>
      <c r="Z668" s="186" t="str">
        <f t="array" ref="Z668">INDEX(info!$AA$2:$AA$192,MATCH(PHC!$X668&amp;PHC!$Y668,info!$X$2:$X$192&amp;info!$Y$2:$Y$192,0))</f>
        <v>Non-communicable disease</v>
      </c>
      <c r="AA668" s="183" t="s">
        <v>4680</v>
      </c>
      <c r="AB668" s="9" t="s">
        <v>654</v>
      </c>
      <c r="AC668" s="9" t="s">
        <v>654</v>
      </c>
      <c r="AD668" s="9" t="s">
        <v>654</v>
      </c>
      <c r="AE668" s="9" t="s">
        <v>654</v>
      </c>
      <c r="AF668" s="184"/>
      <c r="AG668" s="183"/>
      <c r="AH668" s="183"/>
      <c r="AI668" s="183"/>
      <c r="AJ668" s="183"/>
      <c r="AK668" s="9" t="s">
        <v>654</v>
      </c>
      <c r="AL668" s="183"/>
      <c r="AM668" s="186" t="str">
        <f>IF(AF668="","","Q"&amp;INT((MONTH(AF668)-1)/3)+1&amp;YEAR(AF668)&amp;#REF!&amp;T668)</f>
        <v/>
      </c>
      <c r="AN668" s="186" t="e">
        <f>IF(K668="","","Q"&amp;INT((MONTH(K668)-1)/3)+1&amp;YEAR(K668)&amp;#REF!)</f>
        <v>#REF!</v>
      </c>
    </row>
    <row r="669" spans="1:40" s="216" customFormat="1" ht="20.100000000000001" customHeight="1" x14ac:dyDescent="0.25">
      <c r="A669" s="182">
        <v>667</v>
      </c>
      <c r="B669" s="182" t="s">
        <v>399</v>
      </c>
      <c r="C669" s="182" t="s">
        <v>1997</v>
      </c>
      <c r="D669" s="182" t="s">
        <v>2416</v>
      </c>
      <c r="E669" s="182" t="s">
        <v>1998</v>
      </c>
      <c r="F669" s="183" t="s">
        <v>2222</v>
      </c>
      <c r="G669" s="183"/>
      <c r="H669" s="183" t="s">
        <v>4392</v>
      </c>
      <c r="I669" s="183" t="s">
        <v>579</v>
      </c>
      <c r="J669" s="183"/>
      <c r="K669" s="184">
        <v>46069</v>
      </c>
      <c r="L669" s="183">
        <v>113</v>
      </c>
      <c r="M669" s="186" t="str">
        <f>IF(phc_8[[#This Row],[Register No.]]="","",C669&amp;"-"&amp;D669&amp;"-"&amp;"BHA-PHC-"&amp;phc_8[[#This Row],[Register No.]])</f>
        <v>Shining Star-Mobile Clinic-BHA-PHC-113</v>
      </c>
      <c r="N669" s="183" t="s">
        <v>401</v>
      </c>
      <c r="O669" s="183" t="s">
        <v>4667</v>
      </c>
      <c r="P669" s="183">
        <v>7</v>
      </c>
      <c r="Q669" s="183"/>
      <c r="R669" s="183"/>
      <c r="S669" s="190" t="str">
        <f t="shared" si="25"/>
        <v>5 - 14 yrs</v>
      </c>
      <c r="T669" s="183" t="s">
        <v>603</v>
      </c>
      <c r="U669" s="183"/>
      <c r="V669" s="183" t="s">
        <v>4674</v>
      </c>
      <c r="W669" s="183" t="s">
        <v>4675</v>
      </c>
      <c r="X669" s="183" t="s">
        <v>113</v>
      </c>
      <c r="Y669" s="186" t="str">
        <f>INDEX(info!$Y$2:$Y$192,MATCH(phc_8[[#This Row],[Sub_Category]],info!$X$2:$X$192,0))</f>
        <v>ARI/RTI</v>
      </c>
      <c r="Z669" s="186" t="str">
        <f t="array" ref="Z669">INDEX(info!$AA$2:$AA$192,MATCH(PHC!$X669&amp;PHC!$Y669,info!$X$2:$X$192&amp;info!$Y$2:$Y$192,0))</f>
        <v>Communicable disease</v>
      </c>
      <c r="AA669" s="183" t="s">
        <v>4681</v>
      </c>
      <c r="AB669" s="183" t="s">
        <v>654</v>
      </c>
      <c r="AC669" s="183" t="s">
        <v>654</v>
      </c>
      <c r="AD669" s="183" t="s">
        <v>654</v>
      </c>
      <c r="AE669" s="183" t="s">
        <v>654</v>
      </c>
      <c r="AF669" s="184"/>
      <c r="AG669" s="183"/>
      <c r="AH669" s="183"/>
      <c r="AI669" s="183"/>
      <c r="AJ669" s="183"/>
      <c r="AK669" s="183" t="s">
        <v>654</v>
      </c>
      <c r="AL669" s="183"/>
      <c r="AM669" s="186" t="str">
        <f>IF(AF669="","","Q"&amp;INT((MONTH(AF669)-1)/3)+1&amp;YEAR(AF669)&amp;#REF!&amp;T669)</f>
        <v/>
      </c>
      <c r="AN669" s="186" t="e">
        <f>IF(K669="","","Q"&amp;INT((MONTH(K669)-1)/3)+1&amp;YEAR(K669)&amp;#REF!)</f>
        <v>#REF!</v>
      </c>
    </row>
    <row r="670" spans="1:40" ht="20.100000000000001" customHeight="1" x14ac:dyDescent="0.25">
      <c r="A670" s="8">
        <v>668</v>
      </c>
      <c r="B670" s="8" t="s">
        <v>399</v>
      </c>
      <c r="C670" s="8" t="s">
        <v>1997</v>
      </c>
      <c r="D670" s="8" t="s">
        <v>2416</v>
      </c>
      <c r="E670" s="182" t="s">
        <v>1998</v>
      </c>
      <c r="F670" s="183" t="s">
        <v>2222</v>
      </c>
      <c r="G670" s="183"/>
      <c r="H670" s="183" t="s">
        <v>4392</v>
      </c>
      <c r="I670" s="183" t="s">
        <v>579</v>
      </c>
      <c r="J670" s="183"/>
      <c r="K670" s="184">
        <v>46069</v>
      </c>
      <c r="L670" s="183">
        <v>114</v>
      </c>
      <c r="M670" s="185" t="str">
        <f>IF(phc_8[[#This Row],[Register No.]]="","",C670&amp;"-"&amp;D670&amp;"-"&amp;"BHA-PHC-"&amp;phc_8[[#This Row],[Register No.]])</f>
        <v>Shining Star-Mobile Clinic-BHA-PHC-114</v>
      </c>
      <c r="N670" s="9" t="s">
        <v>401</v>
      </c>
      <c r="O670" s="183" t="s">
        <v>3408</v>
      </c>
      <c r="P670" s="183">
        <v>42</v>
      </c>
      <c r="Q670" s="183"/>
      <c r="R670" s="183"/>
      <c r="S670" s="186" t="str">
        <f t="shared" si="25"/>
        <v>19 - 49 yrs</v>
      </c>
      <c r="T670" s="183" t="s">
        <v>603</v>
      </c>
      <c r="U670" s="183"/>
      <c r="V670" s="183" t="s">
        <v>3657</v>
      </c>
      <c r="W670" s="183" t="s">
        <v>2003</v>
      </c>
      <c r="X670" s="183" t="s">
        <v>181</v>
      </c>
      <c r="Y670" s="186" t="str">
        <f>INDEX(info!$Y$2:$Y$192,MATCH(phc_8[[#This Row],[Sub_Category]],info!$X$2:$X$192,0))</f>
        <v>Chronic medical disease</v>
      </c>
      <c r="Z670" s="186" t="str">
        <f t="array" ref="Z670">INDEX(info!$AA$2:$AA$192,MATCH(PHC!$X670&amp;PHC!$Y670,info!$X$2:$X$192&amp;info!$Y$2:$Y$192,0))</f>
        <v>Non-communicable disease</v>
      </c>
      <c r="AA670" s="183" t="s">
        <v>3574</v>
      </c>
      <c r="AB670" s="9" t="s">
        <v>654</v>
      </c>
      <c r="AC670" s="9" t="s">
        <v>654</v>
      </c>
      <c r="AD670" s="9" t="s">
        <v>654</v>
      </c>
      <c r="AE670" s="9" t="s">
        <v>654</v>
      </c>
      <c r="AF670" s="184"/>
      <c r="AG670" s="183"/>
      <c r="AH670" s="183"/>
      <c r="AI670" s="183"/>
      <c r="AJ670" s="183"/>
      <c r="AK670" s="9" t="s">
        <v>654</v>
      </c>
      <c r="AL670" s="183"/>
      <c r="AM670" s="186" t="str">
        <f>IF(AF670="","","Q"&amp;INT((MONTH(AF670)-1)/3)+1&amp;YEAR(AF670)&amp;#REF!&amp;T670)</f>
        <v/>
      </c>
      <c r="AN670" s="186" t="e">
        <f>IF(K670="","","Q"&amp;INT((MONTH(K670)-1)/3)+1&amp;YEAR(K670)&amp;#REF!)</f>
        <v>#REF!</v>
      </c>
    </row>
    <row r="671" spans="1:40" ht="20.100000000000001" customHeight="1" x14ac:dyDescent="0.25">
      <c r="A671" s="8">
        <v>669</v>
      </c>
      <c r="B671" s="8" t="s">
        <v>399</v>
      </c>
      <c r="C671" s="8" t="s">
        <v>1997</v>
      </c>
      <c r="D671" s="8" t="s">
        <v>2416</v>
      </c>
      <c r="E671" s="182" t="s">
        <v>1998</v>
      </c>
      <c r="F671" s="183" t="s">
        <v>2222</v>
      </c>
      <c r="G671" s="183"/>
      <c r="H671" s="183" t="s">
        <v>4392</v>
      </c>
      <c r="I671" s="183" t="s">
        <v>579</v>
      </c>
      <c r="J671" s="183"/>
      <c r="K671" s="184">
        <v>46069</v>
      </c>
      <c r="L671" s="183">
        <v>115</v>
      </c>
      <c r="M671" s="185" t="str">
        <f>IF(phc_8[[#This Row],[Register No.]]="","",C671&amp;"-"&amp;D671&amp;"-"&amp;"BHA-PHC-"&amp;phc_8[[#This Row],[Register No.]])</f>
        <v>Shining Star-Mobile Clinic-BHA-PHC-115</v>
      </c>
      <c r="N671" s="9" t="s">
        <v>401</v>
      </c>
      <c r="O671" s="183" t="s">
        <v>4668</v>
      </c>
      <c r="P671" s="183">
        <v>55</v>
      </c>
      <c r="Q671" s="183"/>
      <c r="R671" s="183"/>
      <c r="S671" s="186" t="str">
        <f t="shared" si="25"/>
        <v>50 yrs +</v>
      </c>
      <c r="T671" s="183" t="s">
        <v>402</v>
      </c>
      <c r="U671" s="183"/>
      <c r="V671" s="183" t="s">
        <v>3331</v>
      </c>
      <c r="W671" s="183" t="s">
        <v>2003</v>
      </c>
      <c r="X671" s="183" t="s">
        <v>181</v>
      </c>
      <c r="Y671" s="186" t="str">
        <f>INDEX(info!$Y$2:$Y$192,MATCH(phc_8[[#This Row],[Sub_Category]],info!$X$2:$X$192,0))</f>
        <v>Chronic medical disease</v>
      </c>
      <c r="Z671" s="186" t="str">
        <f t="array" ref="Z671">INDEX(info!$AA$2:$AA$192,MATCH(PHC!$X671&amp;PHC!$Y671,info!$X$2:$X$192&amp;info!$Y$2:$Y$192,0))</f>
        <v>Non-communicable disease</v>
      </c>
      <c r="AA671" s="183" t="s">
        <v>4682</v>
      </c>
      <c r="AB671" s="9" t="s">
        <v>654</v>
      </c>
      <c r="AC671" s="9" t="s">
        <v>654</v>
      </c>
      <c r="AD671" s="9" t="s">
        <v>654</v>
      </c>
      <c r="AE671" s="9" t="s">
        <v>654</v>
      </c>
      <c r="AF671" s="184"/>
      <c r="AG671" s="183"/>
      <c r="AH671" s="183"/>
      <c r="AI671" s="183"/>
      <c r="AJ671" s="183"/>
      <c r="AK671" s="9" t="s">
        <v>654</v>
      </c>
      <c r="AL671" s="183"/>
      <c r="AM671" s="186" t="str">
        <f>IF(AF671="","","Q"&amp;INT((MONTH(AF671)-1)/3)+1&amp;YEAR(AF671)&amp;#REF!&amp;T671)</f>
        <v/>
      </c>
      <c r="AN671" s="186" t="e">
        <f>IF(K671="","","Q"&amp;INT((MONTH(K671)-1)/3)+1&amp;YEAR(K671)&amp;#REF!)</f>
        <v>#REF!</v>
      </c>
    </row>
    <row r="672" spans="1:40" ht="20.100000000000001" customHeight="1" x14ac:dyDescent="0.25">
      <c r="A672" s="8">
        <v>670</v>
      </c>
      <c r="B672" s="8" t="s">
        <v>399</v>
      </c>
      <c r="C672" s="8" t="s">
        <v>1997</v>
      </c>
      <c r="D672" s="8" t="s">
        <v>2416</v>
      </c>
      <c r="E672" s="182" t="s">
        <v>1998</v>
      </c>
      <c r="F672" s="183" t="s">
        <v>2222</v>
      </c>
      <c r="G672" s="183"/>
      <c r="H672" s="183" t="s">
        <v>4648</v>
      </c>
      <c r="I672" s="183" t="s">
        <v>579</v>
      </c>
      <c r="J672" s="183"/>
      <c r="K672" s="184">
        <v>46070</v>
      </c>
      <c r="L672" s="183">
        <v>1</v>
      </c>
      <c r="M672" s="185" t="str">
        <f>IF(phc_8[[#This Row],[Register No.]]="","",C672&amp;"-"&amp;D672&amp;"-"&amp;"BHA-PHC-"&amp;phc_8[[#This Row],[Register No.]])</f>
        <v>Shining Star-Mobile Clinic-BHA-PHC-1</v>
      </c>
      <c r="N672" s="9" t="s">
        <v>401</v>
      </c>
      <c r="O672" s="183" t="s">
        <v>4683</v>
      </c>
      <c r="P672" s="183">
        <v>57</v>
      </c>
      <c r="Q672" s="183"/>
      <c r="R672" s="183"/>
      <c r="S672" s="186" t="str">
        <f t="shared" si="25"/>
        <v>50 yrs +</v>
      </c>
      <c r="T672" s="183" t="s">
        <v>402</v>
      </c>
      <c r="U672" s="183"/>
      <c r="V672" s="183" t="s">
        <v>4686</v>
      </c>
      <c r="W672" s="183" t="s">
        <v>4687</v>
      </c>
      <c r="X672" s="183" t="s">
        <v>181</v>
      </c>
      <c r="Y672" s="186" t="str">
        <f>INDEX(info!$Y$2:$Y$192,MATCH(phc_8[[#This Row],[Sub_Category]],info!$X$2:$X$192,0))</f>
        <v>Chronic medical disease</v>
      </c>
      <c r="Z672" s="186" t="str">
        <f t="array" ref="Z672">INDEX(info!$AA$2:$AA$192,MATCH(PHC!$X672&amp;PHC!$Y672,info!$X$2:$X$192&amp;info!$Y$2:$Y$192,0))</f>
        <v>Non-communicable disease</v>
      </c>
      <c r="AA672" s="183" t="s">
        <v>4689</v>
      </c>
      <c r="AB672" s="9" t="s">
        <v>654</v>
      </c>
      <c r="AC672" s="9" t="s">
        <v>654</v>
      </c>
      <c r="AD672" s="9" t="s">
        <v>654</v>
      </c>
      <c r="AE672" s="9" t="s">
        <v>654</v>
      </c>
      <c r="AF672" s="184"/>
      <c r="AG672" s="183"/>
      <c r="AH672" s="183"/>
      <c r="AI672" s="183"/>
      <c r="AJ672" s="183"/>
      <c r="AK672" s="9" t="s">
        <v>654</v>
      </c>
      <c r="AL672" s="183"/>
      <c r="AM672" s="186" t="str">
        <f>IF(AF672="","","Q"&amp;INT((MONTH(AF672)-1)/3)+1&amp;YEAR(AF672)&amp;#REF!&amp;T672)</f>
        <v/>
      </c>
      <c r="AN672" s="186" t="e">
        <f>IF(K672="","","Q"&amp;INT((MONTH(K672)-1)/3)+1&amp;YEAR(K672)&amp;#REF!)</f>
        <v>#REF!</v>
      </c>
    </row>
    <row r="673" spans="1:40" ht="20.100000000000001" customHeight="1" x14ac:dyDescent="0.25">
      <c r="A673" s="8">
        <v>671</v>
      </c>
      <c r="B673" s="8" t="s">
        <v>399</v>
      </c>
      <c r="C673" s="8" t="s">
        <v>1997</v>
      </c>
      <c r="D673" s="8" t="s">
        <v>2416</v>
      </c>
      <c r="E673" s="182" t="s">
        <v>1998</v>
      </c>
      <c r="F673" s="183" t="s">
        <v>2222</v>
      </c>
      <c r="G673" s="183"/>
      <c r="H673" s="183" t="s">
        <v>4648</v>
      </c>
      <c r="I673" s="183" t="s">
        <v>579</v>
      </c>
      <c r="J673" s="183"/>
      <c r="K673" s="184">
        <v>46070</v>
      </c>
      <c r="L673" s="183">
        <v>2</v>
      </c>
      <c r="M673" s="185" t="str">
        <f>IF(phc_8[[#This Row],[Register No.]]="","",C673&amp;"-"&amp;D673&amp;"-"&amp;"BHA-PHC-"&amp;phc_8[[#This Row],[Register No.]])</f>
        <v>Shining Star-Mobile Clinic-BHA-PHC-2</v>
      </c>
      <c r="N673" s="9" t="s">
        <v>401</v>
      </c>
      <c r="O673" s="183" t="s">
        <v>3436</v>
      </c>
      <c r="P673" s="183">
        <v>45</v>
      </c>
      <c r="Q673" s="183"/>
      <c r="R673" s="183"/>
      <c r="S673" s="186" t="str">
        <f t="shared" si="25"/>
        <v>19 - 49 yrs</v>
      </c>
      <c r="T673" s="183" t="s">
        <v>603</v>
      </c>
      <c r="U673" s="183"/>
      <c r="V673" s="183" t="s">
        <v>3680</v>
      </c>
      <c r="W673" s="183" t="s">
        <v>2059</v>
      </c>
      <c r="X673" s="183" t="s">
        <v>242</v>
      </c>
      <c r="Y673" s="186" t="str">
        <f>INDEX(info!$Y$2:$Y$192,MATCH(phc_8[[#This Row],[Sub_Category]],info!$X$2:$X$192,0))</f>
        <v>Accident/minor sugical and injuries</v>
      </c>
      <c r="Z673" s="186" t="str">
        <f t="array" ref="Z673">INDEX(info!$AA$2:$AA$192,MATCH(PHC!$X673&amp;PHC!$Y673,info!$X$2:$X$192&amp;info!$Y$2:$Y$192,0))</f>
        <v>Injury related</v>
      </c>
      <c r="AA673" s="183" t="s">
        <v>4690</v>
      </c>
      <c r="AB673" s="9" t="s">
        <v>654</v>
      </c>
      <c r="AC673" s="9" t="s">
        <v>654</v>
      </c>
      <c r="AD673" s="9" t="s">
        <v>654</v>
      </c>
      <c r="AE673" s="9" t="s">
        <v>654</v>
      </c>
      <c r="AF673" s="184"/>
      <c r="AG673" s="183"/>
      <c r="AH673" s="183"/>
      <c r="AI673" s="183"/>
      <c r="AJ673" s="183"/>
      <c r="AK673" s="9" t="s">
        <v>654</v>
      </c>
      <c r="AL673" s="183"/>
      <c r="AM673" s="186" t="str">
        <f>IF(AF673="","","Q"&amp;INT((MONTH(AF673)-1)/3)+1&amp;YEAR(AF673)&amp;#REF!&amp;T673)</f>
        <v/>
      </c>
      <c r="AN673" s="186" t="e">
        <f>IF(K673="","","Q"&amp;INT((MONTH(K673)-1)/3)+1&amp;YEAR(K673)&amp;#REF!)</f>
        <v>#REF!</v>
      </c>
    </row>
    <row r="674" spans="1:40" ht="20.100000000000001" customHeight="1" x14ac:dyDescent="0.25">
      <c r="A674" s="8">
        <v>672</v>
      </c>
      <c r="B674" s="8" t="s">
        <v>399</v>
      </c>
      <c r="C674" s="8" t="s">
        <v>1997</v>
      </c>
      <c r="D674" s="8" t="s">
        <v>2416</v>
      </c>
      <c r="E674" s="182" t="s">
        <v>1998</v>
      </c>
      <c r="F674" s="183" t="s">
        <v>2222</v>
      </c>
      <c r="G674" s="183"/>
      <c r="H674" s="183" t="s">
        <v>4648</v>
      </c>
      <c r="I674" s="183" t="s">
        <v>579</v>
      </c>
      <c r="J674" s="183"/>
      <c r="K674" s="184">
        <v>46070</v>
      </c>
      <c r="L674" s="183">
        <v>3</v>
      </c>
      <c r="M674" s="185" t="str">
        <f>IF(phc_8[[#This Row],[Register No.]]="","",C674&amp;"-"&amp;D674&amp;"-"&amp;"BHA-PHC-"&amp;phc_8[[#This Row],[Register No.]])</f>
        <v>Shining Star-Mobile Clinic-BHA-PHC-3</v>
      </c>
      <c r="N674" s="9" t="s">
        <v>401</v>
      </c>
      <c r="O674" s="183" t="s">
        <v>4684</v>
      </c>
      <c r="P674" s="183">
        <v>73</v>
      </c>
      <c r="Q674" s="183"/>
      <c r="R674" s="183"/>
      <c r="S674" s="186" t="str">
        <f t="shared" si="25"/>
        <v>50 yrs +</v>
      </c>
      <c r="T674" s="183" t="s">
        <v>603</v>
      </c>
      <c r="U674" s="183"/>
      <c r="V674" s="183" t="s">
        <v>3209</v>
      </c>
      <c r="W674" s="183" t="s">
        <v>4688</v>
      </c>
      <c r="X674" s="183" t="s">
        <v>242</v>
      </c>
      <c r="Y674" s="186" t="str">
        <f>INDEX(info!$Y$2:$Y$192,MATCH(phc_8[[#This Row],[Sub_Category]],info!$X$2:$X$192,0))</f>
        <v>Accident/minor sugical and injuries</v>
      </c>
      <c r="Z674" s="186" t="str">
        <f t="array" ref="Z674">INDEX(info!$AA$2:$AA$192,MATCH(PHC!$X674&amp;PHC!$Y674,info!$X$2:$X$192&amp;info!$Y$2:$Y$192,0))</f>
        <v>Injury related</v>
      </c>
      <c r="AA674" s="183" t="s">
        <v>4691</v>
      </c>
      <c r="AB674" s="9" t="s">
        <v>654</v>
      </c>
      <c r="AC674" s="9" t="s">
        <v>654</v>
      </c>
      <c r="AD674" s="9" t="s">
        <v>654</v>
      </c>
      <c r="AE674" s="9" t="s">
        <v>654</v>
      </c>
      <c r="AF674" s="184"/>
      <c r="AG674" s="183"/>
      <c r="AH674" s="183"/>
      <c r="AI674" s="183"/>
      <c r="AJ674" s="183"/>
      <c r="AK674" s="9" t="s">
        <v>654</v>
      </c>
      <c r="AL674" s="183"/>
      <c r="AM674" s="186" t="str">
        <f>IF(AF674="","","Q"&amp;INT((MONTH(AF674)-1)/3)+1&amp;YEAR(AF674)&amp;#REF!&amp;T674)</f>
        <v/>
      </c>
      <c r="AN674" s="186" t="e">
        <f>IF(K674="","","Q"&amp;INT((MONTH(K674)-1)/3)+1&amp;YEAR(K674)&amp;#REF!)</f>
        <v>#REF!</v>
      </c>
    </row>
    <row r="675" spans="1:40" ht="20.100000000000001" customHeight="1" x14ac:dyDescent="0.25">
      <c r="A675" s="8">
        <v>673</v>
      </c>
      <c r="B675" s="8" t="s">
        <v>399</v>
      </c>
      <c r="C675" s="8" t="s">
        <v>1997</v>
      </c>
      <c r="D675" s="8" t="s">
        <v>2416</v>
      </c>
      <c r="E675" s="182" t="s">
        <v>1998</v>
      </c>
      <c r="F675" s="183" t="s">
        <v>2222</v>
      </c>
      <c r="G675" s="183"/>
      <c r="H675" s="183" t="s">
        <v>4648</v>
      </c>
      <c r="I675" s="183" t="s">
        <v>579</v>
      </c>
      <c r="J675" s="183"/>
      <c r="K675" s="184">
        <v>46070</v>
      </c>
      <c r="L675" s="183">
        <v>4</v>
      </c>
      <c r="M675" s="185" t="str">
        <f>IF(phc_8[[#This Row],[Register No.]]="","",C675&amp;"-"&amp;D675&amp;"-"&amp;"BHA-PHC-"&amp;phc_8[[#This Row],[Register No.]])</f>
        <v>Shining Star-Mobile Clinic-BHA-PHC-4</v>
      </c>
      <c r="N675" s="9" t="s">
        <v>401</v>
      </c>
      <c r="O675" s="183" t="s">
        <v>4685</v>
      </c>
      <c r="P675" s="183">
        <v>43</v>
      </c>
      <c r="Q675" s="183"/>
      <c r="R675" s="183"/>
      <c r="S675" s="186" t="str">
        <f t="shared" si="25"/>
        <v>19 - 49 yrs</v>
      </c>
      <c r="T675" s="183" t="s">
        <v>603</v>
      </c>
      <c r="U675" s="183"/>
      <c r="V675" s="183"/>
      <c r="W675" s="183" t="s">
        <v>242</v>
      </c>
      <c r="X675" s="183" t="s">
        <v>242</v>
      </c>
      <c r="Y675" s="186" t="str">
        <f>INDEX(info!$Y$2:$Y$192,MATCH(phc_8[[#This Row],[Sub_Category]],info!$X$2:$X$192,0))</f>
        <v>Accident/minor sugical and injuries</v>
      </c>
      <c r="Z675" s="186" t="str">
        <f t="array" ref="Z675">INDEX(info!$AA$2:$AA$192,MATCH(PHC!$X675&amp;PHC!$Y675,info!$X$2:$X$192&amp;info!$Y$2:$Y$192,0))</f>
        <v>Injury related</v>
      </c>
      <c r="AA675" s="183" t="s">
        <v>4692</v>
      </c>
      <c r="AB675" s="9" t="s">
        <v>654</v>
      </c>
      <c r="AC675" s="9" t="s">
        <v>654</v>
      </c>
      <c r="AD675" s="9" t="s">
        <v>654</v>
      </c>
      <c r="AE675" s="9" t="s">
        <v>654</v>
      </c>
      <c r="AF675" s="184"/>
      <c r="AG675" s="183"/>
      <c r="AH675" s="183"/>
      <c r="AI675" s="183"/>
      <c r="AJ675" s="183"/>
      <c r="AK675" s="9" t="s">
        <v>654</v>
      </c>
      <c r="AL675" s="183"/>
      <c r="AM675" s="186" t="str">
        <f>IF(AF675="","","Q"&amp;INT((MONTH(AF675)-1)/3)+1&amp;YEAR(AF675)&amp;#REF!&amp;T675)</f>
        <v/>
      </c>
      <c r="AN675" s="186" t="e">
        <f>IF(K675="","","Q"&amp;INT((MONTH(K675)-1)/3)+1&amp;YEAR(K675)&amp;#REF!)</f>
        <v>#REF!</v>
      </c>
    </row>
    <row r="676" spans="1:40" ht="20.100000000000001" customHeight="1" x14ac:dyDescent="0.25">
      <c r="A676" s="8">
        <v>674</v>
      </c>
      <c r="B676" s="8" t="s">
        <v>399</v>
      </c>
      <c r="C676" s="8" t="s">
        <v>1997</v>
      </c>
      <c r="D676" s="8" t="s">
        <v>2416</v>
      </c>
      <c r="E676" s="182" t="s">
        <v>1998</v>
      </c>
      <c r="F676" s="183" t="s">
        <v>2222</v>
      </c>
      <c r="G676" s="183"/>
      <c r="H676" s="183" t="s">
        <v>4648</v>
      </c>
      <c r="I676" s="183" t="s">
        <v>579</v>
      </c>
      <c r="J676" s="183"/>
      <c r="K676" s="184">
        <v>46070</v>
      </c>
      <c r="L676" s="183">
        <v>5</v>
      </c>
      <c r="M676" s="185" t="str">
        <f>IF(phc_8[[#This Row],[Register No.]]="","",C676&amp;"-"&amp;D676&amp;"-"&amp;"BHA-PHC-"&amp;phc_8[[#This Row],[Register No.]])</f>
        <v>Shining Star-Mobile Clinic-BHA-PHC-5</v>
      </c>
      <c r="N676" s="9" t="s">
        <v>401</v>
      </c>
      <c r="O676" s="183" t="s">
        <v>4352</v>
      </c>
      <c r="P676" s="183">
        <v>40</v>
      </c>
      <c r="Q676" s="183"/>
      <c r="R676" s="183"/>
      <c r="S676" s="186" t="str">
        <f t="shared" si="25"/>
        <v>19 - 49 yrs</v>
      </c>
      <c r="T676" s="183" t="s">
        <v>603</v>
      </c>
      <c r="U676" s="183"/>
      <c r="V676" s="183"/>
      <c r="W676" s="183" t="s">
        <v>294</v>
      </c>
      <c r="X676" s="183" t="s">
        <v>294</v>
      </c>
      <c r="Y676" s="186" t="str">
        <f>INDEX(info!$Y$2:$Y$192,MATCH(phc_8[[#This Row],[Sub_Category]],info!$X$2:$X$192,0))</f>
        <v>Other (non-communicable)</v>
      </c>
      <c r="Z676" s="186" t="str">
        <f t="array" ref="Z676">INDEX(info!$AA$2:$AA$192,MATCH(PHC!$X676&amp;PHC!$Y676,info!$X$2:$X$192&amp;info!$Y$2:$Y$192,0))</f>
        <v>Other</v>
      </c>
      <c r="AA676" s="183" t="s">
        <v>4693</v>
      </c>
      <c r="AB676" s="9" t="s">
        <v>654</v>
      </c>
      <c r="AC676" s="9" t="s">
        <v>654</v>
      </c>
      <c r="AD676" s="9" t="s">
        <v>654</v>
      </c>
      <c r="AE676" s="9" t="s">
        <v>654</v>
      </c>
      <c r="AF676" s="184"/>
      <c r="AG676" s="183"/>
      <c r="AH676" s="183"/>
      <c r="AI676" s="183"/>
      <c r="AJ676" s="183"/>
      <c r="AK676" s="9" t="s">
        <v>654</v>
      </c>
      <c r="AL676" s="183"/>
      <c r="AM676" s="186" t="str">
        <f>IF(AF676="","","Q"&amp;INT((MONTH(AF676)-1)/3)+1&amp;YEAR(AF676)&amp;#REF!&amp;T676)</f>
        <v/>
      </c>
      <c r="AN676" s="186" t="e">
        <f>IF(K676="","","Q"&amp;INT((MONTH(K676)-1)/3)+1&amp;YEAR(K676)&amp;#REF!)</f>
        <v>#REF!</v>
      </c>
    </row>
    <row r="677" spans="1:40" ht="20.100000000000001" customHeight="1" x14ac:dyDescent="0.25">
      <c r="A677" s="8">
        <v>675</v>
      </c>
      <c r="B677" s="8" t="s">
        <v>399</v>
      </c>
      <c r="C677" s="8" t="s">
        <v>1997</v>
      </c>
      <c r="D677" s="8" t="s">
        <v>2416</v>
      </c>
      <c r="E677" s="182" t="s">
        <v>1998</v>
      </c>
      <c r="F677" s="183" t="s">
        <v>2222</v>
      </c>
      <c r="G677" s="183"/>
      <c r="H677" s="183" t="s">
        <v>4648</v>
      </c>
      <c r="I677" s="183" t="s">
        <v>579</v>
      </c>
      <c r="J677" s="183"/>
      <c r="K677" s="184">
        <v>46070</v>
      </c>
      <c r="L677" s="183">
        <v>6</v>
      </c>
      <c r="M677" s="185" t="str">
        <f>IF(phc_8[[#This Row],[Register No.]]="","",C677&amp;"-"&amp;D677&amp;"-"&amp;"BHA-PHC-"&amp;phc_8[[#This Row],[Register No.]])</f>
        <v>Shining Star-Mobile Clinic-BHA-PHC-6</v>
      </c>
      <c r="N677" s="9" t="s">
        <v>401</v>
      </c>
      <c r="O677" s="183" t="s">
        <v>4694</v>
      </c>
      <c r="P677" s="183">
        <v>45</v>
      </c>
      <c r="Q677" s="183"/>
      <c r="R677" s="183"/>
      <c r="S677" s="186" t="str">
        <f t="shared" si="25"/>
        <v>19 - 49 yrs</v>
      </c>
      <c r="T677" s="183" t="s">
        <v>603</v>
      </c>
      <c r="U677" s="183"/>
      <c r="V677" s="183" t="s">
        <v>3208</v>
      </c>
      <c r="W677" s="183" t="s">
        <v>4706</v>
      </c>
      <c r="X677" s="183" t="s">
        <v>3105</v>
      </c>
      <c r="Y677" s="186" t="str">
        <f>INDEX(info!$Y$2:$Y$192,MATCH(phc_8[[#This Row],[Sub_Category]],info!$X$2:$X$192,0))</f>
        <v>Chronic medical disease</v>
      </c>
      <c r="Z677" s="186" t="str">
        <f t="array" ref="Z677">INDEX(info!$AA$2:$AA$192,MATCH(PHC!$X677&amp;PHC!$Y677,info!$X$2:$X$192&amp;info!$Y$2:$Y$192,0))</f>
        <v>Non-communicable disease</v>
      </c>
      <c r="AA677" s="183" t="s">
        <v>4712</v>
      </c>
      <c r="AB677" s="9" t="s">
        <v>654</v>
      </c>
      <c r="AC677" s="9" t="s">
        <v>654</v>
      </c>
      <c r="AD677" s="9" t="s">
        <v>654</v>
      </c>
      <c r="AE677" s="9" t="s">
        <v>654</v>
      </c>
      <c r="AF677" s="184"/>
      <c r="AG677" s="183"/>
      <c r="AH677" s="183"/>
      <c r="AI677" s="183"/>
      <c r="AJ677" s="183"/>
      <c r="AK677" s="9" t="s">
        <v>654</v>
      </c>
      <c r="AL677" s="183"/>
      <c r="AM677" s="186" t="str">
        <f>IF(AF677="","","Q"&amp;INT((MONTH(AF677)-1)/3)+1&amp;YEAR(AF677)&amp;#REF!&amp;T677)</f>
        <v/>
      </c>
      <c r="AN677" s="186" t="e">
        <f>IF(K677="","","Q"&amp;INT((MONTH(K677)-1)/3)+1&amp;YEAR(K677)&amp;#REF!)</f>
        <v>#REF!</v>
      </c>
    </row>
    <row r="678" spans="1:40" ht="20.100000000000001" customHeight="1" x14ac:dyDescent="0.25">
      <c r="A678" s="8">
        <v>676</v>
      </c>
      <c r="B678" s="8" t="s">
        <v>399</v>
      </c>
      <c r="C678" s="8" t="s">
        <v>1997</v>
      </c>
      <c r="D678" s="8" t="s">
        <v>2416</v>
      </c>
      <c r="E678" s="182" t="s">
        <v>1998</v>
      </c>
      <c r="F678" s="183" t="s">
        <v>2222</v>
      </c>
      <c r="G678" s="183"/>
      <c r="H678" s="183" t="s">
        <v>4648</v>
      </c>
      <c r="I678" s="183" t="s">
        <v>579</v>
      </c>
      <c r="J678" s="183"/>
      <c r="K678" s="184">
        <v>46070</v>
      </c>
      <c r="L678" s="183">
        <v>7</v>
      </c>
      <c r="M678" s="185" t="str">
        <f>IF(phc_8[[#This Row],[Register No.]]="","",C678&amp;"-"&amp;D678&amp;"-"&amp;"BHA-PHC-"&amp;phc_8[[#This Row],[Register No.]])</f>
        <v>Shining Star-Mobile Clinic-BHA-PHC-7</v>
      </c>
      <c r="N678" s="9" t="s">
        <v>401</v>
      </c>
      <c r="O678" s="183" t="s">
        <v>4695</v>
      </c>
      <c r="P678" s="183">
        <v>42</v>
      </c>
      <c r="Q678" s="183"/>
      <c r="R678" s="183"/>
      <c r="S678" s="186" t="str">
        <f t="shared" si="25"/>
        <v>19 - 49 yrs</v>
      </c>
      <c r="T678" s="183" t="s">
        <v>603</v>
      </c>
      <c r="U678" s="183"/>
      <c r="V678" s="183" t="s">
        <v>4702</v>
      </c>
      <c r="W678" s="183" t="s">
        <v>4707</v>
      </c>
      <c r="X678" s="183" t="s">
        <v>242</v>
      </c>
      <c r="Y678" s="186" t="str">
        <f>INDEX(info!$Y$2:$Y$192,MATCH(phc_8[[#This Row],[Sub_Category]],info!$X$2:$X$192,0))</f>
        <v>Accident/minor sugical and injuries</v>
      </c>
      <c r="Z678" s="186" t="str">
        <f t="array" ref="Z678">INDEX(info!$AA$2:$AA$192,MATCH(PHC!$X678&amp;PHC!$Y678,info!$X$2:$X$192&amp;info!$Y$2:$Y$192,0))</f>
        <v>Injury related</v>
      </c>
      <c r="AA678" s="183" t="s">
        <v>4713</v>
      </c>
      <c r="AB678" s="9" t="s">
        <v>654</v>
      </c>
      <c r="AC678" s="9" t="s">
        <v>654</v>
      </c>
      <c r="AD678" s="9" t="s">
        <v>654</v>
      </c>
      <c r="AE678" s="9" t="s">
        <v>654</v>
      </c>
      <c r="AF678" s="184"/>
      <c r="AG678" s="183"/>
      <c r="AH678" s="183"/>
      <c r="AI678" s="183"/>
      <c r="AJ678" s="183"/>
      <c r="AK678" s="9" t="s">
        <v>654</v>
      </c>
      <c r="AL678" s="183"/>
      <c r="AM678" s="186" t="str">
        <f>IF(AF678="","","Q"&amp;INT((MONTH(AF678)-1)/3)+1&amp;YEAR(AF678)&amp;#REF!&amp;T678)</f>
        <v/>
      </c>
      <c r="AN678" s="186" t="e">
        <f>IF(K678="","","Q"&amp;INT((MONTH(K678)-1)/3)+1&amp;YEAR(K678)&amp;#REF!)</f>
        <v>#REF!</v>
      </c>
    </row>
    <row r="679" spans="1:40" ht="20.100000000000001" customHeight="1" x14ac:dyDescent="0.25">
      <c r="A679" s="8">
        <v>677</v>
      </c>
      <c r="B679" s="8" t="s">
        <v>399</v>
      </c>
      <c r="C679" s="8" t="s">
        <v>1997</v>
      </c>
      <c r="D679" s="8" t="s">
        <v>2416</v>
      </c>
      <c r="E679" s="182" t="s">
        <v>1998</v>
      </c>
      <c r="F679" s="183" t="s">
        <v>2222</v>
      </c>
      <c r="G679" s="183"/>
      <c r="H679" s="183" t="s">
        <v>4648</v>
      </c>
      <c r="I679" s="183" t="s">
        <v>579</v>
      </c>
      <c r="J679" s="183"/>
      <c r="K679" s="184">
        <v>46070</v>
      </c>
      <c r="L679" s="183">
        <v>8</v>
      </c>
      <c r="M679" s="185" t="str">
        <f>IF(phc_8[[#This Row],[Register No.]]="","",C679&amp;"-"&amp;D679&amp;"-"&amp;"BHA-PHC-"&amp;phc_8[[#This Row],[Register No.]])</f>
        <v>Shining Star-Mobile Clinic-BHA-PHC-8</v>
      </c>
      <c r="N679" s="9" t="s">
        <v>401</v>
      </c>
      <c r="O679" s="183" t="s">
        <v>4696</v>
      </c>
      <c r="P679" s="183">
        <v>4</v>
      </c>
      <c r="Q679" s="183"/>
      <c r="R679" s="183"/>
      <c r="S679" s="186" t="str">
        <f t="shared" si="25"/>
        <v>&lt;5 yrs</v>
      </c>
      <c r="T679" s="183" t="s">
        <v>402</v>
      </c>
      <c r="U679" s="183"/>
      <c r="V679" s="183" t="s">
        <v>4703</v>
      </c>
      <c r="W679" s="183" t="s">
        <v>4708</v>
      </c>
      <c r="X679" s="183" t="s">
        <v>108</v>
      </c>
      <c r="Y679" s="186" t="str">
        <f>INDEX(info!$Y$2:$Y$192,MATCH(phc_8[[#This Row],[Sub_Category]],info!$X$2:$X$192,0))</f>
        <v>ARI/RTI</v>
      </c>
      <c r="Z679" s="186" t="str">
        <f t="array" ref="Z679">INDEX(info!$AA$2:$AA$192,MATCH(PHC!$X679&amp;PHC!$Y679,info!$X$2:$X$192&amp;info!$Y$2:$Y$192,0))</f>
        <v>Communicable disease</v>
      </c>
      <c r="AA679" s="183" t="s">
        <v>4714</v>
      </c>
      <c r="AB679" s="9" t="s">
        <v>654</v>
      </c>
      <c r="AC679" s="9" t="s">
        <v>654</v>
      </c>
      <c r="AD679" s="9" t="s">
        <v>654</v>
      </c>
      <c r="AE679" s="9" t="s">
        <v>654</v>
      </c>
      <c r="AF679" s="184"/>
      <c r="AG679" s="183"/>
      <c r="AH679" s="183"/>
      <c r="AI679" s="183"/>
      <c r="AJ679" s="183"/>
      <c r="AK679" s="9" t="s">
        <v>654</v>
      </c>
      <c r="AL679" s="183"/>
      <c r="AM679" s="186" t="str">
        <f>IF(AF679="","","Q"&amp;INT((MONTH(AF679)-1)/3)+1&amp;YEAR(AF679)&amp;#REF!&amp;T679)</f>
        <v/>
      </c>
      <c r="AN679" s="186" t="e">
        <f>IF(K679="","","Q"&amp;INT((MONTH(K679)-1)/3)+1&amp;YEAR(K679)&amp;#REF!)</f>
        <v>#REF!</v>
      </c>
    </row>
    <row r="680" spans="1:40" ht="20.100000000000001" customHeight="1" x14ac:dyDescent="0.25">
      <c r="A680" s="8">
        <v>678</v>
      </c>
      <c r="B680" s="8" t="s">
        <v>399</v>
      </c>
      <c r="C680" s="8" t="s">
        <v>1997</v>
      </c>
      <c r="D680" s="8" t="s">
        <v>2416</v>
      </c>
      <c r="E680" s="182" t="s">
        <v>1998</v>
      </c>
      <c r="F680" s="183" t="s">
        <v>2222</v>
      </c>
      <c r="G680" s="183"/>
      <c r="H680" s="183" t="s">
        <v>4648</v>
      </c>
      <c r="I680" s="183" t="s">
        <v>579</v>
      </c>
      <c r="J680" s="183"/>
      <c r="K680" s="184">
        <v>46070</v>
      </c>
      <c r="L680" s="183">
        <v>9</v>
      </c>
      <c r="M680" s="185" t="str">
        <f>IF(phc_8[[#This Row],[Register No.]]="","",C680&amp;"-"&amp;D680&amp;"-"&amp;"BHA-PHC-"&amp;phc_8[[#This Row],[Register No.]])</f>
        <v>Shining Star-Mobile Clinic-BHA-PHC-9</v>
      </c>
      <c r="N680" s="9" t="s">
        <v>401</v>
      </c>
      <c r="O680" s="183" t="s">
        <v>4697</v>
      </c>
      <c r="P680" s="183">
        <v>45</v>
      </c>
      <c r="Q680" s="183"/>
      <c r="R680" s="183"/>
      <c r="S680" s="186" t="str">
        <f t="shared" si="25"/>
        <v>19 - 49 yrs</v>
      </c>
      <c r="T680" s="183" t="s">
        <v>402</v>
      </c>
      <c r="U680" s="183"/>
      <c r="V680" s="183" t="s">
        <v>3102</v>
      </c>
      <c r="W680" s="183" t="s">
        <v>4709</v>
      </c>
      <c r="X680" s="183" t="s">
        <v>225</v>
      </c>
      <c r="Y680" s="186" t="str">
        <f>INDEX(info!$Y$2:$Y$192,MATCH(phc_8[[#This Row],[Sub_Category]],info!$X$2:$X$192,0))</f>
        <v>GI problem</v>
      </c>
      <c r="Z680" s="186" t="str">
        <f t="array" ref="Z680">INDEX(info!$AA$2:$AA$192,MATCH(PHC!$X680&amp;PHC!$Y680,info!$X$2:$X$192&amp;info!$Y$2:$Y$192,0))</f>
        <v>Non-communicable disease</v>
      </c>
      <c r="AA680" s="183" t="s">
        <v>4715</v>
      </c>
      <c r="AB680" s="9" t="s">
        <v>654</v>
      </c>
      <c r="AC680" s="9" t="s">
        <v>654</v>
      </c>
      <c r="AD680" s="9" t="s">
        <v>654</v>
      </c>
      <c r="AE680" s="9" t="s">
        <v>654</v>
      </c>
      <c r="AF680" s="184"/>
      <c r="AG680" s="183"/>
      <c r="AH680" s="183"/>
      <c r="AI680" s="183"/>
      <c r="AJ680" s="183"/>
      <c r="AK680" s="9" t="s">
        <v>654</v>
      </c>
      <c r="AL680" s="183"/>
      <c r="AM680" s="186" t="str">
        <f>IF(AF680="","","Q"&amp;INT((MONTH(AF680)-1)/3)+1&amp;YEAR(AF680)&amp;#REF!&amp;T680)</f>
        <v/>
      </c>
      <c r="AN680" s="186" t="e">
        <f>IF(K680="","","Q"&amp;INT((MONTH(K680)-1)/3)+1&amp;YEAR(K680)&amp;#REF!)</f>
        <v>#REF!</v>
      </c>
    </row>
    <row r="681" spans="1:40" ht="20.100000000000001" customHeight="1" x14ac:dyDescent="0.25">
      <c r="A681" s="8">
        <v>679</v>
      </c>
      <c r="B681" s="8" t="s">
        <v>399</v>
      </c>
      <c r="C681" s="8" t="s">
        <v>1997</v>
      </c>
      <c r="D681" s="8" t="s">
        <v>2416</v>
      </c>
      <c r="E681" s="182" t="s">
        <v>1998</v>
      </c>
      <c r="F681" s="183" t="s">
        <v>2222</v>
      </c>
      <c r="G681" s="183"/>
      <c r="H681" s="183" t="s">
        <v>4648</v>
      </c>
      <c r="I681" s="183" t="s">
        <v>579</v>
      </c>
      <c r="J681" s="183"/>
      <c r="K681" s="184">
        <v>46070</v>
      </c>
      <c r="L681" s="183">
        <v>10</v>
      </c>
      <c r="M681" s="185" t="str">
        <f>IF(phc_8[[#This Row],[Register No.]]="","",C681&amp;"-"&amp;D681&amp;"-"&amp;"BHA-PHC-"&amp;phc_8[[#This Row],[Register No.]])</f>
        <v>Shining Star-Mobile Clinic-BHA-PHC-10</v>
      </c>
      <c r="N681" s="9" t="s">
        <v>401</v>
      </c>
      <c r="O681" s="183" t="s">
        <v>4698</v>
      </c>
      <c r="P681" s="183">
        <v>68</v>
      </c>
      <c r="Q681" s="183"/>
      <c r="R681" s="183"/>
      <c r="S681" s="186" t="str">
        <f t="shared" si="25"/>
        <v>50 yrs +</v>
      </c>
      <c r="T681" s="183" t="s">
        <v>603</v>
      </c>
      <c r="U681" s="183"/>
      <c r="V681" s="183" t="s">
        <v>4384</v>
      </c>
      <c r="W681" s="183" t="s">
        <v>3698</v>
      </c>
      <c r="X681" s="183" t="s">
        <v>178</v>
      </c>
      <c r="Y681" s="186" t="str">
        <f>INDEX(info!$Y$2:$Y$192,MATCH(phc_8[[#This Row],[Sub_Category]],info!$X$2:$X$192,0))</f>
        <v>Chronic medical disease</v>
      </c>
      <c r="Z681" s="186" t="str">
        <f t="array" ref="Z681">INDEX(info!$AA$2:$AA$192,MATCH(PHC!$X681&amp;PHC!$Y681,info!$X$2:$X$192&amp;info!$Y$2:$Y$192,0))</f>
        <v>Non-communicable disease</v>
      </c>
      <c r="AA681" s="183" t="s">
        <v>4716</v>
      </c>
      <c r="AB681" s="9" t="s">
        <v>654</v>
      </c>
      <c r="AC681" s="9" t="s">
        <v>654</v>
      </c>
      <c r="AD681" s="9" t="s">
        <v>654</v>
      </c>
      <c r="AE681" s="9" t="s">
        <v>654</v>
      </c>
      <c r="AF681" s="184"/>
      <c r="AG681" s="183"/>
      <c r="AH681" s="183"/>
      <c r="AI681" s="183"/>
      <c r="AJ681" s="183"/>
      <c r="AK681" s="9" t="s">
        <v>654</v>
      </c>
      <c r="AL681" s="183"/>
      <c r="AM681" s="186" t="str">
        <f>IF(AF681="","","Q"&amp;INT((MONTH(AF681)-1)/3)+1&amp;YEAR(AF681)&amp;#REF!&amp;T681)</f>
        <v/>
      </c>
      <c r="AN681" s="186" t="e">
        <f>IF(K681="","","Q"&amp;INT((MONTH(K681)-1)/3)+1&amp;YEAR(K681)&amp;#REF!)</f>
        <v>#REF!</v>
      </c>
    </row>
    <row r="682" spans="1:40" ht="20.100000000000001" customHeight="1" x14ac:dyDescent="0.25">
      <c r="A682" s="8">
        <v>680</v>
      </c>
      <c r="B682" s="8" t="s">
        <v>399</v>
      </c>
      <c r="C682" s="8" t="s">
        <v>1997</v>
      </c>
      <c r="D682" s="8" t="s">
        <v>2416</v>
      </c>
      <c r="E682" s="182" t="s">
        <v>1998</v>
      </c>
      <c r="F682" s="183" t="s">
        <v>2222</v>
      </c>
      <c r="G682" s="183"/>
      <c r="H682" s="183" t="s">
        <v>4648</v>
      </c>
      <c r="I682" s="183" t="s">
        <v>579</v>
      </c>
      <c r="J682" s="183"/>
      <c r="K682" s="184">
        <v>46070</v>
      </c>
      <c r="L682" s="183">
        <v>11</v>
      </c>
      <c r="M682" s="185" t="str">
        <f>IF(phc_8[[#This Row],[Register No.]]="","",C682&amp;"-"&amp;D682&amp;"-"&amp;"BHA-PHC-"&amp;phc_8[[#This Row],[Register No.]])</f>
        <v>Shining Star-Mobile Clinic-BHA-PHC-11</v>
      </c>
      <c r="N682" s="9" t="s">
        <v>401</v>
      </c>
      <c r="O682" s="183" t="s">
        <v>4699</v>
      </c>
      <c r="P682" s="183">
        <v>57</v>
      </c>
      <c r="Q682" s="183"/>
      <c r="R682" s="183"/>
      <c r="S682" s="186" t="str">
        <f t="shared" si="25"/>
        <v>50 yrs +</v>
      </c>
      <c r="T682" s="183" t="s">
        <v>603</v>
      </c>
      <c r="U682" s="183"/>
      <c r="V682" s="183" t="s">
        <v>2147</v>
      </c>
      <c r="W682" s="183" t="s">
        <v>4710</v>
      </c>
      <c r="X682" s="183" t="s">
        <v>202</v>
      </c>
      <c r="Y682" s="186" t="str">
        <f>INDEX(info!$Y$2:$Y$192,MATCH(phc_8[[#This Row],[Sub_Category]],info!$X$2:$X$192,0))</f>
        <v>Other (non-communicable)</v>
      </c>
      <c r="Z682" s="186" t="str">
        <f t="array" ref="Z682">INDEX(info!$AA$2:$AA$192,MATCH(PHC!$X682&amp;PHC!$Y682,info!$X$2:$X$192&amp;info!$Y$2:$Y$192,0))</f>
        <v>Non-communicable disease</v>
      </c>
      <c r="AA682" s="183" t="s">
        <v>4717</v>
      </c>
      <c r="AB682" s="9" t="s">
        <v>654</v>
      </c>
      <c r="AC682" s="9" t="s">
        <v>654</v>
      </c>
      <c r="AD682" s="9" t="s">
        <v>654</v>
      </c>
      <c r="AE682" s="9" t="s">
        <v>654</v>
      </c>
      <c r="AF682" s="184"/>
      <c r="AG682" s="183"/>
      <c r="AH682" s="183"/>
      <c r="AI682" s="183"/>
      <c r="AJ682" s="183"/>
      <c r="AK682" s="9" t="s">
        <v>654</v>
      </c>
      <c r="AL682" s="183"/>
      <c r="AM682" s="186" t="str">
        <f>IF(AF682="","","Q"&amp;INT((MONTH(AF682)-1)/3)+1&amp;YEAR(AF682)&amp;#REF!&amp;T682)</f>
        <v/>
      </c>
      <c r="AN682" s="186" t="e">
        <f>IF(K682="","","Q"&amp;INT((MONTH(K682)-1)/3)+1&amp;YEAR(K682)&amp;#REF!)</f>
        <v>#REF!</v>
      </c>
    </row>
    <row r="683" spans="1:40" ht="20.100000000000001" customHeight="1" x14ac:dyDescent="0.25">
      <c r="A683" s="8">
        <v>681</v>
      </c>
      <c r="B683" s="8" t="s">
        <v>399</v>
      </c>
      <c r="C683" s="8" t="s">
        <v>1997</v>
      </c>
      <c r="D683" s="8" t="s">
        <v>2416</v>
      </c>
      <c r="E683" s="182" t="s">
        <v>1998</v>
      </c>
      <c r="F683" s="183" t="s">
        <v>2222</v>
      </c>
      <c r="G683" s="183"/>
      <c r="H683" s="183" t="s">
        <v>4648</v>
      </c>
      <c r="I683" s="183" t="s">
        <v>579</v>
      </c>
      <c r="J683" s="183"/>
      <c r="K683" s="184">
        <v>46070</v>
      </c>
      <c r="L683" s="183">
        <v>12</v>
      </c>
      <c r="M683" s="185" t="str">
        <f>IF(phc_8[[#This Row],[Register No.]]="","",C683&amp;"-"&amp;D683&amp;"-"&amp;"BHA-PHC-"&amp;phc_8[[#This Row],[Register No.]])</f>
        <v>Shining Star-Mobile Clinic-BHA-PHC-12</v>
      </c>
      <c r="N683" s="9" t="s">
        <v>401</v>
      </c>
      <c r="O683" s="183" t="s">
        <v>4700</v>
      </c>
      <c r="P683" s="183">
        <v>47</v>
      </c>
      <c r="Q683" s="183"/>
      <c r="R683" s="183"/>
      <c r="S683" s="186" t="str">
        <f t="shared" si="25"/>
        <v>19 - 49 yrs</v>
      </c>
      <c r="T683" s="183" t="s">
        <v>603</v>
      </c>
      <c r="U683" s="183"/>
      <c r="V683" s="183" t="s">
        <v>4704</v>
      </c>
      <c r="W683" s="183" t="s">
        <v>3837</v>
      </c>
      <c r="X683" s="183" t="s">
        <v>3105</v>
      </c>
      <c r="Y683" s="186" t="str">
        <f>INDEX(info!$Y$2:$Y$192,MATCH(phc_8[[#This Row],[Sub_Category]],info!$X$2:$X$192,0))</f>
        <v>Chronic medical disease</v>
      </c>
      <c r="Z683" s="186" t="str">
        <f t="array" ref="Z683">INDEX(info!$AA$2:$AA$192,MATCH(PHC!$X683&amp;PHC!$Y683,info!$X$2:$X$192&amp;info!$Y$2:$Y$192,0))</f>
        <v>Non-communicable disease</v>
      </c>
      <c r="AA683" s="183" t="s">
        <v>4718</v>
      </c>
      <c r="AB683" s="9" t="s">
        <v>654</v>
      </c>
      <c r="AC683" s="9" t="s">
        <v>654</v>
      </c>
      <c r="AD683" s="9" t="s">
        <v>654</v>
      </c>
      <c r="AE683" s="9" t="s">
        <v>654</v>
      </c>
      <c r="AF683" s="184"/>
      <c r="AG683" s="183"/>
      <c r="AH683" s="183"/>
      <c r="AI683" s="183"/>
      <c r="AJ683" s="183"/>
      <c r="AK683" s="9" t="s">
        <v>654</v>
      </c>
      <c r="AL683" s="183"/>
      <c r="AM683" s="186" t="str">
        <f>IF(AF683="","","Q"&amp;INT((MONTH(AF683)-1)/3)+1&amp;YEAR(AF683)&amp;#REF!&amp;T683)</f>
        <v/>
      </c>
      <c r="AN683" s="186" t="e">
        <f>IF(K683="","","Q"&amp;INT((MONTH(K683)-1)/3)+1&amp;YEAR(K683)&amp;#REF!)</f>
        <v>#REF!</v>
      </c>
    </row>
    <row r="684" spans="1:40" ht="20.100000000000001" customHeight="1" x14ac:dyDescent="0.25">
      <c r="A684" s="8">
        <v>682</v>
      </c>
      <c r="B684" s="8" t="s">
        <v>399</v>
      </c>
      <c r="C684" s="8" t="s">
        <v>1997</v>
      </c>
      <c r="D684" s="8" t="s">
        <v>2416</v>
      </c>
      <c r="E684" s="182" t="s">
        <v>1998</v>
      </c>
      <c r="F684" s="183" t="s">
        <v>2222</v>
      </c>
      <c r="G684" s="183"/>
      <c r="H684" s="183" t="s">
        <v>4648</v>
      </c>
      <c r="I684" s="183" t="s">
        <v>579</v>
      </c>
      <c r="J684" s="183"/>
      <c r="K684" s="184">
        <v>46070</v>
      </c>
      <c r="L684" s="183">
        <v>13</v>
      </c>
      <c r="M684" s="185" t="str">
        <f>IF(phc_8[[#This Row],[Register No.]]="","",C684&amp;"-"&amp;D684&amp;"-"&amp;"BHA-PHC-"&amp;phc_8[[#This Row],[Register No.]])</f>
        <v>Shining Star-Mobile Clinic-BHA-PHC-13</v>
      </c>
      <c r="N684" s="9" t="s">
        <v>401</v>
      </c>
      <c r="O684" s="183" t="s">
        <v>4701</v>
      </c>
      <c r="P684" s="183">
        <v>47</v>
      </c>
      <c r="Q684" s="183"/>
      <c r="R684" s="183"/>
      <c r="S684" s="186" t="str">
        <f t="shared" si="25"/>
        <v>19 - 49 yrs</v>
      </c>
      <c r="T684" s="183" t="s">
        <v>603</v>
      </c>
      <c r="U684" s="183"/>
      <c r="V684" s="183" t="s">
        <v>4705</v>
      </c>
      <c r="W684" s="183" t="s">
        <v>3558</v>
      </c>
      <c r="X684" s="183" t="s">
        <v>195</v>
      </c>
      <c r="Y684" s="186" t="str">
        <f>INDEX(info!$Y$2:$Y$192,MATCH(phc_8[[#This Row],[Sub_Category]],info!$X$2:$X$192,0))</f>
        <v>Bacteria disease</v>
      </c>
      <c r="Z684" s="186" t="str">
        <f t="array" ref="Z684">INDEX(info!$AA$2:$AA$192,MATCH(PHC!$X684&amp;PHC!$Y684,info!$X$2:$X$192&amp;info!$Y$2:$Y$192,0))</f>
        <v>Communicable disease</v>
      </c>
      <c r="AA684" s="183" t="s">
        <v>4719</v>
      </c>
      <c r="AB684" s="9" t="s">
        <v>654</v>
      </c>
      <c r="AC684" s="9" t="s">
        <v>654</v>
      </c>
      <c r="AD684" s="9" t="s">
        <v>654</v>
      </c>
      <c r="AE684" s="9" t="s">
        <v>654</v>
      </c>
      <c r="AF684" s="184"/>
      <c r="AG684" s="183"/>
      <c r="AH684" s="183"/>
      <c r="AI684" s="183"/>
      <c r="AJ684" s="183"/>
      <c r="AK684" s="9" t="s">
        <v>654</v>
      </c>
      <c r="AL684" s="183"/>
      <c r="AM684" s="186" t="str">
        <f>IF(AF684="","","Q"&amp;INT((MONTH(AF684)-1)/3)+1&amp;YEAR(AF684)&amp;#REF!&amp;T684)</f>
        <v/>
      </c>
      <c r="AN684" s="186" t="e">
        <f>IF(K684="","","Q"&amp;INT((MONTH(K684)-1)/3)+1&amp;YEAR(K684)&amp;#REF!)</f>
        <v>#REF!</v>
      </c>
    </row>
    <row r="685" spans="1:40" ht="20.100000000000001" customHeight="1" x14ac:dyDescent="0.25">
      <c r="A685" s="8">
        <v>683</v>
      </c>
      <c r="B685" s="8" t="s">
        <v>399</v>
      </c>
      <c r="C685" s="8" t="s">
        <v>1997</v>
      </c>
      <c r="D685" s="8" t="s">
        <v>2416</v>
      </c>
      <c r="E685" s="182" t="s">
        <v>1998</v>
      </c>
      <c r="F685" s="183" t="s">
        <v>2222</v>
      </c>
      <c r="G685" s="183"/>
      <c r="H685" s="183" t="s">
        <v>4648</v>
      </c>
      <c r="I685" s="183" t="s">
        <v>579</v>
      </c>
      <c r="J685" s="183"/>
      <c r="K685" s="184">
        <v>46070</v>
      </c>
      <c r="L685" s="183">
        <v>14</v>
      </c>
      <c r="M685" s="185" t="str">
        <f>IF(phc_8[[#This Row],[Register No.]]="","",C685&amp;"-"&amp;D685&amp;"-"&amp;"BHA-PHC-"&amp;phc_8[[#This Row],[Register No.]])</f>
        <v>Shining Star-Mobile Clinic-BHA-PHC-14</v>
      </c>
      <c r="N685" s="9" t="s">
        <v>401</v>
      </c>
      <c r="O685" s="183" t="s">
        <v>3531</v>
      </c>
      <c r="P685" s="183">
        <v>42</v>
      </c>
      <c r="Q685" s="183"/>
      <c r="R685" s="183"/>
      <c r="S685" s="186" t="str">
        <f t="shared" si="25"/>
        <v>19 - 49 yrs</v>
      </c>
      <c r="T685" s="183" t="s">
        <v>603</v>
      </c>
      <c r="U685" s="183"/>
      <c r="V685" s="183" t="s">
        <v>3319</v>
      </c>
      <c r="W685" s="183" t="s">
        <v>4711</v>
      </c>
      <c r="X685" s="183" t="s">
        <v>178</v>
      </c>
      <c r="Y685" s="186" t="str">
        <f>INDEX(info!$Y$2:$Y$192,MATCH(phc_8[[#This Row],[Sub_Category]],info!$X$2:$X$192,0))</f>
        <v>Chronic medical disease</v>
      </c>
      <c r="Z685" s="186" t="str">
        <f t="array" ref="Z685">INDEX(info!$AA$2:$AA$192,MATCH(PHC!$X685&amp;PHC!$Y685,info!$X$2:$X$192&amp;info!$Y$2:$Y$192,0))</f>
        <v>Non-communicable disease</v>
      </c>
      <c r="AA685" s="183" t="s">
        <v>4720</v>
      </c>
      <c r="AB685" s="9" t="s">
        <v>654</v>
      </c>
      <c r="AC685" s="9" t="s">
        <v>654</v>
      </c>
      <c r="AD685" s="9" t="s">
        <v>654</v>
      </c>
      <c r="AE685" s="9" t="s">
        <v>654</v>
      </c>
      <c r="AF685" s="184"/>
      <c r="AG685" s="183"/>
      <c r="AH685" s="183"/>
      <c r="AI685" s="183"/>
      <c r="AJ685" s="183"/>
      <c r="AK685" s="9" t="s">
        <v>654</v>
      </c>
      <c r="AL685" s="183"/>
      <c r="AM685" s="186" t="str">
        <f>IF(AF685="","","Q"&amp;INT((MONTH(AF685)-1)/3)+1&amp;YEAR(AF685)&amp;#REF!&amp;T685)</f>
        <v/>
      </c>
      <c r="AN685" s="186" t="e">
        <f>IF(K685="","","Q"&amp;INT((MONTH(K685)-1)/3)+1&amp;YEAR(K685)&amp;#REF!)</f>
        <v>#REF!</v>
      </c>
    </row>
    <row r="686" spans="1:40" ht="20.100000000000001" customHeight="1" x14ac:dyDescent="0.25">
      <c r="A686" s="8">
        <v>684</v>
      </c>
      <c r="B686" s="8" t="s">
        <v>399</v>
      </c>
      <c r="C686" s="8" t="s">
        <v>1997</v>
      </c>
      <c r="D686" s="8" t="s">
        <v>2416</v>
      </c>
      <c r="E686" s="182" t="s">
        <v>1998</v>
      </c>
      <c r="F686" s="183" t="s">
        <v>2222</v>
      </c>
      <c r="G686" s="183"/>
      <c r="H686" s="183" t="s">
        <v>4648</v>
      </c>
      <c r="I686" s="183" t="s">
        <v>579</v>
      </c>
      <c r="J686" s="183"/>
      <c r="K686" s="184">
        <v>46070</v>
      </c>
      <c r="L686" s="183">
        <v>15</v>
      </c>
      <c r="M686" s="185" t="str">
        <f>IF(phc_8[[#This Row],[Register No.]]="","",C686&amp;"-"&amp;D686&amp;"-"&amp;"BHA-PHC-"&amp;phc_8[[#This Row],[Register No.]])</f>
        <v>Shining Star-Mobile Clinic-BHA-PHC-15</v>
      </c>
      <c r="N686" s="9" t="s">
        <v>401</v>
      </c>
      <c r="O686" s="183" t="s">
        <v>4666</v>
      </c>
      <c r="P686" s="183">
        <v>55</v>
      </c>
      <c r="Q686" s="183"/>
      <c r="R686" s="183"/>
      <c r="S686" s="186" t="str">
        <f t="shared" si="25"/>
        <v>50 yrs +</v>
      </c>
      <c r="T686" s="183" t="s">
        <v>402</v>
      </c>
      <c r="U686" s="183"/>
      <c r="V686" s="183" t="s">
        <v>4654</v>
      </c>
      <c r="W686" s="183" t="s">
        <v>4059</v>
      </c>
      <c r="X686" s="183" t="s">
        <v>178</v>
      </c>
      <c r="Y686" s="186" t="str">
        <f>INDEX(info!$Y$2:$Y$192,MATCH(phc_8[[#This Row],[Sub_Category]],info!$X$2:$X$192,0))</f>
        <v>Chronic medical disease</v>
      </c>
      <c r="Z686" s="186" t="str">
        <f t="array" ref="Z686">INDEX(info!$AA$2:$AA$192,MATCH(PHC!$X686&amp;PHC!$Y686,info!$X$2:$X$192&amp;info!$Y$2:$Y$192,0))</f>
        <v>Non-communicable disease</v>
      </c>
      <c r="AA686" s="183" t="s">
        <v>4721</v>
      </c>
      <c r="AB686" s="9" t="s">
        <v>654</v>
      </c>
      <c r="AC686" s="9" t="s">
        <v>654</v>
      </c>
      <c r="AD686" s="9" t="s">
        <v>654</v>
      </c>
      <c r="AE686" s="9" t="s">
        <v>654</v>
      </c>
      <c r="AF686" s="184"/>
      <c r="AG686" s="183"/>
      <c r="AH686" s="183"/>
      <c r="AI686" s="183"/>
      <c r="AJ686" s="183"/>
      <c r="AK686" s="9" t="s">
        <v>654</v>
      </c>
      <c r="AL686" s="183"/>
      <c r="AM686" s="186" t="str">
        <f>IF(AF686="","","Q"&amp;INT((MONTH(AF686)-1)/3)+1&amp;YEAR(AF686)&amp;#REF!&amp;T686)</f>
        <v/>
      </c>
      <c r="AN686" s="186" t="e">
        <f>IF(K686="","","Q"&amp;INT((MONTH(K686)-1)/3)+1&amp;YEAR(K686)&amp;#REF!)</f>
        <v>#REF!</v>
      </c>
    </row>
    <row r="687" spans="1:40" ht="20.100000000000001" customHeight="1" x14ac:dyDescent="0.25">
      <c r="A687" s="8">
        <v>685</v>
      </c>
      <c r="B687" s="8" t="s">
        <v>399</v>
      </c>
      <c r="C687" s="8" t="s">
        <v>1997</v>
      </c>
      <c r="D687" s="8" t="s">
        <v>2416</v>
      </c>
      <c r="E687" s="182" t="s">
        <v>1998</v>
      </c>
      <c r="F687" s="183" t="s">
        <v>2222</v>
      </c>
      <c r="G687" s="183"/>
      <c r="H687" s="183" t="s">
        <v>4648</v>
      </c>
      <c r="I687" s="183" t="s">
        <v>579</v>
      </c>
      <c r="J687" s="183"/>
      <c r="K687" s="184">
        <v>46070</v>
      </c>
      <c r="L687" s="183">
        <v>16</v>
      </c>
      <c r="M687" s="185" t="str">
        <f>IF(phc_8[[#This Row],[Register No.]]="","",C687&amp;"-"&amp;D687&amp;"-"&amp;"BHA-PHC-"&amp;phc_8[[#This Row],[Register No.]])</f>
        <v>Shining Star-Mobile Clinic-BHA-PHC-16</v>
      </c>
      <c r="N687" s="9" t="s">
        <v>401</v>
      </c>
      <c r="O687" s="183" t="s">
        <v>4722</v>
      </c>
      <c r="P687" s="183">
        <v>50</v>
      </c>
      <c r="Q687" s="183"/>
      <c r="R687" s="183"/>
      <c r="S687" s="186" t="str">
        <f t="shared" si="25"/>
        <v>50 yrs +</v>
      </c>
      <c r="T687" s="183" t="s">
        <v>402</v>
      </c>
      <c r="U687" s="183"/>
      <c r="V687" s="183" t="s">
        <v>4730</v>
      </c>
      <c r="W687" s="183" t="s">
        <v>4735</v>
      </c>
      <c r="X687" s="183" t="s">
        <v>242</v>
      </c>
      <c r="Y687" s="186" t="str">
        <f>INDEX(info!$Y$2:$Y$192,MATCH(phc_8[[#This Row],[Sub_Category]],info!$X$2:$X$192,0))</f>
        <v>Accident/minor sugical and injuries</v>
      </c>
      <c r="Z687" s="186" t="str">
        <f t="array" ref="Z687">INDEX(info!$AA$2:$AA$192,MATCH(PHC!$X687&amp;PHC!$Y687,info!$X$2:$X$192&amp;info!$Y$2:$Y$192,0))</f>
        <v>Injury related</v>
      </c>
      <c r="AA687" s="183" t="s">
        <v>4739</v>
      </c>
      <c r="AB687" s="9" t="s">
        <v>654</v>
      </c>
      <c r="AC687" s="9" t="s">
        <v>654</v>
      </c>
      <c r="AD687" s="9" t="s">
        <v>654</v>
      </c>
      <c r="AE687" s="9" t="s">
        <v>654</v>
      </c>
      <c r="AF687" s="184"/>
      <c r="AG687" s="183"/>
      <c r="AH687" s="183"/>
      <c r="AI687" s="183"/>
      <c r="AJ687" s="183"/>
      <c r="AK687" s="9" t="s">
        <v>654</v>
      </c>
      <c r="AL687" s="183"/>
      <c r="AM687" s="186" t="str">
        <f>IF(AF687="","","Q"&amp;INT((MONTH(AF687)-1)/3)+1&amp;YEAR(AF687)&amp;#REF!&amp;T687)</f>
        <v/>
      </c>
      <c r="AN687" s="186" t="e">
        <f>IF(K687="","","Q"&amp;INT((MONTH(K687)-1)/3)+1&amp;YEAR(K687)&amp;#REF!)</f>
        <v>#REF!</v>
      </c>
    </row>
    <row r="688" spans="1:40" ht="20.100000000000001" customHeight="1" x14ac:dyDescent="0.25">
      <c r="A688" s="8">
        <v>686</v>
      </c>
      <c r="B688" s="8" t="s">
        <v>399</v>
      </c>
      <c r="C688" s="8" t="s">
        <v>1997</v>
      </c>
      <c r="D688" s="8" t="s">
        <v>2416</v>
      </c>
      <c r="E688" s="182" t="s">
        <v>1998</v>
      </c>
      <c r="F688" s="183" t="s">
        <v>2222</v>
      </c>
      <c r="G688" s="183"/>
      <c r="H688" s="183" t="s">
        <v>4648</v>
      </c>
      <c r="I688" s="183" t="s">
        <v>579</v>
      </c>
      <c r="J688" s="183"/>
      <c r="K688" s="184">
        <v>46070</v>
      </c>
      <c r="L688" s="183">
        <v>17</v>
      </c>
      <c r="M688" s="185" t="str">
        <f>IF(phc_8[[#This Row],[Register No.]]="","",C688&amp;"-"&amp;D688&amp;"-"&amp;"BHA-PHC-"&amp;phc_8[[#This Row],[Register No.]])</f>
        <v>Shining Star-Mobile Clinic-BHA-PHC-17</v>
      </c>
      <c r="N688" s="9" t="s">
        <v>401</v>
      </c>
      <c r="O688" s="183" t="s">
        <v>4723</v>
      </c>
      <c r="P688" s="183">
        <v>41</v>
      </c>
      <c r="Q688" s="183"/>
      <c r="R688" s="183"/>
      <c r="S688" s="186" t="str">
        <f t="shared" si="25"/>
        <v>19 - 49 yrs</v>
      </c>
      <c r="T688" s="183" t="s">
        <v>603</v>
      </c>
      <c r="U688" s="183"/>
      <c r="V688" s="183" t="s">
        <v>4731</v>
      </c>
      <c r="W688" s="183" t="s">
        <v>178</v>
      </c>
      <c r="X688" s="183" t="s">
        <v>178</v>
      </c>
      <c r="Y688" s="186" t="str">
        <f>INDEX(info!$Y$2:$Y$192,MATCH(phc_8[[#This Row],[Sub_Category]],info!$X$2:$X$192,0))</f>
        <v>Chronic medical disease</v>
      </c>
      <c r="Z688" s="186" t="str">
        <f t="array" ref="Z688">INDEX(info!$AA$2:$AA$192,MATCH(PHC!$X688&amp;PHC!$Y688,info!$X$2:$X$192&amp;info!$Y$2:$Y$192,0))</f>
        <v>Non-communicable disease</v>
      </c>
      <c r="AA688" s="183" t="s">
        <v>4740</v>
      </c>
      <c r="AB688" s="9" t="s">
        <v>654</v>
      </c>
      <c r="AC688" s="9" t="s">
        <v>654</v>
      </c>
      <c r="AD688" s="9" t="s">
        <v>654</v>
      </c>
      <c r="AE688" s="9" t="s">
        <v>654</v>
      </c>
      <c r="AF688" s="184"/>
      <c r="AG688" s="183"/>
      <c r="AH688" s="183"/>
      <c r="AI688" s="183"/>
      <c r="AJ688" s="183"/>
      <c r="AK688" s="9" t="s">
        <v>654</v>
      </c>
      <c r="AL688" s="183"/>
      <c r="AM688" s="186" t="str">
        <f>IF(AF688="","","Q"&amp;INT((MONTH(AF688)-1)/3)+1&amp;YEAR(AF688)&amp;#REF!&amp;T688)</f>
        <v/>
      </c>
      <c r="AN688" s="186" t="e">
        <f>IF(K688="","","Q"&amp;INT((MONTH(K688)-1)/3)+1&amp;YEAR(K688)&amp;#REF!)</f>
        <v>#REF!</v>
      </c>
    </row>
    <row r="689" spans="1:40" ht="20.100000000000001" customHeight="1" x14ac:dyDescent="0.25">
      <c r="A689" s="8">
        <v>687</v>
      </c>
      <c r="B689" s="8" t="s">
        <v>399</v>
      </c>
      <c r="C689" s="8" t="s">
        <v>1997</v>
      </c>
      <c r="D689" s="8" t="s">
        <v>2416</v>
      </c>
      <c r="E689" s="182" t="s">
        <v>1998</v>
      </c>
      <c r="F689" s="183" t="s">
        <v>2222</v>
      </c>
      <c r="G689" s="183"/>
      <c r="H689" s="183" t="s">
        <v>4648</v>
      </c>
      <c r="I689" s="183" t="s">
        <v>579</v>
      </c>
      <c r="J689" s="183"/>
      <c r="K689" s="184">
        <v>46070</v>
      </c>
      <c r="L689" s="183">
        <v>18</v>
      </c>
      <c r="M689" s="185" t="str">
        <f>IF(phc_8[[#This Row],[Register No.]]="","",C689&amp;"-"&amp;D689&amp;"-"&amp;"BHA-PHC-"&amp;phc_8[[#This Row],[Register No.]])</f>
        <v>Shining Star-Mobile Clinic-BHA-PHC-18</v>
      </c>
      <c r="N689" s="9" t="s">
        <v>401</v>
      </c>
      <c r="O689" s="183" t="s">
        <v>4724</v>
      </c>
      <c r="P689" s="183">
        <v>45</v>
      </c>
      <c r="Q689" s="183"/>
      <c r="R689" s="183"/>
      <c r="S689" s="186" t="str">
        <f t="shared" si="25"/>
        <v>19 - 49 yrs</v>
      </c>
      <c r="T689" s="183" t="s">
        <v>603</v>
      </c>
      <c r="U689" s="183"/>
      <c r="V689" s="183" t="s">
        <v>2200</v>
      </c>
      <c r="W689" s="183" t="s">
        <v>2175</v>
      </c>
      <c r="X689" s="183" t="s">
        <v>242</v>
      </c>
      <c r="Y689" s="186" t="str">
        <f>INDEX(info!$Y$2:$Y$192,MATCH(phc_8[[#This Row],[Sub_Category]],info!$X$2:$X$192,0))</f>
        <v>Accident/minor sugical and injuries</v>
      </c>
      <c r="Z689" s="186" t="str">
        <f t="array" ref="Z689">INDEX(info!$AA$2:$AA$192,MATCH(PHC!$X689&amp;PHC!$Y689,info!$X$2:$X$192&amp;info!$Y$2:$Y$192,0))</f>
        <v>Injury related</v>
      </c>
      <c r="AA689" s="183" t="s">
        <v>4741</v>
      </c>
      <c r="AB689" s="9" t="s">
        <v>654</v>
      </c>
      <c r="AC689" s="9" t="s">
        <v>654</v>
      </c>
      <c r="AD689" s="9" t="s">
        <v>654</v>
      </c>
      <c r="AE689" s="9" t="s">
        <v>654</v>
      </c>
      <c r="AF689" s="184"/>
      <c r="AG689" s="183"/>
      <c r="AH689" s="183"/>
      <c r="AI689" s="183"/>
      <c r="AJ689" s="183"/>
      <c r="AK689" s="9" t="s">
        <v>654</v>
      </c>
      <c r="AL689" s="183"/>
      <c r="AM689" s="186" t="str">
        <f>IF(AF689="","","Q"&amp;INT((MONTH(AF689)-1)/3)+1&amp;YEAR(AF689)&amp;#REF!&amp;T689)</f>
        <v/>
      </c>
      <c r="AN689" s="186" t="e">
        <f>IF(K689="","","Q"&amp;INT((MONTH(K689)-1)/3)+1&amp;YEAR(K689)&amp;#REF!)</f>
        <v>#REF!</v>
      </c>
    </row>
    <row r="690" spans="1:40" ht="20.100000000000001" customHeight="1" x14ac:dyDescent="0.25">
      <c r="A690" s="8">
        <v>688</v>
      </c>
      <c r="B690" s="8" t="s">
        <v>399</v>
      </c>
      <c r="C690" s="8" t="s">
        <v>1997</v>
      </c>
      <c r="D690" s="8" t="s">
        <v>2416</v>
      </c>
      <c r="E690" s="182" t="s">
        <v>1998</v>
      </c>
      <c r="F690" s="183" t="s">
        <v>2222</v>
      </c>
      <c r="G690" s="183"/>
      <c r="H690" s="183" t="s">
        <v>4648</v>
      </c>
      <c r="I690" s="183" t="s">
        <v>579</v>
      </c>
      <c r="J690" s="183"/>
      <c r="K690" s="184">
        <v>46070</v>
      </c>
      <c r="L690" s="183">
        <v>19</v>
      </c>
      <c r="M690" s="185" t="str">
        <f>IF(phc_8[[#This Row],[Register No.]]="","",C690&amp;"-"&amp;D690&amp;"-"&amp;"BHA-PHC-"&amp;phc_8[[#This Row],[Register No.]])</f>
        <v>Shining Star-Mobile Clinic-BHA-PHC-19</v>
      </c>
      <c r="N690" s="9" t="s">
        <v>401</v>
      </c>
      <c r="O690" s="183" t="s">
        <v>4725</v>
      </c>
      <c r="P690" s="183">
        <v>67</v>
      </c>
      <c r="Q690" s="183"/>
      <c r="R690" s="183"/>
      <c r="S690" s="186" t="str">
        <f t="shared" si="25"/>
        <v>50 yrs +</v>
      </c>
      <c r="T690" s="183" t="s">
        <v>603</v>
      </c>
      <c r="U690" s="183"/>
      <c r="V690" s="183" t="s">
        <v>4732</v>
      </c>
      <c r="W690" s="183" t="s">
        <v>2014</v>
      </c>
      <c r="X690" s="183" t="s">
        <v>2014</v>
      </c>
      <c r="Y690" s="186" t="str">
        <f>INDEX(info!$Y$2:$Y$192,MATCH(phc_8[[#This Row],[Sub_Category]],info!$X$2:$X$192,0))</f>
        <v>Other (non-communicable)</v>
      </c>
      <c r="Z690" s="186" t="str">
        <f t="array" ref="Z690">INDEX(info!$AA$2:$AA$192,MATCH(PHC!$X690&amp;PHC!$Y690,info!$X$2:$X$192&amp;info!$Y$2:$Y$192,0))</f>
        <v>Other</v>
      </c>
      <c r="AA690" s="183" t="s">
        <v>4742</v>
      </c>
      <c r="AB690" s="9" t="s">
        <v>654</v>
      </c>
      <c r="AC690" s="9" t="s">
        <v>654</v>
      </c>
      <c r="AD690" s="9" t="s">
        <v>654</v>
      </c>
      <c r="AE690" s="9" t="s">
        <v>654</v>
      </c>
      <c r="AF690" s="184"/>
      <c r="AG690" s="183"/>
      <c r="AH690" s="183"/>
      <c r="AI690" s="183"/>
      <c r="AJ690" s="183"/>
      <c r="AK690" s="9" t="s">
        <v>654</v>
      </c>
      <c r="AL690" s="183"/>
      <c r="AM690" s="186" t="str">
        <f>IF(AF690="","","Q"&amp;INT((MONTH(AF690)-1)/3)+1&amp;YEAR(AF690)&amp;#REF!&amp;T690)</f>
        <v/>
      </c>
      <c r="AN690" s="186" t="e">
        <f>IF(K690="","","Q"&amp;INT((MONTH(K690)-1)/3)+1&amp;YEAR(K690)&amp;#REF!)</f>
        <v>#REF!</v>
      </c>
    </row>
    <row r="691" spans="1:40" ht="20.100000000000001" customHeight="1" x14ac:dyDescent="0.25">
      <c r="A691" s="8">
        <v>689</v>
      </c>
      <c r="B691" s="8" t="s">
        <v>399</v>
      </c>
      <c r="C691" s="8" t="s">
        <v>1997</v>
      </c>
      <c r="D691" s="8" t="s">
        <v>2416</v>
      </c>
      <c r="E691" s="182" t="s">
        <v>1998</v>
      </c>
      <c r="F691" s="183" t="s">
        <v>2222</v>
      </c>
      <c r="G691" s="183"/>
      <c r="H691" s="183" t="s">
        <v>4648</v>
      </c>
      <c r="I691" s="183" t="s">
        <v>579</v>
      </c>
      <c r="J691" s="183"/>
      <c r="K691" s="184">
        <v>46070</v>
      </c>
      <c r="L691" s="183">
        <v>20</v>
      </c>
      <c r="M691" s="185" t="str">
        <f>IF(phc_8[[#This Row],[Register No.]]="","",C691&amp;"-"&amp;D691&amp;"-"&amp;"BHA-PHC-"&amp;phc_8[[#This Row],[Register No.]])</f>
        <v>Shining Star-Mobile Clinic-BHA-PHC-20</v>
      </c>
      <c r="N691" s="9" t="s">
        <v>401</v>
      </c>
      <c r="O691" s="183" t="s">
        <v>3163</v>
      </c>
      <c r="P691" s="183">
        <v>58</v>
      </c>
      <c r="Q691" s="183"/>
      <c r="R691" s="183"/>
      <c r="S691" s="186" t="str">
        <f t="shared" si="25"/>
        <v>50 yrs +</v>
      </c>
      <c r="T691" s="183" t="s">
        <v>603</v>
      </c>
      <c r="U691" s="183"/>
      <c r="V691" s="183" t="s">
        <v>4733</v>
      </c>
      <c r="W691" s="183" t="s">
        <v>4736</v>
      </c>
      <c r="X691" s="183" t="s">
        <v>181</v>
      </c>
      <c r="Y691" s="186" t="str">
        <f>INDEX(info!$Y$2:$Y$192,MATCH(phc_8[[#This Row],[Sub_Category]],info!$X$2:$X$192,0))</f>
        <v>Chronic medical disease</v>
      </c>
      <c r="Z691" s="186" t="str">
        <f t="array" ref="Z691">INDEX(info!$AA$2:$AA$192,MATCH(PHC!$X691&amp;PHC!$Y691,info!$X$2:$X$192&amp;info!$Y$2:$Y$192,0))</f>
        <v>Non-communicable disease</v>
      </c>
      <c r="AA691" s="183" t="s">
        <v>4743</v>
      </c>
      <c r="AB691" s="9" t="s">
        <v>654</v>
      </c>
      <c r="AC691" s="9" t="s">
        <v>654</v>
      </c>
      <c r="AD691" s="9" t="s">
        <v>654</v>
      </c>
      <c r="AE691" s="9" t="s">
        <v>654</v>
      </c>
      <c r="AF691" s="184"/>
      <c r="AG691" s="183"/>
      <c r="AH691" s="183"/>
      <c r="AI691" s="183"/>
      <c r="AJ691" s="183"/>
      <c r="AK691" s="9" t="s">
        <v>654</v>
      </c>
      <c r="AL691" s="183"/>
      <c r="AM691" s="186" t="str">
        <f>IF(AF691="","","Q"&amp;INT((MONTH(AF691)-1)/3)+1&amp;YEAR(AF691)&amp;#REF!&amp;T691)</f>
        <v/>
      </c>
      <c r="AN691" s="186" t="e">
        <f>IF(K691="","","Q"&amp;INT((MONTH(K691)-1)/3)+1&amp;YEAR(K691)&amp;#REF!)</f>
        <v>#REF!</v>
      </c>
    </row>
    <row r="692" spans="1:40" ht="20.100000000000001" customHeight="1" x14ac:dyDescent="0.25">
      <c r="A692" s="8">
        <v>690</v>
      </c>
      <c r="B692" s="8" t="s">
        <v>399</v>
      </c>
      <c r="C692" s="8" t="s">
        <v>1997</v>
      </c>
      <c r="D692" s="8" t="s">
        <v>2416</v>
      </c>
      <c r="E692" s="182" t="s">
        <v>1998</v>
      </c>
      <c r="F692" s="183" t="s">
        <v>2222</v>
      </c>
      <c r="G692" s="183"/>
      <c r="H692" s="183" t="s">
        <v>4648</v>
      </c>
      <c r="I692" s="183" t="s">
        <v>579</v>
      </c>
      <c r="J692" s="183"/>
      <c r="K692" s="184">
        <v>46070</v>
      </c>
      <c r="L692" s="183">
        <v>21</v>
      </c>
      <c r="M692" s="185" t="str">
        <f>IF(phc_8[[#This Row],[Register No.]]="","",C692&amp;"-"&amp;D692&amp;"-"&amp;"BHA-PHC-"&amp;phc_8[[#This Row],[Register No.]])</f>
        <v>Shining Star-Mobile Clinic-BHA-PHC-21</v>
      </c>
      <c r="N692" s="9" t="s">
        <v>401</v>
      </c>
      <c r="O692" s="183" t="s">
        <v>4726</v>
      </c>
      <c r="P692" s="183">
        <v>58</v>
      </c>
      <c r="Q692" s="183"/>
      <c r="R692" s="183"/>
      <c r="S692" s="186" t="str">
        <f t="shared" si="25"/>
        <v>50 yrs +</v>
      </c>
      <c r="T692" s="183" t="s">
        <v>603</v>
      </c>
      <c r="U692" s="183"/>
      <c r="V692" s="183" t="s">
        <v>4734</v>
      </c>
      <c r="W692" s="183" t="s">
        <v>2014</v>
      </c>
      <c r="X692" s="183" t="s">
        <v>2014</v>
      </c>
      <c r="Y692" s="186" t="str">
        <f>INDEX(info!$Y$2:$Y$192,MATCH(phc_8[[#This Row],[Sub_Category]],info!$X$2:$X$192,0))</f>
        <v>Other (non-communicable)</v>
      </c>
      <c r="Z692" s="186" t="str">
        <f t="array" ref="Z692">INDEX(info!$AA$2:$AA$192,MATCH(PHC!$X692&amp;PHC!$Y692,info!$X$2:$X$192&amp;info!$Y$2:$Y$192,0))</f>
        <v>Other</v>
      </c>
      <c r="AA692" s="183" t="s">
        <v>4744</v>
      </c>
      <c r="AB692" s="9" t="s">
        <v>654</v>
      </c>
      <c r="AC692" s="9" t="s">
        <v>654</v>
      </c>
      <c r="AD692" s="9" t="s">
        <v>654</v>
      </c>
      <c r="AE692" s="9" t="s">
        <v>654</v>
      </c>
      <c r="AF692" s="184"/>
      <c r="AG692" s="183"/>
      <c r="AH692" s="183"/>
      <c r="AI692" s="183"/>
      <c r="AJ692" s="183"/>
      <c r="AK692" s="9" t="s">
        <v>654</v>
      </c>
      <c r="AL692" s="183"/>
      <c r="AM692" s="186" t="str">
        <f>IF(AF692="","","Q"&amp;INT((MONTH(AF692)-1)/3)+1&amp;YEAR(AF692)&amp;#REF!&amp;T692)</f>
        <v/>
      </c>
      <c r="AN692" s="186" t="e">
        <f>IF(K692="","","Q"&amp;INT((MONTH(K692)-1)/3)+1&amp;YEAR(K692)&amp;#REF!)</f>
        <v>#REF!</v>
      </c>
    </row>
    <row r="693" spans="1:40" ht="20.100000000000001" customHeight="1" x14ac:dyDescent="0.25">
      <c r="A693" s="8">
        <v>691</v>
      </c>
      <c r="B693" s="8" t="s">
        <v>399</v>
      </c>
      <c r="C693" s="8" t="s">
        <v>1997</v>
      </c>
      <c r="D693" s="8" t="s">
        <v>2416</v>
      </c>
      <c r="E693" s="182" t="s">
        <v>1998</v>
      </c>
      <c r="F693" s="183" t="s">
        <v>2222</v>
      </c>
      <c r="G693" s="183"/>
      <c r="H693" s="183" t="s">
        <v>4648</v>
      </c>
      <c r="I693" s="183" t="s">
        <v>579</v>
      </c>
      <c r="J693" s="183"/>
      <c r="K693" s="184">
        <v>46070</v>
      </c>
      <c r="L693" s="183">
        <v>22</v>
      </c>
      <c r="M693" s="185" t="str">
        <f>IF(phc_8[[#This Row],[Register No.]]="","",C693&amp;"-"&amp;D693&amp;"-"&amp;"BHA-PHC-"&amp;phc_8[[#This Row],[Register No.]])</f>
        <v>Shining Star-Mobile Clinic-BHA-PHC-22</v>
      </c>
      <c r="N693" s="9" t="s">
        <v>401</v>
      </c>
      <c r="O693" s="183" t="s">
        <v>4727</v>
      </c>
      <c r="P693" s="183">
        <v>46</v>
      </c>
      <c r="Q693" s="183"/>
      <c r="R693" s="183"/>
      <c r="S693" s="186" t="str">
        <f t="shared" si="25"/>
        <v>19 - 49 yrs</v>
      </c>
      <c r="T693" s="183" t="s">
        <v>402</v>
      </c>
      <c r="U693" s="183"/>
      <c r="V693" s="183" t="s">
        <v>3366</v>
      </c>
      <c r="W693" s="183" t="s">
        <v>2003</v>
      </c>
      <c r="X693" s="183" t="s">
        <v>181</v>
      </c>
      <c r="Y693" s="186" t="str">
        <f>INDEX(info!$Y$2:$Y$192,MATCH(phc_8[[#This Row],[Sub_Category]],info!$X$2:$X$192,0))</f>
        <v>Chronic medical disease</v>
      </c>
      <c r="Z693" s="186" t="str">
        <f t="array" ref="Z693">INDEX(info!$AA$2:$AA$192,MATCH(PHC!$X693&amp;PHC!$Y693,info!$X$2:$X$192&amp;info!$Y$2:$Y$192,0))</f>
        <v>Non-communicable disease</v>
      </c>
      <c r="AA693" s="183" t="s">
        <v>3143</v>
      </c>
      <c r="AB693" s="9" t="s">
        <v>654</v>
      </c>
      <c r="AC693" s="9" t="s">
        <v>654</v>
      </c>
      <c r="AD693" s="9" t="s">
        <v>654</v>
      </c>
      <c r="AE693" s="9" t="s">
        <v>654</v>
      </c>
      <c r="AF693" s="184"/>
      <c r="AG693" s="183"/>
      <c r="AH693" s="183"/>
      <c r="AI693" s="183"/>
      <c r="AJ693" s="183"/>
      <c r="AK693" s="9" t="s">
        <v>654</v>
      </c>
      <c r="AL693" s="183"/>
      <c r="AM693" s="186" t="str">
        <f>IF(AF693="","","Q"&amp;INT((MONTH(AF693)-1)/3)+1&amp;YEAR(AF693)&amp;#REF!&amp;T693)</f>
        <v/>
      </c>
      <c r="AN693" s="186" t="e">
        <f>IF(K693="","","Q"&amp;INT((MONTH(K693)-1)/3)+1&amp;YEAR(K693)&amp;#REF!)</f>
        <v>#REF!</v>
      </c>
    </row>
    <row r="694" spans="1:40" ht="20.100000000000001" customHeight="1" x14ac:dyDescent="0.25">
      <c r="A694" s="8">
        <v>692</v>
      </c>
      <c r="B694" s="8" t="s">
        <v>399</v>
      </c>
      <c r="C694" s="8" t="s">
        <v>1997</v>
      </c>
      <c r="D694" s="8" t="s">
        <v>2416</v>
      </c>
      <c r="E694" s="182" t="s">
        <v>1998</v>
      </c>
      <c r="F694" s="183" t="s">
        <v>2222</v>
      </c>
      <c r="G694" s="183"/>
      <c r="H694" s="183" t="s">
        <v>4648</v>
      </c>
      <c r="I694" s="183" t="s">
        <v>579</v>
      </c>
      <c r="J694" s="183"/>
      <c r="K694" s="184">
        <v>46070</v>
      </c>
      <c r="L694" s="183">
        <v>23</v>
      </c>
      <c r="M694" s="185" t="str">
        <f>IF(phc_8[[#This Row],[Register No.]]="","",C694&amp;"-"&amp;D694&amp;"-"&amp;"BHA-PHC-"&amp;phc_8[[#This Row],[Register No.]])</f>
        <v>Shining Star-Mobile Clinic-BHA-PHC-23</v>
      </c>
      <c r="N694" s="9" t="s">
        <v>401</v>
      </c>
      <c r="O694" s="183" t="s">
        <v>2995</v>
      </c>
      <c r="P694" s="183">
        <v>55</v>
      </c>
      <c r="Q694" s="183"/>
      <c r="R694" s="183"/>
      <c r="S694" s="186" t="str">
        <f t="shared" si="25"/>
        <v>50 yrs +</v>
      </c>
      <c r="T694" s="183" t="s">
        <v>603</v>
      </c>
      <c r="U694" s="183"/>
      <c r="V694" s="183" t="s">
        <v>2041</v>
      </c>
      <c r="W694" s="183" t="s">
        <v>4737</v>
      </c>
      <c r="X694" s="183" t="s">
        <v>242</v>
      </c>
      <c r="Y694" s="186" t="str">
        <f>INDEX(info!$Y$2:$Y$192,MATCH(phc_8[[#This Row],[Sub_Category]],info!$X$2:$X$192,0))</f>
        <v>Accident/minor sugical and injuries</v>
      </c>
      <c r="Z694" s="186" t="str">
        <f t="array" ref="Z694">INDEX(info!$AA$2:$AA$192,MATCH(PHC!$X694&amp;PHC!$Y694,info!$X$2:$X$192&amp;info!$Y$2:$Y$192,0))</f>
        <v>Injury related</v>
      </c>
      <c r="AA694" s="183" t="s">
        <v>4745</v>
      </c>
      <c r="AB694" s="9" t="s">
        <v>654</v>
      </c>
      <c r="AC694" s="9" t="s">
        <v>654</v>
      </c>
      <c r="AD694" s="9" t="s">
        <v>654</v>
      </c>
      <c r="AE694" s="9" t="s">
        <v>654</v>
      </c>
      <c r="AF694" s="184"/>
      <c r="AG694" s="183"/>
      <c r="AH694" s="183"/>
      <c r="AI694" s="183"/>
      <c r="AJ694" s="183"/>
      <c r="AK694" s="9" t="s">
        <v>654</v>
      </c>
      <c r="AL694" s="183"/>
      <c r="AM694" s="186" t="str">
        <f>IF(AF694="","","Q"&amp;INT((MONTH(AF694)-1)/3)+1&amp;YEAR(AF694)&amp;#REF!&amp;T694)</f>
        <v/>
      </c>
      <c r="AN694" s="186" t="e">
        <f>IF(K694="","","Q"&amp;INT((MONTH(K694)-1)/3)+1&amp;YEAR(K694)&amp;#REF!)</f>
        <v>#REF!</v>
      </c>
    </row>
    <row r="695" spans="1:40" ht="20.100000000000001" customHeight="1" x14ac:dyDescent="0.25">
      <c r="A695" s="8">
        <v>693</v>
      </c>
      <c r="B695" s="8" t="s">
        <v>399</v>
      </c>
      <c r="C695" s="8" t="s">
        <v>1997</v>
      </c>
      <c r="D695" s="8" t="s">
        <v>2416</v>
      </c>
      <c r="E695" s="182" t="s">
        <v>1998</v>
      </c>
      <c r="F695" s="183" t="s">
        <v>2222</v>
      </c>
      <c r="G695" s="183"/>
      <c r="H695" s="183" t="s">
        <v>4648</v>
      </c>
      <c r="I695" s="183" t="s">
        <v>579</v>
      </c>
      <c r="J695" s="183"/>
      <c r="K695" s="184">
        <v>46070</v>
      </c>
      <c r="L695" s="183">
        <v>24</v>
      </c>
      <c r="M695" s="185" t="str">
        <f>IF(phc_8[[#This Row],[Register No.]]="","",C695&amp;"-"&amp;D695&amp;"-"&amp;"BHA-PHC-"&amp;phc_8[[#This Row],[Register No.]])</f>
        <v>Shining Star-Mobile Clinic-BHA-PHC-24</v>
      </c>
      <c r="N695" s="9" t="s">
        <v>401</v>
      </c>
      <c r="O695" s="183" t="s">
        <v>4728</v>
      </c>
      <c r="P695" s="183">
        <v>50</v>
      </c>
      <c r="Q695" s="183"/>
      <c r="R695" s="183"/>
      <c r="S695" s="186" t="str">
        <f t="shared" si="25"/>
        <v>50 yrs +</v>
      </c>
      <c r="T695" s="183" t="s">
        <v>603</v>
      </c>
      <c r="U695" s="183"/>
      <c r="V695" s="183" t="s">
        <v>4459</v>
      </c>
      <c r="W695" s="183" t="s">
        <v>4565</v>
      </c>
      <c r="X695" s="183" t="s">
        <v>242</v>
      </c>
      <c r="Y695" s="186" t="str">
        <f>INDEX(info!$Y$2:$Y$192,MATCH(phc_8[[#This Row],[Sub_Category]],info!$X$2:$X$192,0))</f>
        <v>Accident/minor sugical and injuries</v>
      </c>
      <c r="Z695" s="186" t="str">
        <f t="array" ref="Z695">INDEX(info!$AA$2:$AA$192,MATCH(PHC!$X695&amp;PHC!$Y695,info!$X$2:$X$192&amp;info!$Y$2:$Y$192,0))</f>
        <v>Injury related</v>
      </c>
      <c r="AA695" s="183" t="s">
        <v>4604</v>
      </c>
      <c r="AB695" s="9" t="s">
        <v>654</v>
      </c>
      <c r="AC695" s="9" t="s">
        <v>654</v>
      </c>
      <c r="AD695" s="9" t="s">
        <v>654</v>
      </c>
      <c r="AE695" s="9" t="s">
        <v>654</v>
      </c>
      <c r="AF695" s="184"/>
      <c r="AG695" s="183"/>
      <c r="AH695" s="183"/>
      <c r="AI695" s="183"/>
      <c r="AJ695" s="183"/>
      <c r="AK695" s="9" t="s">
        <v>654</v>
      </c>
      <c r="AL695" s="183"/>
      <c r="AM695" s="186" t="str">
        <f>IF(AF695="","","Q"&amp;INT((MONTH(AF695)-1)/3)+1&amp;YEAR(AF695)&amp;#REF!&amp;T695)</f>
        <v/>
      </c>
      <c r="AN695" s="186" t="e">
        <f>IF(K695="","","Q"&amp;INT((MONTH(K695)-1)/3)+1&amp;YEAR(K695)&amp;#REF!)</f>
        <v>#REF!</v>
      </c>
    </row>
    <row r="696" spans="1:40" ht="20.100000000000001" customHeight="1" x14ac:dyDescent="0.25">
      <c r="A696" s="8">
        <v>694</v>
      </c>
      <c r="B696" s="8" t="s">
        <v>399</v>
      </c>
      <c r="C696" s="8" t="s">
        <v>1997</v>
      </c>
      <c r="D696" s="8" t="s">
        <v>2416</v>
      </c>
      <c r="E696" s="182" t="s">
        <v>1998</v>
      </c>
      <c r="F696" s="183" t="s">
        <v>2222</v>
      </c>
      <c r="G696" s="183"/>
      <c r="H696" s="183" t="s">
        <v>4648</v>
      </c>
      <c r="I696" s="183" t="s">
        <v>579</v>
      </c>
      <c r="J696" s="183"/>
      <c r="K696" s="184">
        <v>46070</v>
      </c>
      <c r="L696" s="183">
        <v>25</v>
      </c>
      <c r="M696" s="185" t="str">
        <f>IF(phc_8[[#This Row],[Register No.]]="","",C696&amp;"-"&amp;D696&amp;"-"&amp;"BHA-PHC-"&amp;phc_8[[#This Row],[Register No.]])</f>
        <v>Shining Star-Mobile Clinic-BHA-PHC-25</v>
      </c>
      <c r="N696" s="9" t="s">
        <v>401</v>
      </c>
      <c r="O696" s="183" t="s">
        <v>4729</v>
      </c>
      <c r="P696" s="183">
        <v>56</v>
      </c>
      <c r="Q696" s="183"/>
      <c r="R696" s="183"/>
      <c r="S696" s="186" t="str">
        <f t="shared" si="25"/>
        <v>50 yrs +</v>
      </c>
      <c r="T696" s="183" t="s">
        <v>402</v>
      </c>
      <c r="U696" s="183"/>
      <c r="V696" s="183" t="s">
        <v>2041</v>
      </c>
      <c r="W696" s="183" t="s">
        <v>4738</v>
      </c>
      <c r="X696" s="183" t="s">
        <v>181</v>
      </c>
      <c r="Y696" s="186" t="str">
        <f>INDEX(info!$Y$2:$Y$192,MATCH(phc_8[[#This Row],[Sub_Category]],info!$X$2:$X$192,0))</f>
        <v>Chronic medical disease</v>
      </c>
      <c r="Z696" s="186" t="str">
        <f t="array" ref="Z696">INDEX(info!$AA$2:$AA$192,MATCH(PHC!$X696&amp;PHC!$Y696,info!$X$2:$X$192&amp;info!$Y$2:$Y$192,0))</f>
        <v>Non-communicable disease</v>
      </c>
      <c r="AA696" s="183" t="s">
        <v>4746</v>
      </c>
      <c r="AB696" s="9" t="s">
        <v>654</v>
      </c>
      <c r="AC696" s="9" t="s">
        <v>654</v>
      </c>
      <c r="AD696" s="9" t="s">
        <v>654</v>
      </c>
      <c r="AE696" s="9" t="s">
        <v>654</v>
      </c>
      <c r="AF696" s="184"/>
      <c r="AG696" s="183"/>
      <c r="AH696" s="183"/>
      <c r="AI696" s="183"/>
      <c r="AJ696" s="183"/>
      <c r="AK696" s="9" t="s">
        <v>654</v>
      </c>
      <c r="AL696" s="183"/>
      <c r="AM696" s="186" t="str">
        <f>IF(AF696="","","Q"&amp;INT((MONTH(AF696)-1)/3)+1&amp;YEAR(AF696)&amp;#REF!&amp;T696)</f>
        <v/>
      </c>
      <c r="AN696" s="186" t="e">
        <f>IF(K696="","","Q"&amp;INT((MONTH(K696)-1)/3)+1&amp;YEAR(K696)&amp;#REF!)</f>
        <v>#REF!</v>
      </c>
    </row>
    <row r="697" spans="1:40" ht="20.100000000000001" customHeight="1" x14ac:dyDescent="0.25">
      <c r="A697" s="8">
        <v>695</v>
      </c>
      <c r="B697" s="8" t="s">
        <v>399</v>
      </c>
      <c r="C697" s="8" t="s">
        <v>1997</v>
      </c>
      <c r="D697" s="8" t="s">
        <v>2416</v>
      </c>
      <c r="E697" s="182" t="s">
        <v>1998</v>
      </c>
      <c r="F697" s="183" t="s">
        <v>2222</v>
      </c>
      <c r="G697" s="183"/>
      <c r="H697" s="183" t="s">
        <v>4648</v>
      </c>
      <c r="I697" s="183" t="s">
        <v>579</v>
      </c>
      <c r="J697" s="183"/>
      <c r="K697" s="184">
        <v>46070</v>
      </c>
      <c r="L697" s="183">
        <v>26</v>
      </c>
      <c r="M697" s="185" t="str">
        <f>IF(phc_8[[#This Row],[Register No.]]="","",C697&amp;"-"&amp;D697&amp;"-"&amp;"BHA-PHC-"&amp;phc_8[[#This Row],[Register No.]])</f>
        <v>Shining Star-Mobile Clinic-BHA-PHC-26</v>
      </c>
      <c r="N697" s="9" t="s">
        <v>401</v>
      </c>
      <c r="O697" s="183" t="s">
        <v>4747</v>
      </c>
      <c r="P697" s="183">
        <v>71</v>
      </c>
      <c r="Q697" s="183"/>
      <c r="R697" s="183"/>
      <c r="S697" s="186" t="str">
        <f t="shared" si="25"/>
        <v>50 yrs +</v>
      </c>
      <c r="T697" s="183" t="s">
        <v>402</v>
      </c>
      <c r="U697" s="183"/>
      <c r="V697" s="183" t="s">
        <v>4754</v>
      </c>
      <c r="W697" s="183" t="s">
        <v>4706</v>
      </c>
      <c r="X697" s="183" t="s">
        <v>3105</v>
      </c>
      <c r="Y697" s="186" t="str">
        <f>INDEX(info!$Y$2:$Y$192,MATCH(phc_8[[#This Row],[Sub_Category]],info!$X$2:$X$192,0))</f>
        <v>Chronic medical disease</v>
      </c>
      <c r="Z697" s="186" t="str">
        <f t="array" ref="Z697">INDEX(info!$AA$2:$AA$192,MATCH(PHC!$X697&amp;PHC!$Y697,info!$X$2:$X$192&amp;info!$Y$2:$Y$192,0))</f>
        <v>Non-communicable disease</v>
      </c>
      <c r="AA697" s="183" t="s">
        <v>4764</v>
      </c>
      <c r="AB697" s="9" t="s">
        <v>654</v>
      </c>
      <c r="AC697" s="9" t="s">
        <v>654</v>
      </c>
      <c r="AD697" s="9" t="s">
        <v>654</v>
      </c>
      <c r="AE697" s="9" t="s">
        <v>654</v>
      </c>
      <c r="AF697" s="184"/>
      <c r="AG697" s="183"/>
      <c r="AH697" s="183"/>
      <c r="AI697" s="183"/>
      <c r="AJ697" s="183"/>
      <c r="AK697" s="9" t="s">
        <v>654</v>
      </c>
      <c r="AL697" s="183"/>
      <c r="AM697" s="186" t="str">
        <f>IF(AF697="","","Q"&amp;INT((MONTH(AF697)-1)/3)+1&amp;YEAR(AF697)&amp;#REF!&amp;T697)</f>
        <v/>
      </c>
      <c r="AN697" s="186" t="e">
        <f>IF(K697="","","Q"&amp;INT((MONTH(K697)-1)/3)+1&amp;YEAR(K697)&amp;#REF!)</f>
        <v>#REF!</v>
      </c>
    </row>
    <row r="698" spans="1:40" ht="20.100000000000001" customHeight="1" x14ac:dyDescent="0.25">
      <c r="A698" s="8">
        <v>696</v>
      </c>
      <c r="B698" s="8" t="s">
        <v>399</v>
      </c>
      <c r="C698" s="8" t="s">
        <v>1997</v>
      </c>
      <c r="D698" s="8" t="s">
        <v>2416</v>
      </c>
      <c r="E698" s="182" t="s">
        <v>1998</v>
      </c>
      <c r="F698" s="183" t="s">
        <v>2222</v>
      </c>
      <c r="G698" s="183"/>
      <c r="H698" s="183" t="s">
        <v>4648</v>
      </c>
      <c r="I698" s="183" t="s">
        <v>579</v>
      </c>
      <c r="J698" s="183"/>
      <c r="K698" s="184">
        <v>46070</v>
      </c>
      <c r="L698" s="183">
        <v>27</v>
      </c>
      <c r="M698" s="185" t="str">
        <f>IF(phc_8[[#This Row],[Register No.]]="","",C698&amp;"-"&amp;D698&amp;"-"&amp;"BHA-PHC-"&amp;phc_8[[#This Row],[Register No.]])</f>
        <v>Shining Star-Mobile Clinic-BHA-PHC-27</v>
      </c>
      <c r="N698" s="9" t="s">
        <v>401</v>
      </c>
      <c r="O698" s="183" t="s">
        <v>4748</v>
      </c>
      <c r="P698" s="183">
        <v>55</v>
      </c>
      <c r="Q698" s="183"/>
      <c r="R698" s="183"/>
      <c r="S698" s="186" t="str">
        <f t="shared" ref="S698:S728" si="26">IF(AND(ISBLANK(P698),ISBLANK(Q698),ISBLANK(R698))," ",
IF(OR(P698&lt;5,AND(P698=" ",Q698&lt;&gt;" ",R698&lt;&gt;" ")),"&lt;5 yrs",
IF(AND(P698&gt;=5,P698&lt;=14),"5 - 14 yrs",
IF(AND(P698&gt;=15,P698&lt;=18),"15 - 18 yrs",
IF(AND(P698&gt;=19,P698&lt;=49),"19 - 49 yrs","50 yrs +")))))</f>
        <v>50 yrs +</v>
      </c>
      <c r="T698" s="183" t="s">
        <v>603</v>
      </c>
      <c r="U698" s="183"/>
      <c r="V698" s="183" t="s">
        <v>4755</v>
      </c>
      <c r="W698" s="183" t="s">
        <v>3698</v>
      </c>
      <c r="X698" s="183" t="s">
        <v>178</v>
      </c>
      <c r="Y698" s="186" t="str">
        <f>INDEX(info!$Y$2:$Y$192,MATCH(phc_8[[#This Row],[Sub_Category]],info!$X$2:$X$192,0))</f>
        <v>Chronic medical disease</v>
      </c>
      <c r="Z698" s="186" t="str">
        <f t="array" ref="Z698">INDEX(info!$AA$2:$AA$192,MATCH(PHC!$X698&amp;PHC!$Y698,info!$X$2:$X$192&amp;info!$Y$2:$Y$192,0))</f>
        <v>Non-communicable disease</v>
      </c>
      <c r="AA698" s="183" t="s">
        <v>4765</v>
      </c>
      <c r="AB698" s="9" t="s">
        <v>654</v>
      </c>
      <c r="AC698" s="9" t="s">
        <v>654</v>
      </c>
      <c r="AD698" s="9" t="s">
        <v>654</v>
      </c>
      <c r="AE698" s="9" t="s">
        <v>654</v>
      </c>
      <c r="AF698" s="184"/>
      <c r="AG698" s="183"/>
      <c r="AH698" s="183"/>
      <c r="AI698" s="183"/>
      <c r="AJ698" s="183"/>
      <c r="AK698" s="9" t="s">
        <v>654</v>
      </c>
      <c r="AL698" s="183"/>
      <c r="AM698" s="186" t="str">
        <f>IF(AF698="","","Q"&amp;INT((MONTH(AF698)-1)/3)+1&amp;YEAR(AF698)&amp;#REF!&amp;T698)</f>
        <v/>
      </c>
      <c r="AN698" s="186" t="e">
        <f>IF(K698="","","Q"&amp;INT((MONTH(K698)-1)/3)+1&amp;YEAR(K698)&amp;#REF!)</f>
        <v>#REF!</v>
      </c>
    </row>
    <row r="699" spans="1:40" ht="20.100000000000001" customHeight="1" x14ac:dyDescent="0.25">
      <c r="A699" s="8">
        <v>697</v>
      </c>
      <c r="B699" s="8" t="s">
        <v>399</v>
      </c>
      <c r="C699" s="8" t="s">
        <v>1997</v>
      </c>
      <c r="D699" s="8" t="s">
        <v>2416</v>
      </c>
      <c r="E699" s="182" t="s">
        <v>1998</v>
      </c>
      <c r="F699" s="183" t="s">
        <v>2222</v>
      </c>
      <c r="G699" s="183"/>
      <c r="H699" s="183" t="s">
        <v>4648</v>
      </c>
      <c r="I699" s="183" t="s">
        <v>579</v>
      </c>
      <c r="J699" s="183"/>
      <c r="K699" s="184">
        <v>46070</v>
      </c>
      <c r="L699" s="183">
        <v>28</v>
      </c>
      <c r="M699" s="185" t="str">
        <f>IF(phc_8[[#This Row],[Register No.]]="","",C699&amp;"-"&amp;D699&amp;"-"&amp;"BHA-PHC-"&amp;phc_8[[#This Row],[Register No.]])</f>
        <v>Shining Star-Mobile Clinic-BHA-PHC-28</v>
      </c>
      <c r="N699" s="9" t="s">
        <v>401</v>
      </c>
      <c r="O699" s="183" t="s">
        <v>4749</v>
      </c>
      <c r="P699" s="183">
        <v>60</v>
      </c>
      <c r="Q699" s="183"/>
      <c r="R699" s="183"/>
      <c r="S699" s="186" t="str">
        <f t="shared" si="26"/>
        <v>50 yrs +</v>
      </c>
      <c r="T699" s="183" t="s">
        <v>603</v>
      </c>
      <c r="U699" s="183"/>
      <c r="V699" s="183" t="s">
        <v>4756</v>
      </c>
      <c r="W699" s="183" t="s">
        <v>112</v>
      </c>
      <c r="X699" s="183" t="s">
        <v>112</v>
      </c>
      <c r="Y699" s="186" t="str">
        <f>INDEX(info!$Y$2:$Y$192,MATCH(phc_8[[#This Row],[Sub_Category]],info!$X$2:$X$192,0))</f>
        <v>Asthma</v>
      </c>
      <c r="Z699" s="186" t="str">
        <f t="array" ref="Z699">INDEX(info!$AA$2:$AA$192,MATCH(PHC!$X699&amp;PHC!$Y699,info!$X$2:$X$192&amp;info!$Y$2:$Y$192,0))</f>
        <v>Non-communicable disease</v>
      </c>
      <c r="AA699" s="183" t="s">
        <v>4766</v>
      </c>
      <c r="AB699" s="9" t="s">
        <v>654</v>
      </c>
      <c r="AC699" s="9" t="s">
        <v>654</v>
      </c>
      <c r="AD699" s="9" t="s">
        <v>654</v>
      </c>
      <c r="AE699" s="9" t="s">
        <v>654</v>
      </c>
      <c r="AF699" s="184"/>
      <c r="AG699" s="183"/>
      <c r="AH699" s="183"/>
      <c r="AI699" s="183"/>
      <c r="AJ699" s="183"/>
      <c r="AK699" s="9" t="s">
        <v>654</v>
      </c>
      <c r="AL699" s="183"/>
      <c r="AM699" s="186" t="str">
        <f>IF(AF699="","","Q"&amp;INT((MONTH(AF699)-1)/3)+1&amp;YEAR(AF699)&amp;#REF!&amp;T699)</f>
        <v/>
      </c>
      <c r="AN699" s="186" t="e">
        <f>IF(K699="","","Q"&amp;INT((MONTH(K699)-1)/3)+1&amp;YEAR(K699)&amp;#REF!)</f>
        <v>#REF!</v>
      </c>
    </row>
    <row r="700" spans="1:40" ht="20.100000000000001" customHeight="1" x14ac:dyDescent="0.25">
      <c r="A700" s="8">
        <v>698</v>
      </c>
      <c r="B700" s="8" t="s">
        <v>399</v>
      </c>
      <c r="C700" s="8" t="s">
        <v>1997</v>
      </c>
      <c r="D700" s="8" t="s">
        <v>2416</v>
      </c>
      <c r="E700" s="182" t="s">
        <v>1998</v>
      </c>
      <c r="F700" s="183" t="s">
        <v>2222</v>
      </c>
      <c r="G700" s="183"/>
      <c r="H700" s="183" t="s">
        <v>4648</v>
      </c>
      <c r="I700" s="183" t="s">
        <v>579</v>
      </c>
      <c r="J700" s="183"/>
      <c r="K700" s="184">
        <v>46070</v>
      </c>
      <c r="L700" s="183">
        <v>29</v>
      </c>
      <c r="M700" s="185" t="str">
        <f>IF(phc_8[[#This Row],[Register No.]]="","",C700&amp;"-"&amp;D700&amp;"-"&amp;"BHA-PHC-"&amp;phc_8[[#This Row],[Register No.]])</f>
        <v>Shining Star-Mobile Clinic-BHA-PHC-29</v>
      </c>
      <c r="N700" s="9" t="s">
        <v>401</v>
      </c>
      <c r="O700" s="183" t="s">
        <v>4750</v>
      </c>
      <c r="P700" s="183">
        <v>49</v>
      </c>
      <c r="Q700" s="183"/>
      <c r="R700" s="183"/>
      <c r="S700" s="186" t="str">
        <f t="shared" si="26"/>
        <v>19 - 49 yrs</v>
      </c>
      <c r="T700" s="183" t="s">
        <v>603</v>
      </c>
      <c r="U700" s="183"/>
      <c r="V700" s="183" t="s">
        <v>4757</v>
      </c>
      <c r="W700" s="183" t="s">
        <v>2028</v>
      </c>
      <c r="X700" s="183" t="s">
        <v>108</v>
      </c>
      <c r="Y700" s="186" t="str">
        <f>INDEX(info!$Y$2:$Y$192,MATCH(phc_8[[#This Row],[Sub_Category]],info!$X$2:$X$192,0))</f>
        <v>ARI/RTI</v>
      </c>
      <c r="Z700" s="186" t="str">
        <f t="array" ref="Z700">INDEX(info!$AA$2:$AA$192,MATCH(PHC!$X700&amp;PHC!$Y700,info!$X$2:$X$192&amp;info!$Y$2:$Y$192,0))</f>
        <v>Communicable disease</v>
      </c>
      <c r="AA700" s="183" t="s">
        <v>4767</v>
      </c>
      <c r="AB700" s="9" t="s">
        <v>654</v>
      </c>
      <c r="AC700" s="9" t="s">
        <v>654</v>
      </c>
      <c r="AD700" s="9" t="s">
        <v>654</v>
      </c>
      <c r="AE700" s="9" t="s">
        <v>654</v>
      </c>
      <c r="AF700" s="184"/>
      <c r="AG700" s="183"/>
      <c r="AH700" s="183"/>
      <c r="AI700" s="183"/>
      <c r="AJ700" s="183"/>
      <c r="AK700" s="9" t="s">
        <v>654</v>
      </c>
      <c r="AL700" s="183"/>
      <c r="AM700" s="186" t="str">
        <f>IF(AF700="","","Q"&amp;INT((MONTH(AF700)-1)/3)+1&amp;YEAR(AF700)&amp;#REF!&amp;T700)</f>
        <v/>
      </c>
      <c r="AN700" s="186" t="e">
        <f>IF(K700="","","Q"&amp;INT((MONTH(K700)-1)/3)+1&amp;YEAR(K700)&amp;#REF!)</f>
        <v>#REF!</v>
      </c>
    </row>
    <row r="701" spans="1:40" ht="20.100000000000001" customHeight="1" x14ac:dyDescent="0.25">
      <c r="A701" s="8">
        <v>699</v>
      </c>
      <c r="B701" s="8" t="s">
        <v>399</v>
      </c>
      <c r="C701" s="8" t="s">
        <v>1997</v>
      </c>
      <c r="D701" s="8" t="s">
        <v>2416</v>
      </c>
      <c r="E701" s="182" t="s">
        <v>1998</v>
      </c>
      <c r="F701" s="183" t="s">
        <v>2222</v>
      </c>
      <c r="G701" s="183"/>
      <c r="H701" s="183" t="s">
        <v>4648</v>
      </c>
      <c r="I701" s="183" t="s">
        <v>579</v>
      </c>
      <c r="J701" s="183"/>
      <c r="K701" s="184">
        <v>46070</v>
      </c>
      <c r="L701" s="183">
        <v>30</v>
      </c>
      <c r="M701" s="185" t="str">
        <f>IF(phc_8[[#This Row],[Register No.]]="","",C701&amp;"-"&amp;D701&amp;"-"&amp;"BHA-PHC-"&amp;phc_8[[#This Row],[Register No.]])</f>
        <v>Shining Star-Mobile Clinic-BHA-PHC-30</v>
      </c>
      <c r="N701" s="9" t="s">
        <v>401</v>
      </c>
      <c r="O701" s="183" t="s">
        <v>4618</v>
      </c>
      <c r="P701" s="183">
        <v>70</v>
      </c>
      <c r="Q701" s="183"/>
      <c r="R701" s="183"/>
      <c r="S701" s="186" t="str">
        <f t="shared" si="26"/>
        <v>50 yrs +</v>
      </c>
      <c r="T701" s="183" t="s">
        <v>603</v>
      </c>
      <c r="U701" s="183"/>
      <c r="V701" s="183" t="s">
        <v>4758</v>
      </c>
      <c r="W701" s="183" t="s">
        <v>2059</v>
      </c>
      <c r="X701" s="183" t="s">
        <v>242</v>
      </c>
      <c r="Y701" s="186" t="str">
        <f>INDEX(info!$Y$2:$Y$192,MATCH(phc_8[[#This Row],[Sub_Category]],info!$X$2:$X$192,0))</f>
        <v>Accident/minor sugical and injuries</v>
      </c>
      <c r="Z701" s="186" t="str">
        <f t="array" ref="Z701">INDEX(info!$AA$2:$AA$192,MATCH(PHC!$X701&amp;PHC!$Y701,info!$X$2:$X$192&amp;info!$Y$2:$Y$192,0))</f>
        <v>Injury related</v>
      </c>
      <c r="AA701" s="183" t="s">
        <v>4768</v>
      </c>
      <c r="AB701" s="9" t="s">
        <v>654</v>
      </c>
      <c r="AC701" s="9" t="s">
        <v>654</v>
      </c>
      <c r="AD701" s="9" t="s">
        <v>654</v>
      </c>
      <c r="AE701" s="9" t="s">
        <v>654</v>
      </c>
      <c r="AF701" s="184"/>
      <c r="AG701" s="183"/>
      <c r="AH701" s="183"/>
      <c r="AI701" s="183"/>
      <c r="AJ701" s="183"/>
      <c r="AK701" s="9" t="s">
        <v>654</v>
      </c>
      <c r="AL701" s="183"/>
      <c r="AM701" s="186" t="str">
        <f>IF(AF701="","","Q"&amp;INT((MONTH(AF701)-1)/3)+1&amp;YEAR(AF701)&amp;#REF!&amp;T701)</f>
        <v/>
      </c>
      <c r="AN701" s="186" t="e">
        <f>IF(K701="","","Q"&amp;INT((MONTH(K701)-1)/3)+1&amp;YEAR(K701)&amp;#REF!)</f>
        <v>#REF!</v>
      </c>
    </row>
    <row r="702" spans="1:40" ht="20.100000000000001" customHeight="1" x14ac:dyDescent="0.25">
      <c r="A702" s="8">
        <v>700</v>
      </c>
      <c r="B702" s="8" t="s">
        <v>399</v>
      </c>
      <c r="C702" s="8" t="s">
        <v>1997</v>
      </c>
      <c r="D702" s="8" t="s">
        <v>2416</v>
      </c>
      <c r="E702" s="182" t="s">
        <v>1998</v>
      </c>
      <c r="F702" s="183" t="s">
        <v>2222</v>
      </c>
      <c r="G702" s="183"/>
      <c r="H702" s="183" t="s">
        <v>4648</v>
      </c>
      <c r="I702" s="183" t="s">
        <v>579</v>
      </c>
      <c r="J702" s="183"/>
      <c r="K702" s="184">
        <v>46070</v>
      </c>
      <c r="L702" s="183">
        <v>31</v>
      </c>
      <c r="M702" s="185" t="str">
        <f>IF(phc_8[[#This Row],[Register No.]]="","",C702&amp;"-"&amp;D702&amp;"-"&amp;"BHA-PHC-"&amp;phc_8[[#This Row],[Register No.]])</f>
        <v>Shining Star-Mobile Clinic-BHA-PHC-31</v>
      </c>
      <c r="N702" s="9" t="s">
        <v>401</v>
      </c>
      <c r="O702" s="183" t="s">
        <v>4093</v>
      </c>
      <c r="P702" s="183">
        <v>54</v>
      </c>
      <c r="Q702" s="183"/>
      <c r="R702" s="183"/>
      <c r="S702" s="186" t="str">
        <f t="shared" si="26"/>
        <v>50 yrs +</v>
      </c>
      <c r="T702" s="183" t="s">
        <v>603</v>
      </c>
      <c r="U702" s="183"/>
      <c r="V702" s="183" t="s">
        <v>3490</v>
      </c>
      <c r="W702" s="183" t="s">
        <v>2014</v>
      </c>
      <c r="X702" s="183" t="s">
        <v>2014</v>
      </c>
      <c r="Y702" s="186" t="str">
        <f>INDEX(info!$Y$2:$Y$192,MATCH(phc_8[[#This Row],[Sub_Category]],info!$X$2:$X$192,0))</f>
        <v>Other (non-communicable)</v>
      </c>
      <c r="Z702" s="186" t="str">
        <f t="array" ref="Z702">INDEX(info!$AA$2:$AA$192,MATCH(PHC!$X702&amp;PHC!$Y702,info!$X$2:$X$192&amp;info!$Y$2:$Y$192,0))</f>
        <v>Other</v>
      </c>
      <c r="AA702" s="183" t="s">
        <v>4769</v>
      </c>
      <c r="AB702" s="9" t="s">
        <v>654</v>
      </c>
      <c r="AC702" s="9" t="s">
        <v>654</v>
      </c>
      <c r="AD702" s="9" t="s">
        <v>654</v>
      </c>
      <c r="AE702" s="9" t="s">
        <v>654</v>
      </c>
      <c r="AF702" s="184"/>
      <c r="AG702" s="183"/>
      <c r="AH702" s="183"/>
      <c r="AI702" s="183"/>
      <c r="AJ702" s="183"/>
      <c r="AK702" s="9" t="s">
        <v>654</v>
      </c>
      <c r="AL702" s="183"/>
      <c r="AM702" s="186" t="str">
        <f>IF(AF702="","","Q"&amp;INT((MONTH(AF702)-1)/3)+1&amp;YEAR(AF702)&amp;#REF!&amp;T702)</f>
        <v/>
      </c>
      <c r="AN702" s="186" t="e">
        <f>IF(K702="","","Q"&amp;INT((MONTH(K702)-1)/3)+1&amp;YEAR(K702)&amp;#REF!)</f>
        <v>#REF!</v>
      </c>
    </row>
    <row r="703" spans="1:40" ht="20.100000000000001" customHeight="1" x14ac:dyDescent="0.25">
      <c r="A703" s="8">
        <v>701</v>
      </c>
      <c r="B703" s="8" t="s">
        <v>399</v>
      </c>
      <c r="C703" s="8" t="s">
        <v>1997</v>
      </c>
      <c r="D703" s="8" t="s">
        <v>2416</v>
      </c>
      <c r="E703" s="182" t="s">
        <v>1998</v>
      </c>
      <c r="F703" s="183" t="s">
        <v>2222</v>
      </c>
      <c r="G703" s="183"/>
      <c r="H703" s="183" t="s">
        <v>4648</v>
      </c>
      <c r="I703" s="183" t="s">
        <v>579</v>
      </c>
      <c r="J703" s="183"/>
      <c r="K703" s="184">
        <v>46070</v>
      </c>
      <c r="L703" s="183">
        <v>32</v>
      </c>
      <c r="M703" s="185" t="str">
        <f>IF(phc_8[[#This Row],[Register No.]]="","",C703&amp;"-"&amp;D703&amp;"-"&amp;"BHA-PHC-"&amp;phc_8[[#This Row],[Register No.]])</f>
        <v>Shining Star-Mobile Clinic-BHA-PHC-32</v>
      </c>
      <c r="N703" s="9" t="s">
        <v>401</v>
      </c>
      <c r="O703" s="183" t="s">
        <v>4039</v>
      </c>
      <c r="P703" s="183">
        <v>64</v>
      </c>
      <c r="Q703" s="183"/>
      <c r="R703" s="183"/>
      <c r="S703" s="186" t="str">
        <f t="shared" si="26"/>
        <v>50 yrs +</v>
      </c>
      <c r="T703" s="183" t="s">
        <v>603</v>
      </c>
      <c r="U703" s="183"/>
      <c r="V703" s="183" t="s">
        <v>3772</v>
      </c>
      <c r="W703" s="183" t="s">
        <v>4761</v>
      </c>
      <c r="X703" s="183" t="s">
        <v>242</v>
      </c>
      <c r="Y703" s="186" t="str">
        <f>INDEX(info!$Y$2:$Y$192,MATCH(phc_8[[#This Row],[Sub_Category]],info!$X$2:$X$192,0))</f>
        <v>Accident/minor sugical and injuries</v>
      </c>
      <c r="Z703" s="186" t="str">
        <f t="array" ref="Z703">INDEX(info!$AA$2:$AA$192,MATCH(PHC!$X703&amp;PHC!$Y703,info!$X$2:$X$192&amp;info!$Y$2:$Y$192,0))</f>
        <v>Injury related</v>
      </c>
      <c r="AA703" s="183" t="s">
        <v>4770</v>
      </c>
      <c r="AB703" s="9" t="s">
        <v>654</v>
      </c>
      <c r="AC703" s="9" t="s">
        <v>654</v>
      </c>
      <c r="AD703" s="9" t="s">
        <v>654</v>
      </c>
      <c r="AE703" s="9" t="s">
        <v>654</v>
      </c>
      <c r="AF703" s="184"/>
      <c r="AG703" s="183"/>
      <c r="AH703" s="183"/>
      <c r="AI703" s="183"/>
      <c r="AJ703" s="183"/>
      <c r="AK703" s="9" t="s">
        <v>654</v>
      </c>
      <c r="AL703" s="183"/>
      <c r="AM703" s="186" t="str">
        <f>IF(AF703="","","Q"&amp;INT((MONTH(AF703)-1)/3)+1&amp;YEAR(AF703)&amp;#REF!&amp;T703)</f>
        <v/>
      </c>
      <c r="AN703" s="186" t="e">
        <f>IF(K703="","","Q"&amp;INT((MONTH(K703)-1)/3)+1&amp;YEAR(K703)&amp;#REF!)</f>
        <v>#REF!</v>
      </c>
    </row>
    <row r="704" spans="1:40" ht="20.100000000000001" customHeight="1" x14ac:dyDescent="0.25">
      <c r="A704" s="8">
        <v>702</v>
      </c>
      <c r="B704" s="8" t="s">
        <v>399</v>
      </c>
      <c r="C704" s="8" t="s">
        <v>1997</v>
      </c>
      <c r="D704" s="8" t="s">
        <v>2416</v>
      </c>
      <c r="E704" s="182" t="s">
        <v>1998</v>
      </c>
      <c r="F704" s="183" t="s">
        <v>2222</v>
      </c>
      <c r="G704" s="183"/>
      <c r="H704" s="183" t="s">
        <v>4648</v>
      </c>
      <c r="I704" s="183" t="s">
        <v>579</v>
      </c>
      <c r="J704" s="183"/>
      <c r="K704" s="184">
        <v>46070</v>
      </c>
      <c r="L704" s="183">
        <v>33</v>
      </c>
      <c r="M704" s="185" t="str">
        <f>IF(phc_8[[#This Row],[Register No.]]="","",C704&amp;"-"&amp;D704&amp;"-"&amp;"BHA-PHC-"&amp;phc_8[[#This Row],[Register No.]])</f>
        <v>Shining Star-Mobile Clinic-BHA-PHC-33</v>
      </c>
      <c r="N704" s="9" t="s">
        <v>401</v>
      </c>
      <c r="O704" s="183" t="s">
        <v>4751</v>
      </c>
      <c r="P704" s="183">
        <v>54</v>
      </c>
      <c r="Q704" s="183"/>
      <c r="R704" s="183"/>
      <c r="S704" s="186" t="str">
        <f t="shared" si="26"/>
        <v>50 yrs +</v>
      </c>
      <c r="T704" s="183" t="s">
        <v>603</v>
      </c>
      <c r="U704" s="183"/>
      <c r="V704" s="183" t="s">
        <v>4759</v>
      </c>
      <c r="W704" s="183" t="s">
        <v>4762</v>
      </c>
      <c r="X704" s="183" t="s">
        <v>218</v>
      </c>
      <c r="Y704" s="186" t="str">
        <f>INDEX(info!$Y$2:$Y$192,MATCH(phc_8[[#This Row],[Sub_Category]],info!$X$2:$X$192,0))</f>
        <v>Genito-urinary diseases</v>
      </c>
      <c r="Z704" s="186" t="str">
        <f t="array" ref="Z704">INDEX(info!$AA$2:$AA$192,MATCH(PHC!$X704&amp;PHC!$Y704,info!$X$2:$X$192&amp;info!$Y$2:$Y$192,0))</f>
        <v>Communicable disease</v>
      </c>
      <c r="AA704" s="183" t="s">
        <v>4771</v>
      </c>
      <c r="AB704" s="9" t="s">
        <v>654</v>
      </c>
      <c r="AC704" s="9" t="s">
        <v>654</v>
      </c>
      <c r="AD704" s="9" t="s">
        <v>654</v>
      </c>
      <c r="AE704" s="9" t="s">
        <v>654</v>
      </c>
      <c r="AF704" s="184"/>
      <c r="AG704" s="183"/>
      <c r="AH704" s="183"/>
      <c r="AI704" s="183"/>
      <c r="AJ704" s="183"/>
      <c r="AK704" s="9" t="s">
        <v>654</v>
      </c>
      <c r="AL704" s="183"/>
      <c r="AM704" s="186" t="str">
        <f>IF(AF704="","","Q"&amp;INT((MONTH(AF704)-1)/3)+1&amp;YEAR(AF704)&amp;#REF!&amp;T704)</f>
        <v/>
      </c>
      <c r="AN704" s="186" t="e">
        <f>IF(K704="","","Q"&amp;INT((MONTH(K704)-1)/3)+1&amp;YEAR(K704)&amp;#REF!)</f>
        <v>#REF!</v>
      </c>
    </row>
    <row r="705" spans="1:40" ht="20.100000000000001" customHeight="1" x14ac:dyDescent="0.25">
      <c r="A705" s="8">
        <v>703</v>
      </c>
      <c r="B705" s="8" t="s">
        <v>399</v>
      </c>
      <c r="C705" s="8" t="s">
        <v>1997</v>
      </c>
      <c r="D705" s="8" t="s">
        <v>2416</v>
      </c>
      <c r="E705" s="182" t="s">
        <v>1998</v>
      </c>
      <c r="F705" s="183" t="s">
        <v>2222</v>
      </c>
      <c r="G705" s="183"/>
      <c r="H705" s="183" t="s">
        <v>4648</v>
      </c>
      <c r="I705" s="183" t="s">
        <v>579</v>
      </c>
      <c r="J705" s="183"/>
      <c r="K705" s="184">
        <v>46070</v>
      </c>
      <c r="L705" s="183">
        <v>34</v>
      </c>
      <c r="M705" s="185" t="str">
        <f>IF(phc_8[[#This Row],[Register No.]]="","",C705&amp;"-"&amp;D705&amp;"-"&amp;"BHA-PHC-"&amp;phc_8[[#This Row],[Register No.]])</f>
        <v>Shining Star-Mobile Clinic-BHA-PHC-34</v>
      </c>
      <c r="N705" s="9" t="s">
        <v>401</v>
      </c>
      <c r="O705" s="183" t="s">
        <v>4752</v>
      </c>
      <c r="P705" s="183">
        <v>48</v>
      </c>
      <c r="Q705" s="183"/>
      <c r="R705" s="183"/>
      <c r="S705" s="186" t="str">
        <f t="shared" si="26"/>
        <v>19 - 49 yrs</v>
      </c>
      <c r="T705" s="183" t="s">
        <v>603</v>
      </c>
      <c r="U705" s="183"/>
      <c r="V705" s="183" t="s">
        <v>4597</v>
      </c>
      <c r="W705" s="183" t="s">
        <v>2014</v>
      </c>
      <c r="X705" s="183" t="s">
        <v>2014</v>
      </c>
      <c r="Y705" s="186" t="str">
        <f>INDEX(info!$Y$2:$Y$192,MATCH(phc_8[[#This Row],[Sub_Category]],info!$X$2:$X$192,0))</f>
        <v>Other (non-communicable)</v>
      </c>
      <c r="Z705" s="186" t="str">
        <f t="array" ref="Z705">INDEX(info!$AA$2:$AA$192,MATCH(PHC!$X705&amp;PHC!$Y705,info!$X$2:$X$192&amp;info!$Y$2:$Y$192,0))</f>
        <v>Other</v>
      </c>
      <c r="AA705" s="183" t="s">
        <v>4772</v>
      </c>
      <c r="AB705" s="9" t="s">
        <v>654</v>
      </c>
      <c r="AC705" s="9" t="s">
        <v>654</v>
      </c>
      <c r="AD705" s="9" t="s">
        <v>654</v>
      </c>
      <c r="AE705" s="9" t="s">
        <v>654</v>
      </c>
      <c r="AF705" s="184"/>
      <c r="AG705" s="183"/>
      <c r="AH705" s="183"/>
      <c r="AI705" s="183"/>
      <c r="AJ705" s="183"/>
      <c r="AK705" s="9" t="s">
        <v>654</v>
      </c>
      <c r="AL705" s="183"/>
      <c r="AM705" s="186" t="str">
        <f>IF(AF705="","","Q"&amp;INT((MONTH(AF705)-1)/3)+1&amp;YEAR(AF705)&amp;#REF!&amp;T705)</f>
        <v/>
      </c>
      <c r="AN705" s="186" t="e">
        <f>IF(K705="","","Q"&amp;INT((MONTH(K705)-1)/3)+1&amp;YEAR(K705)&amp;#REF!)</f>
        <v>#REF!</v>
      </c>
    </row>
    <row r="706" spans="1:40" ht="20.100000000000001" customHeight="1" x14ac:dyDescent="0.25">
      <c r="A706" s="8">
        <v>704</v>
      </c>
      <c r="B706" s="8" t="s">
        <v>399</v>
      </c>
      <c r="C706" s="8" t="s">
        <v>1997</v>
      </c>
      <c r="D706" s="8" t="s">
        <v>2416</v>
      </c>
      <c r="E706" s="182" t="s">
        <v>1998</v>
      </c>
      <c r="F706" s="183" t="s">
        <v>2222</v>
      </c>
      <c r="G706" s="183"/>
      <c r="H706" s="183" t="s">
        <v>4648</v>
      </c>
      <c r="I706" s="183" t="s">
        <v>579</v>
      </c>
      <c r="J706" s="183"/>
      <c r="K706" s="184">
        <v>46070</v>
      </c>
      <c r="L706" s="183">
        <v>35</v>
      </c>
      <c r="M706" s="185" t="str">
        <f>IF(phc_8[[#This Row],[Register No.]]="","",C706&amp;"-"&amp;D706&amp;"-"&amp;"BHA-PHC-"&amp;phc_8[[#This Row],[Register No.]])</f>
        <v>Shining Star-Mobile Clinic-BHA-PHC-35</v>
      </c>
      <c r="N706" s="9" t="s">
        <v>401</v>
      </c>
      <c r="O706" s="183" t="s">
        <v>4753</v>
      </c>
      <c r="P706" s="183">
        <v>27</v>
      </c>
      <c r="Q706" s="183"/>
      <c r="R706" s="183"/>
      <c r="S706" s="186" t="str">
        <f t="shared" si="26"/>
        <v>19 - 49 yrs</v>
      </c>
      <c r="T706" s="183" t="s">
        <v>603</v>
      </c>
      <c r="U706" s="183"/>
      <c r="V706" s="183" t="s">
        <v>4760</v>
      </c>
      <c r="W706" s="183" t="s">
        <v>4763</v>
      </c>
      <c r="X706" s="183" t="s">
        <v>294</v>
      </c>
      <c r="Y706" s="186" t="str">
        <f>INDEX(info!$Y$2:$Y$192,MATCH(phc_8[[#This Row],[Sub_Category]],info!$X$2:$X$192,0))</f>
        <v>Other (non-communicable)</v>
      </c>
      <c r="Z706" s="186" t="str">
        <f t="array" ref="Z706">INDEX(info!$AA$2:$AA$192,MATCH(PHC!$X706&amp;PHC!$Y706,info!$X$2:$X$192&amp;info!$Y$2:$Y$192,0))</f>
        <v>Other</v>
      </c>
      <c r="AA706" s="183" t="s">
        <v>4773</v>
      </c>
      <c r="AB706" s="9" t="s">
        <v>654</v>
      </c>
      <c r="AC706" s="9" t="s">
        <v>654</v>
      </c>
      <c r="AD706" s="9" t="s">
        <v>654</v>
      </c>
      <c r="AE706" s="9" t="s">
        <v>654</v>
      </c>
      <c r="AF706" s="184"/>
      <c r="AG706" s="183"/>
      <c r="AH706" s="183"/>
      <c r="AI706" s="183"/>
      <c r="AJ706" s="183"/>
      <c r="AK706" s="9" t="s">
        <v>654</v>
      </c>
      <c r="AL706" s="183"/>
      <c r="AM706" s="186" t="str">
        <f>IF(AF706="","","Q"&amp;INT((MONTH(AF706)-1)/3)+1&amp;YEAR(AF706)&amp;#REF!&amp;T706)</f>
        <v/>
      </c>
      <c r="AN706" s="186" t="e">
        <f>IF(K706="","","Q"&amp;INT((MONTH(K706)-1)/3)+1&amp;YEAR(K706)&amp;#REF!)</f>
        <v>#REF!</v>
      </c>
    </row>
    <row r="707" spans="1:40" ht="20.100000000000001" customHeight="1" x14ac:dyDescent="0.25">
      <c r="A707" s="8">
        <v>705</v>
      </c>
      <c r="B707" s="8" t="s">
        <v>399</v>
      </c>
      <c r="C707" s="8" t="s">
        <v>1997</v>
      </c>
      <c r="D707" s="8" t="s">
        <v>2416</v>
      </c>
      <c r="E707" s="182" t="s">
        <v>1998</v>
      </c>
      <c r="F707" s="183" t="s">
        <v>2222</v>
      </c>
      <c r="G707" s="183"/>
      <c r="H707" s="183" t="s">
        <v>4648</v>
      </c>
      <c r="I707" s="183" t="s">
        <v>579</v>
      </c>
      <c r="J707" s="183"/>
      <c r="K707" s="184">
        <v>46070</v>
      </c>
      <c r="L707" s="183">
        <v>36</v>
      </c>
      <c r="M707" s="185" t="str">
        <f>IF(phc_8[[#This Row],[Register No.]]="","",C707&amp;"-"&amp;D707&amp;"-"&amp;"BHA-PHC-"&amp;phc_8[[#This Row],[Register No.]])</f>
        <v>Shining Star-Mobile Clinic-BHA-PHC-36</v>
      </c>
      <c r="N707" s="9" t="s">
        <v>401</v>
      </c>
      <c r="O707" s="183" t="s">
        <v>4774</v>
      </c>
      <c r="P707" s="183">
        <v>1</v>
      </c>
      <c r="Q707" s="183">
        <v>2</v>
      </c>
      <c r="R707" s="183"/>
      <c r="S707" s="186" t="str">
        <f t="shared" si="26"/>
        <v>&lt;5 yrs</v>
      </c>
      <c r="T707" s="183" t="s">
        <v>402</v>
      </c>
      <c r="U707" s="183"/>
      <c r="V707" s="183" t="s">
        <v>4784</v>
      </c>
      <c r="W707" s="183" t="s">
        <v>3659</v>
      </c>
      <c r="X707" s="183" t="s">
        <v>113</v>
      </c>
      <c r="Y707" s="186" t="str">
        <f>INDEX(info!$Y$2:$Y$192,MATCH(phc_8[[#This Row],[Sub_Category]],info!$X$2:$X$192,0))</f>
        <v>ARI/RTI</v>
      </c>
      <c r="Z707" s="186" t="str">
        <f t="array" ref="Z707">INDEX(info!$AA$2:$AA$192,MATCH(PHC!$X707&amp;PHC!$Y707,info!$X$2:$X$192&amp;info!$Y$2:$Y$192,0))</f>
        <v>Communicable disease</v>
      </c>
      <c r="AA707" s="183" t="s">
        <v>4642</v>
      </c>
      <c r="AB707" s="9" t="s">
        <v>654</v>
      </c>
      <c r="AC707" s="9" t="s">
        <v>654</v>
      </c>
      <c r="AD707" s="9" t="s">
        <v>654</v>
      </c>
      <c r="AE707" s="9" t="s">
        <v>654</v>
      </c>
      <c r="AF707" s="184"/>
      <c r="AG707" s="183"/>
      <c r="AH707" s="183"/>
      <c r="AI707" s="183"/>
      <c r="AJ707" s="183"/>
      <c r="AK707" s="9" t="s">
        <v>654</v>
      </c>
      <c r="AL707" s="183"/>
      <c r="AM707" s="186" t="str">
        <f>IF(AF707="","","Q"&amp;INT((MONTH(AF707)-1)/3)+1&amp;YEAR(AF707)&amp;#REF!&amp;T707)</f>
        <v/>
      </c>
      <c r="AN707" s="186" t="e">
        <f>IF(K707="","","Q"&amp;INT((MONTH(K707)-1)/3)+1&amp;YEAR(K707)&amp;#REF!)</f>
        <v>#REF!</v>
      </c>
    </row>
    <row r="708" spans="1:40" ht="20.100000000000001" customHeight="1" x14ac:dyDescent="0.25">
      <c r="A708" s="8">
        <v>706</v>
      </c>
      <c r="B708" s="8" t="s">
        <v>399</v>
      </c>
      <c r="C708" s="8" t="s">
        <v>1997</v>
      </c>
      <c r="D708" s="8" t="s">
        <v>2416</v>
      </c>
      <c r="E708" s="182" t="s">
        <v>1998</v>
      </c>
      <c r="F708" s="183" t="s">
        <v>2222</v>
      </c>
      <c r="G708" s="183"/>
      <c r="H708" s="183" t="s">
        <v>4648</v>
      </c>
      <c r="I708" s="183" t="s">
        <v>579</v>
      </c>
      <c r="J708" s="183"/>
      <c r="K708" s="184">
        <v>46070</v>
      </c>
      <c r="L708" s="183">
        <v>37</v>
      </c>
      <c r="M708" s="185" t="str">
        <f>IF(phc_8[[#This Row],[Register No.]]="","",C708&amp;"-"&amp;D708&amp;"-"&amp;"BHA-PHC-"&amp;phc_8[[#This Row],[Register No.]])</f>
        <v>Shining Star-Mobile Clinic-BHA-PHC-37</v>
      </c>
      <c r="N708" s="9" t="s">
        <v>401</v>
      </c>
      <c r="O708" s="183" t="s">
        <v>4775</v>
      </c>
      <c r="P708" s="183">
        <v>54</v>
      </c>
      <c r="Q708" s="183"/>
      <c r="R708" s="183"/>
      <c r="S708" s="186" t="str">
        <f t="shared" si="26"/>
        <v>50 yrs +</v>
      </c>
      <c r="T708" s="183" t="s">
        <v>603</v>
      </c>
      <c r="U708" s="183"/>
      <c r="V708" s="183" t="s">
        <v>4497</v>
      </c>
      <c r="W708" s="183" t="s">
        <v>2059</v>
      </c>
      <c r="X708" s="183" t="s">
        <v>242</v>
      </c>
      <c r="Y708" s="186" t="str">
        <f>INDEX(info!$Y$2:$Y$192,MATCH(phc_8[[#This Row],[Sub_Category]],info!$X$2:$X$192,0))</f>
        <v>Accident/minor sugical and injuries</v>
      </c>
      <c r="Z708" s="186" t="str">
        <f t="array" ref="Z708">INDEX(info!$AA$2:$AA$192,MATCH(PHC!$X708&amp;PHC!$Y708,info!$X$2:$X$192&amp;info!$Y$2:$Y$192,0))</f>
        <v>Injury related</v>
      </c>
      <c r="AA708" s="183" t="s">
        <v>4789</v>
      </c>
      <c r="AB708" s="9" t="s">
        <v>654</v>
      </c>
      <c r="AC708" s="9" t="s">
        <v>654</v>
      </c>
      <c r="AD708" s="9" t="s">
        <v>654</v>
      </c>
      <c r="AE708" s="9" t="s">
        <v>654</v>
      </c>
      <c r="AF708" s="184"/>
      <c r="AG708" s="183"/>
      <c r="AH708" s="183"/>
      <c r="AI708" s="183"/>
      <c r="AJ708" s="183"/>
      <c r="AK708" s="9" t="s">
        <v>654</v>
      </c>
      <c r="AL708" s="183"/>
      <c r="AM708" s="186" t="str">
        <f>IF(AF708="","","Q"&amp;INT((MONTH(AF708)-1)/3)+1&amp;YEAR(AF708)&amp;#REF!&amp;T708)</f>
        <v/>
      </c>
      <c r="AN708" s="186" t="e">
        <f>IF(K708="","","Q"&amp;INT((MONTH(K708)-1)/3)+1&amp;YEAR(K708)&amp;#REF!)</f>
        <v>#REF!</v>
      </c>
    </row>
    <row r="709" spans="1:40" ht="20.100000000000001" customHeight="1" x14ac:dyDescent="0.25">
      <c r="A709" s="8">
        <v>707</v>
      </c>
      <c r="B709" s="8" t="s">
        <v>399</v>
      </c>
      <c r="C709" s="8" t="s">
        <v>1997</v>
      </c>
      <c r="D709" s="8" t="s">
        <v>2416</v>
      </c>
      <c r="E709" s="182" t="s">
        <v>1998</v>
      </c>
      <c r="F709" s="183" t="s">
        <v>2222</v>
      </c>
      <c r="G709" s="183"/>
      <c r="H709" s="183" t="s">
        <v>4648</v>
      </c>
      <c r="I709" s="183" t="s">
        <v>579</v>
      </c>
      <c r="J709" s="183"/>
      <c r="K709" s="184">
        <v>46070</v>
      </c>
      <c r="L709" s="183">
        <v>38</v>
      </c>
      <c r="M709" s="185" t="str">
        <f>IF(phc_8[[#This Row],[Register No.]]="","",C709&amp;"-"&amp;D709&amp;"-"&amp;"BHA-PHC-"&amp;phc_8[[#This Row],[Register No.]])</f>
        <v>Shining Star-Mobile Clinic-BHA-PHC-38</v>
      </c>
      <c r="N709" s="9" t="s">
        <v>401</v>
      </c>
      <c r="O709" s="183" t="s">
        <v>4776</v>
      </c>
      <c r="P709" s="183">
        <v>60</v>
      </c>
      <c r="Q709" s="183"/>
      <c r="R709" s="183"/>
      <c r="S709" s="186" t="str">
        <f t="shared" si="26"/>
        <v>50 yrs +</v>
      </c>
      <c r="T709" s="183" t="s">
        <v>402</v>
      </c>
      <c r="U709" s="183"/>
      <c r="V709" s="183" t="s">
        <v>4785</v>
      </c>
      <c r="W709" s="183" t="s">
        <v>2059</v>
      </c>
      <c r="X709" s="183" t="s">
        <v>242</v>
      </c>
      <c r="Y709" s="186" t="str">
        <f>INDEX(info!$Y$2:$Y$192,MATCH(phc_8[[#This Row],[Sub_Category]],info!$X$2:$X$192,0))</f>
        <v>Accident/minor sugical and injuries</v>
      </c>
      <c r="Z709" s="186" t="str">
        <f t="array" ref="Z709">INDEX(info!$AA$2:$AA$192,MATCH(PHC!$X709&amp;PHC!$Y709,info!$X$2:$X$192&amp;info!$Y$2:$Y$192,0))</f>
        <v>Injury related</v>
      </c>
      <c r="AA709" s="183" t="s">
        <v>3386</v>
      </c>
      <c r="AB709" s="9" t="s">
        <v>654</v>
      </c>
      <c r="AC709" s="9" t="s">
        <v>654</v>
      </c>
      <c r="AD709" s="9" t="s">
        <v>654</v>
      </c>
      <c r="AE709" s="9" t="s">
        <v>654</v>
      </c>
      <c r="AF709" s="184"/>
      <c r="AG709" s="183"/>
      <c r="AH709" s="183"/>
      <c r="AI709" s="183"/>
      <c r="AJ709" s="183"/>
      <c r="AK709" s="9" t="s">
        <v>654</v>
      </c>
      <c r="AL709" s="183"/>
      <c r="AM709" s="186" t="str">
        <f>IF(AF709="","","Q"&amp;INT((MONTH(AF709)-1)/3)+1&amp;YEAR(AF709)&amp;#REF!&amp;T709)</f>
        <v/>
      </c>
      <c r="AN709" s="186" t="e">
        <f>IF(K709="","","Q"&amp;INT((MONTH(K709)-1)/3)+1&amp;YEAR(K709)&amp;#REF!)</f>
        <v>#REF!</v>
      </c>
    </row>
    <row r="710" spans="1:40" ht="20.100000000000001" customHeight="1" x14ac:dyDescent="0.25">
      <c r="A710" s="8">
        <v>708</v>
      </c>
      <c r="B710" s="8" t="s">
        <v>399</v>
      </c>
      <c r="C710" s="8" t="s">
        <v>1997</v>
      </c>
      <c r="D710" s="8" t="s">
        <v>2416</v>
      </c>
      <c r="E710" s="182" t="s">
        <v>1998</v>
      </c>
      <c r="F710" s="183" t="s">
        <v>2222</v>
      </c>
      <c r="G710" s="183"/>
      <c r="H710" s="183" t="s">
        <v>4648</v>
      </c>
      <c r="I710" s="183" t="s">
        <v>579</v>
      </c>
      <c r="J710" s="183"/>
      <c r="K710" s="184">
        <v>46070</v>
      </c>
      <c r="L710" s="183">
        <v>39</v>
      </c>
      <c r="M710" s="185" t="str">
        <f>IF(phc_8[[#This Row],[Register No.]]="","",C710&amp;"-"&amp;D710&amp;"-"&amp;"BHA-PHC-"&amp;phc_8[[#This Row],[Register No.]])</f>
        <v>Shining Star-Mobile Clinic-BHA-PHC-39</v>
      </c>
      <c r="N710" s="9" t="s">
        <v>401</v>
      </c>
      <c r="O710" s="183" t="s">
        <v>4777</v>
      </c>
      <c r="P710" s="183">
        <v>43</v>
      </c>
      <c r="Q710" s="183"/>
      <c r="R710" s="183"/>
      <c r="S710" s="186" t="str">
        <f t="shared" si="26"/>
        <v>19 - 49 yrs</v>
      </c>
      <c r="T710" s="183" t="s">
        <v>603</v>
      </c>
      <c r="U710" s="183"/>
      <c r="V710" s="183" t="s">
        <v>4305</v>
      </c>
      <c r="W710" s="183" t="s">
        <v>3698</v>
      </c>
      <c r="X710" s="183" t="s">
        <v>178</v>
      </c>
      <c r="Y710" s="186" t="str">
        <f>INDEX(info!$Y$2:$Y$192,MATCH(phc_8[[#This Row],[Sub_Category]],info!$X$2:$X$192,0))</f>
        <v>Chronic medical disease</v>
      </c>
      <c r="Z710" s="186" t="str">
        <f t="array" ref="Z710">INDEX(info!$AA$2:$AA$192,MATCH(PHC!$X710&amp;PHC!$Y710,info!$X$2:$X$192&amp;info!$Y$2:$Y$192,0))</f>
        <v>Non-communicable disease</v>
      </c>
      <c r="AA710" s="183" t="s">
        <v>4790</v>
      </c>
      <c r="AB710" s="9" t="s">
        <v>654</v>
      </c>
      <c r="AC710" s="9" t="s">
        <v>654</v>
      </c>
      <c r="AD710" s="9" t="s">
        <v>654</v>
      </c>
      <c r="AE710" s="9" t="s">
        <v>654</v>
      </c>
      <c r="AF710" s="184"/>
      <c r="AG710" s="183"/>
      <c r="AH710" s="183"/>
      <c r="AI710" s="183"/>
      <c r="AJ710" s="183"/>
      <c r="AK710" s="9" t="s">
        <v>654</v>
      </c>
      <c r="AL710" s="183"/>
      <c r="AM710" s="186" t="str">
        <f>IF(AF710="","","Q"&amp;INT((MONTH(AF710)-1)/3)+1&amp;YEAR(AF710)&amp;#REF!&amp;T710)</f>
        <v/>
      </c>
      <c r="AN710" s="186" t="e">
        <f>IF(K710="","","Q"&amp;INT((MONTH(K710)-1)/3)+1&amp;YEAR(K710)&amp;#REF!)</f>
        <v>#REF!</v>
      </c>
    </row>
    <row r="711" spans="1:40" ht="20.100000000000001" customHeight="1" x14ac:dyDescent="0.25">
      <c r="A711" s="8">
        <v>709</v>
      </c>
      <c r="B711" s="8" t="s">
        <v>399</v>
      </c>
      <c r="C711" s="8" t="s">
        <v>1997</v>
      </c>
      <c r="D711" s="8" t="s">
        <v>2416</v>
      </c>
      <c r="E711" s="182" t="s">
        <v>1998</v>
      </c>
      <c r="F711" s="183" t="s">
        <v>2222</v>
      </c>
      <c r="G711" s="183"/>
      <c r="H711" s="183" t="s">
        <v>4648</v>
      </c>
      <c r="I711" s="183" t="s">
        <v>579</v>
      </c>
      <c r="J711" s="183"/>
      <c r="K711" s="184">
        <v>46070</v>
      </c>
      <c r="L711" s="183">
        <v>40</v>
      </c>
      <c r="M711" s="185" t="str">
        <f>IF(phc_8[[#This Row],[Register No.]]="","",C711&amp;"-"&amp;D711&amp;"-"&amp;"BHA-PHC-"&amp;phc_8[[#This Row],[Register No.]])</f>
        <v>Shining Star-Mobile Clinic-BHA-PHC-40</v>
      </c>
      <c r="N711" s="9" t="s">
        <v>401</v>
      </c>
      <c r="O711" s="183" t="s">
        <v>4778</v>
      </c>
      <c r="P711" s="183">
        <v>55</v>
      </c>
      <c r="Q711" s="183"/>
      <c r="R711" s="183"/>
      <c r="S711" s="186" t="str">
        <f t="shared" si="26"/>
        <v>50 yrs +</v>
      </c>
      <c r="T711" s="183" t="s">
        <v>603</v>
      </c>
      <c r="U711" s="183"/>
      <c r="V711" s="183" t="s">
        <v>3934</v>
      </c>
      <c r="W711" s="183" t="s">
        <v>4788</v>
      </c>
      <c r="X711" s="183" t="s">
        <v>294</v>
      </c>
      <c r="Y711" s="186" t="str">
        <f>INDEX(info!$Y$2:$Y$192,MATCH(phc_8[[#This Row],[Sub_Category]],info!$X$2:$X$192,0))</f>
        <v>Other (non-communicable)</v>
      </c>
      <c r="Z711" s="186" t="str">
        <f t="array" ref="Z711">INDEX(info!$AA$2:$AA$192,MATCH(PHC!$X711&amp;PHC!$Y711,info!$X$2:$X$192&amp;info!$Y$2:$Y$192,0))</f>
        <v>Other</v>
      </c>
      <c r="AA711" s="183" t="s">
        <v>4791</v>
      </c>
      <c r="AB711" s="9" t="s">
        <v>654</v>
      </c>
      <c r="AC711" s="9" t="s">
        <v>654</v>
      </c>
      <c r="AD711" s="9" t="s">
        <v>654</v>
      </c>
      <c r="AE711" s="9" t="s">
        <v>654</v>
      </c>
      <c r="AF711" s="184"/>
      <c r="AG711" s="183"/>
      <c r="AH711" s="183"/>
      <c r="AI711" s="183"/>
      <c r="AJ711" s="183"/>
      <c r="AK711" s="9" t="s">
        <v>654</v>
      </c>
      <c r="AL711" s="183"/>
      <c r="AM711" s="186" t="str">
        <f>IF(AF711="","","Q"&amp;INT((MONTH(AF711)-1)/3)+1&amp;YEAR(AF711)&amp;#REF!&amp;T711)</f>
        <v/>
      </c>
      <c r="AN711" s="186" t="e">
        <f>IF(K711="","","Q"&amp;INT((MONTH(K711)-1)/3)+1&amp;YEAR(K711)&amp;#REF!)</f>
        <v>#REF!</v>
      </c>
    </row>
    <row r="712" spans="1:40" ht="20.100000000000001" customHeight="1" x14ac:dyDescent="0.25">
      <c r="A712" s="8">
        <v>710</v>
      </c>
      <c r="B712" s="8" t="s">
        <v>399</v>
      </c>
      <c r="C712" s="8" t="s">
        <v>1997</v>
      </c>
      <c r="D712" s="8" t="s">
        <v>2416</v>
      </c>
      <c r="E712" s="182" t="s">
        <v>1998</v>
      </c>
      <c r="F712" s="183" t="s">
        <v>2222</v>
      </c>
      <c r="G712" s="183"/>
      <c r="H712" s="183" t="s">
        <v>4648</v>
      </c>
      <c r="I712" s="183" t="s">
        <v>579</v>
      </c>
      <c r="J712" s="183"/>
      <c r="K712" s="184">
        <v>46070</v>
      </c>
      <c r="L712" s="183">
        <v>41</v>
      </c>
      <c r="M712" s="185" t="str">
        <f>IF(phc_8[[#This Row],[Register No.]]="","",C712&amp;"-"&amp;D712&amp;"-"&amp;"BHA-PHC-"&amp;phc_8[[#This Row],[Register No.]])</f>
        <v>Shining Star-Mobile Clinic-BHA-PHC-41</v>
      </c>
      <c r="N712" s="9" t="s">
        <v>401</v>
      </c>
      <c r="O712" s="183" t="s">
        <v>4779</v>
      </c>
      <c r="P712" s="183">
        <v>43</v>
      </c>
      <c r="Q712" s="183"/>
      <c r="R712" s="183"/>
      <c r="S712" s="186" t="str">
        <f t="shared" si="26"/>
        <v>19 - 49 yrs</v>
      </c>
      <c r="T712" s="183" t="s">
        <v>603</v>
      </c>
      <c r="U712" s="183"/>
      <c r="V712" s="183" t="s">
        <v>3779</v>
      </c>
      <c r="W712" s="183" t="s">
        <v>294</v>
      </c>
      <c r="X712" s="183" t="s">
        <v>294</v>
      </c>
      <c r="Y712" s="186" t="str">
        <f>INDEX(info!$Y$2:$Y$192,MATCH(phc_8[[#This Row],[Sub_Category]],info!$X$2:$X$192,0))</f>
        <v>Other (non-communicable)</v>
      </c>
      <c r="Z712" s="186" t="str">
        <f t="array" ref="Z712">INDEX(info!$AA$2:$AA$192,MATCH(PHC!$X712&amp;PHC!$Y712,info!$X$2:$X$192&amp;info!$Y$2:$Y$192,0))</f>
        <v>Other</v>
      </c>
      <c r="AA712" s="183" t="s">
        <v>4792</v>
      </c>
      <c r="AB712" s="9" t="s">
        <v>654</v>
      </c>
      <c r="AC712" s="9" t="s">
        <v>654</v>
      </c>
      <c r="AD712" s="9" t="s">
        <v>654</v>
      </c>
      <c r="AE712" s="9" t="s">
        <v>654</v>
      </c>
      <c r="AF712" s="184"/>
      <c r="AG712" s="183"/>
      <c r="AH712" s="183"/>
      <c r="AI712" s="183"/>
      <c r="AJ712" s="183"/>
      <c r="AK712" s="9" t="s">
        <v>654</v>
      </c>
      <c r="AL712" s="183"/>
      <c r="AM712" s="186" t="str">
        <f>IF(AF712="","","Q"&amp;INT((MONTH(AF712)-1)/3)+1&amp;YEAR(AF712)&amp;#REF!&amp;T712)</f>
        <v/>
      </c>
      <c r="AN712" s="186" t="e">
        <f>IF(K712="","","Q"&amp;INT((MONTH(K712)-1)/3)+1&amp;YEAR(K712)&amp;#REF!)</f>
        <v>#REF!</v>
      </c>
    </row>
    <row r="713" spans="1:40" ht="20.100000000000001" customHeight="1" x14ac:dyDescent="0.25">
      <c r="A713" s="8">
        <v>711</v>
      </c>
      <c r="B713" s="8" t="s">
        <v>399</v>
      </c>
      <c r="C713" s="8" t="s">
        <v>1997</v>
      </c>
      <c r="D713" s="8" t="s">
        <v>2416</v>
      </c>
      <c r="E713" s="182" t="s">
        <v>1998</v>
      </c>
      <c r="F713" s="183" t="s">
        <v>2222</v>
      </c>
      <c r="G713" s="183"/>
      <c r="H713" s="183" t="s">
        <v>4648</v>
      </c>
      <c r="I713" s="183" t="s">
        <v>579</v>
      </c>
      <c r="J713" s="183"/>
      <c r="K713" s="184">
        <v>46070</v>
      </c>
      <c r="L713" s="183">
        <v>42</v>
      </c>
      <c r="M713" s="185" t="str">
        <f>IF(phc_8[[#This Row],[Register No.]]="","",C713&amp;"-"&amp;D713&amp;"-"&amp;"BHA-PHC-"&amp;phc_8[[#This Row],[Register No.]])</f>
        <v>Shining Star-Mobile Clinic-BHA-PHC-42</v>
      </c>
      <c r="N713" s="9" t="s">
        <v>401</v>
      </c>
      <c r="O713" s="183" t="s">
        <v>4780</v>
      </c>
      <c r="P713" s="183">
        <v>35</v>
      </c>
      <c r="Q713" s="183"/>
      <c r="R713" s="183"/>
      <c r="S713" s="186" t="str">
        <f t="shared" si="26"/>
        <v>19 - 49 yrs</v>
      </c>
      <c r="T713" s="183" t="s">
        <v>603</v>
      </c>
      <c r="U713" s="183"/>
      <c r="V713" s="183" t="s">
        <v>4786</v>
      </c>
      <c r="W713" s="183" t="s">
        <v>2003</v>
      </c>
      <c r="X713" s="183" t="s">
        <v>181</v>
      </c>
      <c r="Y713" s="186" t="str">
        <f>INDEX(info!$Y$2:$Y$192,MATCH(phc_8[[#This Row],[Sub_Category]],info!$X$2:$X$192,0))</f>
        <v>Chronic medical disease</v>
      </c>
      <c r="Z713" s="186" t="str">
        <f t="array" ref="Z713">INDEX(info!$AA$2:$AA$192,MATCH(PHC!$X713&amp;PHC!$Y713,info!$X$2:$X$192&amp;info!$Y$2:$Y$192,0))</f>
        <v>Non-communicable disease</v>
      </c>
      <c r="AA713" s="183" t="s">
        <v>3187</v>
      </c>
      <c r="AB713" s="9" t="s">
        <v>654</v>
      </c>
      <c r="AC713" s="9" t="s">
        <v>654</v>
      </c>
      <c r="AD713" s="9" t="s">
        <v>654</v>
      </c>
      <c r="AE713" s="9" t="s">
        <v>654</v>
      </c>
      <c r="AF713" s="184"/>
      <c r="AG713" s="183"/>
      <c r="AH713" s="183"/>
      <c r="AI713" s="183"/>
      <c r="AJ713" s="183"/>
      <c r="AK713" s="9" t="s">
        <v>654</v>
      </c>
      <c r="AL713" s="183"/>
      <c r="AM713" s="186" t="str">
        <f>IF(AF713="","","Q"&amp;INT((MONTH(AF713)-1)/3)+1&amp;YEAR(AF713)&amp;#REF!&amp;T713)</f>
        <v/>
      </c>
      <c r="AN713" s="186" t="e">
        <f>IF(K713="","","Q"&amp;INT((MONTH(K713)-1)/3)+1&amp;YEAR(K713)&amp;#REF!)</f>
        <v>#REF!</v>
      </c>
    </row>
    <row r="714" spans="1:40" ht="20.100000000000001" customHeight="1" x14ac:dyDescent="0.25">
      <c r="A714" s="8">
        <v>712</v>
      </c>
      <c r="B714" s="8" t="s">
        <v>399</v>
      </c>
      <c r="C714" s="8" t="s">
        <v>1997</v>
      </c>
      <c r="D714" s="8" t="s">
        <v>2416</v>
      </c>
      <c r="E714" s="182" t="s">
        <v>1998</v>
      </c>
      <c r="F714" s="183" t="s">
        <v>2222</v>
      </c>
      <c r="G714" s="183"/>
      <c r="H714" s="183" t="s">
        <v>4648</v>
      </c>
      <c r="I714" s="183" t="s">
        <v>579</v>
      </c>
      <c r="J714" s="183"/>
      <c r="K714" s="184">
        <v>46070</v>
      </c>
      <c r="L714" s="183">
        <v>43</v>
      </c>
      <c r="M714" s="185" t="str">
        <f>IF(phc_8[[#This Row],[Register No.]]="","",C714&amp;"-"&amp;D714&amp;"-"&amp;"BHA-PHC-"&amp;phc_8[[#This Row],[Register No.]])</f>
        <v>Shining Star-Mobile Clinic-BHA-PHC-43</v>
      </c>
      <c r="N714" s="9" t="s">
        <v>401</v>
      </c>
      <c r="O714" s="183" t="s">
        <v>4782</v>
      </c>
      <c r="P714" s="183">
        <v>9</v>
      </c>
      <c r="Q714" s="183"/>
      <c r="R714" s="183"/>
      <c r="S714" s="186" t="str">
        <f t="shared" si="26"/>
        <v>5 - 14 yrs</v>
      </c>
      <c r="T714" s="183" t="s">
        <v>603</v>
      </c>
      <c r="U714" s="183"/>
      <c r="V714" s="183" t="s">
        <v>4787</v>
      </c>
      <c r="W714" s="183" t="s">
        <v>2029</v>
      </c>
      <c r="X714" s="183"/>
      <c r="Y714" s="186" t="e">
        <f>INDEX(info!$Y$2:$Y$192,MATCH(phc_8[[#This Row],[Sub_Category]],info!$X$2:$X$192,0))</f>
        <v>#N/A</v>
      </c>
      <c r="Z714" s="186" t="e">
        <f t="array" ref="Z714">INDEX(info!$AA$2:$AA$192,MATCH(PHC!$X714&amp;PHC!$Y714,info!$X$2:$X$192&amp;info!$Y$2:$Y$192,0))</f>
        <v>#N/A</v>
      </c>
      <c r="AA714" s="183" t="s">
        <v>4793</v>
      </c>
      <c r="AB714" s="9" t="s">
        <v>654</v>
      </c>
      <c r="AC714" s="9" t="s">
        <v>654</v>
      </c>
      <c r="AD714" s="9" t="s">
        <v>654</v>
      </c>
      <c r="AE714" s="9" t="s">
        <v>654</v>
      </c>
      <c r="AF714" s="184"/>
      <c r="AG714" s="183"/>
      <c r="AH714" s="183"/>
      <c r="AI714" s="183"/>
      <c r="AJ714" s="183"/>
      <c r="AK714" s="9" t="s">
        <v>654</v>
      </c>
      <c r="AL714" s="183"/>
      <c r="AM714" s="186" t="str">
        <f>IF(AF714="","","Q"&amp;INT((MONTH(AF714)-1)/3)+1&amp;YEAR(AF714)&amp;#REF!&amp;T714)</f>
        <v/>
      </c>
      <c r="AN714" s="186" t="e">
        <f>IF(K714="","","Q"&amp;INT((MONTH(K714)-1)/3)+1&amp;YEAR(K714)&amp;#REF!)</f>
        <v>#REF!</v>
      </c>
    </row>
    <row r="715" spans="1:40" ht="20.100000000000001" customHeight="1" x14ac:dyDescent="0.25">
      <c r="A715" s="8">
        <v>713</v>
      </c>
      <c r="B715" s="8" t="s">
        <v>399</v>
      </c>
      <c r="C715" s="8" t="s">
        <v>1997</v>
      </c>
      <c r="D715" s="8" t="s">
        <v>2416</v>
      </c>
      <c r="E715" s="182" t="s">
        <v>1998</v>
      </c>
      <c r="F715" s="183" t="s">
        <v>2222</v>
      </c>
      <c r="G715" s="183"/>
      <c r="H715" s="183" t="s">
        <v>4648</v>
      </c>
      <c r="I715" s="183" t="s">
        <v>579</v>
      </c>
      <c r="J715" s="183"/>
      <c r="K715" s="184">
        <v>46070</v>
      </c>
      <c r="L715" s="183">
        <v>44</v>
      </c>
      <c r="M715" s="185" t="str">
        <f>IF(phc_8[[#This Row],[Register No.]]="","",C715&amp;"-"&amp;D715&amp;"-"&amp;"BHA-PHC-"&amp;phc_8[[#This Row],[Register No.]])</f>
        <v>Shining Star-Mobile Clinic-BHA-PHC-44</v>
      </c>
      <c r="N715" s="9" t="s">
        <v>401</v>
      </c>
      <c r="O715" s="183" t="s">
        <v>4781</v>
      </c>
      <c r="P715" s="183">
        <v>46</v>
      </c>
      <c r="Q715" s="183"/>
      <c r="R715" s="183"/>
      <c r="S715" s="186" t="str">
        <f t="shared" si="26"/>
        <v>19 - 49 yrs</v>
      </c>
      <c r="T715" s="183" t="s">
        <v>603</v>
      </c>
      <c r="U715" s="183"/>
      <c r="V715" s="183" t="s">
        <v>3490</v>
      </c>
      <c r="W715" s="183" t="s">
        <v>3698</v>
      </c>
      <c r="X715" s="183" t="s">
        <v>181</v>
      </c>
      <c r="Y715" s="186" t="str">
        <f>INDEX(info!$Y$2:$Y$192,MATCH(phc_8[[#This Row],[Sub_Category]],info!$X$2:$X$192,0))</f>
        <v>Chronic medical disease</v>
      </c>
      <c r="Z715" s="186" t="str">
        <f t="array" ref="Z715">INDEX(info!$AA$2:$AA$192,MATCH(PHC!$X715&amp;PHC!$Y715,info!$X$2:$X$192&amp;info!$Y$2:$Y$192,0))</f>
        <v>Non-communicable disease</v>
      </c>
      <c r="AA715" s="183" t="s">
        <v>4794</v>
      </c>
      <c r="AB715" s="9" t="s">
        <v>654</v>
      </c>
      <c r="AC715" s="9" t="s">
        <v>654</v>
      </c>
      <c r="AD715" s="9" t="s">
        <v>654</v>
      </c>
      <c r="AE715" s="9" t="s">
        <v>654</v>
      </c>
      <c r="AF715" s="184"/>
      <c r="AG715" s="183"/>
      <c r="AH715" s="183"/>
      <c r="AI715" s="183"/>
      <c r="AJ715" s="183"/>
      <c r="AK715" s="9" t="s">
        <v>654</v>
      </c>
      <c r="AL715" s="183"/>
      <c r="AM715" s="186" t="str">
        <f>IF(AF715="","","Q"&amp;INT((MONTH(AF715)-1)/3)+1&amp;YEAR(AF715)&amp;#REF!&amp;T715)</f>
        <v/>
      </c>
      <c r="AN715" s="186" t="e">
        <f>IF(K715="","","Q"&amp;INT((MONTH(K715)-1)/3)+1&amp;YEAR(K715)&amp;#REF!)</f>
        <v>#REF!</v>
      </c>
    </row>
    <row r="716" spans="1:40" ht="20.100000000000001" customHeight="1" x14ac:dyDescent="0.25">
      <c r="A716" s="8">
        <v>714</v>
      </c>
      <c r="B716" s="8" t="s">
        <v>399</v>
      </c>
      <c r="C716" s="8" t="s">
        <v>1997</v>
      </c>
      <c r="D716" s="8" t="s">
        <v>2416</v>
      </c>
      <c r="E716" s="182" t="s">
        <v>1998</v>
      </c>
      <c r="F716" s="183" t="s">
        <v>2222</v>
      </c>
      <c r="G716" s="183"/>
      <c r="H716" s="183" t="s">
        <v>4648</v>
      </c>
      <c r="I716" s="183" t="s">
        <v>579</v>
      </c>
      <c r="J716" s="183"/>
      <c r="K716" s="184">
        <v>46070</v>
      </c>
      <c r="L716" s="183">
        <v>45</v>
      </c>
      <c r="M716" s="185" t="str">
        <f>IF(phc_8[[#This Row],[Register No.]]="","",C716&amp;"-"&amp;D716&amp;"-"&amp;"BHA-PHC-"&amp;phc_8[[#This Row],[Register No.]])</f>
        <v>Shining Star-Mobile Clinic-BHA-PHC-45</v>
      </c>
      <c r="N716" s="9" t="s">
        <v>401</v>
      </c>
      <c r="O716" s="183" t="s">
        <v>4783</v>
      </c>
      <c r="P716" s="183">
        <v>1</v>
      </c>
      <c r="Q716" s="183">
        <v>9</v>
      </c>
      <c r="R716" s="183"/>
      <c r="S716" s="186" t="str">
        <f t="shared" si="26"/>
        <v>&lt;5 yrs</v>
      </c>
      <c r="T716" s="183" t="s">
        <v>402</v>
      </c>
      <c r="U716" s="183"/>
      <c r="V716" s="183"/>
      <c r="W716" s="183" t="s">
        <v>3249</v>
      </c>
      <c r="X716" s="183" t="s">
        <v>121</v>
      </c>
      <c r="Y716" s="186" t="str">
        <f>INDEX(info!$Y$2:$Y$192,MATCH(phc_8[[#This Row],[Sub_Category]],info!$X$2:$X$192,0))</f>
        <v>Skin infection/disease</v>
      </c>
      <c r="Z716" s="186" t="str">
        <f t="array" ref="Z716">INDEX(info!$AA$2:$AA$192,MATCH(PHC!$X716&amp;PHC!$Y716,info!$X$2:$X$192&amp;info!$Y$2:$Y$192,0))</f>
        <v>Communicable disease</v>
      </c>
      <c r="AA716" s="183" t="s">
        <v>4642</v>
      </c>
      <c r="AB716" s="9" t="s">
        <v>654</v>
      </c>
      <c r="AC716" s="9" t="s">
        <v>654</v>
      </c>
      <c r="AD716" s="9" t="s">
        <v>654</v>
      </c>
      <c r="AE716" s="9" t="s">
        <v>654</v>
      </c>
      <c r="AF716" s="184"/>
      <c r="AG716" s="183"/>
      <c r="AH716" s="183"/>
      <c r="AI716" s="183"/>
      <c r="AJ716" s="183"/>
      <c r="AK716" s="9" t="s">
        <v>654</v>
      </c>
      <c r="AL716" s="183"/>
      <c r="AM716" s="186" t="str">
        <f>IF(AF716="","","Q"&amp;INT((MONTH(AF716)-1)/3)+1&amp;YEAR(AF716)&amp;#REF!&amp;T716)</f>
        <v/>
      </c>
      <c r="AN716" s="186" t="e">
        <f>IF(K716="","","Q"&amp;INT((MONTH(K716)-1)/3)+1&amp;YEAR(K716)&amp;#REF!)</f>
        <v>#REF!</v>
      </c>
    </row>
    <row r="717" spans="1:40" ht="20.100000000000001" customHeight="1" x14ac:dyDescent="0.25">
      <c r="A717" s="8">
        <v>715</v>
      </c>
      <c r="B717" s="8" t="s">
        <v>399</v>
      </c>
      <c r="C717" s="8" t="s">
        <v>1997</v>
      </c>
      <c r="D717" s="8" t="s">
        <v>2416</v>
      </c>
      <c r="E717" s="182" t="s">
        <v>1998</v>
      </c>
      <c r="F717" s="183" t="s">
        <v>2222</v>
      </c>
      <c r="G717" s="183"/>
      <c r="H717" s="183" t="s">
        <v>4648</v>
      </c>
      <c r="I717" s="183" t="s">
        <v>579</v>
      </c>
      <c r="J717" s="183"/>
      <c r="K717" s="184">
        <v>46070</v>
      </c>
      <c r="L717" s="183">
        <v>46</v>
      </c>
      <c r="M717" s="185" t="str">
        <f>IF(phc_8[[#This Row],[Register No.]]="","",C717&amp;"-"&amp;D717&amp;"-"&amp;"BHA-PHC-"&amp;phc_8[[#This Row],[Register No.]])</f>
        <v>Shining Star-Mobile Clinic-BHA-PHC-46</v>
      </c>
      <c r="N717" s="9" t="s">
        <v>401</v>
      </c>
      <c r="O717" s="183" t="s">
        <v>4795</v>
      </c>
      <c r="P717" s="183">
        <v>56</v>
      </c>
      <c r="Q717" s="183"/>
      <c r="R717" s="183"/>
      <c r="S717" s="186" t="str">
        <f t="shared" si="26"/>
        <v>50 yrs +</v>
      </c>
      <c r="T717" s="183" t="s">
        <v>603</v>
      </c>
      <c r="U717" s="183"/>
      <c r="V717" s="183" t="s">
        <v>4803</v>
      </c>
      <c r="W717" s="183" t="s">
        <v>178</v>
      </c>
      <c r="X717" s="183" t="s">
        <v>178</v>
      </c>
      <c r="Y717" s="186" t="str">
        <f>INDEX(info!$Y$2:$Y$192,MATCH(phc_8[[#This Row],[Sub_Category]],info!$X$2:$X$192,0))</f>
        <v>Chronic medical disease</v>
      </c>
      <c r="Z717" s="186" t="str">
        <f t="array" ref="Z717">INDEX(info!$AA$2:$AA$192,MATCH(PHC!$X717&amp;PHC!$Y717,info!$X$2:$X$192&amp;info!$Y$2:$Y$192,0))</f>
        <v>Non-communicable disease</v>
      </c>
      <c r="AA717" s="183" t="s">
        <v>4813</v>
      </c>
      <c r="AB717" s="9" t="s">
        <v>654</v>
      </c>
      <c r="AC717" s="9" t="s">
        <v>654</v>
      </c>
      <c r="AD717" s="9" t="s">
        <v>654</v>
      </c>
      <c r="AE717" s="9" t="s">
        <v>654</v>
      </c>
      <c r="AF717" s="184"/>
      <c r="AG717" s="183"/>
      <c r="AH717" s="183"/>
      <c r="AI717" s="183"/>
      <c r="AJ717" s="183"/>
      <c r="AK717" s="9" t="s">
        <v>654</v>
      </c>
      <c r="AL717" s="183"/>
      <c r="AM717" s="186" t="str">
        <f>IF(AF717="","","Q"&amp;INT((MONTH(AF717)-1)/3)+1&amp;YEAR(AF717)&amp;#REF!&amp;T717)</f>
        <v/>
      </c>
      <c r="AN717" s="186" t="e">
        <f>IF(K717="","","Q"&amp;INT((MONTH(K717)-1)/3)+1&amp;YEAR(K717)&amp;#REF!)</f>
        <v>#REF!</v>
      </c>
    </row>
    <row r="718" spans="1:40" ht="20.100000000000001" customHeight="1" x14ac:dyDescent="0.25">
      <c r="A718" s="8">
        <v>716</v>
      </c>
      <c r="B718" s="8" t="s">
        <v>399</v>
      </c>
      <c r="C718" s="8" t="s">
        <v>1997</v>
      </c>
      <c r="D718" s="8" t="s">
        <v>2416</v>
      </c>
      <c r="E718" s="182" t="s">
        <v>1998</v>
      </c>
      <c r="F718" s="183" t="s">
        <v>2222</v>
      </c>
      <c r="G718" s="183"/>
      <c r="H718" s="183" t="s">
        <v>4648</v>
      </c>
      <c r="I718" s="183" t="s">
        <v>579</v>
      </c>
      <c r="J718" s="183"/>
      <c r="K718" s="184">
        <v>46070</v>
      </c>
      <c r="L718" s="183">
        <v>47</v>
      </c>
      <c r="M718" s="185" t="str">
        <f>IF(phc_8[[#This Row],[Register No.]]="","",C718&amp;"-"&amp;D718&amp;"-"&amp;"BHA-PHC-"&amp;phc_8[[#This Row],[Register No.]])</f>
        <v>Shining Star-Mobile Clinic-BHA-PHC-47</v>
      </c>
      <c r="N718" s="9" t="s">
        <v>401</v>
      </c>
      <c r="O718" s="183" t="s">
        <v>4796</v>
      </c>
      <c r="P718" s="183">
        <v>4</v>
      </c>
      <c r="Q718" s="183">
        <v>7</v>
      </c>
      <c r="R718" s="183"/>
      <c r="S718" s="186" t="str">
        <f t="shared" si="26"/>
        <v>&lt;5 yrs</v>
      </c>
      <c r="T718" s="183" t="s">
        <v>402</v>
      </c>
      <c r="U718" s="183"/>
      <c r="V718" s="183" t="s">
        <v>4804</v>
      </c>
      <c r="W718" s="183" t="s">
        <v>4810</v>
      </c>
      <c r="X718" s="183" t="s">
        <v>113</v>
      </c>
      <c r="Y718" s="186" t="str">
        <f>INDEX(info!$Y$2:$Y$192,MATCH(phc_8[[#This Row],[Sub_Category]],info!$X$2:$X$192,0))</f>
        <v>ARI/RTI</v>
      </c>
      <c r="Z718" s="186" t="str">
        <f t="array" ref="Z718">INDEX(info!$AA$2:$AA$192,MATCH(PHC!$X718&amp;PHC!$Y718,info!$X$2:$X$192&amp;info!$Y$2:$Y$192,0))</f>
        <v>Communicable disease</v>
      </c>
      <c r="AA718" s="183" t="s">
        <v>4814</v>
      </c>
      <c r="AB718" s="9" t="s">
        <v>654</v>
      </c>
      <c r="AC718" s="9" t="s">
        <v>654</v>
      </c>
      <c r="AD718" s="9" t="s">
        <v>654</v>
      </c>
      <c r="AE718" s="9" t="s">
        <v>654</v>
      </c>
      <c r="AF718" s="184"/>
      <c r="AG718" s="183"/>
      <c r="AH718" s="183"/>
      <c r="AI718" s="183"/>
      <c r="AJ718" s="183"/>
      <c r="AK718" s="9" t="s">
        <v>654</v>
      </c>
      <c r="AL718" s="183"/>
      <c r="AM718" s="186" t="str">
        <f>IF(AF718="","","Q"&amp;INT((MONTH(AF718)-1)/3)+1&amp;YEAR(AF718)&amp;#REF!&amp;T718)</f>
        <v/>
      </c>
      <c r="AN718" s="186" t="e">
        <f>IF(K718="","","Q"&amp;INT((MONTH(K718)-1)/3)+1&amp;YEAR(K718)&amp;#REF!)</f>
        <v>#REF!</v>
      </c>
    </row>
    <row r="719" spans="1:40" ht="20.100000000000001" customHeight="1" x14ac:dyDescent="0.25">
      <c r="A719" s="8">
        <v>717</v>
      </c>
      <c r="B719" s="8" t="s">
        <v>399</v>
      </c>
      <c r="C719" s="8" t="s">
        <v>1997</v>
      </c>
      <c r="D719" s="8" t="s">
        <v>2416</v>
      </c>
      <c r="E719" s="182" t="s">
        <v>1998</v>
      </c>
      <c r="F719" s="183" t="s">
        <v>2222</v>
      </c>
      <c r="G719" s="183"/>
      <c r="H719" s="183" t="s">
        <v>4648</v>
      </c>
      <c r="I719" s="183" t="s">
        <v>579</v>
      </c>
      <c r="J719" s="183"/>
      <c r="K719" s="184">
        <v>46070</v>
      </c>
      <c r="L719" s="183">
        <v>48</v>
      </c>
      <c r="M719" s="185" t="str">
        <f>IF(phc_8[[#This Row],[Register No.]]="","",C719&amp;"-"&amp;D719&amp;"-"&amp;"BHA-PHC-"&amp;phc_8[[#This Row],[Register No.]])</f>
        <v>Shining Star-Mobile Clinic-BHA-PHC-48</v>
      </c>
      <c r="N719" s="9" t="s">
        <v>401</v>
      </c>
      <c r="O719" s="183" t="s">
        <v>2143</v>
      </c>
      <c r="P719" s="183">
        <v>47</v>
      </c>
      <c r="Q719" s="183"/>
      <c r="R719" s="183"/>
      <c r="S719" s="186" t="str">
        <f t="shared" si="26"/>
        <v>19 - 49 yrs</v>
      </c>
      <c r="T719" s="183" t="s">
        <v>402</v>
      </c>
      <c r="U719" s="183"/>
      <c r="V719" s="183" t="s">
        <v>4393</v>
      </c>
      <c r="W719" s="183" t="s">
        <v>3524</v>
      </c>
      <c r="X719" s="183" t="s">
        <v>210</v>
      </c>
      <c r="Y719" s="186" t="str">
        <f>INDEX(info!$Y$2:$Y$192,MATCH(phc_8[[#This Row],[Sub_Category]],info!$X$2:$X$192,0))</f>
        <v>Eye problem/disease</v>
      </c>
      <c r="Z719" s="186" t="str">
        <f t="array" ref="Z719">INDEX(info!$AA$2:$AA$192,MATCH(PHC!$X719&amp;PHC!$Y719,info!$X$2:$X$192&amp;info!$Y$2:$Y$192,0))</f>
        <v>Non-communicable disease</v>
      </c>
      <c r="AA719" s="183" t="s">
        <v>2192</v>
      </c>
      <c r="AB719" s="9" t="s">
        <v>654</v>
      </c>
      <c r="AC719" s="9" t="s">
        <v>654</v>
      </c>
      <c r="AD719" s="9" t="s">
        <v>654</v>
      </c>
      <c r="AE719" s="9" t="s">
        <v>654</v>
      </c>
      <c r="AF719" s="184"/>
      <c r="AG719" s="183"/>
      <c r="AH719" s="183"/>
      <c r="AI719" s="183"/>
      <c r="AJ719" s="183"/>
      <c r="AK719" s="9" t="s">
        <v>654</v>
      </c>
      <c r="AL719" s="183"/>
      <c r="AM719" s="186" t="str">
        <f>IF(AF719="","","Q"&amp;INT((MONTH(AF719)-1)/3)+1&amp;YEAR(AF719)&amp;#REF!&amp;T719)</f>
        <v/>
      </c>
      <c r="AN719" s="186" t="e">
        <f>IF(K719="","","Q"&amp;INT((MONTH(K719)-1)/3)+1&amp;YEAR(K719)&amp;#REF!)</f>
        <v>#REF!</v>
      </c>
    </row>
    <row r="720" spans="1:40" ht="20.100000000000001" customHeight="1" x14ac:dyDescent="0.25">
      <c r="A720" s="8">
        <v>718</v>
      </c>
      <c r="B720" s="8" t="s">
        <v>399</v>
      </c>
      <c r="C720" s="8" t="s">
        <v>1997</v>
      </c>
      <c r="D720" s="8" t="s">
        <v>2416</v>
      </c>
      <c r="E720" s="182" t="s">
        <v>1998</v>
      </c>
      <c r="F720" s="183" t="s">
        <v>2222</v>
      </c>
      <c r="G720" s="183"/>
      <c r="H720" s="183" t="s">
        <v>4648</v>
      </c>
      <c r="I720" s="183" t="s">
        <v>579</v>
      </c>
      <c r="J720" s="183"/>
      <c r="K720" s="184">
        <v>46070</v>
      </c>
      <c r="L720" s="183">
        <v>49</v>
      </c>
      <c r="M720" s="185" t="str">
        <f>IF(phc_8[[#This Row],[Register No.]]="","",C720&amp;"-"&amp;D720&amp;"-"&amp;"BHA-PHC-"&amp;phc_8[[#This Row],[Register No.]])</f>
        <v>Shining Star-Mobile Clinic-BHA-PHC-49</v>
      </c>
      <c r="N720" s="9" t="s">
        <v>401</v>
      </c>
      <c r="O720" s="183" t="s">
        <v>2622</v>
      </c>
      <c r="P720" s="183">
        <v>47</v>
      </c>
      <c r="Q720" s="183"/>
      <c r="R720" s="183"/>
      <c r="S720" s="186" t="str">
        <f t="shared" si="26"/>
        <v>19 - 49 yrs</v>
      </c>
      <c r="T720" s="183" t="s">
        <v>603</v>
      </c>
      <c r="U720" s="183"/>
      <c r="V720" s="183" t="s">
        <v>2041</v>
      </c>
      <c r="W720" s="183" t="s">
        <v>4811</v>
      </c>
      <c r="X720" s="183" t="s">
        <v>242</v>
      </c>
      <c r="Y720" s="186" t="str">
        <f>INDEX(info!$Y$2:$Y$192,MATCH(phc_8[[#This Row],[Sub_Category]],info!$X$2:$X$192,0))</f>
        <v>Accident/minor sugical and injuries</v>
      </c>
      <c r="Z720" s="186" t="str">
        <f t="array" ref="Z720">INDEX(info!$AA$2:$AA$192,MATCH(PHC!$X720&amp;PHC!$Y720,info!$X$2:$X$192&amp;info!$Y$2:$Y$192,0))</f>
        <v>Injury related</v>
      </c>
      <c r="AA720" s="183" t="s">
        <v>4815</v>
      </c>
      <c r="AB720" s="9" t="s">
        <v>654</v>
      </c>
      <c r="AC720" s="9" t="s">
        <v>654</v>
      </c>
      <c r="AD720" s="9" t="s">
        <v>654</v>
      </c>
      <c r="AE720" s="9" t="s">
        <v>654</v>
      </c>
      <c r="AF720" s="184"/>
      <c r="AG720" s="183"/>
      <c r="AH720" s="183"/>
      <c r="AI720" s="183"/>
      <c r="AJ720" s="183"/>
      <c r="AK720" s="9" t="s">
        <v>654</v>
      </c>
      <c r="AL720" s="183"/>
      <c r="AM720" s="186" t="str">
        <f>IF(AF720="","","Q"&amp;INT((MONTH(AF720)-1)/3)+1&amp;YEAR(AF720)&amp;#REF!&amp;T720)</f>
        <v/>
      </c>
      <c r="AN720" s="186" t="e">
        <f>IF(K720="","","Q"&amp;INT((MONTH(K720)-1)/3)+1&amp;YEAR(K720)&amp;#REF!)</f>
        <v>#REF!</v>
      </c>
    </row>
    <row r="721" spans="1:40" ht="20.100000000000001" customHeight="1" x14ac:dyDescent="0.25">
      <c r="A721" s="8">
        <v>719</v>
      </c>
      <c r="B721" s="8" t="s">
        <v>399</v>
      </c>
      <c r="C721" s="8" t="s">
        <v>1997</v>
      </c>
      <c r="D721" s="8" t="s">
        <v>2416</v>
      </c>
      <c r="E721" s="182" t="s">
        <v>1998</v>
      </c>
      <c r="F721" s="183" t="s">
        <v>2222</v>
      </c>
      <c r="G721" s="183"/>
      <c r="H721" s="183" t="s">
        <v>4648</v>
      </c>
      <c r="I721" s="183" t="s">
        <v>579</v>
      </c>
      <c r="J721" s="183"/>
      <c r="K721" s="184">
        <v>46070</v>
      </c>
      <c r="L721" s="183">
        <v>50</v>
      </c>
      <c r="M721" s="185" t="str">
        <f>IF(phc_8[[#This Row],[Register No.]]="","",C721&amp;"-"&amp;D721&amp;"-"&amp;"BHA-PHC-"&amp;phc_8[[#This Row],[Register No.]])</f>
        <v>Shining Star-Mobile Clinic-BHA-PHC-50</v>
      </c>
      <c r="N721" s="9" t="s">
        <v>401</v>
      </c>
      <c r="O721" s="183" t="s">
        <v>4797</v>
      </c>
      <c r="P721" s="183">
        <v>41</v>
      </c>
      <c r="Q721" s="183"/>
      <c r="R721" s="183"/>
      <c r="S721" s="186" t="str">
        <f t="shared" si="26"/>
        <v>19 - 49 yrs</v>
      </c>
      <c r="T721" s="183" t="s">
        <v>603</v>
      </c>
      <c r="U721" s="183"/>
      <c r="V721" s="183" t="s">
        <v>4805</v>
      </c>
      <c r="W721" s="183" t="s">
        <v>2215</v>
      </c>
      <c r="X721" s="183"/>
      <c r="Y721" s="186" t="e">
        <f>INDEX(info!$Y$2:$Y$192,MATCH(phc_8[[#This Row],[Sub_Category]],info!$X$2:$X$192,0))</f>
        <v>#N/A</v>
      </c>
      <c r="Z721" s="186" t="e">
        <f t="array" ref="Z721">INDEX(info!$AA$2:$AA$192,MATCH(PHC!$X721&amp;PHC!$Y721,info!$X$2:$X$192&amp;info!$Y$2:$Y$192,0))</f>
        <v>#N/A</v>
      </c>
      <c r="AA721" s="183" t="s">
        <v>4789</v>
      </c>
      <c r="AB721" s="9" t="s">
        <v>654</v>
      </c>
      <c r="AC721" s="9" t="s">
        <v>654</v>
      </c>
      <c r="AD721" s="9" t="s">
        <v>654</v>
      </c>
      <c r="AE721" s="9" t="s">
        <v>654</v>
      </c>
      <c r="AF721" s="184"/>
      <c r="AG721" s="183"/>
      <c r="AH721" s="183"/>
      <c r="AI721" s="183"/>
      <c r="AJ721" s="183"/>
      <c r="AK721" s="9" t="s">
        <v>654</v>
      </c>
      <c r="AL721" s="183"/>
      <c r="AM721" s="186" t="str">
        <f>IF(AF721="","","Q"&amp;INT((MONTH(AF721)-1)/3)+1&amp;YEAR(AF721)&amp;#REF!&amp;T721)</f>
        <v/>
      </c>
      <c r="AN721" s="186" t="e">
        <f>IF(K721="","","Q"&amp;INT((MONTH(K721)-1)/3)+1&amp;YEAR(K721)&amp;#REF!)</f>
        <v>#REF!</v>
      </c>
    </row>
    <row r="722" spans="1:40" ht="20.100000000000001" customHeight="1" x14ac:dyDescent="0.25">
      <c r="A722" s="8">
        <v>720</v>
      </c>
      <c r="B722" s="8" t="s">
        <v>399</v>
      </c>
      <c r="C722" s="8" t="s">
        <v>1997</v>
      </c>
      <c r="D722" s="8" t="s">
        <v>2416</v>
      </c>
      <c r="E722" s="182" t="s">
        <v>1998</v>
      </c>
      <c r="F722" s="183" t="s">
        <v>2222</v>
      </c>
      <c r="G722" s="183"/>
      <c r="H722" s="183" t="s">
        <v>4648</v>
      </c>
      <c r="I722" s="183" t="s">
        <v>579</v>
      </c>
      <c r="J722" s="183"/>
      <c r="K722" s="184">
        <v>46070</v>
      </c>
      <c r="L722" s="183">
        <v>51</v>
      </c>
      <c r="M722" s="185" t="str">
        <f>IF(phc_8[[#This Row],[Register No.]]="","",C722&amp;"-"&amp;D722&amp;"-"&amp;"BHA-PHC-"&amp;phc_8[[#This Row],[Register No.]])</f>
        <v>Shining Star-Mobile Clinic-BHA-PHC-51</v>
      </c>
      <c r="N722" s="9" t="s">
        <v>401</v>
      </c>
      <c r="O722" s="183" t="s">
        <v>4798</v>
      </c>
      <c r="P722" s="183">
        <v>5</v>
      </c>
      <c r="Q722" s="183"/>
      <c r="R722" s="183"/>
      <c r="S722" s="186" t="str">
        <f t="shared" si="26"/>
        <v>5 - 14 yrs</v>
      </c>
      <c r="T722" s="183" t="s">
        <v>402</v>
      </c>
      <c r="U722" s="183"/>
      <c r="V722" s="183" t="s">
        <v>4806</v>
      </c>
      <c r="W722" s="183" t="s">
        <v>242</v>
      </c>
      <c r="X722" s="183" t="s">
        <v>242</v>
      </c>
      <c r="Y722" s="186" t="str">
        <f>INDEX(info!$Y$2:$Y$192,MATCH(phc_8[[#This Row],[Sub_Category]],info!$X$2:$X$192,0))</f>
        <v>Accident/minor sugical and injuries</v>
      </c>
      <c r="Z722" s="186" t="str">
        <f t="array" ref="Z722">INDEX(info!$AA$2:$AA$192,MATCH(PHC!$X722&amp;PHC!$Y722,info!$X$2:$X$192&amp;info!$Y$2:$Y$192,0))</f>
        <v>Injury related</v>
      </c>
      <c r="AA722" s="183" t="s">
        <v>4816</v>
      </c>
      <c r="AB722" s="9" t="s">
        <v>654</v>
      </c>
      <c r="AC722" s="9" t="s">
        <v>654</v>
      </c>
      <c r="AD722" s="9" t="s">
        <v>654</v>
      </c>
      <c r="AE722" s="9" t="s">
        <v>654</v>
      </c>
      <c r="AF722" s="184"/>
      <c r="AG722" s="183"/>
      <c r="AH722" s="183"/>
      <c r="AI722" s="183"/>
      <c r="AJ722" s="183"/>
      <c r="AK722" s="9" t="s">
        <v>654</v>
      </c>
      <c r="AL722" s="183"/>
      <c r="AM722" s="186" t="str">
        <f>IF(AF722="","","Q"&amp;INT((MONTH(AF722)-1)/3)+1&amp;YEAR(AF722)&amp;#REF!&amp;T722)</f>
        <v/>
      </c>
      <c r="AN722" s="186" t="e">
        <f>IF(K722="","","Q"&amp;INT((MONTH(K722)-1)/3)+1&amp;YEAR(K722)&amp;#REF!)</f>
        <v>#REF!</v>
      </c>
    </row>
    <row r="723" spans="1:40" ht="20.100000000000001" customHeight="1" x14ac:dyDescent="0.25">
      <c r="A723" s="8">
        <v>721</v>
      </c>
      <c r="B723" s="8" t="s">
        <v>399</v>
      </c>
      <c r="C723" s="8" t="s">
        <v>1997</v>
      </c>
      <c r="D723" s="8" t="s">
        <v>2416</v>
      </c>
      <c r="E723" s="182" t="s">
        <v>1998</v>
      </c>
      <c r="F723" s="183" t="s">
        <v>2222</v>
      </c>
      <c r="G723" s="183"/>
      <c r="H723" s="183" t="s">
        <v>4648</v>
      </c>
      <c r="I723" s="183" t="s">
        <v>579</v>
      </c>
      <c r="J723" s="183"/>
      <c r="K723" s="184">
        <v>46070</v>
      </c>
      <c r="L723" s="183">
        <v>52</v>
      </c>
      <c r="M723" s="185" t="str">
        <f>IF(phc_8[[#This Row],[Register No.]]="","",C723&amp;"-"&amp;D723&amp;"-"&amp;"BHA-PHC-"&amp;phc_8[[#This Row],[Register No.]])</f>
        <v>Shining Star-Mobile Clinic-BHA-PHC-52</v>
      </c>
      <c r="N723" s="9" t="s">
        <v>401</v>
      </c>
      <c r="O723" s="183" t="s">
        <v>4799</v>
      </c>
      <c r="P723" s="183">
        <v>41</v>
      </c>
      <c r="Q723" s="183"/>
      <c r="R723" s="183"/>
      <c r="S723" s="186" t="str">
        <f t="shared" si="26"/>
        <v>19 - 49 yrs</v>
      </c>
      <c r="T723" s="183" t="s">
        <v>603</v>
      </c>
      <c r="U723" s="183"/>
      <c r="V723" s="183" t="s">
        <v>4807</v>
      </c>
      <c r="W723" s="183" t="s">
        <v>2028</v>
      </c>
      <c r="X723" s="183" t="s">
        <v>108</v>
      </c>
      <c r="Y723" s="186" t="str">
        <f>INDEX(info!$Y$2:$Y$192,MATCH(phc_8[[#This Row],[Sub_Category]],info!$X$2:$X$192,0))</f>
        <v>ARI/RTI</v>
      </c>
      <c r="Z723" s="186" t="str">
        <f t="array" ref="Z723">INDEX(info!$AA$2:$AA$192,MATCH(PHC!$X723&amp;PHC!$Y723,info!$X$2:$X$192&amp;info!$Y$2:$Y$192,0))</f>
        <v>Communicable disease</v>
      </c>
      <c r="AA723" s="183" t="s">
        <v>4817</v>
      </c>
      <c r="AB723" s="9" t="s">
        <v>654</v>
      </c>
      <c r="AC723" s="9" t="s">
        <v>654</v>
      </c>
      <c r="AD723" s="9" t="s">
        <v>654</v>
      </c>
      <c r="AE723" s="9" t="s">
        <v>654</v>
      </c>
      <c r="AF723" s="184"/>
      <c r="AG723" s="183"/>
      <c r="AH723" s="183"/>
      <c r="AI723" s="183"/>
      <c r="AJ723" s="183"/>
      <c r="AK723" s="9" t="s">
        <v>654</v>
      </c>
      <c r="AL723" s="183"/>
      <c r="AM723" s="186" t="str">
        <f>IF(AF723="","","Q"&amp;INT((MONTH(AF723)-1)/3)+1&amp;YEAR(AF723)&amp;#REF!&amp;T723)</f>
        <v/>
      </c>
      <c r="AN723" s="186" t="e">
        <f>IF(K723="","","Q"&amp;INT((MONTH(K723)-1)/3)+1&amp;YEAR(K723)&amp;#REF!)</f>
        <v>#REF!</v>
      </c>
    </row>
    <row r="724" spans="1:40" ht="20.100000000000001" customHeight="1" x14ac:dyDescent="0.25">
      <c r="A724" s="8">
        <v>722</v>
      </c>
      <c r="B724" s="8" t="s">
        <v>399</v>
      </c>
      <c r="C724" s="8" t="s">
        <v>1997</v>
      </c>
      <c r="D724" s="8" t="s">
        <v>2416</v>
      </c>
      <c r="E724" s="182" t="s">
        <v>1998</v>
      </c>
      <c r="F724" s="183" t="s">
        <v>2222</v>
      </c>
      <c r="G724" s="183"/>
      <c r="H724" s="183" t="s">
        <v>4648</v>
      </c>
      <c r="I724" s="183" t="s">
        <v>579</v>
      </c>
      <c r="J724" s="183"/>
      <c r="K724" s="184">
        <v>46070</v>
      </c>
      <c r="L724" s="183">
        <v>53</v>
      </c>
      <c r="M724" s="185" t="str">
        <f>IF(phc_8[[#This Row],[Register No.]]="","",C724&amp;"-"&amp;D724&amp;"-"&amp;"BHA-PHC-"&amp;phc_8[[#This Row],[Register No.]])</f>
        <v>Shining Star-Mobile Clinic-BHA-PHC-53</v>
      </c>
      <c r="N724" s="9" t="s">
        <v>401</v>
      </c>
      <c r="O724" s="183" t="s">
        <v>4800</v>
      </c>
      <c r="P724" s="183">
        <v>45</v>
      </c>
      <c r="Q724" s="183"/>
      <c r="R724" s="183"/>
      <c r="S724" s="186" t="str">
        <f t="shared" si="26"/>
        <v>19 - 49 yrs</v>
      </c>
      <c r="T724" s="183" t="s">
        <v>603</v>
      </c>
      <c r="U724" s="183"/>
      <c r="V724" s="183" t="s">
        <v>4808</v>
      </c>
      <c r="W724" s="183" t="s">
        <v>4812</v>
      </c>
      <c r="X724" s="183" t="s">
        <v>294</v>
      </c>
      <c r="Y724" s="186" t="str">
        <f>INDEX(info!$Y$2:$Y$192,MATCH(phc_8[[#This Row],[Sub_Category]],info!$X$2:$X$192,0))</f>
        <v>Other (non-communicable)</v>
      </c>
      <c r="Z724" s="186" t="str">
        <f t="array" ref="Z724">INDEX(info!$AA$2:$AA$192,MATCH(PHC!$X724&amp;PHC!$Y724,info!$X$2:$X$192&amp;info!$Y$2:$Y$192,0))</f>
        <v>Other</v>
      </c>
      <c r="AA724" s="183" t="s">
        <v>4818</v>
      </c>
      <c r="AB724" s="9" t="s">
        <v>654</v>
      </c>
      <c r="AC724" s="9" t="s">
        <v>654</v>
      </c>
      <c r="AD724" s="9" t="s">
        <v>654</v>
      </c>
      <c r="AE724" s="9" t="s">
        <v>654</v>
      </c>
      <c r="AF724" s="184"/>
      <c r="AG724" s="183"/>
      <c r="AH724" s="183"/>
      <c r="AI724" s="183"/>
      <c r="AJ724" s="183"/>
      <c r="AK724" s="9" t="s">
        <v>654</v>
      </c>
      <c r="AL724" s="183"/>
      <c r="AM724" s="186" t="str">
        <f>IF(AF724="","","Q"&amp;INT((MONTH(AF724)-1)/3)+1&amp;YEAR(AF724)&amp;#REF!&amp;T724)</f>
        <v/>
      </c>
      <c r="AN724" s="186" t="e">
        <f>IF(K724="","","Q"&amp;INT((MONTH(K724)-1)/3)+1&amp;YEAR(K724)&amp;#REF!)</f>
        <v>#REF!</v>
      </c>
    </row>
    <row r="725" spans="1:40" ht="20.100000000000001" customHeight="1" x14ac:dyDescent="0.25">
      <c r="A725" s="8">
        <v>723</v>
      </c>
      <c r="B725" s="8" t="s">
        <v>399</v>
      </c>
      <c r="C725" s="8" t="s">
        <v>1997</v>
      </c>
      <c r="D725" s="8" t="s">
        <v>2416</v>
      </c>
      <c r="E725" s="182" t="s">
        <v>1998</v>
      </c>
      <c r="F725" s="183" t="s">
        <v>2222</v>
      </c>
      <c r="G725" s="183"/>
      <c r="H725" s="183" t="s">
        <v>4648</v>
      </c>
      <c r="I725" s="183" t="s">
        <v>579</v>
      </c>
      <c r="J725" s="183"/>
      <c r="K725" s="184">
        <v>46070</v>
      </c>
      <c r="L725" s="183">
        <v>54</v>
      </c>
      <c r="M725" s="185" t="str">
        <f>IF(phc_8[[#This Row],[Register No.]]="","",C725&amp;"-"&amp;D725&amp;"-"&amp;"BHA-PHC-"&amp;phc_8[[#This Row],[Register No.]])</f>
        <v>Shining Star-Mobile Clinic-BHA-PHC-54</v>
      </c>
      <c r="N725" s="9" t="s">
        <v>401</v>
      </c>
      <c r="O725" s="183" t="s">
        <v>4801</v>
      </c>
      <c r="P725" s="183">
        <v>1</v>
      </c>
      <c r="Q725" s="183">
        <v>6</v>
      </c>
      <c r="R725" s="183"/>
      <c r="S725" s="186" t="str">
        <f t="shared" si="26"/>
        <v>&lt;5 yrs</v>
      </c>
      <c r="T725" s="183" t="s">
        <v>402</v>
      </c>
      <c r="U725" s="183"/>
      <c r="V725" s="183" t="s">
        <v>4809</v>
      </c>
      <c r="W725" s="183" t="s">
        <v>228</v>
      </c>
      <c r="X725" s="183" t="s">
        <v>62</v>
      </c>
      <c r="Y725" s="186" t="str">
        <f>INDEX(info!$Y$2:$Y$192,MATCH(phc_8[[#This Row],[Sub_Category]],info!$X$2:$X$192,0))</f>
        <v>ARI/RTI</v>
      </c>
      <c r="Z725" s="186" t="str">
        <f t="array" ref="Z725">INDEX(info!$AA$2:$AA$192,MATCH(PHC!$X725&amp;PHC!$Y725,info!$X$2:$X$192&amp;info!$Y$2:$Y$192,0))</f>
        <v>Communicable disease</v>
      </c>
      <c r="AA725" s="183" t="s">
        <v>4819</v>
      </c>
      <c r="AB725" s="9" t="s">
        <v>654</v>
      </c>
      <c r="AC725" s="9" t="s">
        <v>654</v>
      </c>
      <c r="AD725" s="9" t="s">
        <v>654</v>
      </c>
      <c r="AE725" s="9" t="s">
        <v>654</v>
      </c>
      <c r="AF725" s="184"/>
      <c r="AG725" s="183"/>
      <c r="AH725" s="183"/>
      <c r="AI725" s="183"/>
      <c r="AJ725" s="183"/>
      <c r="AK725" s="9" t="s">
        <v>654</v>
      </c>
      <c r="AL725" s="183"/>
      <c r="AM725" s="186" t="str">
        <f>IF(AF725="","","Q"&amp;INT((MONTH(AF725)-1)/3)+1&amp;YEAR(AF725)&amp;#REF!&amp;T725)</f>
        <v/>
      </c>
      <c r="AN725" s="186" t="e">
        <f>IF(K725="","","Q"&amp;INT((MONTH(K725)-1)/3)+1&amp;YEAR(K725)&amp;#REF!)</f>
        <v>#REF!</v>
      </c>
    </row>
    <row r="726" spans="1:40" ht="20.100000000000001" customHeight="1" x14ac:dyDescent="0.25">
      <c r="A726" s="8">
        <v>724</v>
      </c>
      <c r="B726" s="8" t="s">
        <v>399</v>
      </c>
      <c r="C726" s="8" t="s">
        <v>1997</v>
      </c>
      <c r="D726" s="8" t="s">
        <v>2416</v>
      </c>
      <c r="E726" s="182" t="s">
        <v>1998</v>
      </c>
      <c r="F726" s="183" t="s">
        <v>2222</v>
      </c>
      <c r="G726" s="183"/>
      <c r="H726" s="183" t="s">
        <v>4648</v>
      </c>
      <c r="I726" s="183" t="s">
        <v>579</v>
      </c>
      <c r="J726" s="183"/>
      <c r="K726" s="184">
        <v>46070</v>
      </c>
      <c r="L726" s="183">
        <v>55</v>
      </c>
      <c r="M726" s="185" t="str">
        <f>IF(phc_8[[#This Row],[Register No.]]="","",C726&amp;"-"&amp;D726&amp;"-"&amp;"BHA-PHC-"&amp;phc_8[[#This Row],[Register No.]])</f>
        <v>Shining Star-Mobile Clinic-BHA-PHC-55</v>
      </c>
      <c r="N726" s="9" t="s">
        <v>401</v>
      </c>
      <c r="O726" s="183" t="s">
        <v>4802</v>
      </c>
      <c r="P726" s="183">
        <v>41</v>
      </c>
      <c r="Q726" s="183"/>
      <c r="R726" s="183"/>
      <c r="S726" s="186" t="str">
        <f t="shared" si="26"/>
        <v>19 - 49 yrs</v>
      </c>
      <c r="T726" s="183" t="s">
        <v>603</v>
      </c>
      <c r="U726" s="183"/>
      <c r="V726" s="183" t="s">
        <v>3509</v>
      </c>
      <c r="W726" s="183" t="s">
        <v>2028</v>
      </c>
      <c r="X726" s="183" t="s">
        <v>108</v>
      </c>
      <c r="Y726" s="186" t="str">
        <f>INDEX(info!$Y$2:$Y$192,MATCH(phc_8[[#This Row],[Sub_Category]],info!$X$2:$X$192,0))</f>
        <v>ARI/RTI</v>
      </c>
      <c r="Z726" s="186" t="str">
        <f t="array" ref="Z726">INDEX(info!$AA$2:$AA$192,MATCH(PHC!$X726&amp;PHC!$Y726,info!$X$2:$X$192&amp;info!$Y$2:$Y$192,0))</f>
        <v>Communicable disease</v>
      </c>
      <c r="AA726" s="183" t="s">
        <v>4820</v>
      </c>
      <c r="AB726" s="9" t="s">
        <v>654</v>
      </c>
      <c r="AC726" s="9" t="s">
        <v>654</v>
      </c>
      <c r="AD726" s="9" t="s">
        <v>654</v>
      </c>
      <c r="AE726" s="9" t="s">
        <v>654</v>
      </c>
      <c r="AF726" s="184"/>
      <c r="AG726" s="183"/>
      <c r="AH726" s="183"/>
      <c r="AI726" s="183"/>
      <c r="AJ726" s="183"/>
      <c r="AK726" s="9" t="s">
        <v>654</v>
      </c>
      <c r="AL726" s="183"/>
      <c r="AM726" s="186" t="str">
        <f>IF(AF726="","","Q"&amp;INT((MONTH(AF726)-1)/3)+1&amp;YEAR(AF726)&amp;#REF!&amp;T726)</f>
        <v/>
      </c>
      <c r="AN726" s="186" t="e">
        <f>IF(K726="","","Q"&amp;INT((MONTH(K726)-1)/3)+1&amp;YEAR(K726)&amp;#REF!)</f>
        <v>#REF!</v>
      </c>
    </row>
    <row r="727" spans="1:40" ht="20.100000000000001" customHeight="1" x14ac:dyDescent="0.25">
      <c r="A727" s="8">
        <v>725</v>
      </c>
      <c r="B727" s="8" t="s">
        <v>399</v>
      </c>
      <c r="C727" s="8" t="s">
        <v>1997</v>
      </c>
      <c r="D727" s="8" t="s">
        <v>2416</v>
      </c>
      <c r="E727" s="182" t="s">
        <v>1998</v>
      </c>
      <c r="F727" s="183" t="s">
        <v>2222</v>
      </c>
      <c r="G727" s="183"/>
      <c r="H727" s="183" t="s">
        <v>4648</v>
      </c>
      <c r="I727" s="183" t="s">
        <v>579</v>
      </c>
      <c r="J727" s="183"/>
      <c r="K727" s="184">
        <v>46070</v>
      </c>
      <c r="L727" s="183">
        <v>56</v>
      </c>
      <c r="M727" s="185" t="str">
        <f>IF(phc_8[[#This Row],[Register No.]]="","",C727&amp;"-"&amp;D727&amp;"-"&amp;"BHA-PHC-"&amp;phc_8[[#This Row],[Register No.]])</f>
        <v>Shining Star-Mobile Clinic-BHA-PHC-56</v>
      </c>
      <c r="N727" s="9" t="s">
        <v>401</v>
      </c>
      <c r="O727" s="183" t="s">
        <v>4821</v>
      </c>
      <c r="P727" s="183">
        <v>55</v>
      </c>
      <c r="Q727" s="183"/>
      <c r="R727" s="183"/>
      <c r="S727" s="186" t="str">
        <f t="shared" si="26"/>
        <v>50 yrs +</v>
      </c>
      <c r="T727" s="183" t="s">
        <v>402</v>
      </c>
      <c r="U727" s="183"/>
      <c r="V727" s="183" t="s">
        <v>4827</v>
      </c>
      <c r="W727" s="183" t="s">
        <v>3372</v>
      </c>
      <c r="X727" s="183" t="s">
        <v>2014</v>
      </c>
      <c r="Y727" s="186" t="str">
        <f>INDEX(info!$Y$2:$Y$192,MATCH(phc_8[[#This Row],[Sub_Category]],info!$X$2:$X$192,0))</f>
        <v>Other (non-communicable)</v>
      </c>
      <c r="Z727" s="186" t="str">
        <f t="array" ref="Z727">INDEX(info!$AA$2:$AA$192,MATCH(PHC!$X727&amp;PHC!$Y727,info!$X$2:$X$192&amp;info!$Y$2:$Y$192,0))</f>
        <v>Other</v>
      </c>
      <c r="AA727" s="183" t="s">
        <v>4835</v>
      </c>
      <c r="AB727" s="9" t="s">
        <v>654</v>
      </c>
      <c r="AC727" s="9" t="s">
        <v>654</v>
      </c>
      <c r="AD727" s="9" t="s">
        <v>654</v>
      </c>
      <c r="AE727" s="9" t="s">
        <v>654</v>
      </c>
      <c r="AF727" s="184"/>
      <c r="AG727" s="183"/>
      <c r="AH727" s="183"/>
      <c r="AI727" s="183"/>
      <c r="AJ727" s="183"/>
      <c r="AK727" s="9" t="s">
        <v>654</v>
      </c>
      <c r="AL727" s="183"/>
      <c r="AM727" s="186" t="str">
        <f>IF(AF727="","","Q"&amp;INT((MONTH(AF727)-1)/3)+1&amp;YEAR(AF727)&amp;#REF!&amp;T727)</f>
        <v/>
      </c>
      <c r="AN727" s="186" t="e">
        <f>IF(K727="","","Q"&amp;INT((MONTH(K727)-1)/3)+1&amp;YEAR(K727)&amp;#REF!)</f>
        <v>#REF!</v>
      </c>
    </row>
    <row r="728" spans="1:40" ht="20.100000000000001" customHeight="1" x14ac:dyDescent="0.25">
      <c r="A728" s="8">
        <v>726</v>
      </c>
      <c r="B728" s="8" t="s">
        <v>399</v>
      </c>
      <c r="C728" s="8" t="s">
        <v>1997</v>
      </c>
      <c r="D728" s="8" t="s">
        <v>2416</v>
      </c>
      <c r="E728" s="182" t="s">
        <v>1998</v>
      </c>
      <c r="F728" s="183" t="s">
        <v>2222</v>
      </c>
      <c r="G728" s="183"/>
      <c r="H728" s="183" t="s">
        <v>4648</v>
      </c>
      <c r="I728" s="183" t="s">
        <v>579</v>
      </c>
      <c r="J728" s="183"/>
      <c r="K728" s="184">
        <v>46070</v>
      </c>
      <c r="L728" s="183">
        <v>57</v>
      </c>
      <c r="M728" s="185" t="str">
        <f>IF(phc_8[[#This Row],[Register No.]]="","",C728&amp;"-"&amp;D728&amp;"-"&amp;"BHA-PHC-"&amp;phc_8[[#This Row],[Register No.]])</f>
        <v>Shining Star-Mobile Clinic-BHA-PHC-57</v>
      </c>
      <c r="N728" s="9" t="s">
        <v>401</v>
      </c>
      <c r="O728" s="183" t="s">
        <v>3629</v>
      </c>
      <c r="P728" s="183">
        <v>54</v>
      </c>
      <c r="Q728" s="183"/>
      <c r="R728" s="183"/>
      <c r="S728" s="186" t="str">
        <f t="shared" si="26"/>
        <v>50 yrs +</v>
      </c>
      <c r="T728" s="183" t="s">
        <v>603</v>
      </c>
      <c r="U728" s="183"/>
      <c r="V728" s="183" t="s">
        <v>4803</v>
      </c>
      <c r="W728" s="183" t="s">
        <v>4830</v>
      </c>
      <c r="X728" s="183" t="s">
        <v>242</v>
      </c>
      <c r="Y728" s="186" t="str">
        <f>INDEX(info!$Y$2:$Y$192,MATCH(phc_8[[#This Row],[Sub_Category]],info!$X$2:$X$192,0))</f>
        <v>Accident/minor sugical and injuries</v>
      </c>
      <c r="Z728" s="186" t="str">
        <f t="array" ref="Z728">INDEX(info!$AA$2:$AA$192,MATCH(PHC!$X728&amp;PHC!$Y728,info!$X$2:$X$192&amp;info!$Y$2:$Y$192,0))</f>
        <v>Injury related</v>
      </c>
      <c r="AA728" s="183" t="s">
        <v>4836</v>
      </c>
      <c r="AB728" s="9" t="s">
        <v>654</v>
      </c>
      <c r="AC728" s="9" t="s">
        <v>654</v>
      </c>
      <c r="AD728" s="9" t="s">
        <v>654</v>
      </c>
      <c r="AE728" s="9" t="s">
        <v>654</v>
      </c>
      <c r="AF728" s="184"/>
      <c r="AG728" s="183"/>
      <c r="AH728" s="183"/>
      <c r="AI728" s="183"/>
      <c r="AJ728" s="183"/>
      <c r="AK728" s="9" t="s">
        <v>654</v>
      </c>
      <c r="AL728" s="183"/>
      <c r="AM728" s="186" t="str">
        <f>IF(AF728="","","Q"&amp;INT((MONTH(AF728)-1)/3)+1&amp;YEAR(AF728)&amp;#REF!&amp;T728)</f>
        <v/>
      </c>
      <c r="AN728" s="186" t="e">
        <f>IF(K728="","","Q"&amp;INT((MONTH(K728)-1)/3)+1&amp;YEAR(K728)&amp;#REF!)</f>
        <v>#REF!</v>
      </c>
    </row>
    <row r="729" spans="1:40" ht="20.100000000000001" customHeight="1" x14ac:dyDescent="0.25">
      <c r="A729" s="8">
        <v>727</v>
      </c>
      <c r="B729" s="8" t="s">
        <v>399</v>
      </c>
      <c r="C729" s="8" t="s">
        <v>1997</v>
      </c>
      <c r="D729" s="8" t="s">
        <v>2416</v>
      </c>
      <c r="E729" s="182" t="s">
        <v>1998</v>
      </c>
      <c r="F729" s="183" t="s">
        <v>2222</v>
      </c>
      <c r="G729" s="183"/>
      <c r="H729" s="183" t="s">
        <v>4648</v>
      </c>
      <c r="I729" s="183" t="s">
        <v>579</v>
      </c>
      <c r="J729" s="183"/>
      <c r="K729" s="184">
        <v>46070</v>
      </c>
      <c r="L729" s="183">
        <v>58</v>
      </c>
      <c r="M729" s="185" t="str">
        <f>IF(phc_8[[#This Row],[Register No.]]="","",C729&amp;"-"&amp;D729&amp;"-"&amp;"BHA-PHC-"&amp;phc_8[[#This Row],[Register No.]])</f>
        <v>Shining Star-Mobile Clinic-BHA-PHC-58</v>
      </c>
      <c r="N729" s="9" t="s">
        <v>401</v>
      </c>
      <c r="O729" s="183" t="s">
        <v>3327</v>
      </c>
      <c r="P729" s="183">
        <v>56</v>
      </c>
      <c r="Q729" s="183"/>
      <c r="R729" s="183"/>
      <c r="S729" s="186" t="str">
        <f t="shared" ref="S729:S736" si="27">IF(AND(ISBLANK(P729),ISBLANK(Q729),ISBLANK(R729))," ",
IF(OR(P729&lt;5,AND(P729=" ",Q729&lt;&gt;" ",R729&lt;&gt;" ")),"&lt;5 yrs",
IF(AND(P729&gt;=5,P729&lt;=14),"5 - 14 yrs",
IF(AND(P729&gt;=15,P729&lt;=18),"15 - 18 yrs",
IF(AND(P729&gt;=19,P729&lt;=49),"19 - 49 yrs","50 yrs +")))))</f>
        <v>50 yrs +</v>
      </c>
      <c r="T729" s="183" t="s">
        <v>603</v>
      </c>
      <c r="U729" s="183"/>
      <c r="V729" s="183" t="s">
        <v>2116</v>
      </c>
      <c r="W729" s="183" t="s">
        <v>2003</v>
      </c>
      <c r="X729" s="183" t="s">
        <v>181</v>
      </c>
      <c r="Y729" s="186" t="str">
        <f>INDEX(info!$Y$2:$Y$192,MATCH(phc_8[[#This Row],[Sub_Category]],info!$X$2:$X$192,0))</f>
        <v>Chronic medical disease</v>
      </c>
      <c r="Z729" s="186" t="str">
        <f t="array" ref="Z729">INDEX(info!$AA$2:$AA$192,MATCH(PHC!$X729&amp;PHC!$Y729,info!$X$2:$X$192&amp;info!$Y$2:$Y$192,0))</f>
        <v>Non-communicable disease</v>
      </c>
      <c r="AA729" s="183" t="s">
        <v>4837</v>
      </c>
      <c r="AB729" s="9" t="s">
        <v>654</v>
      </c>
      <c r="AC729" s="9" t="s">
        <v>654</v>
      </c>
      <c r="AD729" s="9" t="s">
        <v>654</v>
      </c>
      <c r="AE729" s="9" t="s">
        <v>654</v>
      </c>
      <c r="AF729" s="184"/>
      <c r="AG729" s="183"/>
      <c r="AH729" s="183"/>
      <c r="AI729" s="183"/>
      <c r="AJ729" s="183"/>
      <c r="AK729" s="183"/>
      <c r="AL729" s="183"/>
      <c r="AM729" s="186" t="str">
        <f>IF(AF729="","","Q"&amp;INT((MONTH(AF729)-1)/3)+1&amp;YEAR(AF729)&amp;#REF!&amp;T729)</f>
        <v/>
      </c>
      <c r="AN729" s="186" t="e">
        <f>IF(K729="","","Q"&amp;INT((MONTH(K729)-1)/3)+1&amp;YEAR(K729)&amp;#REF!)</f>
        <v>#REF!</v>
      </c>
    </row>
    <row r="730" spans="1:40" ht="20.100000000000001" customHeight="1" x14ac:dyDescent="0.25">
      <c r="A730" s="8">
        <v>728</v>
      </c>
      <c r="B730" s="8" t="s">
        <v>399</v>
      </c>
      <c r="C730" s="8" t="s">
        <v>1997</v>
      </c>
      <c r="D730" s="8" t="s">
        <v>2416</v>
      </c>
      <c r="E730" s="182" t="s">
        <v>1998</v>
      </c>
      <c r="F730" s="183" t="s">
        <v>2222</v>
      </c>
      <c r="G730" s="183"/>
      <c r="H730" s="183" t="s">
        <v>4648</v>
      </c>
      <c r="I730" s="183" t="s">
        <v>579</v>
      </c>
      <c r="J730" s="183"/>
      <c r="K730" s="184">
        <v>46070</v>
      </c>
      <c r="L730" s="183">
        <v>59</v>
      </c>
      <c r="M730" s="185" t="str">
        <f>IF(phc_8[[#This Row],[Register No.]]="","",C730&amp;"-"&amp;D730&amp;"-"&amp;"BHA-PHC-"&amp;phc_8[[#This Row],[Register No.]])</f>
        <v>Shining Star-Mobile Clinic-BHA-PHC-59</v>
      </c>
      <c r="N730" s="9" t="s">
        <v>401</v>
      </c>
      <c r="O730" s="183" t="s">
        <v>4589</v>
      </c>
      <c r="P730" s="183">
        <v>63</v>
      </c>
      <c r="Q730" s="183"/>
      <c r="R730" s="183"/>
      <c r="S730" s="186" t="str">
        <f t="shared" si="27"/>
        <v>50 yrs +</v>
      </c>
      <c r="T730" s="183" t="s">
        <v>603</v>
      </c>
      <c r="U730" s="183"/>
      <c r="V730" s="183" t="s">
        <v>4469</v>
      </c>
      <c r="W730" s="183" t="s">
        <v>2003</v>
      </c>
      <c r="X730" s="183" t="s">
        <v>181</v>
      </c>
      <c r="Y730" s="186" t="str">
        <f>INDEX(info!$Y$2:$Y$192,MATCH(phc_8[[#This Row],[Sub_Category]],info!$X$2:$X$192,0))</f>
        <v>Chronic medical disease</v>
      </c>
      <c r="Z730" s="186" t="str">
        <f t="array" ref="Z730">INDEX(info!$AA$2:$AA$192,MATCH(PHC!$X730&amp;PHC!$Y730,info!$X$2:$X$192&amp;info!$Y$2:$Y$192,0))</f>
        <v>Non-communicable disease</v>
      </c>
      <c r="AA730" s="183" t="s">
        <v>4838</v>
      </c>
      <c r="AB730" s="9" t="s">
        <v>654</v>
      </c>
      <c r="AC730" s="9" t="s">
        <v>654</v>
      </c>
      <c r="AD730" s="9" t="s">
        <v>654</v>
      </c>
      <c r="AE730" s="9" t="s">
        <v>654</v>
      </c>
      <c r="AF730" s="184"/>
      <c r="AG730" s="183"/>
      <c r="AH730" s="183"/>
      <c r="AI730" s="183"/>
      <c r="AJ730" s="183"/>
      <c r="AK730" s="183"/>
      <c r="AL730" s="183"/>
      <c r="AM730" s="186" t="str">
        <f>IF(AF730="","","Q"&amp;INT((MONTH(AF730)-1)/3)+1&amp;YEAR(AF730)&amp;#REF!&amp;T730)</f>
        <v/>
      </c>
      <c r="AN730" s="186" t="e">
        <f>IF(K730="","","Q"&amp;INT((MONTH(K730)-1)/3)+1&amp;YEAR(K730)&amp;#REF!)</f>
        <v>#REF!</v>
      </c>
    </row>
    <row r="731" spans="1:40" ht="20.100000000000001" customHeight="1" x14ac:dyDescent="0.25">
      <c r="A731" s="8">
        <v>729</v>
      </c>
      <c r="B731" s="8" t="s">
        <v>399</v>
      </c>
      <c r="C731" s="8" t="s">
        <v>1997</v>
      </c>
      <c r="D731" s="8" t="s">
        <v>2416</v>
      </c>
      <c r="E731" s="182" t="s">
        <v>1998</v>
      </c>
      <c r="F731" s="183" t="s">
        <v>2222</v>
      </c>
      <c r="G731" s="183"/>
      <c r="H731" s="183" t="s">
        <v>4648</v>
      </c>
      <c r="I731" s="183" t="s">
        <v>579</v>
      </c>
      <c r="J731" s="183"/>
      <c r="K731" s="184">
        <v>46070</v>
      </c>
      <c r="L731" s="183">
        <v>60</v>
      </c>
      <c r="M731" s="185" t="str">
        <f>IF(phc_8[[#This Row],[Register No.]]="","",C731&amp;"-"&amp;D731&amp;"-"&amp;"BHA-PHC-"&amp;phc_8[[#This Row],[Register No.]])</f>
        <v>Shining Star-Mobile Clinic-BHA-PHC-60</v>
      </c>
      <c r="N731" s="9" t="s">
        <v>401</v>
      </c>
      <c r="O731" s="183" t="s">
        <v>4822</v>
      </c>
      <c r="P731" s="183">
        <v>60</v>
      </c>
      <c r="Q731" s="183"/>
      <c r="R731" s="183"/>
      <c r="S731" s="186" t="str">
        <f t="shared" si="27"/>
        <v>50 yrs +</v>
      </c>
      <c r="T731" s="183" t="s">
        <v>603</v>
      </c>
      <c r="U731" s="183"/>
      <c r="V731" s="183" t="s">
        <v>4828</v>
      </c>
      <c r="W731" s="183" t="s">
        <v>4831</v>
      </c>
      <c r="X731" s="183" t="s">
        <v>294</v>
      </c>
      <c r="Y731" s="186" t="str">
        <f>INDEX(info!$Y$2:$Y$192,MATCH(phc_8[[#This Row],[Sub_Category]],info!$X$2:$X$192,0))</f>
        <v>Other (non-communicable)</v>
      </c>
      <c r="Z731" s="186" t="str">
        <f t="array" ref="Z731">INDEX(info!$AA$2:$AA$192,MATCH(PHC!$X731&amp;PHC!$Y731,info!$X$2:$X$192&amp;info!$Y$2:$Y$192,0))</f>
        <v>Other</v>
      </c>
      <c r="AA731" s="183" t="s">
        <v>4839</v>
      </c>
      <c r="AB731" s="9" t="s">
        <v>654</v>
      </c>
      <c r="AC731" s="9" t="s">
        <v>654</v>
      </c>
      <c r="AD731" s="9" t="s">
        <v>654</v>
      </c>
      <c r="AE731" s="9" t="s">
        <v>654</v>
      </c>
      <c r="AF731" s="184"/>
      <c r="AG731" s="183"/>
      <c r="AH731" s="183"/>
      <c r="AI731" s="183"/>
      <c r="AJ731" s="183"/>
      <c r="AK731" s="183"/>
      <c r="AL731" s="183"/>
      <c r="AM731" s="186" t="str">
        <f>IF(AF731="","","Q"&amp;INT((MONTH(AF731)-1)/3)+1&amp;YEAR(AF731)&amp;#REF!&amp;T731)</f>
        <v/>
      </c>
      <c r="AN731" s="186" t="e">
        <f>IF(K731="","","Q"&amp;INT((MONTH(K731)-1)/3)+1&amp;YEAR(K731)&amp;#REF!)</f>
        <v>#REF!</v>
      </c>
    </row>
    <row r="732" spans="1:40" ht="20.100000000000001" customHeight="1" x14ac:dyDescent="0.25">
      <c r="A732" s="8">
        <v>730</v>
      </c>
      <c r="B732" s="8" t="s">
        <v>399</v>
      </c>
      <c r="C732" s="8" t="s">
        <v>1997</v>
      </c>
      <c r="D732" s="8" t="s">
        <v>2416</v>
      </c>
      <c r="E732" s="182" t="s">
        <v>1998</v>
      </c>
      <c r="F732" s="183" t="s">
        <v>2222</v>
      </c>
      <c r="G732" s="183"/>
      <c r="H732" s="183" t="s">
        <v>4648</v>
      </c>
      <c r="I732" s="183" t="s">
        <v>579</v>
      </c>
      <c r="J732" s="183"/>
      <c r="K732" s="184">
        <v>46070</v>
      </c>
      <c r="L732" s="183">
        <v>61</v>
      </c>
      <c r="M732" s="185" t="str">
        <f>IF(phc_8[[#This Row],[Register No.]]="","",C732&amp;"-"&amp;D732&amp;"-"&amp;"BHA-PHC-"&amp;phc_8[[#This Row],[Register No.]])</f>
        <v>Shining Star-Mobile Clinic-BHA-PHC-61</v>
      </c>
      <c r="N732" s="9" t="s">
        <v>401</v>
      </c>
      <c r="O732" s="183" t="s">
        <v>4823</v>
      </c>
      <c r="P732" s="183">
        <v>70</v>
      </c>
      <c r="Q732" s="183"/>
      <c r="R732" s="183"/>
      <c r="S732" s="186" t="str">
        <f t="shared" si="27"/>
        <v>50 yrs +</v>
      </c>
      <c r="T732" s="183" t="s">
        <v>603</v>
      </c>
      <c r="U732" s="183"/>
      <c r="V732" s="183" t="s">
        <v>4500</v>
      </c>
      <c r="W732" s="183" t="s">
        <v>294</v>
      </c>
      <c r="X732" s="183" t="s">
        <v>294</v>
      </c>
      <c r="Y732" s="186" t="str">
        <f>INDEX(info!$Y$2:$Y$192,MATCH(phc_8[[#This Row],[Sub_Category]],info!$X$2:$X$192,0))</f>
        <v>Other (non-communicable)</v>
      </c>
      <c r="Z732" s="186" t="str">
        <f t="array" ref="Z732">INDEX(info!$AA$2:$AA$192,MATCH(PHC!$X732&amp;PHC!$Y732,info!$X$2:$X$192&amp;info!$Y$2:$Y$192,0))</f>
        <v>Other</v>
      </c>
      <c r="AA732" s="183" t="s">
        <v>4840</v>
      </c>
      <c r="AB732" s="9" t="s">
        <v>654</v>
      </c>
      <c r="AC732" s="9" t="s">
        <v>654</v>
      </c>
      <c r="AD732" s="9" t="s">
        <v>654</v>
      </c>
      <c r="AE732" s="9" t="s">
        <v>654</v>
      </c>
      <c r="AF732" s="184"/>
      <c r="AG732" s="183"/>
      <c r="AH732" s="183"/>
      <c r="AI732" s="183"/>
      <c r="AJ732" s="183"/>
      <c r="AK732" s="183"/>
      <c r="AL732" s="183"/>
      <c r="AM732" s="186" t="str">
        <f>IF(AF732="","","Q"&amp;INT((MONTH(AF732)-1)/3)+1&amp;YEAR(AF732)&amp;#REF!&amp;T732)</f>
        <v/>
      </c>
      <c r="AN732" s="186" t="e">
        <f>IF(K732="","","Q"&amp;INT((MONTH(K732)-1)/3)+1&amp;YEAR(K732)&amp;#REF!)</f>
        <v>#REF!</v>
      </c>
    </row>
    <row r="733" spans="1:40" ht="20.100000000000001" customHeight="1" x14ac:dyDescent="0.25">
      <c r="A733" s="8">
        <v>731</v>
      </c>
      <c r="B733" s="8" t="s">
        <v>399</v>
      </c>
      <c r="C733" s="8" t="s">
        <v>1997</v>
      </c>
      <c r="D733" s="8" t="s">
        <v>2416</v>
      </c>
      <c r="E733" s="182" t="s">
        <v>1998</v>
      </c>
      <c r="F733" s="183" t="s">
        <v>2222</v>
      </c>
      <c r="G733" s="183"/>
      <c r="H733" s="183" t="s">
        <v>4648</v>
      </c>
      <c r="I733" s="183" t="s">
        <v>579</v>
      </c>
      <c r="J733" s="183"/>
      <c r="K733" s="184">
        <v>46070</v>
      </c>
      <c r="L733" s="183">
        <v>62</v>
      </c>
      <c r="M733" s="185" t="str">
        <f>IF(phc_8[[#This Row],[Register No.]]="","",C733&amp;"-"&amp;D733&amp;"-"&amp;"BHA-PHC-"&amp;phc_8[[#This Row],[Register No.]])</f>
        <v>Shining Star-Mobile Clinic-BHA-PHC-62</v>
      </c>
      <c r="N733" s="9" t="s">
        <v>401</v>
      </c>
      <c r="O733" s="183" t="s">
        <v>4824</v>
      </c>
      <c r="P733" s="183">
        <v>38</v>
      </c>
      <c r="Q733" s="183"/>
      <c r="R733" s="183"/>
      <c r="S733" s="186" t="str">
        <f t="shared" si="27"/>
        <v>19 - 49 yrs</v>
      </c>
      <c r="T733" s="183" t="s">
        <v>402</v>
      </c>
      <c r="U733" s="183"/>
      <c r="V733" s="183" t="s">
        <v>2538</v>
      </c>
      <c r="W733" s="183" t="s">
        <v>4832</v>
      </c>
      <c r="X733" s="183" t="s">
        <v>257</v>
      </c>
      <c r="Y733" s="186" t="str">
        <f>INDEX(info!$Y$2:$Y$192,MATCH(phc_8[[#This Row],[Sub_Category]],info!$X$2:$X$192,0))</f>
        <v>Mental disorders</v>
      </c>
      <c r="Z733" s="186" t="str">
        <f t="array" ref="Z733">INDEX(info!$AA$2:$AA$192,MATCH(PHC!$X733&amp;PHC!$Y733,info!$X$2:$X$192&amp;info!$Y$2:$Y$192,0))</f>
        <v>mental health condition</v>
      </c>
      <c r="AA733" s="183" t="s">
        <v>3143</v>
      </c>
      <c r="AB733" s="9" t="s">
        <v>654</v>
      </c>
      <c r="AC733" s="9" t="s">
        <v>654</v>
      </c>
      <c r="AD733" s="9" t="s">
        <v>654</v>
      </c>
      <c r="AE733" s="9" t="s">
        <v>654</v>
      </c>
      <c r="AF733" s="184"/>
      <c r="AG733" s="183"/>
      <c r="AH733" s="183"/>
      <c r="AI733" s="183"/>
      <c r="AJ733" s="183"/>
      <c r="AK733" s="183"/>
      <c r="AL733" s="183"/>
      <c r="AM733" s="186" t="str">
        <f>IF(AF733="","","Q"&amp;INT((MONTH(AF733)-1)/3)+1&amp;YEAR(AF733)&amp;#REF!&amp;T733)</f>
        <v/>
      </c>
      <c r="AN733" s="186" t="e">
        <f>IF(K733="","","Q"&amp;INT((MONTH(K733)-1)/3)+1&amp;YEAR(K733)&amp;#REF!)</f>
        <v>#REF!</v>
      </c>
    </row>
    <row r="734" spans="1:40" ht="20.100000000000001" customHeight="1" x14ac:dyDescent="0.25">
      <c r="A734" s="8">
        <v>732</v>
      </c>
      <c r="B734" s="8" t="s">
        <v>399</v>
      </c>
      <c r="C734" s="8" t="s">
        <v>1997</v>
      </c>
      <c r="D734" s="8" t="s">
        <v>2416</v>
      </c>
      <c r="E734" s="182" t="s">
        <v>1998</v>
      </c>
      <c r="F734" s="183" t="s">
        <v>2222</v>
      </c>
      <c r="G734" s="183"/>
      <c r="H734" s="183" t="s">
        <v>4648</v>
      </c>
      <c r="I734" s="183" t="s">
        <v>579</v>
      </c>
      <c r="J734" s="183"/>
      <c r="K734" s="184">
        <v>46070</v>
      </c>
      <c r="L734" s="183">
        <v>63</v>
      </c>
      <c r="M734" s="185" t="str">
        <f>IF(phc_8[[#This Row],[Register No.]]="","",C734&amp;"-"&amp;D734&amp;"-"&amp;"BHA-PHC-"&amp;phc_8[[#This Row],[Register No.]])</f>
        <v>Shining Star-Mobile Clinic-BHA-PHC-63</v>
      </c>
      <c r="N734" s="9" t="s">
        <v>401</v>
      </c>
      <c r="O734" s="183" t="s">
        <v>4825</v>
      </c>
      <c r="P734" s="183">
        <v>62</v>
      </c>
      <c r="Q734" s="183"/>
      <c r="R734" s="183"/>
      <c r="S734" s="186" t="str">
        <f t="shared" si="27"/>
        <v>50 yrs +</v>
      </c>
      <c r="T734" s="183" t="s">
        <v>402</v>
      </c>
      <c r="U734" s="183"/>
      <c r="V734" s="183" t="s">
        <v>4500</v>
      </c>
      <c r="W734" s="183" t="s">
        <v>4833</v>
      </c>
      <c r="X734" s="183" t="s">
        <v>294</v>
      </c>
      <c r="Y734" s="186" t="str">
        <f>INDEX(info!$Y$2:$Y$192,MATCH(phc_8[[#This Row],[Sub_Category]],info!$X$2:$X$192,0))</f>
        <v>Other (non-communicable)</v>
      </c>
      <c r="Z734" s="186" t="str">
        <f t="array" ref="Z734">INDEX(info!$AA$2:$AA$192,MATCH(PHC!$X734&amp;PHC!$Y734,info!$X$2:$X$192&amp;info!$Y$2:$Y$192,0))</f>
        <v>Other</v>
      </c>
      <c r="AA734" s="183" t="s">
        <v>4841</v>
      </c>
      <c r="AB734" s="9" t="s">
        <v>654</v>
      </c>
      <c r="AC734" s="9" t="s">
        <v>654</v>
      </c>
      <c r="AD734" s="9" t="s">
        <v>654</v>
      </c>
      <c r="AE734" s="9" t="s">
        <v>654</v>
      </c>
      <c r="AF734" s="184"/>
      <c r="AG734" s="183"/>
      <c r="AH734" s="183"/>
      <c r="AI734" s="183"/>
      <c r="AJ734" s="183"/>
      <c r="AK734" s="183"/>
      <c r="AL734" s="183"/>
      <c r="AM734" s="186" t="str">
        <f>IF(AF734="","","Q"&amp;INT((MONTH(AF734)-1)/3)+1&amp;YEAR(AF734)&amp;#REF!&amp;T734)</f>
        <v/>
      </c>
      <c r="AN734" s="186" t="e">
        <f>IF(K734="","","Q"&amp;INT((MONTH(K734)-1)/3)+1&amp;YEAR(K734)&amp;#REF!)</f>
        <v>#REF!</v>
      </c>
    </row>
    <row r="735" spans="1:40" ht="20.100000000000001" customHeight="1" x14ac:dyDescent="0.25">
      <c r="A735" s="8">
        <v>733</v>
      </c>
      <c r="B735" s="8" t="s">
        <v>399</v>
      </c>
      <c r="C735" s="8" t="s">
        <v>1997</v>
      </c>
      <c r="D735" s="8" t="s">
        <v>2416</v>
      </c>
      <c r="E735" s="182" t="s">
        <v>1998</v>
      </c>
      <c r="F735" s="183" t="s">
        <v>2222</v>
      </c>
      <c r="G735" s="183"/>
      <c r="H735" s="183" t="s">
        <v>4648</v>
      </c>
      <c r="I735" s="183" t="s">
        <v>579</v>
      </c>
      <c r="J735" s="183"/>
      <c r="K735" s="184">
        <v>46070</v>
      </c>
      <c r="L735" s="183">
        <v>64</v>
      </c>
      <c r="M735" s="185" t="str">
        <f>IF(phc_8[[#This Row],[Register No.]]="","",C735&amp;"-"&amp;D735&amp;"-"&amp;"BHA-PHC-"&amp;phc_8[[#This Row],[Register No.]])</f>
        <v>Shining Star-Mobile Clinic-BHA-PHC-64</v>
      </c>
      <c r="N735" s="9" t="s">
        <v>401</v>
      </c>
      <c r="O735" s="183" t="s">
        <v>4826</v>
      </c>
      <c r="P735" s="183">
        <v>60</v>
      </c>
      <c r="Q735" s="183"/>
      <c r="R735" s="183"/>
      <c r="S735" s="186" t="str">
        <f t="shared" si="27"/>
        <v>50 yrs +</v>
      </c>
      <c r="T735" s="183" t="s">
        <v>603</v>
      </c>
      <c r="U735" s="183"/>
      <c r="V735" s="183" t="s">
        <v>2200</v>
      </c>
      <c r="W735" s="183" t="s">
        <v>4834</v>
      </c>
      <c r="X735" s="183" t="s">
        <v>242</v>
      </c>
      <c r="Y735" s="186" t="str">
        <f>INDEX(info!$Y$2:$Y$192,MATCH(phc_8[[#This Row],[Sub_Category]],info!$X$2:$X$192,0))</f>
        <v>Accident/minor sugical and injuries</v>
      </c>
      <c r="Z735" s="186" t="str">
        <f t="array" ref="Z735">INDEX(info!$AA$2:$AA$192,MATCH(PHC!$X735&amp;PHC!$Y735,info!$X$2:$X$192&amp;info!$Y$2:$Y$192,0))</f>
        <v>Injury related</v>
      </c>
      <c r="AA735" s="183" t="s">
        <v>4842</v>
      </c>
      <c r="AB735" s="9" t="s">
        <v>654</v>
      </c>
      <c r="AC735" s="9" t="s">
        <v>654</v>
      </c>
      <c r="AD735" s="9" t="s">
        <v>654</v>
      </c>
      <c r="AE735" s="9" t="s">
        <v>654</v>
      </c>
      <c r="AF735" s="184"/>
      <c r="AG735" s="183"/>
      <c r="AH735" s="183"/>
      <c r="AI735" s="183"/>
      <c r="AJ735" s="183"/>
      <c r="AK735" s="183"/>
      <c r="AL735" s="183"/>
      <c r="AM735" s="186" t="str">
        <f>IF(AF735="","","Q"&amp;INT((MONTH(AF735)-1)/3)+1&amp;YEAR(AF735)&amp;#REF!&amp;T735)</f>
        <v/>
      </c>
      <c r="AN735" s="186" t="e">
        <f>IF(K735="","","Q"&amp;INT((MONTH(K735)-1)/3)+1&amp;YEAR(K735)&amp;#REF!)</f>
        <v>#REF!</v>
      </c>
    </row>
    <row r="736" spans="1:40" ht="20.100000000000001" customHeight="1" x14ac:dyDescent="0.25">
      <c r="A736" s="8">
        <v>734</v>
      </c>
      <c r="B736" s="8" t="s">
        <v>399</v>
      </c>
      <c r="C736" s="8" t="s">
        <v>1997</v>
      </c>
      <c r="D736" s="8" t="s">
        <v>2416</v>
      </c>
      <c r="E736" s="182" t="s">
        <v>1998</v>
      </c>
      <c r="F736" s="183" t="s">
        <v>2222</v>
      </c>
      <c r="G736" s="183"/>
      <c r="H736" s="183" t="s">
        <v>4648</v>
      </c>
      <c r="I736" s="183" t="s">
        <v>579</v>
      </c>
      <c r="J736" s="183"/>
      <c r="K736" s="184">
        <v>46070</v>
      </c>
      <c r="L736" s="183">
        <v>65</v>
      </c>
      <c r="M736" s="185" t="str">
        <f>IF(phc_8[[#This Row],[Register No.]]="","",C736&amp;"-"&amp;D736&amp;"-"&amp;"BHA-PHC-"&amp;phc_8[[#This Row],[Register No.]])</f>
        <v>Shining Star-Mobile Clinic-BHA-PHC-65</v>
      </c>
      <c r="N736" s="9" t="s">
        <v>401</v>
      </c>
      <c r="O736" s="183" t="s">
        <v>2710</v>
      </c>
      <c r="P736" s="183">
        <v>43</v>
      </c>
      <c r="Q736" s="183"/>
      <c r="R736" s="183"/>
      <c r="S736" s="186" t="str">
        <f t="shared" si="27"/>
        <v>19 - 49 yrs</v>
      </c>
      <c r="T736" s="183" t="s">
        <v>603</v>
      </c>
      <c r="U736" s="183"/>
      <c r="V736" s="183" t="s">
        <v>4829</v>
      </c>
      <c r="W736" s="183" t="s">
        <v>2014</v>
      </c>
      <c r="X736" s="183" t="s">
        <v>2014</v>
      </c>
      <c r="Y736" s="186" t="str">
        <f>INDEX(info!$Y$2:$Y$192,MATCH(phc_8[[#This Row],[Sub_Category]],info!$X$2:$X$192,0))</f>
        <v>Other (non-communicable)</v>
      </c>
      <c r="Z736" s="186" t="str">
        <f t="array" ref="Z736">INDEX(info!$AA$2:$AA$192,MATCH(PHC!$X736&amp;PHC!$Y736,info!$X$2:$X$192&amp;info!$Y$2:$Y$192,0))</f>
        <v>Other</v>
      </c>
      <c r="AA736" s="183" t="s">
        <v>3311</v>
      </c>
      <c r="AB736" s="9" t="s">
        <v>654</v>
      </c>
      <c r="AC736" s="9" t="s">
        <v>654</v>
      </c>
      <c r="AD736" s="9" t="s">
        <v>654</v>
      </c>
      <c r="AE736" s="9" t="s">
        <v>654</v>
      </c>
      <c r="AF736" s="184"/>
      <c r="AG736" s="183"/>
      <c r="AH736" s="183"/>
      <c r="AI736" s="183"/>
      <c r="AJ736" s="183"/>
      <c r="AK736" s="183"/>
      <c r="AL736" s="183"/>
      <c r="AM736" s="186" t="str">
        <f>IF(AF736="","","Q"&amp;INT((MONTH(AF736)-1)/3)+1&amp;YEAR(AF736)&amp;#REF!&amp;T736)</f>
        <v/>
      </c>
      <c r="AN736" s="186" t="e">
        <f>IF(K736="","","Q"&amp;INT((MONTH(K736)-1)/3)+1&amp;YEAR(K736)&amp;#REF!)</f>
        <v>#REF!</v>
      </c>
    </row>
    <row r="737" spans="1:40" ht="20.100000000000001" customHeight="1" x14ac:dyDescent="0.25">
      <c r="A737" s="8">
        <v>735</v>
      </c>
      <c r="B737" s="8" t="s">
        <v>399</v>
      </c>
      <c r="C737" s="8" t="s">
        <v>1997</v>
      </c>
      <c r="D737" s="8" t="s">
        <v>2416</v>
      </c>
      <c r="E737" s="182" t="s">
        <v>1998</v>
      </c>
      <c r="F737" s="183" t="s">
        <v>2222</v>
      </c>
      <c r="G737" s="183"/>
      <c r="H737" s="183" t="s">
        <v>4648</v>
      </c>
      <c r="I737" s="183" t="s">
        <v>579</v>
      </c>
      <c r="J737" s="183"/>
      <c r="K737" s="184">
        <v>46070</v>
      </c>
      <c r="L737" s="183">
        <v>66</v>
      </c>
      <c r="M737" s="185" t="str">
        <f>IF(phc_8[[#This Row],[Register No.]]="","",C737&amp;"-"&amp;D737&amp;"-"&amp;"BHA-PHC-"&amp;phc_8[[#This Row],[Register No.]])</f>
        <v>Shining Star-Mobile Clinic-BHA-PHC-66</v>
      </c>
      <c r="N737" s="9" t="s">
        <v>401</v>
      </c>
      <c r="O737" s="183" t="s">
        <v>4843</v>
      </c>
      <c r="P737" s="183">
        <v>32</v>
      </c>
      <c r="Q737" s="183"/>
      <c r="R737" s="183"/>
      <c r="S737" s="186" t="str">
        <f t="shared" ref="S737:S752" si="28">IF(AND(ISBLANK(P737),ISBLANK(Q737),ISBLANK(R737))," ",
IF(OR(P737&lt;5,AND(P737=" ",Q737&lt;&gt;" ",R737&lt;&gt;" ")),"&lt;5 yrs",
IF(AND(P737&gt;=5,P737&lt;=14),"5 - 14 yrs",
IF(AND(P737&gt;=15,P737&lt;=18),"15 - 18 yrs",
IF(AND(P737&gt;=19,P737&lt;=49),"19 - 49 yrs","50 yrs +")))))</f>
        <v>19 - 49 yrs</v>
      </c>
      <c r="T737" s="183" t="s">
        <v>603</v>
      </c>
      <c r="U737" s="183"/>
      <c r="V737" s="183" t="s">
        <v>2214</v>
      </c>
      <c r="W737" s="183" t="s">
        <v>2028</v>
      </c>
      <c r="X737" s="183" t="s">
        <v>108</v>
      </c>
      <c r="Y737" s="186" t="str">
        <f>INDEX(info!$Y$2:$Y$192,MATCH(phc_8[[#This Row],[Sub_Category]],info!$X$2:$X$192,0))</f>
        <v>ARI/RTI</v>
      </c>
      <c r="Z737" s="186" t="str">
        <f t="array" ref="Z737">INDEX(info!$AA$2:$AA$192,MATCH(PHC!$X737&amp;PHC!$Y737,info!$X$2:$X$192&amp;info!$Y$2:$Y$192,0))</f>
        <v>Communicable disease</v>
      </c>
      <c r="AA737" s="183" t="s">
        <v>4861</v>
      </c>
      <c r="AB737" s="9" t="s">
        <v>654</v>
      </c>
      <c r="AC737" s="9" t="s">
        <v>654</v>
      </c>
      <c r="AD737" s="9" t="s">
        <v>654</v>
      </c>
      <c r="AE737" s="9" t="s">
        <v>654</v>
      </c>
      <c r="AF737" s="184"/>
      <c r="AG737" s="183"/>
      <c r="AH737" s="183"/>
      <c r="AI737" s="183"/>
      <c r="AJ737" s="183"/>
      <c r="AK737" s="183"/>
      <c r="AL737" s="183"/>
      <c r="AM737" s="186" t="str">
        <f>IF(AF737="","","Q"&amp;INT((MONTH(AF737)-1)/3)+1&amp;YEAR(AF737)&amp;#REF!&amp;T737)</f>
        <v/>
      </c>
      <c r="AN737" s="186" t="e">
        <f>IF(K737="","","Q"&amp;INT((MONTH(K737)-1)/3)+1&amp;YEAR(K737)&amp;#REF!)</f>
        <v>#REF!</v>
      </c>
    </row>
    <row r="738" spans="1:40" ht="20.100000000000001" customHeight="1" x14ac:dyDescent="0.25">
      <c r="A738" s="8">
        <v>736</v>
      </c>
      <c r="B738" s="8" t="s">
        <v>399</v>
      </c>
      <c r="C738" s="8" t="s">
        <v>1997</v>
      </c>
      <c r="D738" s="8" t="s">
        <v>2416</v>
      </c>
      <c r="E738" s="182" t="s">
        <v>1998</v>
      </c>
      <c r="F738" s="183" t="s">
        <v>2222</v>
      </c>
      <c r="G738" s="183"/>
      <c r="H738" s="183" t="s">
        <v>4648</v>
      </c>
      <c r="I738" s="183" t="s">
        <v>579</v>
      </c>
      <c r="J738" s="183"/>
      <c r="K738" s="184">
        <v>46070</v>
      </c>
      <c r="L738" s="183">
        <v>67</v>
      </c>
      <c r="M738" s="185" t="str">
        <f>IF(phc_8[[#This Row],[Register No.]]="","",C738&amp;"-"&amp;D738&amp;"-"&amp;"BHA-PHC-"&amp;phc_8[[#This Row],[Register No.]])</f>
        <v>Shining Star-Mobile Clinic-BHA-PHC-67</v>
      </c>
      <c r="N738" s="9" t="s">
        <v>401</v>
      </c>
      <c r="O738" s="183" t="s">
        <v>4844</v>
      </c>
      <c r="P738" s="183">
        <v>12</v>
      </c>
      <c r="Q738" s="183"/>
      <c r="R738" s="183"/>
      <c r="S738" s="186" t="str">
        <f t="shared" si="28"/>
        <v>5 - 14 yrs</v>
      </c>
      <c r="T738" s="183" t="s">
        <v>603</v>
      </c>
      <c r="U738" s="183"/>
      <c r="V738" s="183" t="s">
        <v>4850</v>
      </c>
      <c r="W738" s="183" t="s">
        <v>3308</v>
      </c>
      <c r="X738" s="183" t="s">
        <v>113</v>
      </c>
      <c r="Y738" s="186" t="str">
        <f>INDEX(info!$Y$2:$Y$192,MATCH(phc_8[[#This Row],[Sub_Category]],info!$X$2:$X$192,0))</f>
        <v>ARI/RTI</v>
      </c>
      <c r="Z738" s="186" t="str">
        <f t="array" ref="Z738">INDEX(info!$AA$2:$AA$192,MATCH(PHC!$X738&amp;PHC!$Y738,info!$X$2:$X$192&amp;info!$Y$2:$Y$192,0))</f>
        <v>Communicable disease</v>
      </c>
      <c r="AA738" s="183" t="s">
        <v>2033</v>
      </c>
      <c r="AB738" s="9" t="s">
        <v>654</v>
      </c>
      <c r="AC738" s="9" t="s">
        <v>654</v>
      </c>
      <c r="AD738" s="9" t="s">
        <v>654</v>
      </c>
      <c r="AE738" s="9" t="s">
        <v>654</v>
      </c>
      <c r="AF738" s="184"/>
      <c r="AG738" s="183"/>
      <c r="AH738" s="183"/>
      <c r="AI738" s="183"/>
      <c r="AJ738" s="183"/>
      <c r="AK738" s="183"/>
      <c r="AL738" s="183"/>
      <c r="AM738" s="186" t="str">
        <f>IF(AF738="","","Q"&amp;INT((MONTH(AF738)-1)/3)+1&amp;YEAR(AF738)&amp;#REF!&amp;T738)</f>
        <v/>
      </c>
      <c r="AN738" s="186" t="e">
        <f>IF(K738="","","Q"&amp;INT((MONTH(K738)-1)/3)+1&amp;YEAR(K738)&amp;#REF!)</f>
        <v>#REF!</v>
      </c>
    </row>
    <row r="739" spans="1:40" ht="20.100000000000001" customHeight="1" x14ac:dyDescent="0.25">
      <c r="A739" s="8">
        <v>737</v>
      </c>
      <c r="B739" s="8" t="s">
        <v>399</v>
      </c>
      <c r="C739" s="8" t="s">
        <v>1997</v>
      </c>
      <c r="D739" s="8" t="s">
        <v>2416</v>
      </c>
      <c r="E739" s="182" t="s">
        <v>1998</v>
      </c>
      <c r="F739" s="183" t="s">
        <v>2222</v>
      </c>
      <c r="G739" s="183"/>
      <c r="H739" s="183" t="s">
        <v>4648</v>
      </c>
      <c r="I739" s="183" t="s">
        <v>579</v>
      </c>
      <c r="J739" s="183"/>
      <c r="K739" s="184">
        <v>46070</v>
      </c>
      <c r="L739" s="183">
        <v>68</v>
      </c>
      <c r="M739" s="185" t="str">
        <f>IF(phc_8[[#This Row],[Register No.]]="","",C739&amp;"-"&amp;D739&amp;"-"&amp;"BHA-PHC-"&amp;phc_8[[#This Row],[Register No.]])</f>
        <v>Shining Star-Mobile Clinic-BHA-PHC-68</v>
      </c>
      <c r="N739" s="9" t="s">
        <v>401</v>
      </c>
      <c r="O739" s="183" t="s">
        <v>4845</v>
      </c>
      <c r="P739" s="183">
        <v>32</v>
      </c>
      <c r="Q739" s="183"/>
      <c r="R739" s="183"/>
      <c r="S739" s="186" t="str">
        <f t="shared" si="28"/>
        <v>19 - 49 yrs</v>
      </c>
      <c r="T739" s="183" t="s">
        <v>603</v>
      </c>
      <c r="U739" s="183"/>
      <c r="V739" s="183" t="s">
        <v>2070</v>
      </c>
      <c r="W739" s="183" t="s">
        <v>4857</v>
      </c>
      <c r="X739" s="183"/>
      <c r="Y739" s="186" t="e">
        <f>INDEX(info!$Y$2:$Y$192,MATCH(phc_8[[#This Row],[Sub_Category]],info!$X$2:$X$192,0))</f>
        <v>#N/A</v>
      </c>
      <c r="Z739" s="186" t="e">
        <f t="array" ref="Z739">INDEX(info!$AA$2:$AA$192,MATCH(PHC!$X739&amp;PHC!$Y739,info!$X$2:$X$192&amp;info!$Y$2:$Y$192,0))</f>
        <v>#N/A</v>
      </c>
      <c r="AA739" s="183" t="s">
        <v>4862</v>
      </c>
      <c r="AB739" s="9" t="s">
        <v>654</v>
      </c>
      <c r="AC739" s="9" t="s">
        <v>654</v>
      </c>
      <c r="AD739" s="9" t="s">
        <v>654</v>
      </c>
      <c r="AE739" s="9" t="s">
        <v>654</v>
      </c>
      <c r="AF739" s="184"/>
      <c r="AG739" s="183"/>
      <c r="AH739" s="183"/>
      <c r="AI739" s="183"/>
      <c r="AJ739" s="183"/>
      <c r="AK739" s="183"/>
      <c r="AL739" s="183"/>
      <c r="AM739" s="186" t="str">
        <f>IF(AF739="","","Q"&amp;INT((MONTH(AF739)-1)/3)+1&amp;YEAR(AF739)&amp;#REF!&amp;T739)</f>
        <v/>
      </c>
      <c r="AN739" s="186" t="e">
        <f>IF(K739="","","Q"&amp;INT((MONTH(K739)-1)/3)+1&amp;YEAR(K739)&amp;#REF!)</f>
        <v>#REF!</v>
      </c>
    </row>
    <row r="740" spans="1:40" ht="20.100000000000001" customHeight="1" x14ac:dyDescent="0.25">
      <c r="A740" s="8">
        <v>738</v>
      </c>
      <c r="B740" s="8" t="s">
        <v>399</v>
      </c>
      <c r="C740" s="8" t="s">
        <v>1997</v>
      </c>
      <c r="D740" s="8" t="s">
        <v>2416</v>
      </c>
      <c r="E740" s="182" t="s">
        <v>1998</v>
      </c>
      <c r="F740" s="183" t="s">
        <v>2222</v>
      </c>
      <c r="G740" s="183"/>
      <c r="H740" s="183" t="s">
        <v>4648</v>
      </c>
      <c r="I740" s="183" t="s">
        <v>579</v>
      </c>
      <c r="J740" s="183"/>
      <c r="K740" s="184">
        <v>46070</v>
      </c>
      <c r="L740" s="183">
        <v>69</v>
      </c>
      <c r="M740" s="185" t="str">
        <f>IF(phc_8[[#This Row],[Register No.]]="","",C740&amp;"-"&amp;D740&amp;"-"&amp;"BHA-PHC-"&amp;phc_8[[#This Row],[Register No.]])</f>
        <v>Shining Star-Mobile Clinic-BHA-PHC-69</v>
      </c>
      <c r="N740" s="9" t="s">
        <v>401</v>
      </c>
      <c r="O740" s="183" t="s">
        <v>4846</v>
      </c>
      <c r="P740" s="183">
        <v>3</v>
      </c>
      <c r="Q740" s="183"/>
      <c r="R740" s="183"/>
      <c r="S740" s="186" t="str">
        <f t="shared" si="28"/>
        <v>&lt;5 yrs</v>
      </c>
      <c r="T740" s="183" t="s">
        <v>603</v>
      </c>
      <c r="U740" s="183"/>
      <c r="V740" s="183" t="s">
        <v>4851</v>
      </c>
      <c r="W740" s="183" t="s">
        <v>4858</v>
      </c>
      <c r="X740" s="183" t="s">
        <v>234</v>
      </c>
      <c r="Y740" s="186" t="str">
        <f>INDEX(info!$Y$2:$Y$192,MATCH(phc_8[[#This Row],[Sub_Category]],info!$X$2:$X$192,0))</f>
        <v>Parasitic disease</v>
      </c>
      <c r="Z740" s="186" t="str">
        <f t="array" ref="Z740">INDEX(info!$AA$2:$AA$192,MATCH(PHC!$X740&amp;PHC!$Y740,info!$X$2:$X$192&amp;info!$Y$2:$Y$192,0))</f>
        <v>Communicable disease</v>
      </c>
      <c r="AA740" s="183" t="s">
        <v>4863</v>
      </c>
      <c r="AB740" s="9" t="s">
        <v>654</v>
      </c>
      <c r="AC740" s="9" t="s">
        <v>654</v>
      </c>
      <c r="AD740" s="9" t="s">
        <v>654</v>
      </c>
      <c r="AE740" s="9" t="s">
        <v>654</v>
      </c>
      <c r="AF740" s="184"/>
      <c r="AG740" s="183"/>
      <c r="AH740" s="183"/>
      <c r="AI740" s="183"/>
      <c r="AJ740" s="183"/>
      <c r="AK740" s="183"/>
      <c r="AL740" s="183"/>
      <c r="AM740" s="186" t="str">
        <f>IF(AF740="","","Q"&amp;INT((MONTH(AF740)-1)/3)+1&amp;YEAR(AF740)&amp;#REF!&amp;T740)</f>
        <v/>
      </c>
      <c r="AN740" s="186" t="e">
        <f>IF(K740="","","Q"&amp;INT((MONTH(K740)-1)/3)+1&amp;YEAR(K740)&amp;#REF!)</f>
        <v>#REF!</v>
      </c>
    </row>
    <row r="741" spans="1:40" ht="20.100000000000001" customHeight="1" x14ac:dyDescent="0.25">
      <c r="A741" s="8">
        <v>739</v>
      </c>
      <c r="B741" s="8" t="s">
        <v>399</v>
      </c>
      <c r="C741" s="8" t="s">
        <v>1997</v>
      </c>
      <c r="D741" s="8" t="s">
        <v>2416</v>
      </c>
      <c r="E741" s="182" t="s">
        <v>1998</v>
      </c>
      <c r="F741" s="183" t="s">
        <v>2222</v>
      </c>
      <c r="G741" s="183"/>
      <c r="H741" s="183" t="s">
        <v>4648</v>
      </c>
      <c r="I741" s="183" t="s">
        <v>579</v>
      </c>
      <c r="J741" s="183"/>
      <c r="K741" s="184">
        <v>46070</v>
      </c>
      <c r="L741" s="183">
        <v>70</v>
      </c>
      <c r="M741" s="185" t="str">
        <f>IF(phc_8[[#This Row],[Register No.]]="","",C741&amp;"-"&amp;D741&amp;"-"&amp;"BHA-PHC-"&amp;phc_8[[#This Row],[Register No.]])</f>
        <v>Shining Star-Mobile Clinic-BHA-PHC-70</v>
      </c>
      <c r="N741" s="9" t="s">
        <v>401</v>
      </c>
      <c r="O741" s="183" t="s">
        <v>3924</v>
      </c>
      <c r="P741" s="183">
        <v>61</v>
      </c>
      <c r="Q741" s="183"/>
      <c r="R741" s="183"/>
      <c r="S741" s="186" t="str">
        <f t="shared" si="28"/>
        <v>50 yrs +</v>
      </c>
      <c r="T741" s="183" t="s">
        <v>603</v>
      </c>
      <c r="U741" s="183"/>
      <c r="V741" s="183" t="s">
        <v>4852</v>
      </c>
      <c r="W741" s="183" t="s">
        <v>2003</v>
      </c>
      <c r="X741" s="183" t="s">
        <v>181</v>
      </c>
      <c r="Y741" s="186" t="str">
        <f>INDEX(info!$Y$2:$Y$192,MATCH(phc_8[[#This Row],[Sub_Category]],info!$X$2:$X$192,0))</f>
        <v>Chronic medical disease</v>
      </c>
      <c r="Z741" s="186" t="str">
        <f t="array" ref="Z741">INDEX(info!$AA$2:$AA$192,MATCH(PHC!$X741&amp;PHC!$Y741,info!$X$2:$X$192&amp;info!$Y$2:$Y$192,0))</f>
        <v>Non-communicable disease</v>
      </c>
      <c r="AA741" s="183" t="s">
        <v>4864</v>
      </c>
      <c r="AB741" s="9" t="s">
        <v>654</v>
      </c>
      <c r="AC741" s="9" t="s">
        <v>654</v>
      </c>
      <c r="AD741" s="9" t="s">
        <v>654</v>
      </c>
      <c r="AE741" s="9" t="s">
        <v>654</v>
      </c>
      <c r="AF741" s="184"/>
      <c r="AG741" s="183"/>
      <c r="AH741" s="183"/>
      <c r="AI741" s="183"/>
      <c r="AJ741" s="183"/>
      <c r="AK741" s="183"/>
      <c r="AL741" s="183"/>
      <c r="AM741" s="186" t="str">
        <f>IF(AF741="","","Q"&amp;INT((MONTH(AF741)-1)/3)+1&amp;YEAR(AF741)&amp;#REF!&amp;T741)</f>
        <v/>
      </c>
      <c r="AN741" s="186" t="e">
        <f>IF(K741="","","Q"&amp;INT((MONTH(K741)-1)/3)+1&amp;YEAR(K741)&amp;#REF!)</f>
        <v>#REF!</v>
      </c>
    </row>
    <row r="742" spans="1:40" ht="20.100000000000001" customHeight="1" x14ac:dyDescent="0.25">
      <c r="A742" s="8">
        <v>740</v>
      </c>
      <c r="B742" s="8" t="s">
        <v>399</v>
      </c>
      <c r="C742" s="8" t="s">
        <v>1997</v>
      </c>
      <c r="D742" s="8" t="s">
        <v>2416</v>
      </c>
      <c r="E742" s="182" t="s">
        <v>1998</v>
      </c>
      <c r="F742" s="183" t="s">
        <v>2222</v>
      </c>
      <c r="G742" s="183"/>
      <c r="H742" s="183" t="s">
        <v>4648</v>
      </c>
      <c r="I742" s="183" t="s">
        <v>579</v>
      </c>
      <c r="J742" s="183"/>
      <c r="K742" s="184">
        <v>46070</v>
      </c>
      <c r="L742" s="183">
        <v>71</v>
      </c>
      <c r="M742" s="185" t="str">
        <f>IF(phc_8[[#This Row],[Register No.]]="","",C742&amp;"-"&amp;D742&amp;"-"&amp;"BHA-PHC-"&amp;phc_8[[#This Row],[Register No.]])</f>
        <v>Shining Star-Mobile Clinic-BHA-PHC-71</v>
      </c>
      <c r="N742" s="9" t="s">
        <v>401</v>
      </c>
      <c r="O742" s="183" t="s">
        <v>4189</v>
      </c>
      <c r="P742" s="183">
        <v>62</v>
      </c>
      <c r="Q742" s="183"/>
      <c r="R742" s="183"/>
      <c r="S742" s="186" t="str">
        <f t="shared" si="28"/>
        <v>50 yrs +</v>
      </c>
      <c r="T742" s="183" t="s">
        <v>402</v>
      </c>
      <c r="U742" s="183"/>
      <c r="V742" s="183" t="s">
        <v>4853</v>
      </c>
      <c r="W742" s="183" t="s">
        <v>4859</v>
      </c>
      <c r="X742" s="183" t="s">
        <v>3105</v>
      </c>
      <c r="Y742" s="186" t="str">
        <f>INDEX(info!$Y$2:$Y$192,MATCH(phc_8[[#This Row],[Sub_Category]],info!$X$2:$X$192,0))</f>
        <v>Chronic medical disease</v>
      </c>
      <c r="Z742" s="186" t="str">
        <f t="array" ref="Z742">INDEX(info!$AA$2:$AA$192,MATCH(PHC!$X742&amp;PHC!$Y742,info!$X$2:$X$192&amp;info!$Y$2:$Y$192,0))</f>
        <v>Non-communicable disease</v>
      </c>
      <c r="AA742" s="183" t="s">
        <v>4865</v>
      </c>
      <c r="AB742" s="9" t="s">
        <v>654</v>
      </c>
      <c r="AC742" s="9" t="s">
        <v>654</v>
      </c>
      <c r="AD742" s="9" t="s">
        <v>654</v>
      </c>
      <c r="AE742" s="9" t="s">
        <v>654</v>
      </c>
      <c r="AF742" s="184"/>
      <c r="AG742" s="183"/>
      <c r="AH742" s="183"/>
      <c r="AI742" s="183"/>
      <c r="AJ742" s="183"/>
      <c r="AK742" s="183"/>
      <c r="AL742" s="183"/>
      <c r="AM742" s="186" t="str">
        <f>IF(AF742="","","Q"&amp;INT((MONTH(AF742)-1)/3)+1&amp;YEAR(AF742)&amp;#REF!&amp;T742)</f>
        <v/>
      </c>
      <c r="AN742" s="186" t="e">
        <f>IF(K742="","","Q"&amp;INT((MONTH(K742)-1)/3)+1&amp;YEAR(K742)&amp;#REF!)</f>
        <v>#REF!</v>
      </c>
    </row>
    <row r="743" spans="1:40" ht="20.100000000000001" customHeight="1" x14ac:dyDescent="0.25">
      <c r="A743" s="8">
        <v>741</v>
      </c>
      <c r="B743" s="8" t="s">
        <v>399</v>
      </c>
      <c r="C743" s="8" t="s">
        <v>1997</v>
      </c>
      <c r="D743" s="8" t="s">
        <v>2416</v>
      </c>
      <c r="E743" s="182" t="s">
        <v>1998</v>
      </c>
      <c r="F743" s="183" t="s">
        <v>2222</v>
      </c>
      <c r="G743" s="183"/>
      <c r="H743" s="183" t="s">
        <v>4648</v>
      </c>
      <c r="I743" s="183" t="s">
        <v>579</v>
      </c>
      <c r="J743" s="183"/>
      <c r="K743" s="184">
        <v>46070</v>
      </c>
      <c r="L743" s="183">
        <v>72</v>
      </c>
      <c r="M743" s="185" t="str">
        <f>IF(phc_8[[#This Row],[Register No.]]="","",C743&amp;"-"&amp;D743&amp;"-"&amp;"BHA-PHC-"&amp;phc_8[[#This Row],[Register No.]])</f>
        <v>Shining Star-Mobile Clinic-BHA-PHC-72</v>
      </c>
      <c r="N743" s="9" t="s">
        <v>401</v>
      </c>
      <c r="O743" s="183" t="s">
        <v>4847</v>
      </c>
      <c r="P743" s="183">
        <v>56</v>
      </c>
      <c r="Q743" s="183"/>
      <c r="R743" s="183"/>
      <c r="S743" s="186" t="str">
        <f t="shared" si="28"/>
        <v>50 yrs +</v>
      </c>
      <c r="T743" s="183" t="s">
        <v>402</v>
      </c>
      <c r="U743" s="183"/>
      <c r="V743" s="183" t="s">
        <v>4854</v>
      </c>
      <c r="W743" s="183" t="s">
        <v>2003</v>
      </c>
      <c r="X743" s="183" t="s">
        <v>181</v>
      </c>
      <c r="Y743" s="186" t="str">
        <f>INDEX(info!$Y$2:$Y$192,MATCH(phc_8[[#This Row],[Sub_Category]],info!$X$2:$X$192,0))</f>
        <v>Chronic medical disease</v>
      </c>
      <c r="Z743" s="186" t="str">
        <f t="array" ref="Z743">INDEX(info!$AA$2:$AA$192,MATCH(PHC!$X743&amp;PHC!$Y743,info!$X$2:$X$192&amp;info!$Y$2:$Y$192,0))</f>
        <v>Non-communicable disease</v>
      </c>
      <c r="AA743" s="183" t="s">
        <v>4866</v>
      </c>
      <c r="AB743" s="9" t="s">
        <v>654</v>
      </c>
      <c r="AC743" s="9" t="s">
        <v>654</v>
      </c>
      <c r="AD743" s="9" t="s">
        <v>654</v>
      </c>
      <c r="AE743" s="9" t="s">
        <v>654</v>
      </c>
      <c r="AF743" s="184"/>
      <c r="AG743" s="183"/>
      <c r="AH743" s="183"/>
      <c r="AI743" s="183"/>
      <c r="AJ743" s="183"/>
      <c r="AK743" s="183"/>
      <c r="AL743" s="183"/>
      <c r="AM743" s="186" t="str">
        <f>IF(AF743="","","Q"&amp;INT((MONTH(AF743)-1)/3)+1&amp;YEAR(AF743)&amp;#REF!&amp;T743)</f>
        <v/>
      </c>
      <c r="AN743" s="186" t="e">
        <f>IF(K743="","","Q"&amp;INT((MONTH(K743)-1)/3)+1&amp;YEAR(K743)&amp;#REF!)</f>
        <v>#REF!</v>
      </c>
    </row>
    <row r="744" spans="1:40" ht="20.100000000000001" customHeight="1" x14ac:dyDescent="0.25">
      <c r="A744" s="8">
        <v>742</v>
      </c>
      <c r="B744" s="8" t="s">
        <v>399</v>
      </c>
      <c r="C744" s="8" t="s">
        <v>1997</v>
      </c>
      <c r="D744" s="8" t="s">
        <v>2416</v>
      </c>
      <c r="E744" s="182" t="s">
        <v>1998</v>
      </c>
      <c r="F744" s="183" t="s">
        <v>2222</v>
      </c>
      <c r="G744" s="183"/>
      <c r="H744" s="183" t="s">
        <v>4648</v>
      </c>
      <c r="I744" s="183" t="s">
        <v>579</v>
      </c>
      <c r="J744" s="183"/>
      <c r="K744" s="184">
        <v>46070</v>
      </c>
      <c r="L744" s="183">
        <v>73</v>
      </c>
      <c r="M744" s="185" t="str">
        <f>IF(phc_8[[#This Row],[Register No.]]="","",C744&amp;"-"&amp;D744&amp;"-"&amp;"BHA-PHC-"&amp;phc_8[[#This Row],[Register No.]])</f>
        <v>Shining Star-Mobile Clinic-BHA-PHC-73</v>
      </c>
      <c r="N744" s="9" t="s">
        <v>401</v>
      </c>
      <c r="O744" s="183" t="s">
        <v>4848</v>
      </c>
      <c r="P744" s="183">
        <v>17</v>
      </c>
      <c r="Q744" s="183"/>
      <c r="R744" s="183"/>
      <c r="S744" s="186" t="str">
        <f t="shared" si="28"/>
        <v>15 - 18 yrs</v>
      </c>
      <c r="T744" s="183" t="s">
        <v>603</v>
      </c>
      <c r="U744" s="183"/>
      <c r="V744" s="183" t="s">
        <v>4855</v>
      </c>
      <c r="W744" s="183" t="s">
        <v>218</v>
      </c>
      <c r="X744" s="183" t="s">
        <v>218</v>
      </c>
      <c r="Y744" s="186" t="str">
        <f>INDEX(info!$Y$2:$Y$192,MATCH(phc_8[[#This Row],[Sub_Category]],info!$X$2:$X$192,0))</f>
        <v>Genito-urinary diseases</v>
      </c>
      <c r="Z744" s="186" t="str">
        <f t="array" ref="Z744">INDEX(info!$AA$2:$AA$192,MATCH(PHC!$X744&amp;PHC!$Y744,info!$X$2:$X$192&amp;info!$Y$2:$Y$192,0))</f>
        <v>Communicable disease</v>
      </c>
      <c r="AA744" s="183" t="s">
        <v>4867</v>
      </c>
      <c r="AB744" s="9" t="s">
        <v>654</v>
      </c>
      <c r="AC744" s="9" t="s">
        <v>654</v>
      </c>
      <c r="AD744" s="9" t="s">
        <v>654</v>
      </c>
      <c r="AE744" s="9" t="s">
        <v>654</v>
      </c>
      <c r="AF744" s="184"/>
      <c r="AG744" s="183"/>
      <c r="AH744" s="183"/>
      <c r="AI744" s="183"/>
      <c r="AJ744" s="183"/>
      <c r="AK744" s="183"/>
      <c r="AL744" s="183"/>
      <c r="AM744" s="186" t="str">
        <f>IF(AF744="","","Q"&amp;INT((MONTH(AF744)-1)/3)+1&amp;YEAR(AF744)&amp;#REF!&amp;T744)</f>
        <v/>
      </c>
      <c r="AN744" s="186" t="e">
        <f>IF(K744="","","Q"&amp;INT((MONTH(K744)-1)/3)+1&amp;YEAR(K744)&amp;#REF!)</f>
        <v>#REF!</v>
      </c>
    </row>
    <row r="745" spans="1:40" ht="20.100000000000001" customHeight="1" x14ac:dyDescent="0.25">
      <c r="A745" s="8">
        <v>743</v>
      </c>
      <c r="B745" s="8" t="s">
        <v>399</v>
      </c>
      <c r="C745" s="8" t="s">
        <v>1997</v>
      </c>
      <c r="D745" s="8" t="s">
        <v>2416</v>
      </c>
      <c r="E745" s="182" t="s">
        <v>1998</v>
      </c>
      <c r="F745" s="183" t="s">
        <v>2222</v>
      </c>
      <c r="G745" s="183"/>
      <c r="H745" s="183" t="s">
        <v>4648</v>
      </c>
      <c r="I745" s="183" t="s">
        <v>579</v>
      </c>
      <c r="J745" s="183"/>
      <c r="K745" s="184">
        <v>46070</v>
      </c>
      <c r="L745" s="183">
        <v>74</v>
      </c>
      <c r="M745" s="185" t="str">
        <f>IF(phc_8[[#This Row],[Register No.]]="","",C745&amp;"-"&amp;D745&amp;"-"&amp;"BHA-PHC-"&amp;phc_8[[#This Row],[Register No.]])</f>
        <v>Shining Star-Mobile Clinic-BHA-PHC-74</v>
      </c>
      <c r="N745" s="9" t="s">
        <v>401</v>
      </c>
      <c r="O745" s="183" t="s">
        <v>3306</v>
      </c>
      <c r="P745" s="183">
        <v>46</v>
      </c>
      <c r="Q745" s="183"/>
      <c r="R745" s="183"/>
      <c r="S745" s="186" t="str">
        <f t="shared" si="28"/>
        <v>19 - 49 yrs</v>
      </c>
      <c r="T745" s="183" t="s">
        <v>402</v>
      </c>
      <c r="U745" s="183"/>
      <c r="V745" s="183" t="s">
        <v>4856</v>
      </c>
      <c r="W745" s="183" t="s">
        <v>2014</v>
      </c>
      <c r="X745" s="183" t="s">
        <v>2014</v>
      </c>
      <c r="Y745" s="186" t="str">
        <f>INDEX(info!$Y$2:$Y$192,MATCH(phc_8[[#This Row],[Sub_Category]],info!$X$2:$X$192,0))</f>
        <v>Other (non-communicable)</v>
      </c>
      <c r="Z745" s="186" t="str">
        <f t="array" ref="Z745">INDEX(info!$AA$2:$AA$192,MATCH(PHC!$X745&amp;PHC!$Y745,info!$X$2:$X$192&amp;info!$Y$2:$Y$192,0))</f>
        <v>Other</v>
      </c>
      <c r="AA745" s="183" t="s">
        <v>4868</v>
      </c>
      <c r="AB745" s="9" t="s">
        <v>654</v>
      </c>
      <c r="AC745" s="9" t="s">
        <v>654</v>
      </c>
      <c r="AD745" s="9" t="s">
        <v>654</v>
      </c>
      <c r="AE745" s="9" t="s">
        <v>654</v>
      </c>
      <c r="AF745" s="184"/>
      <c r="AG745" s="183"/>
      <c r="AH745" s="183"/>
      <c r="AI745" s="183"/>
      <c r="AJ745" s="183"/>
      <c r="AK745" s="183"/>
      <c r="AL745" s="183"/>
      <c r="AM745" s="186" t="str">
        <f>IF(AF745="","","Q"&amp;INT((MONTH(AF745)-1)/3)+1&amp;YEAR(AF745)&amp;#REF!&amp;T745)</f>
        <v/>
      </c>
      <c r="AN745" s="186" t="e">
        <f>IF(K745="","","Q"&amp;INT((MONTH(K745)-1)/3)+1&amp;YEAR(K745)&amp;#REF!)</f>
        <v>#REF!</v>
      </c>
    </row>
    <row r="746" spans="1:40" ht="20.100000000000001" customHeight="1" x14ac:dyDescent="0.25">
      <c r="A746" s="8">
        <v>744</v>
      </c>
      <c r="B746" s="8" t="s">
        <v>399</v>
      </c>
      <c r="C746" s="8" t="s">
        <v>1997</v>
      </c>
      <c r="D746" s="8" t="s">
        <v>2416</v>
      </c>
      <c r="E746" s="182" t="s">
        <v>1998</v>
      </c>
      <c r="F746" s="183" t="s">
        <v>2222</v>
      </c>
      <c r="G746" s="183"/>
      <c r="H746" s="183" t="s">
        <v>4648</v>
      </c>
      <c r="I746" s="183" t="s">
        <v>579</v>
      </c>
      <c r="J746" s="183"/>
      <c r="K746" s="184">
        <v>46070</v>
      </c>
      <c r="L746" s="183">
        <v>75</v>
      </c>
      <c r="M746" s="185" t="str">
        <f>IF(phc_8[[#This Row],[Register No.]]="","",C746&amp;"-"&amp;D746&amp;"-"&amp;"BHA-PHC-"&amp;phc_8[[#This Row],[Register No.]])</f>
        <v>Shining Star-Mobile Clinic-BHA-PHC-75</v>
      </c>
      <c r="N746" s="9" t="s">
        <v>401</v>
      </c>
      <c r="O746" s="183" t="s">
        <v>4849</v>
      </c>
      <c r="P746" s="183">
        <v>51</v>
      </c>
      <c r="Q746" s="183"/>
      <c r="R746" s="183"/>
      <c r="S746" s="186" t="str">
        <f t="shared" si="28"/>
        <v>50 yrs +</v>
      </c>
      <c r="T746" s="183" t="s">
        <v>603</v>
      </c>
      <c r="U746" s="183"/>
      <c r="V746" s="183" t="s">
        <v>2200</v>
      </c>
      <c r="W746" s="183" t="s">
        <v>4860</v>
      </c>
      <c r="X746" s="183" t="s">
        <v>222</v>
      </c>
      <c r="Y746" s="186" t="str">
        <f>INDEX(info!$Y$2:$Y$192,MATCH(phc_8[[#This Row],[Sub_Category]],info!$X$2:$X$192,0))</f>
        <v>Genito-urinary diseases</v>
      </c>
      <c r="Z746" s="186" t="str">
        <f t="array" ref="Z746">INDEX(info!$AA$2:$AA$192,MATCH(PHC!$X746&amp;PHC!$Y746,info!$X$2:$X$192&amp;info!$Y$2:$Y$192,0))</f>
        <v>Non-communicable disease</v>
      </c>
      <c r="AA746" s="183" t="s">
        <v>2192</v>
      </c>
      <c r="AB746" s="9" t="s">
        <v>654</v>
      </c>
      <c r="AC746" s="9" t="s">
        <v>654</v>
      </c>
      <c r="AD746" s="9" t="s">
        <v>654</v>
      </c>
      <c r="AE746" s="9" t="s">
        <v>654</v>
      </c>
      <c r="AF746" s="184"/>
      <c r="AG746" s="183"/>
      <c r="AH746" s="183"/>
      <c r="AI746" s="183"/>
      <c r="AJ746" s="183"/>
      <c r="AK746" s="183"/>
      <c r="AL746" s="183"/>
      <c r="AM746" s="186" t="str">
        <f>IF(AF746="","","Q"&amp;INT((MONTH(AF746)-1)/3)+1&amp;YEAR(AF746)&amp;#REF!&amp;T746)</f>
        <v/>
      </c>
      <c r="AN746" s="186" t="e">
        <f>IF(K746="","","Q"&amp;INT((MONTH(K746)-1)/3)+1&amp;YEAR(K746)&amp;#REF!)</f>
        <v>#REF!</v>
      </c>
    </row>
    <row r="747" spans="1:40" ht="20.100000000000001" customHeight="1" x14ac:dyDescent="0.25">
      <c r="A747" s="8">
        <v>745</v>
      </c>
      <c r="B747" s="8" t="s">
        <v>399</v>
      </c>
      <c r="C747" s="8" t="s">
        <v>1997</v>
      </c>
      <c r="D747" s="8" t="s">
        <v>2416</v>
      </c>
      <c r="E747" s="182" t="s">
        <v>1998</v>
      </c>
      <c r="F747" s="183" t="s">
        <v>2222</v>
      </c>
      <c r="G747" s="183"/>
      <c r="H747" s="183" t="s">
        <v>4648</v>
      </c>
      <c r="I747" s="183" t="s">
        <v>579</v>
      </c>
      <c r="J747" s="183"/>
      <c r="K747" s="184">
        <v>46070</v>
      </c>
      <c r="L747" s="183">
        <v>76</v>
      </c>
      <c r="M747" s="185" t="str">
        <f>IF(phc_8[[#This Row],[Register No.]]="","",C747&amp;"-"&amp;D747&amp;"-"&amp;"BHA-PHC-"&amp;phc_8[[#This Row],[Register No.]])</f>
        <v>Shining Star-Mobile Clinic-BHA-PHC-76</v>
      </c>
      <c r="N747" s="9" t="s">
        <v>401</v>
      </c>
      <c r="O747" s="183" t="s">
        <v>4751</v>
      </c>
      <c r="P747" s="183">
        <v>55</v>
      </c>
      <c r="Q747" s="183"/>
      <c r="R747" s="183"/>
      <c r="S747" s="186" t="str">
        <f t="shared" si="28"/>
        <v>50 yrs +</v>
      </c>
      <c r="T747" s="183" t="s">
        <v>603</v>
      </c>
      <c r="U747" s="183"/>
      <c r="V747" s="183" t="s">
        <v>4875</v>
      </c>
      <c r="W747" s="183" t="s">
        <v>2175</v>
      </c>
      <c r="X747" s="183" t="s">
        <v>242</v>
      </c>
      <c r="Y747" s="186" t="str">
        <f>INDEX(info!$Y$2:$Y$192,MATCH(phc_8[[#This Row],[Sub_Category]],info!$X$2:$X$192,0))</f>
        <v>Accident/minor sugical and injuries</v>
      </c>
      <c r="Z747" s="186" t="str">
        <f t="array" ref="Z747">INDEX(info!$AA$2:$AA$192,MATCH(PHC!$X747&amp;PHC!$Y747,info!$X$2:$X$192&amp;info!$Y$2:$Y$192,0))</f>
        <v>Injury related</v>
      </c>
      <c r="AA747" s="183" t="s">
        <v>4881</v>
      </c>
      <c r="AB747" s="9" t="s">
        <v>654</v>
      </c>
      <c r="AC747" s="9" t="s">
        <v>654</v>
      </c>
      <c r="AD747" s="9" t="s">
        <v>654</v>
      </c>
      <c r="AE747" s="9" t="s">
        <v>654</v>
      </c>
      <c r="AF747" s="184"/>
      <c r="AG747" s="183"/>
      <c r="AH747" s="183"/>
      <c r="AI747" s="183"/>
      <c r="AJ747" s="183"/>
      <c r="AK747" s="183"/>
      <c r="AL747" s="183"/>
      <c r="AM747" s="186" t="str">
        <f>IF(AF747="","","Q"&amp;INT((MONTH(AF747)-1)/3)+1&amp;YEAR(AF747)&amp;#REF!&amp;T747)</f>
        <v/>
      </c>
      <c r="AN747" s="186" t="e">
        <f>IF(K747="","","Q"&amp;INT((MONTH(K747)-1)/3)+1&amp;YEAR(K747)&amp;#REF!)</f>
        <v>#REF!</v>
      </c>
    </row>
    <row r="748" spans="1:40" ht="20.100000000000001" customHeight="1" x14ac:dyDescent="0.25">
      <c r="A748" s="8">
        <v>746</v>
      </c>
      <c r="B748" s="8" t="s">
        <v>399</v>
      </c>
      <c r="C748" s="8" t="s">
        <v>1997</v>
      </c>
      <c r="D748" s="8" t="s">
        <v>2416</v>
      </c>
      <c r="E748" s="182" t="s">
        <v>1998</v>
      </c>
      <c r="F748" s="183" t="s">
        <v>2222</v>
      </c>
      <c r="G748" s="183"/>
      <c r="H748" s="183" t="s">
        <v>4648</v>
      </c>
      <c r="I748" s="183" t="s">
        <v>579</v>
      </c>
      <c r="J748" s="183"/>
      <c r="K748" s="184">
        <v>46070</v>
      </c>
      <c r="L748" s="183">
        <v>77</v>
      </c>
      <c r="M748" s="185" t="str">
        <f>IF(phc_8[[#This Row],[Register No.]]="","",C748&amp;"-"&amp;D748&amp;"-"&amp;"BHA-PHC-"&amp;phc_8[[#This Row],[Register No.]])</f>
        <v>Shining Star-Mobile Clinic-BHA-PHC-77</v>
      </c>
      <c r="N748" s="9" t="s">
        <v>401</v>
      </c>
      <c r="O748" s="183" t="s">
        <v>3607</v>
      </c>
      <c r="P748" s="183">
        <v>55</v>
      </c>
      <c r="Q748" s="183"/>
      <c r="R748" s="183"/>
      <c r="S748" s="186" t="str">
        <f t="shared" si="28"/>
        <v>50 yrs +</v>
      </c>
      <c r="T748" s="183" t="s">
        <v>603</v>
      </c>
      <c r="U748" s="183"/>
      <c r="V748" s="183" t="s">
        <v>3366</v>
      </c>
      <c r="W748" s="183" t="s">
        <v>2059</v>
      </c>
      <c r="X748" s="183" t="s">
        <v>242</v>
      </c>
      <c r="Y748" s="186" t="str">
        <f>INDEX(info!$Y$2:$Y$192,MATCH(phc_8[[#This Row],[Sub_Category]],info!$X$2:$X$192,0))</f>
        <v>Accident/minor sugical and injuries</v>
      </c>
      <c r="Z748" s="186" t="str">
        <f t="array" ref="Z748">INDEX(info!$AA$2:$AA$192,MATCH(PHC!$X748&amp;PHC!$Y748,info!$X$2:$X$192&amp;info!$Y$2:$Y$192,0))</f>
        <v>Injury related</v>
      </c>
      <c r="AA748" s="183" t="s">
        <v>4882</v>
      </c>
      <c r="AB748" s="9" t="s">
        <v>654</v>
      </c>
      <c r="AC748" s="9" t="s">
        <v>654</v>
      </c>
      <c r="AD748" s="9" t="s">
        <v>654</v>
      </c>
      <c r="AE748" s="9" t="s">
        <v>654</v>
      </c>
      <c r="AF748" s="184"/>
      <c r="AG748" s="183"/>
      <c r="AH748" s="183"/>
      <c r="AI748" s="183"/>
      <c r="AJ748" s="183"/>
      <c r="AK748" s="183"/>
      <c r="AL748" s="183"/>
      <c r="AM748" s="186" t="str">
        <f>IF(AF748="","","Q"&amp;INT((MONTH(AF748)-1)/3)+1&amp;YEAR(AF748)&amp;#REF!&amp;T748)</f>
        <v/>
      </c>
      <c r="AN748" s="186" t="e">
        <f>IF(K748="","","Q"&amp;INT((MONTH(K748)-1)/3)+1&amp;YEAR(K748)&amp;#REF!)</f>
        <v>#REF!</v>
      </c>
    </row>
    <row r="749" spans="1:40" ht="20.100000000000001" customHeight="1" x14ac:dyDescent="0.25">
      <c r="A749" s="8">
        <v>747</v>
      </c>
      <c r="B749" s="8" t="s">
        <v>399</v>
      </c>
      <c r="C749" s="8" t="s">
        <v>1997</v>
      </c>
      <c r="D749" s="8" t="s">
        <v>2416</v>
      </c>
      <c r="E749" s="182" t="s">
        <v>1998</v>
      </c>
      <c r="F749" s="183" t="s">
        <v>2222</v>
      </c>
      <c r="G749" s="183"/>
      <c r="H749" s="183" t="s">
        <v>4648</v>
      </c>
      <c r="I749" s="183" t="s">
        <v>579</v>
      </c>
      <c r="J749" s="183"/>
      <c r="K749" s="184">
        <v>46070</v>
      </c>
      <c r="L749" s="183">
        <v>78</v>
      </c>
      <c r="M749" s="185" t="str">
        <f>IF(phc_8[[#This Row],[Register No.]]="","",C749&amp;"-"&amp;D749&amp;"-"&amp;"BHA-PHC-"&amp;phc_8[[#This Row],[Register No.]])</f>
        <v>Shining Star-Mobile Clinic-BHA-PHC-78</v>
      </c>
      <c r="N749" s="9" t="s">
        <v>401</v>
      </c>
      <c r="O749" s="183" t="s">
        <v>4869</v>
      </c>
      <c r="P749" s="183">
        <v>67</v>
      </c>
      <c r="Q749" s="183"/>
      <c r="R749" s="183"/>
      <c r="S749" s="186" t="str">
        <f t="shared" si="28"/>
        <v>50 yrs +</v>
      </c>
      <c r="T749" s="183" t="s">
        <v>603</v>
      </c>
      <c r="U749" s="183"/>
      <c r="V749" s="183" t="s">
        <v>4876</v>
      </c>
      <c r="W749" s="183" t="s">
        <v>2003</v>
      </c>
      <c r="X749" s="183" t="s">
        <v>181</v>
      </c>
      <c r="Y749" s="186" t="str">
        <f>INDEX(info!$Y$2:$Y$192,MATCH(phc_8[[#This Row],[Sub_Category]],info!$X$2:$X$192,0))</f>
        <v>Chronic medical disease</v>
      </c>
      <c r="Z749" s="186" t="str">
        <f t="array" ref="Z749">INDEX(info!$AA$2:$AA$192,MATCH(PHC!$X749&amp;PHC!$Y749,info!$X$2:$X$192&amp;info!$Y$2:$Y$192,0))</f>
        <v>Non-communicable disease</v>
      </c>
      <c r="AA749" s="183" t="s">
        <v>4883</v>
      </c>
      <c r="AB749" s="9" t="s">
        <v>654</v>
      </c>
      <c r="AC749" s="9" t="s">
        <v>654</v>
      </c>
      <c r="AD749" s="9" t="s">
        <v>654</v>
      </c>
      <c r="AE749" s="9" t="s">
        <v>654</v>
      </c>
      <c r="AF749" s="184"/>
      <c r="AG749" s="183"/>
      <c r="AH749" s="183"/>
      <c r="AI749" s="183"/>
      <c r="AJ749" s="183"/>
      <c r="AK749" s="183"/>
      <c r="AL749" s="183"/>
      <c r="AM749" s="186" t="str">
        <f>IF(AF749="","","Q"&amp;INT((MONTH(AF749)-1)/3)+1&amp;YEAR(AF749)&amp;#REF!&amp;T749)</f>
        <v/>
      </c>
      <c r="AN749" s="186" t="e">
        <f>IF(K749="","","Q"&amp;INT((MONTH(K749)-1)/3)+1&amp;YEAR(K749)&amp;#REF!)</f>
        <v>#REF!</v>
      </c>
    </row>
    <row r="750" spans="1:40" ht="20.100000000000001" customHeight="1" x14ac:dyDescent="0.25">
      <c r="A750" s="8">
        <v>748</v>
      </c>
      <c r="B750" s="8" t="s">
        <v>399</v>
      </c>
      <c r="C750" s="8" t="s">
        <v>1997</v>
      </c>
      <c r="D750" s="8" t="s">
        <v>2416</v>
      </c>
      <c r="E750" s="182" t="s">
        <v>1998</v>
      </c>
      <c r="F750" s="183" t="s">
        <v>2222</v>
      </c>
      <c r="G750" s="183"/>
      <c r="H750" s="183" t="s">
        <v>4648</v>
      </c>
      <c r="I750" s="183" t="s">
        <v>579</v>
      </c>
      <c r="J750" s="183"/>
      <c r="K750" s="184">
        <v>46070</v>
      </c>
      <c r="L750" s="183">
        <v>79</v>
      </c>
      <c r="M750" s="185" t="str">
        <f>IF(phc_8[[#This Row],[Register No.]]="","",C750&amp;"-"&amp;D750&amp;"-"&amp;"BHA-PHC-"&amp;phc_8[[#This Row],[Register No.]])</f>
        <v>Shining Star-Mobile Clinic-BHA-PHC-79</v>
      </c>
      <c r="N750" s="9" t="s">
        <v>401</v>
      </c>
      <c r="O750" s="183" t="s">
        <v>4870</v>
      </c>
      <c r="P750" s="183">
        <v>64</v>
      </c>
      <c r="Q750" s="183"/>
      <c r="R750" s="183"/>
      <c r="S750" s="186" t="str">
        <f t="shared" si="28"/>
        <v>50 yrs +</v>
      </c>
      <c r="T750" s="183" t="s">
        <v>603</v>
      </c>
      <c r="U750" s="183"/>
      <c r="V750" s="183" t="s">
        <v>4877</v>
      </c>
      <c r="W750" s="183" t="s">
        <v>2003</v>
      </c>
      <c r="X750" s="183" t="s">
        <v>181</v>
      </c>
      <c r="Y750" s="186" t="str">
        <f>INDEX(info!$Y$2:$Y$192,MATCH(phc_8[[#This Row],[Sub_Category]],info!$X$2:$X$192,0))</f>
        <v>Chronic medical disease</v>
      </c>
      <c r="Z750" s="186" t="str">
        <f t="array" ref="Z750">INDEX(info!$AA$2:$AA$192,MATCH(PHC!$X750&amp;PHC!$Y750,info!$X$2:$X$192&amp;info!$Y$2:$Y$192,0))</f>
        <v>Non-communicable disease</v>
      </c>
      <c r="AA750" s="183" t="s">
        <v>4888</v>
      </c>
      <c r="AB750" s="9" t="s">
        <v>654</v>
      </c>
      <c r="AC750" s="9" t="s">
        <v>654</v>
      </c>
      <c r="AD750" s="9" t="s">
        <v>654</v>
      </c>
      <c r="AE750" s="9" t="s">
        <v>654</v>
      </c>
      <c r="AF750" s="184"/>
      <c r="AG750" s="183"/>
      <c r="AH750" s="183"/>
      <c r="AI750" s="183"/>
      <c r="AJ750" s="183"/>
      <c r="AK750" s="183"/>
      <c r="AL750" s="183"/>
      <c r="AM750" s="186" t="str">
        <f>IF(AF750="","","Q"&amp;INT((MONTH(AF750)-1)/3)+1&amp;YEAR(AF750)&amp;#REF!&amp;T750)</f>
        <v/>
      </c>
      <c r="AN750" s="186" t="e">
        <f>IF(K750="","","Q"&amp;INT((MONTH(K750)-1)/3)+1&amp;YEAR(K750)&amp;#REF!)</f>
        <v>#REF!</v>
      </c>
    </row>
    <row r="751" spans="1:40" ht="20.100000000000001" customHeight="1" x14ac:dyDescent="0.25">
      <c r="A751" s="8">
        <v>749</v>
      </c>
      <c r="B751" s="8" t="s">
        <v>399</v>
      </c>
      <c r="C751" s="8" t="s">
        <v>1997</v>
      </c>
      <c r="D751" s="8" t="s">
        <v>2416</v>
      </c>
      <c r="E751" s="182" t="s">
        <v>1998</v>
      </c>
      <c r="F751" s="183" t="s">
        <v>2222</v>
      </c>
      <c r="G751" s="183"/>
      <c r="H751" s="183" t="s">
        <v>4648</v>
      </c>
      <c r="I751" s="183" t="s">
        <v>579</v>
      </c>
      <c r="J751" s="183"/>
      <c r="K751" s="184">
        <v>46070</v>
      </c>
      <c r="L751" s="183">
        <v>80</v>
      </c>
      <c r="M751" s="185" t="str">
        <f>IF(phc_8[[#This Row],[Register No.]]="","",C751&amp;"-"&amp;D751&amp;"-"&amp;"BHA-PHC-"&amp;phc_8[[#This Row],[Register No.]])</f>
        <v>Shining Star-Mobile Clinic-BHA-PHC-80</v>
      </c>
      <c r="N751" s="9" t="s">
        <v>401</v>
      </c>
      <c r="O751" s="183" t="s">
        <v>4871</v>
      </c>
      <c r="P751" s="183">
        <v>37</v>
      </c>
      <c r="Q751" s="183"/>
      <c r="R751" s="183"/>
      <c r="S751" s="186" t="str">
        <f t="shared" si="28"/>
        <v>19 - 49 yrs</v>
      </c>
      <c r="T751" s="183" t="s">
        <v>603</v>
      </c>
      <c r="U751" s="183"/>
      <c r="V751" s="183" t="s">
        <v>4878</v>
      </c>
      <c r="W751" s="183" t="s">
        <v>4565</v>
      </c>
      <c r="X751" s="183" t="s">
        <v>242</v>
      </c>
      <c r="Y751" s="186" t="str">
        <f>INDEX(info!$Y$2:$Y$192,MATCH(phc_8[[#This Row],[Sub_Category]],info!$X$2:$X$192,0))</f>
        <v>Accident/minor sugical and injuries</v>
      </c>
      <c r="Z751" s="186" t="str">
        <f t="array" ref="Z751">INDEX(info!$AA$2:$AA$192,MATCH(PHC!$X751&amp;PHC!$Y751,info!$X$2:$X$192&amp;info!$Y$2:$Y$192,0))</f>
        <v>Injury related</v>
      </c>
      <c r="AA751" s="183" t="s">
        <v>4884</v>
      </c>
      <c r="AB751" s="9" t="s">
        <v>654</v>
      </c>
      <c r="AC751" s="9" t="s">
        <v>654</v>
      </c>
      <c r="AD751" s="9" t="s">
        <v>654</v>
      </c>
      <c r="AE751" s="9" t="s">
        <v>654</v>
      </c>
      <c r="AF751" s="184"/>
      <c r="AG751" s="183"/>
      <c r="AH751" s="183"/>
      <c r="AI751" s="183"/>
      <c r="AJ751" s="183"/>
      <c r="AK751" s="183"/>
      <c r="AL751" s="183"/>
      <c r="AM751" s="186" t="str">
        <f>IF(AF751="","","Q"&amp;INT((MONTH(AF751)-1)/3)+1&amp;YEAR(AF751)&amp;#REF!&amp;T751)</f>
        <v/>
      </c>
      <c r="AN751" s="186" t="e">
        <f>IF(K751="","","Q"&amp;INT((MONTH(K751)-1)/3)+1&amp;YEAR(K751)&amp;#REF!)</f>
        <v>#REF!</v>
      </c>
    </row>
    <row r="752" spans="1:40" ht="20.100000000000001" customHeight="1" x14ac:dyDescent="0.25">
      <c r="A752" s="8">
        <v>750</v>
      </c>
      <c r="B752" s="8" t="s">
        <v>399</v>
      </c>
      <c r="C752" s="8" t="s">
        <v>1997</v>
      </c>
      <c r="D752" s="8" t="s">
        <v>2416</v>
      </c>
      <c r="E752" s="182" t="s">
        <v>1998</v>
      </c>
      <c r="F752" s="183" t="s">
        <v>2222</v>
      </c>
      <c r="G752" s="183"/>
      <c r="H752" s="183" t="s">
        <v>4648</v>
      </c>
      <c r="I752" s="183" t="s">
        <v>579</v>
      </c>
      <c r="J752" s="183"/>
      <c r="K752" s="184">
        <v>46070</v>
      </c>
      <c r="L752" s="183">
        <v>81</v>
      </c>
      <c r="M752" s="185" t="str">
        <f>IF(phc_8[[#This Row],[Register No.]]="","",C752&amp;"-"&amp;D752&amp;"-"&amp;"BHA-PHC-"&amp;phc_8[[#This Row],[Register No.]])</f>
        <v>Shining Star-Mobile Clinic-BHA-PHC-81</v>
      </c>
      <c r="N752" s="9" t="s">
        <v>401</v>
      </c>
      <c r="O752" s="183" t="s">
        <v>4872</v>
      </c>
      <c r="P752" s="183">
        <v>73</v>
      </c>
      <c r="Q752" s="183"/>
      <c r="R752" s="183"/>
      <c r="S752" s="186" t="str">
        <f t="shared" si="28"/>
        <v>50 yrs +</v>
      </c>
      <c r="T752" s="183" t="s">
        <v>603</v>
      </c>
      <c r="U752" s="183"/>
      <c r="V752" s="183" t="s">
        <v>4879</v>
      </c>
      <c r="W752" s="183" t="s">
        <v>4565</v>
      </c>
      <c r="X752" s="183" t="s">
        <v>242</v>
      </c>
      <c r="Y752" s="186" t="str">
        <f>INDEX(info!$Y$2:$Y$192,MATCH(phc_8[[#This Row],[Sub_Category]],info!$X$2:$X$192,0))</f>
        <v>Accident/minor sugical and injuries</v>
      </c>
      <c r="Z752" s="186" t="str">
        <f t="array" ref="Z752">INDEX(info!$AA$2:$AA$192,MATCH(PHC!$X752&amp;PHC!$Y752,info!$X$2:$X$192&amp;info!$Y$2:$Y$192,0))</f>
        <v>Injury related</v>
      </c>
      <c r="AA752" s="183" t="s">
        <v>4885</v>
      </c>
      <c r="AB752" s="9" t="s">
        <v>654</v>
      </c>
      <c r="AC752" s="9" t="s">
        <v>654</v>
      </c>
      <c r="AD752" s="9" t="s">
        <v>654</v>
      </c>
      <c r="AE752" s="9" t="s">
        <v>654</v>
      </c>
      <c r="AF752" s="184"/>
      <c r="AG752" s="183"/>
      <c r="AH752" s="183"/>
      <c r="AI752" s="183"/>
      <c r="AJ752" s="183"/>
      <c r="AK752" s="183"/>
      <c r="AL752" s="183"/>
      <c r="AM752" s="186" t="str">
        <f>IF(AF752="","","Q"&amp;INT((MONTH(AF752)-1)/3)+1&amp;YEAR(AF752)&amp;#REF!&amp;T752)</f>
        <v/>
      </c>
      <c r="AN752" s="186" t="e">
        <f>IF(K752="","","Q"&amp;INT((MONTH(K752)-1)/3)+1&amp;YEAR(K752)&amp;#REF!)</f>
        <v>#REF!</v>
      </c>
    </row>
    <row r="753" spans="1:40" ht="20.100000000000001" customHeight="1" x14ac:dyDescent="0.25">
      <c r="A753" s="8">
        <v>751</v>
      </c>
      <c r="B753" s="8" t="s">
        <v>399</v>
      </c>
      <c r="C753" s="8" t="s">
        <v>1997</v>
      </c>
      <c r="D753" s="8" t="s">
        <v>2416</v>
      </c>
      <c r="E753" s="182" t="s">
        <v>1998</v>
      </c>
      <c r="F753" s="183" t="s">
        <v>2222</v>
      </c>
      <c r="G753" s="183"/>
      <c r="H753" s="183" t="s">
        <v>4648</v>
      </c>
      <c r="I753" s="183" t="s">
        <v>579</v>
      </c>
      <c r="J753" s="183"/>
      <c r="K753" s="184">
        <v>46070</v>
      </c>
      <c r="L753" s="183">
        <v>82</v>
      </c>
      <c r="M753" s="185" t="str">
        <f>IF(phc_8[[#This Row],[Register No.]]="","",C753&amp;"-"&amp;D753&amp;"-"&amp;"BHA-PHC-"&amp;phc_8[[#This Row],[Register No.]])</f>
        <v>Shining Star-Mobile Clinic-BHA-PHC-82</v>
      </c>
      <c r="N753" s="9" t="s">
        <v>401</v>
      </c>
      <c r="O753" s="183" t="s">
        <v>4873</v>
      </c>
      <c r="P753" s="183">
        <v>56</v>
      </c>
      <c r="Q753" s="183"/>
      <c r="R753" s="183"/>
      <c r="S753" s="186" t="str">
        <f t="shared" ref="S753:S773" si="29">IF(AND(ISBLANK(P753),ISBLANK(Q753),ISBLANK(R753))," ",
IF(OR(P753&lt;5,AND(P753=" ",Q753&lt;&gt;" ",R753&lt;&gt;" ")),"&lt;5 yrs",
IF(AND(P753&gt;=5,P753&lt;=14),"5 - 14 yrs",
IF(AND(P753&gt;=15,P753&lt;=18),"15 - 18 yrs",
IF(AND(P753&gt;=19,P753&lt;=49),"19 - 49 yrs","50 yrs +")))))</f>
        <v>50 yrs +</v>
      </c>
      <c r="T753" s="183" t="s">
        <v>603</v>
      </c>
      <c r="U753" s="183"/>
      <c r="V753" s="183" t="s">
        <v>4880</v>
      </c>
      <c r="W753" s="183" t="s">
        <v>4530</v>
      </c>
      <c r="X753" s="183" t="s">
        <v>181</v>
      </c>
      <c r="Y753" s="186" t="str">
        <f>INDEX(info!$Y$2:$Y$192,MATCH(phc_8[[#This Row],[Sub_Category]],info!$X$2:$X$192,0))</f>
        <v>Chronic medical disease</v>
      </c>
      <c r="Z753" s="186" t="str">
        <f t="array" ref="Z753">INDEX(info!$AA$2:$AA$192,MATCH(PHC!$X753&amp;PHC!$Y753,info!$X$2:$X$192&amp;info!$Y$2:$Y$192,0))</f>
        <v>Non-communicable disease</v>
      </c>
      <c r="AA753" s="183" t="s">
        <v>4719</v>
      </c>
      <c r="AB753" s="9" t="s">
        <v>654</v>
      </c>
      <c r="AC753" s="9" t="s">
        <v>654</v>
      </c>
      <c r="AD753" s="9" t="s">
        <v>654</v>
      </c>
      <c r="AE753" s="9" t="s">
        <v>654</v>
      </c>
      <c r="AF753" s="184"/>
      <c r="AG753" s="183"/>
      <c r="AH753" s="183"/>
      <c r="AI753" s="183"/>
      <c r="AJ753" s="183"/>
      <c r="AK753" s="183"/>
      <c r="AL753" s="183"/>
      <c r="AM753" s="186" t="str">
        <f>IF(AF753="","","Q"&amp;INT((MONTH(AF753)-1)/3)+1&amp;YEAR(AF753)&amp;#REF!&amp;T753)</f>
        <v/>
      </c>
      <c r="AN753" s="186" t="e">
        <f>IF(K753="","","Q"&amp;INT((MONTH(K753)-1)/3)+1&amp;YEAR(K753)&amp;#REF!)</f>
        <v>#REF!</v>
      </c>
    </row>
    <row r="754" spans="1:40" ht="20.100000000000001" customHeight="1" x14ac:dyDescent="0.25">
      <c r="A754" s="8">
        <v>752</v>
      </c>
      <c r="B754" s="8" t="s">
        <v>399</v>
      </c>
      <c r="C754" s="8" t="s">
        <v>1997</v>
      </c>
      <c r="D754" s="8" t="s">
        <v>2416</v>
      </c>
      <c r="E754" s="182" t="s">
        <v>1998</v>
      </c>
      <c r="F754" s="183" t="s">
        <v>2222</v>
      </c>
      <c r="G754" s="183"/>
      <c r="H754" s="183" t="s">
        <v>4648</v>
      </c>
      <c r="I754" s="183" t="s">
        <v>579</v>
      </c>
      <c r="J754" s="183"/>
      <c r="K754" s="184">
        <v>46070</v>
      </c>
      <c r="L754" s="183">
        <v>83</v>
      </c>
      <c r="M754" s="185" t="str">
        <f>IF(phc_8[[#This Row],[Register No.]]="","",C754&amp;"-"&amp;D754&amp;"-"&amp;"BHA-PHC-"&amp;phc_8[[#This Row],[Register No.]])</f>
        <v>Shining Star-Mobile Clinic-BHA-PHC-83</v>
      </c>
      <c r="N754" s="9" t="s">
        <v>401</v>
      </c>
      <c r="O754" s="183" t="s">
        <v>4874</v>
      </c>
      <c r="P754" s="183">
        <v>64</v>
      </c>
      <c r="Q754" s="183"/>
      <c r="R754" s="183"/>
      <c r="S754" s="186" t="str">
        <f t="shared" si="29"/>
        <v>50 yrs +</v>
      </c>
      <c r="T754" s="183" t="s">
        <v>603</v>
      </c>
      <c r="U754" s="183"/>
      <c r="V754" s="183" t="s">
        <v>2027</v>
      </c>
      <c r="W754" s="183" t="s">
        <v>3558</v>
      </c>
      <c r="X754" s="183" t="s">
        <v>195</v>
      </c>
      <c r="Y754" s="186" t="str">
        <f>INDEX(info!$Y$2:$Y$192,MATCH(phc_8[[#This Row],[Sub_Category]],info!$X$2:$X$192,0))</f>
        <v>Bacteria disease</v>
      </c>
      <c r="Z754" s="186" t="str">
        <f t="array" ref="Z754">INDEX(info!$AA$2:$AA$192,MATCH(PHC!$X754&amp;PHC!$Y754,info!$X$2:$X$192&amp;info!$Y$2:$Y$192,0))</f>
        <v>Communicable disease</v>
      </c>
      <c r="AA754" s="183" t="s">
        <v>4886</v>
      </c>
      <c r="AB754" s="9" t="s">
        <v>654</v>
      </c>
      <c r="AC754" s="9" t="s">
        <v>654</v>
      </c>
      <c r="AD754" s="9" t="s">
        <v>654</v>
      </c>
      <c r="AE754" s="9" t="s">
        <v>654</v>
      </c>
      <c r="AF754" s="184"/>
      <c r="AG754" s="183"/>
      <c r="AH754" s="183"/>
      <c r="AI754" s="183"/>
      <c r="AJ754" s="183"/>
      <c r="AK754" s="183"/>
      <c r="AL754" s="183"/>
      <c r="AM754" s="186" t="str">
        <f>IF(AF754="","","Q"&amp;INT((MONTH(AF754)-1)/3)+1&amp;YEAR(AF754)&amp;#REF!&amp;T754)</f>
        <v/>
      </c>
      <c r="AN754" s="186" t="e">
        <f>IF(K754="","","Q"&amp;INT((MONTH(K754)-1)/3)+1&amp;YEAR(K754)&amp;#REF!)</f>
        <v>#REF!</v>
      </c>
    </row>
    <row r="755" spans="1:40" ht="20.100000000000001" customHeight="1" x14ac:dyDescent="0.25">
      <c r="A755" s="8">
        <v>753</v>
      </c>
      <c r="B755" s="8" t="s">
        <v>399</v>
      </c>
      <c r="C755" s="8" t="s">
        <v>1997</v>
      </c>
      <c r="D755" s="8" t="s">
        <v>2416</v>
      </c>
      <c r="E755" s="182" t="s">
        <v>1998</v>
      </c>
      <c r="F755" s="183" t="s">
        <v>2222</v>
      </c>
      <c r="G755" s="183"/>
      <c r="H755" s="183" t="s">
        <v>4648</v>
      </c>
      <c r="I755" s="183" t="s">
        <v>579</v>
      </c>
      <c r="J755" s="183"/>
      <c r="K755" s="184">
        <v>46070</v>
      </c>
      <c r="L755" s="183">
        <v>84</v>
      </c>
      <c r="M755" s="185" t="str">
        <f>IF(phc_8[[#This Row],[Register No.]]="","",C755&amp;"-"&amp;D755&amp;"-"&amp;"BHA-PHC-"&amp;phc_8[[#This Row],[Register No.]])</f>
        <v>Shining Star-Mobile Clinic-BHA-PHC-84</v>
      </c>
      <c r="N755" s="9" t="s">
        <v>401</v>
      </c>
      <c r="O755" s="183" t="s">
        <v>3048</v>
      </c>
      <c r="P755" s="183">
        <v>36</v>
      </c>
      <c r="Q755" s="183"/>
      <c r="R755" s="183"/>
      <c r="S755" s="186" t="str">
        <f t="shared" si="29"/>
        <v>19 - 49 yrs</v>
      </c>
      <c r="T755" s="183" t="s">
        <v>603</v>
      </c>
      <c r="U755" s="183"/>
      <c r="V755" s="183" t="s">
        <v>3101</v>
      </c>
      <c r="W755" s="183" t="s">
        <v>3658</v>
      </c>
      <c r="X755" s="183" t="s">
        <v>27</v>
      </c>
      <c r="Y755" s="186" t="str">
        <f>INDEX(info!$Y$2:$Y$192,MATCH(phc_8[[#This Row],[Sub_Category]],info!$X$2:$X$192,0))</f>
        <v>Accident/minor sugical and injuries</v>
      </c>
      <c r="Z755" s="186" t="str">
        <f t="array" ref="Z755">INDEX(info!$AA$2:$AA$192,MATCH(PHC!$X755&amp;PHC!$Y755,info!$X$2:$X$192&amp;info!$Y$2:$Y$192,0))</f>
        <v>Communicable disease</v>
      </c>
      <c r="AA755" s="183" t="s">
        <v>4887</v>
      </c>
      <c r="AB755" s="9" t="s">
        <v>654</v>
      </c>
      <c r="AC755" s="9" t="s">
        <v>654</v>
      </c>
      <c r="AD755" s="9" t="s">
        <v>654</v>
      </c>
      <c r="AE755" s="9" t="s">
        <v>654</v>
      </c>
      <c r="AF755" s="184"/>
      <c r="AG755" s="183"/>
      <c r="AH755" s="183"/>
      <c r="AI755" s="183"/>
      <c r="AJ755" s="183"/>
      <c r="AK755" s="183"/>
      <c r="AL755" s="183"/>
      <c r="AM755" s="186" t="str">
        <f>IF(AF755="","","Q"&amp;INT((MONTH(AF755)-1)/3)+1&amp;YEAR(AF755)&amp;#REF!&amp;T755)</f>
        <v/>
      </c>
      <c r="AN755" s="186" t="e">
        <f>IF(K755="","","Q"&amp;INT((MONTH(K755)-1)/3)+1&amp;YEAR(K755)&amp;#REF!)</f>
        <v>#REF!</v>
      </c>
    </row>
    <row r="756" spans="1:40" ht="20.100000000000001" customHeight="1" x14ac:dyDescent="0.25">
      <c r="A756" s="8">
        <v>754</v>
      </c>
      <c r="B756" s="8" t="s">
        <v>399</v>
      </c>
      <c r="C756" s="8" t="s">
        <v>1997</v>
      </c>
      <c r="D756" s="8" t="s">
        <v>2416</v>
      </c>
      <c r="E756" s="182" t="s">
        <v>1998</v>
      </c>
      <c r="F756" s="183" t="s">
        <v>2254</v>
      </c>
      <c r="G756" s="183"/>
      <c r="H756" s="183" t="s">
        <v>4889</v>
      </c>
      <c r="I756" s="183" t="s">
        <v>579</v>
      </c>
      <c r="J756" s="183"/>
      <c r="K756" s="184">
        <v>46072</v>
      </c>
      <c r="L756" s="183">
        <v>1</v>
      </c>
      <c r="M756" s="185" t="str">
        <f>IF(phc_8[[#This Row],[Register No.]]="","",C756&amp;"-"&amp;D756&amp;"-"&amp;"BHA-PHC-"&amp;phc_8[[#This Row],[Register No.]])</f>
        <v>Shining Star-Mobile Clinic-BHA-PHC-1</v>
      </c>
      <c r="N756" s="9" t="s">
        <v>401</v>
      </c>
      <c r="O756" s="183" t="s">
        <v>4120</v>
      </c>
      <c r="P756" s="183">
        <v>58</v>
      </c>
      <c r="Q756" s="183"/>
      <c r="R756" s="183"/>
      <c r="S756" s="186" t="str">
        <f t="shared" si="29"/>
        <v>50 yrs +</v>
      </c>
      <c r="T756" s="183" t="s">
        <v>603</v>
      </c>
      <c r="U756" s="183"/>
      <c r="V756" s="183" t="s">
        <v>2147</v>
      </c>
      <c r="W756" s="183" t="s">
        <v>4059</v>
      </c>
      <c r="X756" s="183" t="s">
        <v>178</v>
      </c>
      <c r="Y756" s="186" t="str">
        <f>INDEX(info!$Y$2:$Y$192,MATCH(phc_8[[#This Row],[Sub_Category]],info!$X$2:$X$192,0))</f>
        <v>Chronic medical disease</v>
      </c>
      <c r="Z756" s="186" t="str">
        <f t="array" ref="Z756">INDEX(info!$AA$2:$AA$192,MATCH(PHC!$X756&amp;PHC!$Y756,info!$X$2:$X$192&amp;info!$Y$2:$Y$192,0))</f>
        <v>Non-communicable disease</v>
      </c>
      <c r="AA756" s="183" t="s">
        <v>4897</v>
      </c>
      <c r="AB756" s="9" t="s">
        <v>654</v>
      </c>
      <c r="AC756" s="9" t="s">
        <v>654</v>
      </c>
      <c r="AD756" s="9" t="s">
        <v>654</v>
      </c>
      <c r="AE756" s="9" t="s">
        <v>654</v>
      </c>
      <c r="AF756" s="184"/>
      <c r="AG756" s="183"/>
      <c r="AH756" s="183"/>
      <c r="AI756" s="183"/>
      <c r="AJ756" s="183"/>
      <c r="AK756" s="183"/>
      <c r="AL756" s="183"/>
      <c r="AM756" s="186" t="str">
        <f>IF(AF756="","","Q"&amp;INT((MONTH(AF756)-1)/3)+1&amp;YEAR(AF756)&amp;#REF!&amp;T756)</f>
        <v/>
      </c>
      <c r="AN756" s="186" t="e">
        <f>IF(K756="","","Q"&amp;INT((MONTH(K756)-1)/3)+1&amp;YEAR(K756)&amp;#REF!)</f>
        <v>#REF!</v>
      </c>
    </row>
    <row r="757" spans="1:40" ht="20.100000000000001" customHeight="1" x14ac:dyDescent="0.25">
      <c r="A757" s="8">
        <v>755</v>
      </c>
      <c r="B757" s="8" t="s">
        <v>399</v>
      </c>
      <c r="C757" s="8" t="s">
        <v>1997</v>
      </c>
      <c r="D757" s="8" t="s">
        <v>2416</v>
      </c>
      <c r="E757" s="182" t="s">
        <v>1998</v>
      </c>
      <c r="F757" s="183" t="s">
        <v>2254</v>
      </c>
      <c r="G757" s="183"/>
      <c r="H757" s="183" t="s">
        <v>4889</v>
      </c>
      <c r="I757" s="183" t="s">
        <v>579</v>
      </c>
      <c r="J757" s="183"/>
      <c r="K757" s="184">
        <v>46072</v>
      </c>
      <c r="L757" s="183">
        <v>2</v>
      </c>
      <c r="M757" s="185" t="str">
        <f>IF(phc_8[[#This Row],[Register No.]]="","",C757&amp;"-"&amp;D757&amp;"-"&amp;"BHA-PHC-"&amp;phc_8[[#This Row],[Register No.]])</f>
        <v>Shining Star-Mobile Clinic-BHA-PHC-2</v>
      </c>
      <c r="N757" s="9" t="s">
        <v>401</v>
      </c>
      <c r="O757" s="183" t="s">
        <v>4890</v>
      </c>
      <c r="P757" s="183">
        <v>5</v>
      </c>
      <c r="Q757" s="183"/>
      <c r="R757" s="183"/>
      <c r="S757" s="186" t="str">
        <f t="shared" si="29"/>
        <v>5 - 14 yrs</v>
      </c>
      <c r="T757" s="183" t="s">
        <v>603</v>
      </c>
      <c r="U757" s="183"/>
      <c r="V757" s="183"/>
      <c r="W757" s="183" t="s">
        <v>4894</v>
      </c>
      <c r="X757" s="183" t="s">
        <v>195</v>
      </c>
      <c r="Y757" s="186" t="str">
        <f>INDEX(info!$Y$2:$Y$192,MATCH(phc_8[[#This Row],[Sub_Category]],info!$X$2:$X$192,0))</f>
        <v>Bacteria disease</v>
      </c>
      <c r="Z757" s="186" t="str">
        <f t="array" ref="Z757">INDEX(info!$AA$2:$AA$192,MATCH(PHC!$X757&amp;PHC!$Y757,info!$X$2:$X$192&amp;info!$Y$2:$Y$192,0))</f>
        <v>Communicable disease</v>
      </c>
      <c r="AA757" s="183" t="s">
        <v>4898</v>
      </c>
      <c r="AB757" s="9" t="s">
        <v>654</v>
      </c>
      <c r="AC757" s="9" t="s">
        <v>654</v>
      </c>
      <c r="AD757" s="9" t="s">
        <v>654</v>
      </c>
      <c r="AE757" s="9" t="s">
        <v>654</v>
      </c>
      <c r="AF757" s="184"/>
      <c r="AG757" s="183"/>
      <c r="AH757" s="183"/>
      <c r="AI757" s="183"/>
      <c r="AJ757" s="183"/>
      <c r="AK757" s="183"/>
      <c r="AL757" s="183"/>
      <c r="AM757" s="186" t="str">
        <f>IF(AF757="","","Q"&amp;INT((MONTH(AF757)-1)/3)+1&amp;YEAR(AF757)&amp;#REF!&amp;T757)</f>
        <v/>
      </c>
      <c r="AN757" s="186" t="e">
        <f>IF(K757="","","Q"&amp;INT((MONTH(K757)-1)/3)+1&amp;YEAR(K757)&amp;#REF!)</f>
        <v>#REF!</v>
      </c>
    </row>
    <row r="758" spans="1:40" ht="20.100000000000001" customHeight="1" x14ac:dyDescent="0.25">
      <c r="A758" s="8">
        <v>756</v>
      </c>
      <c r="B758" s="8" t="s">
        <v>399</v>
      </c>
      <c r="C758" s="8" t="s">
        <v>1997</v>
      </c>
      <c r="D758" s="8" t="s">
        <v>2416</v>
      </c>
      <c r="E758" s="182" t="s">
        <v>1998</v>
      </c>
      <c r="F758" s="183" t="s">
        <v>2254</v>
      </c>
      <c r="G758" s="183"/>
      <c r="H758" s="183" t="s">
        <v>4889</v>
      </c>
      <c r="I758" s="183" t="s">
        <v>579</v>
      </c>
      <c r="J758" s="183"/>
      <c r="K758" s="184">
        <v>46072</v>
      </c>
      <c r="L758" s="183">
        <v>3</v>
      </c>
      <c r="M758" s="185" t="str">
        <f>IF(phc_8[[#This Row],[Register No.]]="","",C758&amp;"-"&amp;D758&amp;"-"&amp;"BHA-PHC-"&amp;phc_8[[#This Row],[Register No.]])</f>
        <v>Shining Star-Mobile Clinic-BHA-PHC-3</v>
      </c>
      <c r="N758" s="9" t="s">
        <v>401</v>
      </c>
      <c r="O758" s="183" t="s">
        <v>4891</v>
      </c>
      <c r="P758" s="183">
        <v>38</v>
      </c>
      <c r="Q758" s="183"/>
      <c r="R758" s="183"/>
      <c r="S758" s="186" t="str">
        <f t="shared" si="29"/>
        <v>19 - 49 yrs</v>
      </c>
      <c r="T758" s="183" t="s">
        <v>603</v>
      </c>
      <c r="U758" s="183"/>
      <c r="V758" s="183" t="s">
        <v>4892</v>
      </c>
      <c r="W758" s="183" t="s">
        <v>233</v>
      </c>
      <c r="X758" s="183" t="s">
        <v>233</v>
      </c>
      <c r="Y758" s="186" t="str">
        <f>INDEX(info!$Y$2:$Y$192,MATCH(phc_8[[#This Row],[Sub_Category]],info!$X$2:$X$192,0))</f>
        <v>Other (non-communicable)</v>
      </c>
      <c r="Z758" s="186" t="str">
        <f t="array" ref="Z758">INDEX(info!$AA$2:$AA$192,MATCH(PHC!$X758&amp;PHC!$Y758,info!$X$2:$X$192&amp;info!$Y$2:$Y$192,0))</f>
        <v>Other</v>
      </c>
      <c r="AA758" s="183" t="s">
        <v>4899</v>
      </c>
      <c r="AB758" s="9" t="s">
        <v>654</v>
      </c>
      <c r="AC758" s="9" t="s">
        <v>654</v>
      </c>
      <c r="AD758" s="9" t="s">
        <v>654</v>
      </c>
      <c r="AE758" s="9" t="s">
        <v>654</v>
      </c>
      <c r="AF758" s="184"/>
      <c r="AG758" s="183"/>
      <c r="AH758" s="183"/>
      <c r="AI758" s="183"/>
      <c r="AJ758" s="183"/>
      <c r="AK758" s="183"/>
      <c r="AL758" s="183"/>
      <c r="AM758" s="186" t="str">
        <f>IF(AF758="","","Q"&amp;INT((MONTH(AF758)-1)/3)+1&amp;YEAR(AF758)&amp;#REF!&amp;T758)</f>
        <v/>
      </c>
      <c r="AN758" s="186" t="e">
        <f>IF(K758="","","Q"&amp;INT((MONTH(K758)-1)/3)+1&amp;YEAR(K758)&amp;#REF!)</f>
        <v>#REF!</v>
      </c>
    </row>
    <row r="759" spans="1:40" ht="20.100000000000001" customHeight="1" x14ac:dyDescent="0.25">
      <c r="A759" s="8">
        <v>757</v>
      </c>
      <c r="B759" s="8" t="s">
        <v>399</v>
      </c>
      <c r="C759" s="8" t="s">
        <v>1997</v>
      </c>
      <c r="D759" s="8" t="s">
        <v>2416</v>
      </c>
      <c r="E759" s="182" t="s">
        <v>1998</v>
      </c>
      <c r="F759" s="183" t="s">
        <v>2254</v>
      </c>
      <c r="G759" s="183"/>
      <c r="H759" s="183" t="s">
        <v>4889</v>
      </c>
      <c r="I759" s="183" t="s">
        <v>579</v>
      </c>
      <c r="J759" s="183"/>
      <c r="K759" s="184">
        <v>46072</v>
      </c>
      <c r="L759" s="183">
        <v>4</v>
      </c>
      <c r="M759" s="185" t="str">
        <f>IF(phc_8[[#This Row],[Register No.]]="","",C759&amp;"-"&amp;D759&amp;"-"&amp;"BHA-PHC-"&amp;phc_8[[#This Row],[Register No.]])</f>
        <v>Shining Star-Mobile Clinic-BHA-PHC-4</v>
      </c>
      <c r="N759" s="9" t="s">
        <v>401</v>
      </c>
      <c r="O759" s="183" t="s">
        <v>4069</v>
      </c>
      <c r="P759" s="183">
        <v>65</v>
      </c>
      <c r="Q759" s="183"/>
      <c r="R759" s="183"/>
      <c r="S759" s="186" t="str">
        <f t="shared" si="29"/>
        <v>50 yrs +</v>
      </c>
      <c r="T759" s="183" t="s">
        <v>603</v>
      </c>
      <c r="U759" s="183"/>
      <c r="V759" s="183" t="s">
        <v>3292</v>
      </c>
      <c r="W759" s="183" t="s">
        <v>4895</v>
      </c>
      <c r="X759" s="183" t="s">
        <v>242</v>
      </c>
      <c r="Y759" s="186" t="str">
        <f>INDEX(info!$Y$2:$Y$192,MATCH(phc_8[[#This Row],[Sub_Category]],info!$X$2:$X$192,0))</f>
        <v>Accident/minor sugical and injuries</v>
      </c>
      <c r="Z759" s="186" t="str">
        <f t="array" ref="Z759">INDEX(info!$AA$2:$AA$192,MATCH(PHC!$X759&amp;PHC!$Y759,info!$X$2:$X$192&amp;info!$Y$2:$Y$192,0))</f>
        <v>Injury related</v>
      </c>
      <c r="AA759" s="183" t="s">
        <v>4900</v>
      </c>
      <c r="AB759" s="9" t="s">
        <v>654</v>
      </c>
      <c r="AC759" s="9" t="s">
        <v>654</v>
      </c>
      <c r="AD759" s="9" t="s">
        <v>654</v>
      </c>
      <c r="AE759" s="9" t="s">
        <v>654</v>
      </c>
      <c r="AF759" s="184"/>
      <c r="AG759" s="183"/>
      <c r="AH759" s="183"/>
      <c r="AI759" s="183"/>
      <c r="AJ759" s="183"/>
      <c r="AK759" s="183"/>
      <c r="AL759" s="183"/>
      <c r="AM759" s="186" t="str">
        <f>IF(AF759="","","Q"&amp;INT((MONTH(AF759)-1)/3)+1&amp;YEAR(AF759)&amp;#REF!&amp;T759)</f>
        <v/>
      </c>
      <c r="AN759" s="186" t="e">
        <f>IF(K759="","","Q"&amp;INT((MONTH(K759)-1)/3)+1&amp;YEAR(K759)&amp;#REF!)</f>
        <v>#REF!</v>
      </c>
    </row>
    <row r="760" spans="1:40" ht="20.100000000000001" customHeight="1" x14ac:dyDescent="0.25">
      <c r="A760" s="8">
        <v>758</v>
      </c>
      <c r="B760" s="8" t="s">
        <v>399</v>
      </c>
      <c r="C760" s="8" t="s">
        <v>1997</v>
      </c>
      <c r="D760" s="8" t="s">
        <v>2416</v>
      </c>
      <c r="E760" s="182" t="s">
        <v>1998</v>
      </c>
      <c r="F760" s="183" t="s">
        <v>2254</v>
      </c>
      <c r="G760" s="183"/>
      <c r="H760" s="183" t="s">
        <v>4889</v>
      </c>
      <c r="I760" s="183" t="s">
        <v>579</v>
      </c>
      <c r="J760" s="183"/>
      <c r="K760" s="184">
        <v>46072</v>
      </c>
      <c r="L760" s="183">
        <v>5</v>
      </c>
      <c r="M760" s="185" t="str">
        <f>IF(phc_8[[#This Row],[Register No.]]="","",C760&amp;"-"&amp;D760&amp;"-"&amp;"BHA-PHC-"&amp;phc_8[[#This Row],[Register No.]])</f>
        <v>Shining Star-Mobile Clinic-BHA-PHC-5</v>
      </c>
      <c r="N760" s="9" t="s">
        <v>401</v>
      </c>
      <c r="O760" s="183" t="s">
        <v>3437</v>
      </c>
      <c r="P760" s="183">
        <v>65</v>
      </c>
      <c r="Q760" s="183"/>
      <c r="R760" s="183"/>
      <c r="S760" s="186" t="str">
        <f t="shared" si="29"/>
        <v>50 yrs +</v>
      </c>
      <c r="T760" s="183" t="s">
        <v>603</v>
      </c>
      <c r="U760" s="183"/>
      <c r="V760" s="183" t="s">
        <v>4893</v>
      </c>
      <c r="W760" s="183" t="s">
        <v>4896</v>
      </c>
      <c r="X760" s="183" t="s">
        <v>210</v>
      </c>
      <c r="Y760" s="186" t="str">
        <f>INDEX(info!$Y$2:$Y$192,MATCH(phc_8[[#This Row],[Sub_Category]],info!$X$2:$X$192,0))</f>
        <v>Eye problem/disease</v>
      </c>
      <c r="Z760" s="186" t="str">
        <f t="array" ref="Z760">INDEX(info!$AA$2:$AA$192,MATCH(PHC!$X760&amp;PHC!$Y760,info!$X$2:$X$192&amp;info!$Y$2:$Y$192,0))</f>
        <v>Non-communicable disease</v>
      </c>
      <c r="AA760" s="183" t="s">
        <v>4901</v>
      </c>
      <c r="AB760" s="9" t="s">
        <v>654</v>
      </c>
      <c r="AC760" s="9" t="s">
        <v>654</v>
      </c>
      <c r="AD760" s="9" t="s">
        <v>654</v>
      </c>
      <c r="AE760" s="9" t="s">
        <v>654</v>
      </c>
      <c r="AF760" s="184"/>
      <c r="AG760" s="183"/>
      <c r="AH760" s="183"/>
      <c r="AI760" s="183"/>
      <c r="AJ760" s="183"/>
      <c r="AK760" s="183"/>
      <c r="AL760" s="183"/>
      <c r="AM760" s="186" t="str">
        <f>IF(AF760="","","Q"&amp;INT((MONTH(AF760)-1)/3)+1&amp;YEAR(AF760)&amp;#REF!&amp;T760)</f>
        <v/>
      </c>
      <c r="AN760" s="186" t="e">
        <f>IF(K760="","","Q"&amp;INT((MONTH(K760)-1)/3)+1&amp;YEAR(K760)&amp;#REF!)</f>
        <v>#REF!</v>
      </c>
    </row>
    <row r="761" spans="1:40" ht="20.100000000000001" customHeight="1" x14ac:dyDescent="0.25">
      <c r="A761" s="8">
        <v>759</v>
      </c>
      <c r="B761" s="8" t="s">
        <v>399</v>
      </c>
      <c r="C761" s="8" t="s">
        <v>1997</v>
      </c>
      <c r="D761" s="8" t="s">
        <v>2416</v>
      </c>
      <c r="E761" s="182" t="s">
        <v>1998</v>
      </c>
      <c r="F761" s="183" t="s">
        <v>2254</v>
      </c>
      <c r="G761" s="183"/>
      <c r="H761" s="183" t="s">
        <v>4889</v>
      </c>
      <c r="I761" s="183" t="s">
        <v>579</v>
      </c>
      <c r="J761" s="183"/>
      <c r="K761" s="184">
        <v>46072</v>
      </c>
      <c r="L761" s="183">
        <v>6</v>
      </c>
      <c r="M761" s="185" t="str">
        <f>IF(phc_8[[#This Row],[Register No.]]="","",C761&amp;"-"&amp;D761&amp;"-"&amp;"BHA-PHC-"&amp;phc_8[[#This Row],[Register No.]])</f>
        <v>Shining Star-Mobile Clinic-BHA-PHC-6</v>
      </c>
      <c r="N761" s="9" t="s">
        <v>401</v>
      </c>
      <c r="O761" s="183" t="s">
        <v>4420</v>
      </c>
      <c r="P761" s="183">
        <v>60</v>
      </c>
      <c r="Q761" s="183"/>
      <c r="R761" s="183"/>
      <c r="S761" s="186" t="str">
        <f t="shared" ref="S761:S767" si="30">IF(AND(ISBLANK(P764),ISBLANK(Q761),ISBLANK(R761))," ",
IF(OR(P764&lt;5,AND(P764=" ",Q761&lt;&gt;" ",R761&lt;&gt;" ")),"&lt;5 yrs",
IF(AND(P764&gt;=5,P764&lt;=14),"5 - 14 yrs",
IF(AND(P764&gt;=15,P764&lt;=18),"15 - 18 yrs",
IF(AND(P764&gt;=19,P764&lt;=49),"19 - 49 yrs","50 yrs +")))))</f>
        <v>50 yrs +</v>
      </c>
      <c r="T761" s="183" t="s">
        <v>603</v>
      </c>
      <c r="U761" s="183"/>
      <c r="V761" s="183" t="s">
        <v>4757</v>
      </c>
      <c r="W761" s="183" t="s">
        <v>3105</v>
      </c>
      <c r="X761" s="183" t="s">
        <v>3105</v>
      </c>
      <c r="Y761" s="186" t="str">
        <f>INDEX(info!$Y$2:$Y$192,MATCH(phc_8[[#This Row],[Sub_Category]],info!$X$2:$X$192,0))</f>
        <v>Chronic medical disease</v>
      </c>
      <c r="Z761" s="186" t="str">
        <f t="array" ref="Z761">INDEX(info!$AA$2:$AA$192,MATCH(PHC!$X761&amp;PHC!$Y761,info!$X$2:$X$192&amp;info!$Y$2:$Y$192,0))</f>
        <v>Non-communicable disease</v>
      </c>
      <c r="AA761" s="183" t="s">
        <v>4915</v>
      </c>
      <c r="AB761" s="9" t="s">
        <v>654</v>
      </c>
      <c r="AC761" s="9" t="s">
        <v>654</v>
      </c>
      <c r="AD761" s="9" t="s">
        <v>654</v>
      </c>
      <c r="AE761" s="9" t="s">
        <v>654</v>
      </c>
      <c r="AF761" s="184"/>
      <c r="AG761" s="183"/>
      <c r="AH761" s="183"/>
      <c r="AI761" s="183"/>
      <c r="AJ761" s="183"/>
      <c r="AK761" s="183"/>
      <c r="AL761" s="183"/>
      <c r="AM761" s="186" t="str">
        <f>IF(AF761="","","Q"&amp;INT((MONTH(AF761)-1)/3)+1&amp;YEAR(AF761)&amp;#REF!&amp;T761)</f>
        <v/>
      </c>
      <c r="AN761" s="186" t="e">
        <f>IF(K761="","","Q"&amp;INT((MONTH(K761)-1)/3)+1&amp;YEAR(K761)&amp;#REF!)</f>
        <v>#REF!</v>
      </c>
    </row>
    <row r="762" spans="1:40" ht="20.100000000000001" customHeight="1" x14ac:dyDescent="0.25">
      <c r="A762" s="8">
        <v>760</v>
      </c>
      <c r="B762" s="8" t="s">
        <v>399</v>
      </c>
      <c r="C762" s="8" t="s">
        <v>1997</v>
      </c>
      <c r="D762" s="8" t="s">
        <v>2416</v>
      </c>
      <c r="E762" s="182" t="s">
        <v>1998</v>
      </c>
      <c r="F762" s="183" t="s">
        <v>2254</v>
      </c>
      <c r="G762" s="183"/>
      <c r="H762" s="183" t="s">
        <v>4889</v>
      </c>
      <c r="I762" s="183" t="s">
        <v>579</v>
      </c>
      <c r="J762" s="183"/>
      <c r="K762" s="184">
        <v>46072</v>
      </c>
      <c r="L762" s="183">
        <v>7</v>
      </c>
      <c r="M762" s="185" t="str">
        <f>IF(phc_8[[#This Row],[Register No.]]="","",C762&amp;"-"&amp;D762&amp;"-"&amp;"BHA-PHC-"&amp;phc_8[[#This Row],[Register No.]])</f>
        <v>Shining Star-Mobile Clinic-BHA-PHC-7</v>
      </c>
      <c r="N762" s="9" t="s">
        <v>401</v>
      </c>
      <c r="O762" s="183" t="s">
        <v>2125</v>
      </c>
      <c r="P762" s="183">
        <v>45</v>
      </c>
      <c r="Q762" s="183"/>
      <c r="R762" s="183"/>
      <c r="S762" s="186" t="str">
        <f t="shared" si="30"/>
        <v>19 - 49 yrs</v>
      </c>
      <c r="T762" s="183" t="s">
        <v>603</v>
      </c>
      <c r="U762" s="183"/>
      <c r="V762" s="183" t="s">
        <v>2041</v>
      </c>
      <c r="W762" s="183" t="s">
        <v>3914</v>
      </c>
      <c r="X762" s="183" t="s">
        <v>243</v>
      </c>
      <c r="Y762" s="186" t="str">
        <f>INDEX(info!$Y$2:$Y$192,MATCH(phc_8[[#This Row],[Sub_Category]],info!$X$2:$X$192,0))</f>
        <v>Mental disorders</v>
      </c>
      <c r="Z762" s="186" t="str">
        <f t="array" ref="Z762">INDEX(info!$AA$2:$AA$192,MATCH(PHC!$X762&amp;PHC!$Y762,info!$X$2:$X$192&amp;info!$Y$2:$Y$192,0))</f>
        <v>mental health condition</v>
      </c>
      <c r="AA762" s="183" t="s">
        <v>4916</v>
      </c>
      <c r="AB762" s="9" t="s">
        <v>654</v>
      </c>
      <c r="AC762" s="9" t="s">
        <v>654</v>
      </c>
      <c r="AD762" s="9" t="s">
        <v>654</v>
      </c>
      <c r="AE762" s="9" t="s">
        <v>654</v>
      </c>
      <c r="AF762" s="184"/>
      <c r="AG762" s="183"/>
      <c r="AH762" s="183"/>
      <c r="AI762" s="183"/>
      <c r="AJ762" s="183"/>
      <c r="AK762" s="183"/>
      <c r="AL762" s="183"/>
      <c r="AM762" s="186" t="str">
        <f>IF(AF762="","","Q"&amp;INT((MONTH(AF762)-1)/3)+1&amp;YEAR(AF762)&amp;#REF!&amp;T762)</f>
        <v/>
      </c>
      <c r="AN762" s="186" t="e">
        <f>IF(K762="","","Q"&amp;INT((MONTH(K762)-1)/3)+1&amp;YEAR(K762)&amp;#REF!)</f>
        <v>#REF!</v>
      </c>
    </row>
    <row r="763" spans="1:40" ht="20.100000000000001" customHeight="1" x14ac:dyDescent="0.25">
      <c r="A763" s="8">
        <v>761</v>
      </c>
      <c r="B763" s="8" t="s">
        <v>399</v>
      </c>
      <c r="C763" s="8" t="s">
        <v>1997</v>
      </c>
      <c r="D763" s="8" t="s">
        <v>2416</v>
      </c>
      <c r="E763" s="182" t="s">
        <v>1998</v>
      </c>
      <c r="F763" s="183" t="s">
        <v>2254</v>
      </c>
      <c r="G763" s="183"/>
      <c r="H763" s="183" t="s">
        <v>4889</v>
      </c>
      <c r="I763" s="183" t="s">
        <v>579</v>
      </c>
      <c r="J763" s="183"/>
      <c r="K763" s="184">
        <v>46072</v>
      </c>
      <c r="L763" s="183">
        <v>8</v>
      </c>
      <c r="M763" s="185" t="str">
        <f>IF(phc_8[[#This Row],[Register No.]]="","",C763&amp;"-"&amp;D763&amp;"-"&amp;"BHA-PHC-"&amp;phc_8[[#This Row],[Register No.]])</f>
        <v>Shining Star-Mobile Clinic-BHA-PHC-8</v>
      </c>
      <c r="N763" s="9" t="s">
        <v>401</v>
      </c>
      <c r="O763" s="183" t="s">
        <v>4726</v>
      </c>
      <c r="P763" s="183">
        <v>69</v>
      </c>
      <c r="Q763" s="183"/>
      <c r="R763" s="183"/>
      <c r="S763" s="186" t="str">
        <f t="shared" si="30"/>
        <v>50 yrs +</v>
      </c>
      <c r="T763" s="183" t="s">
        <v>603</v>
      </c>
      <c r="U763" s="183"/>
      <c r="V763" s="183" t="s">
        <v>4907</v>
      </c>
      <c r="W763" s="183" t="s">
        <v>4910</v>
      </c>
      <c r="X763" s="183" t="s">
        <v>213</v>
      </c>
      <c r="Y763" s="186" t="str">
        <f>INDEX(info!$Y$2:$Y$192,MATCH(phc_8[[#This Row],[Sub_Category]],info!$X$2:$X$192,0))</f>
        <v>Other</v>
      </c>
      <c r="Z763" s="186" t="str">
        <f t="array" ref="Z763">INDEX(info!$AA$2:$AA$192,MATCH(PHC!$X763&amp;PHC!$Y763,info!$X$2:$X$192&amp;info!$Y$2:$Y$192,0))</f>
        <v>Other</v>
      </c>
      <c r="AA763" s="183" t="s">
        <v>4917</v>
      </c>
      <c r="AB763" s="9" t="s">
        <v>654</v>
      </c>
      <c r="AC763" s="9" t="s">
        <v>654</v>
      </c>
      <c r="AD763" s="9" t="s">
        <v>654</v>
      </c>
      <c r="AE763" s="9" t="s">
        <v>654</v>
      </c>
      <c r="AF763" s="184"/>
      <c r="AG763" s="183"/>
      <c r="AH763" s="183"/>
      <c r="AI763" s="183"/>
      <c r="AJ763" s="183"/>
      <c r="AK763" s="183"/>
      <c r="AL763" s="183"/>
      <c r="AM763" s="186" t="str">
        <f>IF(AF763="","","Q"&amp;INT((MONTH(AF763)-1)/3)+1&amp;YEAR(AF763)&amp;#REF!&amp;T763)</f>
        <v/>
      </c>
      <c r="AN763" s="186" t="e">
        <f>IF(K763="","","Q"&amp;INT((MONTH(K763)-1)/3)+1&amp;YEAR(K763)&amp;#REF!)</f>
        <v>#REF!</v>
      </c>
    </row>
    <row r="764" spans="1:40" ht="20.100000000000001" customHeight="1" x14ac:dyDescent="0.25">
      <c r="A764" s="8">
        <v>762</v>
      </c>
      <c r="B764" s="8" t="s">
        <v>399</v>
      </c>
      <c r="C764" s="8" t="s">
        <v>1997</v>
      </c>
      <c r="D764" s="8" t="s">
        <v>2416</v>
      </c>
      <c r="E764" s="182" t="s">
        <v>1998</v>
      </c>
      <c r="F764" s="183" t="s">
        <v>2254</v>
      </c>
      <c r="G764" s="183"/>
      <c r="H764" s="183" t="s">
        <v>4889</v>
      </c>
      <c r="I764" s="183" t="s">
        <v>579</v>
      </c>
      <c r="J764" s="183"/>
      <c r="K764" s="184">
        <v>46072</v>
      </c>
      <c r="L764" s="183">
        <v>9</v>
      </c>
      <c r="M764" s="185" t="str">
        <f>IF(phc_8[[#This Row],[Register No.]]="","",C764&amp;"-"&amp;D764&amp;"-"&amp;"BHA-PHC-"&amp;phc_8[[#This Row],[Register No.]])</f>
        <v>Shining Star-Mobile Clinic-BHA-PHC-9</v>
      </c>
      <c r="N764" s="9" t="s">
        <v>401</v>
      </c>
      <c r="O764" s="183" t="s">
        <v>4902</v>
      </c>
      <c r="P764" s="183">
        <v>60</v>
      </c>
      <c r="Q764" s="183"/>
      <c r="R764" s="183"/>
      <c r="S764" s="186" t="str">
        <f t="shared" si="30"/>
        <v>15 - 18 yrs</v>
      </c>
      <c r="T764" s="183" t="s">
        <v>603</v>
      </c>
      <c r="U764" s="183"/>
      <c r="V764" s="183" t="s">
        <v>2687</v>
      </c>
      <c r="W764" s="183" t="s">
        <v>4911</v>
      </c>
      <c r="X764" s="183" t="s">
        <v>181</v>
      </c>
      <c r="Y764" s="186" t="str">
        <f>INDEX(info!$Y$2:$Y$192,MATCH(phc_8[[#This Row],[Sub_Category]],info!$X$2:$X$192,0))</f>
        <v>Chronic medical disease</v>
      </c>
      <c r="Z764" s="186" t="str">
        <f t="array" ref="Z764">INDEX(info!$AA$2:$AA$192,MATCH(PHC!$X764&amp;PHC!$Y764,info!$X$2:$X$192&amp;info!$Y$2:$Y$192,0))</f>
        <v>Non-communicable disease</v>
      </c>
      <c r="AA764" s="183" t="s">
        <v>4918</v>
      </c>
      <c r="AB764" s="9" t="s">
        <v>654</v>
      </c>
      <c r="AC764" s="9" t="s">
        <v>654</v>
      </c>
      <c r="AD764" s="9" t="s">
        <v>654</v>
      </c>
      <c r="AE764" s="9" t="s">
        <v>654</v>
      </c>
      <c r="AF764" s="184"/>
      <c r="AG764" s="183"/>
      <c r="AH764" s="183"/>
      <c r="AI764" s="183"/>
      <c r="AJ764" s="183"/>
      <c r="AK764" s="183"/>
      <c r="AL764" s="183"/>
      <c r="AM764" s="186" t="str">
        <f>IF(AF764="","","Q"&amp;INT((MONTH(AF764)-1)/3)+1&amp;YEAR(AF764)&amp;#REF!&amp;T764)</f>
        <v/>
      </c>
      <c r="AN764" s="186" t="e">
        <f>IF(K764="","","Q"&amp;INT((MONTH(K764)-1)/3)+1&amp;YEAR(K764)&amp;#REF!)</f>
        <v>#REF!</v>
      </c>
    </row>
    <row r="765" spans="1:40" ht="20.100000000000001" customHeight="1" x14ac:dyDescent="0.25">
      <c r="A765" s="8">
        <v>763</v>
      </c>
      <c r="B765" s="8" t="s">
        <v>399</v>
      </c>
      <c r="C765" s="8" t="s">
        <v>1997</v>
      </c>
      <c r="D765" s="8" t="s">
        <v>2416</v>
      </c>
      <c r="E765" s="182" t="s">
        <v>1998</v>
      </c>
      <c r="F765" s="183" t="s">
        <v>2254</v>
      </c>
      <c r="G765" s="183"/>
      <c r="H765" s="183" t="s">
        <v>4889</v>
      </c>
      <c r="I765" s="183" t="s">
        <v>579</v>
      </c>
      <c r="J765" s="183"/>
      <c r="K765" s="184">
        <v>46072</v>
      </c>
      <c r="L765" s="183">
        <v>10</v>
      </c>
      <c r="M765" s="185" t="str">
        <f>IF(phc_8[[#This Row],[Register No.]]="","",C765&amp;"-"&amp;D765&amp;"-"&amp;"BHA-PHC-"&amp;phc_8[[#This Row],[Register No.]])</f>
        <v>Shining Star-Mobile Clinic-BHA-PHC-10</v>
      </c>
      <c r="N765" s="9" t="s">
        <v>401</v>
      </c>
      <c r="O765" s="183" t="s">
        <v>4903</v>
      </c>
      <c r="P765" s="183">
        <v>46</v>
      </c>
      <c r="Q765" s="183"/>
      <c r="R765" s="183"/>
      <c r="S765" s="186" t="str">
        <f t="shared" si="30"/>
        <v>50 yrs +</v>
      </c>
      <c r="T765" s="183" t="s">
        <v>603</v>
      </c>
      <c r="U765" s="183"/>
      <c r="V765" s="183" t="s">
        <v>4590</v>
      </c>
      <c r="W765" s="183" t="s">
        <v>2059</v>
      </c>
      <c r="X765" s="183" t="s">
        <v>242</v>
      </c>
      <c r="Y765" s="186" t="str">
        <f>INDEX(info!$Y$2:$Y$192,MATCH(phc_8[[#This Row],[Sub_Category]],info!$X$2:$X$192,0))</f>
        <v>Accident/minor sugical and injuries</v>
      </c>
      <c r="Z765" s="186" t="str">
        <f t="array" ref="Z765">INDEX(info!$AA$2:$AA$192,MATCH(PHC!$X765&amp;PHC!$Y765,info!$X$2:$X$192&amp;info!$Y$2:$Y$192,0))</f>
        <v>Injury related</v>
      </c>
      <c r="AA765" s="183" t="s">
        <v>4919</v>
      </c>
      <c r="AB765" s="9" t="s">
        <v>654</v>
      </c>
      <c r="AC765" s="9" t="s">
        <v>654</v>
      </c>
      <c r="AD765" s="9" t="s">
        <v>654</v>
      </c>
      <c r="AE765" s="9" t="s">
        <v>654</v>
      </c>
      <c r="AF765" s="184"/>
      <c r="AG765" s="183"/>
      <c r="AH765" s="183"/>
      <c r="AI765" s="183"/>
      <c r="AJ765" s="183"/>
      <c r="AK765" s="183"/>
      <c r="AL765" s="183"/>
      <c r="AM765" s="186" t="str">
        <f>IF(AF765="","","Q"&amp;INT((MONTH(AF765)-1)/3)+1&amp;YEAR(AF765)&amp;#REF!&amp;T765)</f>
        <v/>
      </c>
      <c r="AN765" s="186" t="e">
        <f>IF(K765="","","Q"&amp;INT((MONTH(K765)-1)/3)+1&amp;YEAR(K765)&amp;#REF!)</f>
        <v>#REF!</v>
      </c>
    </row>
    <row r="766" spans="1:40" ht="20.100000000000001" customHeight="1" x14ac:dyDescent="0.25">
      <c r="A766" s="8">
        <v>764</v>
      </c>
      <c r="B766" s="8" t="s">
        <v>399</v>
      </c>
      <c r="C766" s="8" t="s">
        <v>1997</v>
      </c>
      <c r="D766" s="8" t="s">
        <v>2416</v>
      </c>
      <c r="E766" s="182" t="s">
        <v>1998</v>
      </c>
      <c r="F766" s="183" t="s">
        <v>2254</v>
      </c>
      <c r="G766" s="183"/>
      <c r="H766" s="183" t="s">
        <v>4889</v>
      </c>
      <c r="I766" s="183" t="s">
        <v>579</v>
      </c>
      <c r="J766" s="183"/>
      <c r="K766" s="184">
        <v>46072</v>
      </c>
      <c r="L766" s="183">
        <v>11</v>
      </c>
      <c r="M766" s="185" t="str">
        <f>IF(phc_8[[#This Row],[Register No.]]="","",C766&amp;"-"&amp;D766&amp;"-"&amp;"BHA-PHC-"&amp;phc_8[[#This Row],[Register No.]])</f>
        <v>Shining Star-Mobile Clinic-BHA-PHC-11</v>
      </c>
      <c r="N766" s="9" t="s">
        <v>401</v>
      </c>
      <c r="O766" s="183" t="s">
        <v>3351</v>
      </c>
      <c r="P766" s="183">
        <v>58</v>
      </c>
      <c r="Q766" s="183"/>
      <c r="R766" s="183"/>
      <c r="S766" s="186" t="str">
        <f t="shared" si="30"/>
        <v>50 yrs +</v>
      </c>
      <c r="T766" s="183" t="s">
        <v>603</v>
      </c>
      <c r="U766" s="183"/>
      <c r="V766" s="183" t="s">
        <v>3165</v>
      </c>
      <c r="W766" s="183" t="s">
        <v>294</v>
      </c>
      <c r="X766" s="183" t="s">
        <v>294</v>
      </c>
      <c r="Y766" s="186" t="str">
        <f>INDEX(info!$Y$2:$Y$192,MATCH(phc_8[[#This Row],[Sub_Category]],info!$X$2:$X$192,0))</f>
        <v>Other (non-communicable)</v>
      </c>
      <c r="Z766" s="186" t="str">
        <f t="array" ref="Z766">INDEX(info!$AA$2:$AA$192,MATCH(PHC!$X766&amp;PHC!$Y766,info!$X$2:$X$192&amp;info!$Y$2:$Y$192,0))</f>
        <v>Other</v>
      </c>
      <c r="AA766" s="183" t="s">
        <v>4920</v>
      </c>
      <c r="AB766" s="9" t="s">
        <v>654</v>
      </c>
      <c r="AC766" s="9" t="s">
        <v>654</v>
      </c>
      <c r="AD766" s="9" t="s">
        <v>654</v>
      </c>
      <c r="AE766" s="9" t="s">
        <v>654</v>
      </c>
      <c r="AF766" s="184"/>
      <c r="AG766" s="183"/>
      <c r="AH766" s="183"/>
      <c r="AI766" s="183"/>
      <c r="AJ766" s="183"/>
      <c r="AK766" s="183"/>
      <c r="AL766" s="183"/>
      <c r="AM766" s="186" t="str">
        <f>IF(AF766="","","Q"&amp;INT((MONTH(AF766)-1)/3)+1&amp;YEAR(AF766)&amp;#REF!&amp;T766)</f>
        <v/>
      </c>
      <c r="AN766" s="186" t="e">
        <f>IF(K766="","","Q"&amp;INT((MONTH(K766)-1)/3)+1&amp;YEAR(K766)&amp;#REF!)</f>
        <v>#REF!</v>
      </c>
    </row>
    <row r="767" spans="1:40" ht="20.100000000000001" customHeight="1" x14ac:dyDescent="0.25">
      <c r="A767" s="8">
        <v>765</v>
      </c>
      <c r="B767" s="8" t="s">
        <v>399</v>
      </c>
      <c r="C767" s="8" t="s">
        <v>1997</v>
      </c>
      <c r="D767" s="8" t="s">
        <v>2416</v>
      </c>
      <c r="E767" s="182" t="s">
        <v>1998</v>
      </c>
      <c r="F767" s="183" t="s">
        <v>2254</v>
      </c>
      <c r="G767" s="183"/>
      <c r="H767" s="183" t="s">
        <v>4889</v>
      </c>
      <c r="I767" s="183" t="s">
        <v>579</v>
      </c>
      <c r="J767" s="183"/>
      <c r="K767" s="184">
        <v>46072</v>
      </c>
      <c r="L767" s="183">
        <v>12</v>
      </c>
      <c r="M767" s="185" t="str">
        <f>IF(phc_8[[#This Row],[Register No.]]="","",C767&amp;"-"&amp;D767&amp;"-"&amp;"BHA-PHC-"&amp;phc_8[[#This Row],[Register No.]])</f>
        <v>Shining Star-Mobile Clinic-BHA-PHC-12</v>
      </c>
      <c r="N767" s="9" t="s">
        <v>401</v>
      </c>
      <c r="O767" s="183" t="s">
        <v>3512</v>
      </c>
      <c r="P767" s="183">
        <v>17</v>
      </c>
      <c r="Q767" s="183"/>
      <c r="R767" s="183"/>
      <c r="S767" s="186" t="str">
        <f t="shared" si="30"/>
        <v>19 - 49 yrs</v>
      </c>
      <c r="T767" s="183" t="s">
        <v>603</v>
      </c>
      <c r="U767" s="183"/>
      <c r="V767" s="183" t="s">
        <v>2212</v>
      </c>
      <c r="W767" s="183" t="s">
        <v>112</v>
      </c>
      <c r="X767" s="183" t="s">
        <v>112</v>
      </c>
      <c r="Y767" s="186" t="str">
        <f>INDEX(info!$Y$2:$Y$192,MATCH(phc_8[[#This Row],[Sub_Category]],info!$X$2:$X$192,0))</f>
        <v>Asthma</v>
      </c>
      <c r="Z767" s="186" t="str">
        <f t="array" ref="Z767">INDEX(info!$AA$2:$AA$192,MATCH(PHC!$X767&amp;PHC!$Y767,info!$X$2:$X$192&amp;info!$Y$2:$Y$192,0))</f>
        <v>Non-communicable disease</v>
      </c>
      <c r="AA767" s="183" t="s">
        <v>4921</v>
      </c>
      <c r="AB767" s="9" t="s">
        <v>654</v>
      </c>
      <c r="AC767" s="9" t="s">
        <v>654</v>
      </c>
      <c r="AD767" s="9" t="s">
        <v>654</v>
      </c>
      <c r="AE767" s="9" t="s">
        <v>654</v>
      </c>
      <c r="AF767" s="184"/>
      <c r="AG767" s="183"/>
      <c r="AH767" s="183"/>
      <c r="AI767" s="183"/>
      <c r="AJ767" s="183"/>
      <c r="AK767" s="183"/>
      <c r="AL767" s="183"/>
      <c r="AM767" s="186" t="str">
        <f>IF(AF767="","","Q"&amp;INT((MONTH(AF767)-1)/3)+1&amp;YEAR(AF767)&amp;#REF!&amp;T767)</f>
        <v/>
      </c>
      <c r="AN767" s="186" t="e">
        <f>IF(K767="","","Q"&amp;INT((MONTH(K767)-1)/3)+1&amp;YEAR(K767)&amp;#REF!)</f>
        <v>#REF!</v>
      </c>
    </row>
    <row r="768" spans="1:40" ht="20.100000000000001" customHeight="1" x14ac:dyDescent="0.25">
      <c r="A768" s="8">
        <v>766</v>
      </c>
      <c r="B768" s="8" t="s">
        <v>399</v>
      </c>
      <c r="C768" s="8" t="s">
        <v>1997</v>
      </c>
      <c r="D768" s="8" t="s">
        <v>2416</v>
      </c>
      <c r="E768" s="182" t="s">
        <v>1998</v>
      </c>
      <c r="F768" s="183" t="s">
        <v>2254</v>
      </c>
      <c r="G768" s="183"/>
      <c r="H768" s="183" t="s">
        <v>4889</v>
      </c>
      <c r="I768" s="183" t="s">
        <v>579</v>
      </c>
      <c r="J768" s="183"/>
      <c r="K768" s="184">
        <v>46072</v>
      </c>
      <c r="L768" s="183">
        <v>13</v>
      </c>
      <c r="M768" s="185" t="str">
        <f>IF(phc_8[[#This Row],[Register No.]]="","",C768&amp;"-"&amp;D768&amp;"-"&amp;"BHA-PHC-"&amp;phc_8[[#This Row],[Register No.]])</f>
        <v>Shining Star-Mobile Clinic-BHA-PHC-13</v>
      </c>
      <c r="N768" s="9" t="s">
        <v>401</v>
      </c>
      <c r="O768" s="183" t="s">
        <v>4904</v>
      </c>
      <c r="P768" s="183">
        <v>65</v>
      </c>
      <c r="Q768" s="183"/>
      <c r="R768" s="183"/>
      <c r="S768" s="186" t="e">
        <f>IF(AND(ISBLANK(#REF!),ISBLANK(Q768),ISBLANK(R768))," ",
IF(OR(#REF!&lt;5,AND(#REF!=" ",Q768&lt;&gt;" ",R768&lt;&gt;" ")),"&lt;5 yrs",
IF(AND(#REF!&gt;=5,#REF!&lt;=14),"5 - 14 yrs",
IF(AND(#REF!&gt;=15,#REF!&lt;=18),"15 - 18 yrs",
IF(AND(#REF!&gt;=19,#REF!&lt;=49),"19 - 49 yrs","50 yrs +")))))</f>
        <v>#REF!</v>
      </c>
      <c r="T768" s="183" t="s">
        <v>603</v>
      </c>
      <c r="U768" s="183"/>
      <c r="V768" s="183" t="s">
        <v>4908</v>
      </c>
      <c r="W768" s="183" t="s">
        <v>4912</v>
      </c>
      <c r="X768" s="183" t="s">
        <v>2014</v>
      </c>
      <c r="Y768" s="186" t="str">
        <f>INDEX(info!$Y$2:$Y$192,MATCH(phc_8[[#This Row],[Sub_Category]],info!$X$2:$X$192,0))</f>
        <v>Other (non-communicable)</v>
      </c>
      <c r="Z768" s="186" t="str">
        <f t="array" ref="Z768">INDEX(info!$AA$2:$AA$192,MATCH(PHC!$X768&amp;PHC!$Y768,info!$X$2:$X$192&amp;info!$Y$2:$Y$192,0))</f>
        <v>Other</v>
      </c>
      <c r="AA768" s="183" t="s">
        <v>4922</v>
      </c>
      <c r="AB768" s="9" t="s">
        <v>654</v>
      </c>
      <c r="AC768" s="9" t="s">
        <v>654</v>
      </c>
      <c r="AD768" s="9" t="s">
        <v>654</v>
      </c>
      <c r="AE768" s="9" t="s">
        <v>654</v>
      </c>
      <c r="AF768" s="184"/>
      <c r="AG768" s="183"/>
      <c r="AH768" s="183"/>
      <c r="AI768" s="183"/>
      <c r="AJ768" s="183"/>
      <c r="AK768" s="183"/>
      <c r="AL768" s="183"/>
      <c r="AM768" s="186" t="str">
        <f>IF(AF768="","","Q"&amp;INT((MONTH(AF768)-1)/3)+1&amp;YEAR(AF768)&amp;#REF!&amp;T768)</f>
        <v/>
      </c>
      <c r="AN768" s="186" t="e">
        <f>IF(K768="","","Q"&amp;INT((MONTH(K768)-1)/3)+1&amp;YEAR(K768)&amp;#REF!)</f>
        <v>#REF!</v>
      </c>
    </row>
    <row r="769" spans="1:40" ht="20.100000000000001" customHeight="1" x14ac:dyDescent="0.25">
      <c r="A769" s="8">
        <v>767</v>
      </c>
      <c r="B769" s="8" t="s">
        <v>399</v>
      </c>
      <c r="C769" s="8" t="s">
        <v>1997</v>
      </c>
      <c r="D769" s="8" t="s">
        <v>2416</v>
      </c>
      <c r="E769" s="182" t="s">
        <v>1998</v>
      </c>
      <c r="F769" s="183" t="s">
        <v>2254</v>
      </c>
      <c r="G769" s="183"/>
      <c r="H769" s="183" t="s">
        <v>4889</v>
      </c>
      <c r="I769" s="183" t="s">
        <v>579</v>
      </c>
      <c r="J769" s="183"/>
      <c r="K769" s="184">
        <v>46072</v>
      </c>
      <c r="L769" s="183">
        <v>14</v>
      </c>
      <c r="M769" s="185" t="str">
        <f>IF(phc_8[[#This Row],[Register No.]]="","",C769&amp;"-"&amp;D769&amp;"-"&amp;"BHA-PHC-"&amp;phc_8[[#This Row],[Register No.]])</f>
        <v>Shining Star-Mobile Clinic-BHA-PHC-14</v>
      </c>
      <c r="N769" s="9" t="s">
        <v>401</v>
      </c>
      <c r="O769" s="183" t="s">
        <v>4905</v>
      </c>
      <c r="P769" s="183">
        <v>50</v>
      </c>
      <c r="Q769" s="183"/>
      <c r="R769" s="183"/>
      <c r="S769" s="186" t="e">
        <f>IF(AND(ISBLANK(#REF!),ISBLANK(Q769),ISBLANK(R769))," ",
IF(OR(#REF!&lt;5,AND(#REF!=" ",Q769&lt;&gt;" ",R769&lt;&gt;" ")),"&lt;5 yrs",
IF(AND(#REF!&gt;=5,#REF!&lt;=14),"5 - 14 yrs",
IF(AND(#REF!&gt;=15,#REF!&lt;=18),"15 - 18 yrs",
IF(AND(#REF!&gt;=19,#REF!&lt;=49),"19 - 49 yrs","50 yrs +")))))</f>
        <v>#REF!</v>
      </c>
      <c r="T769" s="183" t="s">
        <v>603</v>
      </c>
      <c r="U769" s="183"/>
      <c r="V769" s="183" t="s">
        <v>4909</v>
      </c>
      <c r="W769" s="183" t="s">
        <v>4913</v>
      </c>
      <c r="X769" s="183" t="s">
        <v>242</v>
      </c>
      <c r="Y769" s="186" t="str">
        <f>INDEX(info!$Y$2:$Y$192,MATCH(phc_8[[#This Row],[Sub_Category]],info!$X$2:$X$192,0))</f>
        <v>Accident/minor sugical and injuries</v>
      </c>
      <c r="Z769" s="186" t="str">
        <f t="array" ref="Z769">INDEX(info!$AA$2:$AA$192,MATCH(PHC!$X769&amp;PHC!$Y769,info!$X$2:$X$192&amp;info!$Y$2:$Y$192,0))</f>
        <v>Injury related</v>
      </c>
      <c r="AA769" s="183" t="s">
        <v>4923</v>
      </c>
      <c r="AB769" s="9" t="s">
        <v>654</v>
      </c>
      <c r="AC769" s="9" t="s">
        <v>654</v>
      </c>
      <c r="AD769" s="9" t="s">
        <v>654</v>
      </c>
      <c r="AE769" s="9" t="s">
        <v>654</v>
      </c>
      <c r="AF769" s="184"/>
      <c r="AG769" s="183"/>
      <c r="AH769" s="183"/>
      <c r="AI769" s="183"/>
      <c r="AJ769" s="183"/>
      <c r="AK769" s="183"/>
      <c r="AL769" s="183"/>
      <c r="AM769" s="186" t="str">
        <f>IF(AF769="","","Q"&amp;INT((MONTH(AF769)-1)/3)+1&amp;YEAR(AF769)&amp;#REF!&amp;T769)</f>
        <v/>
      </c>
      <c r="AN769" s="186" t="e">
        <f>IF(K769="","","Q"&amp;INT((MONTH(K769)-1)/3)+1&amp;YEAR(K769)&amp;#REF!)</f>
        <v>#REF!</v>
      </c>
    </row>
    <row r="770" spans="1:40" ht="20.100000000000001" customHeight="1" x14ac:dyDescent="0.25">
      <c r="A770" s="8">
        <v>768</v>
      </c>
      <c r="B770" s="8" t="s">
        <v>399</v>
      </c>
      <c r="C770" s="8" t="s">
        <v>1997</v>
      </c>
      <c r="D770" s="8" t="s">
        <v>2416</v>
      </c>
      <c r="E770" s="182" t="s">
        <v>1998</v>
      </c>
      <c r="F770" s="183" t="s">
        <v>2254</v>
      </c>
      <c r="G770" s="183"/>
      <c r="H770" s="183" t="s">
        <v>4889</v>
      </c>
      <c r="I770" s="183" t="s">
        <v>579</v>
      </c>
      <c r="J770" s="183"/>
      <c r="K770" s="184">
        <v>46072</v>
      </c>
      <c r="L770" s="183">
        <v>15</v>
      </c>
      <c r="M770" s="185" t="str">
        <f>IF(phc_8[[#This Row],[Register No.]]="","",C770&amp;"-"&amp;D770&amp;"-"&amp;"BHA-PHC-"&amp;phc_8[[#This Row],[Register No.]])</f>
        <v>Shining Star-Mobile Clinic-BHA-PHC-15</v>
      </c>
      <c r="N770" s="9" t="s">
        <v>401</v>
      </c>
      <c r="O770" s="183" t="s">
        <v>4906</v>
      </c>
      <c r="P770" s="183">
        <v>49</v>
      </c>
      <c r="Q770" s="183"/>
      <c r="R770" s="183"/>
      <c r="S770" s="186" t="e">
        <f>IF(AND(ISBLANK(#REF!),ISBLANK(Q770),ISBLANK(R770))," ",
IF(OR(#REF!&lt;5,AND(#REF!=" ",Q770&lt;&gt;" ",R770&lt;&gt;" ")),"&lt;5 yrs",
IF(AND(#REF!&gt;=5,#REF!&lt;=14),"5 - 14 yrs",
IF(AND(#REF!&gt;=15,#REF!&lt;=18),"15 - 18 yrs",
IF(AND(#REF!&gt;=19,#REF!&lt;=49),"19 - 49 yrs","50 yrs +")))))</f>
        <v>#REF!</v>
      </c>
      <c r="T770" s="183" t="s">
        <v>603</v>
      </c>
      <c r="U770" s="183"/>
      <c r="V770" s="183" t="s">
        <v>3319</v>
      </c>
      <c r="W770" s="183" t="s">
        <v>4914</v>
      </c>
      <c r="X770" s="183" t="s">
        <v>251</v>
      </c>
      <c r="Y770" s="186" t="str">
        <f>INDEX(info!$Y$2:$Y$192,MATCH(phc_8[[#This Row],[Sub_Category]],info!$X$2:$X$192,0))</f>
        <v>Accident/minor sugical and injuries</v>
      </c>
      <c r="Z770" s="186" t="str">
        <f t="array" ref="Z770">INDEX(info!$AA$2:$AA$192,MATCH(PHC!$X770&amp;PHC!$Y770,info!$X$2:$X$192&amp;info!$Y$2:$Y$192,0))</f>
        <v>Injury related</v>
      </c>
      <c r="AA770" s="183" t="s">
        <v>4924</v>
      </c>
      <c r="AB770" s="9" t="s">
        <v>654</v>
      </c>
      <c r="AC770" s="9" t="s">
        <v>654</v>
      </c>
      <c r="AD770" s="9" t="s">
        <v>654</v>
      </c>
      <c r="AE770" s="9" t="s">
        <v>654</v>
      </c>
      <c r="AF770" s="184"/>
      <c r="AG770" s="183"/>
      <c r="AH770" s="183"/>
      <c r="AI770" s="183"/>
      <c r="AJ770" s="183"/>
      <c r="AK770" s="183"/>
      <c r="AL770" s="183"/>
      <c r="AM770" s="186" t="str">
        <f>IF(AF770="","","Q"&amp;INT((MONTH(AF770)-1)/3)+1&amp;YEAR(AF770)&amp;#REF!&amp;T770)</f>
        <v/>
      </c>
      <c r="AN770" s="186" t="e">
        <f>IF(K770="","","Q"&amp;INT((MONTH(K770)-1)/3)+1&amp;YEAR(K770)&amp;#REF!)</f>
        <v>#REF!</v>
      </c>
    </row>
    <row r="771" spans="1:40" ht="20.100000000000001" customHeight="1" x14ac:dyDescent="0.25">
      <c r="A771" s="8">
        <v>769</v>
      </c>
      <c r="B771" s="8" t="s">
        <v>399</v>
      </c>
      <c r="C771" s="8" t="s">
        <v>1997</v>
      </c>
      <c r="D771" s="8" t="s">
        <v>2416</v>
      </c>
      <c r="E771" s="182" t="s">
        <v>1998</v>
      </c>
      <c r="F771" s="183" t="s">
        <v>2254</v>
      </c>
      <c r="G771" s="183"/>
      <c r="H771" s="183" t="s">
        <v>4889</v>
      </c>
      <c r="I771" s="183" t="s">
        <v>579</v>
      </c>
      <c r="J771" s="183"/>
      <c r="K771" s="184">
        <v>46072</v>
      </c>
      <c r="L771" s="183">
        <v>16</v>
      </c>
      <c r="M771" s="185" t="str">
        <f>IF(phc_8[[#This Row],[Register No.]]="","",C771&amp;"-"&amp;D771&amp;"-"&amp;"BHA-PHC-"&amp;phc_8[[#This Row],[Register No.]])</f>
        <v>Shining Star-Mobile Clinic-BHA-PHC-16</v>
      </c>
      <c r="N771" s="9" t="s">
        <v>401</v>
      </c>
      <c r="O771" s="183" t="s">
        <v>4925</v>
      </c>
      <c r="P771" s="183">
        <v>67</v>
      </c>
      <c r="Q771" s="183"/>
      <c r="R771" s="183"/>
      <c r="S771" s="186" t="str">
        <f t="shared" si="29"/>
        <v>50 yrs +</v>
      </c>
      <c r="T771" s="183" t="s">
        <v>603</v>
      </c>
      <c r="U771" s="183"/>
      <c r="V771" s="183" t="s">
        <v>4672</v>
      </c>
      <c r="W771" s="183" t="s">
        <v>4939</v>
      </c>
      <c r="X771" s="183" t="s">
        <v>242</v>
      </c>
      <c r="Y771" s="186" t="str">
        <f>INDEX(info!$Y$2:$Y$192,MATCH(phc_8[[#This Row],[Sub_Category]],info!$X$2:$X$192,0))</f>
        <v>Accident/minor sugical and injuries</v>
      </c>
      <c r="Z771" s="186" t="str">
        <f t="array" ref="Z771">INDEX(info!$AA$2:$AA$192,MATCH(PHC!$X771&amp;PHC!$Y771,info!$X$2:$X$192&amp;info!$Y$2:$Y$192,0))</f>
        <v>Injury related</v>
      </c>
      <c r="AA771" s="183" t="s">
        <v>4941</v>
      </c>
      <c r="AB771" s="9" t="s">
        <v>654</v>
      </c>
      <c r="AC771" s="9" t="s">
        <v>654</v>
      </c>
      <c r="AD771" s="9" t="s">
        <v>654</v>
      </c>
      <c r="AE771" s="9" t="s">
        <v>654</v>
      </c>
      <c r="AF771" s="184"/>
      <c r="AG771" s="183"/>
      <c r="AH771" s="183"/>
      <c r="AI771" s="183"/>
      <c r="AJ771" s="183"/>
      <c r="AK771" s="183"/>
      <c r="AL771" s="183"/>
      <c r="AM771" s="186" t="str">
        <f>IF(AF771="","","Q"&amp;INT((MONTH(AF771)-1)/3)+1&amp;YEAR(AF771)&amp;#REF!&amp;T771)</f>
        <v/>
      </c>
      <c r="AN771" s="186" t="e">
        <f>IF(K771="","","Q"&amp;INT((MONTH(K771)-1)/3)+1&amp;YEAR(K771)&amp;#REF!)</f>
        <v>#REF!</v>
      </c>
    </row>
    <row r="772" spans="1:40" ht="20.100000000000001" customHeight="1" x14ac:dyDescent="0.25">
      <c r="A772" s="8">
        <v>770</v>
      </c>
      <c r="B772" s="8" t="s">
        <v>399</v>
      </c>
      <c r="C772" s="8" t="s">
        <v>1997</v>
      </c>
      <c r="D772" s="8" t="s">
        <v>2416</v>
      </c>
      <c r="E772" s="182" t="s">
        <v>1998</v>
      </c>
      <c r="F772" s="183" t="s">
        <v>2254</v>
      </c>
      <c r="G772" s="183"/>
      <c r="H772" s="183" t="s">
        <v>4889</v>
      </c>
      <c r="I772" s="183" t="s">
        <v>579</v>
      </c>
      <c r="J772" s="183"/>
      <c r="K772" s="184">
        <v>46072</v>
      </c>
      <c r="L772" s="183">
        <v>17</v>
      </c>
      <c r="M772" s="185" t="str">
        <f>IF(phc_8[[#This Row],[Register No.]]="","",C772&amp;"-"&amp;D772&amp;"-"&amp;"BHA-PHC-"&amp;phc_8[[#This Row],[Register No.]])</f>
        <v>Shining Star-Mobile Clinic-BHA-PHC-17</v>
      </c>
      <c r="N772" s="9" t="s">
        <v>401</v>
      </c>
      <c r="O772" s="183" t="s">
        <v>3461</v>
      </c>
      <c r="P772" s="183">
        <v>70</v>
      </c>
      <c r="Q772" s="183"/>
      <c r="R772" s="183"/>
      <c r="S772" s="186" t="str">
        <f t="shared" si="29"/>
        <v>50 yrs +</v>
      </c>
      <c r="T772" s="183" t="s">
        <v>402</v>
      </c>
      <c r="U772" s="183"/>
      <c r="V772" s="183" t="s">
        <v>4932</v>
      </c>
      <c r="W772" s="183" t="s">
        <v>2003</v>
      </c>
      <c r="X772" s="183" t="s">
        <v>181</v>
      </c>
      <c r="Y772" s="186" t="str">
        <f>INDEX(info!$Y$2:$Y$192,MATCH(phc_8[[#This Row],[Sub_Category]],info!$X$2:$X$192,0))</f>
        <v>Chronic medical disease</v>
      </c>
      <c r="Z772" s="186" t="str">
        <f t="array" ref="Z772">INDEX(info!$AA$2:$AA$192,MATCH(PHC!$X772&amp;PHC!$Y772,info!$X$2:$X$192&amp;info!$Y$2:$Y$192,0))</f>
        <v>Non-communicable disease</v>
      </c>
      <c r="AA772" s="183" t="s">
        <v>4942</v>
      </c>
      <c r="AB772" s="9" t="s">
        <v>654</v>
      </c>
      <c r="AC772" s="9" t="s">
        <v>654</v>
      </c>
      <c r="AD772" s="9" t="s">
        <v>654</v>
      </c>
      <c r="AE772" s="9" t="s">
        <v>654</v>
      </c>
      <c r="AF772" s="184"/>
      <c r="AG772" s="183"/>
      <c r="AH772" s="183"/>
      <c r="AI772" s="183"/>
      <c r="AJ772" s="183"/>
      <c r="AK772" s="183"/>
      <c r="AL772" s="183"/>
      <c r="AM772" s="186" t="str">
        <f>IF(AF772="","","Q"&amp;INT((MONTH(AF772)-1)/3)+1&amp;YEAR(AF772)&amp;#REF!&amp;T772)</f>
        <v/>
      </c>
      <c r="AN772" s="186" t="e">
        <f>IF(K772="","","Q"&amp;INT((MONTH(K772)-1)/3)+1&amp;YEAR(K772)&amp;#REF!)</f>
        <v>#REF!</v>
      </c>
    </row>
    <row r="773" spans="1:40" ht="20.100000000000001" customHeight="1" x14ac:dyDescent="0.25">
      <c r="A773" s="8">
        <v>771</v>
      </c>
      <c r="B773" s="8" t="s">
        <v>399</v>
      </c>
      <c r="C773" s="8" t="s">
        <v>1997</v>
      </c>
      <c r="D773" s="8" t="s">
        <v>2416</v>
      </c>
      <c r="E773" s="182" t="s">
        <v>1998</v>
      </c>
      <c r="F773" s="183" t="s">
        <v>2254</v>
      </c>
      <c r="G773" s="183"/>
      <c r="H773" s="183" t="s">
        <v>4889</v>
      </c>
      <c r="I773" s="183" t="s">
        <v>579</v>
      </c>
      <c r="J773" s="183"/>
      <c r="K773" s="184">
        <v>46072</v>
      </c>
      <c r="L773" s="183">
        <v>18</v>
      </c>
      <c r="M773" s="185" t="str">
        <f>IF(phc_8[[#This Row],[Register No.]]="","",C773&amp;"-"&amp;D773&amp;"-"&amp;"BHA-PHC-"&amp;phc_8[[#This Row],[Register No.]])</f>
        <v>Shining Star-Mobile Clinic-BHA-PHC-18</v>
      </c>
      <c r="N773" s="9" t="s">
        <v>401</v>
      </c>
      <c r="O773" s="183" t="s">
        <v>4926</v>
      </c>
      <c r="P773" s="183">
        <v>58</v>
      </c>
      <c r="Q773" s="183"/>
      <c r="R773" s="183"/>
      <c r="S773" s="186" t="str">
        <f t="shared" si="29"/>
        <v>50 yrs +</v>
      </c>
      <c r="T773" s="183" t="s">
        <v>402</v>
      </c>
      <c r="U773" s="183"/>
      <c r="V773" s="183" t="s">
        <v>4933</v>
      </c>
      <c r="W773" s="183" t="s">
        <v>186</v>
      </c>
      <c r="X773" s="183" t="s">
        <v>186</v>
      </c>
      <c r="Y773" s="186" t="str">
        <f>INDEX(info!$Y$2:$Y$192,MATCH(phc_8[[#This Row],[Sub_Category]],info!$X$2:$X$192,0))</f>
        <v>Chronic medical disease</v>
      </c>
      <c r="Z773" s="186" t="str">
        <f t="array" ref="Z773">INDEX(info!$AA$2:$AA$192,MATCH(PHC!$X773&amp;PHC!$Y773,info!$X$2:$X$192&amp;info!$Y$2:$Y$192,0))</f>
        <v>Non-communicable disease</v>
      </c>
      <c r="AA773" s="183" t="s">
        <v>4943</v>
      </c>
      <c r="AB773" s="9" t="s">
        <v>654</v>
      </c>
      <c r="AC773" s="9" t="s">
        <v>654</v>
      </c>
      <c r="AD773" s="9" t="s">
        <v>654</v>
      </c>
      <c r="AE773" s="9" t="s">
        <v>654</v>
      </c>
      <c r="AF773" s="184"/>
      <c r="AG773" s="183"/>
      <c r="AH773" s="183"/>
      <c r="AI773" s="183"/>
      <c r="AJ773" s="183"/>
      <c r="AK773" s="183"/>
      <c r="AL773" s="183"/>
      <c r="AM773" s="186" t="str">
        <f>IF(AF773="","","Q"&amp;INT((MONTH(AF773)-1)/3)+1&amp;YEAR(AF773)&amp;#REF!&amp;T773)</f>
        <v/>
      </c>
      <c r="AN773" s="186" t="e">
        <f>IF(K773="","","Q"&amp;INT((MONTH(K773)-1)/3)+1&amp;YEAR(K773)&amp;#REF!)</f>
        <v>#REF!</v>
      </c>
    </row>
    <row r="774" spans="1:40" ht="20.100000000000001" customHeight="1" x14ac:dyDescent="0.25">
      <c r="A774" s="8">
        <v>772</v>
      </c>
      <c r="B774" s="8" t="s">
        <v>399</v>
      </c>
      <c r="C774" s="8" t="s">
        <v>1997</v>
      </c>
      <c r="D774" s="8" t="s">
        <v>2416</v>
      </c>
      <c r="E774" s="182" t="s">
        <v>1998</v>
      </c>
      <c r="F774" s="183" t="s">
        <v>2254</v>
      </c>
      <c r="G774" s="183"/>
      <c r="H774" s="183" t="s">
        <v>4889</v>
      </c>
      <c r="I774" s="183" t="s">
        <v>579</v>
      </c>
      <c r="J774" s="183"/>
      <c r="K774" s="184">
        <v>46072</v>
      </c>
      <c r="L774" s="183">
        <v>19</v>
      </c>
      <c r="M774" s="185" t="str">
        <f>IF(phc_8[[#This Row],[Register No.]]="","",C774&amp;"-"&amp;D774&amp;"-"&amp;"BHA-PHC-"&amp;phc_8[[#This Row],[Register No.]])</f>
        <v>Shining Star-Mobile Clinic-BHA-PHC-19</v>
      </c>
      <c r="N774" s="9" t="s">
        <v>401</v>
      </c>
      <c r="O774" s="183" t="s">
        <v>4927</v>
      </c>
      <c r="P774" s="183">
        <v>43</v>
      </c>
      <c r="Q774" s="183"/>
      <c r="R774" s="183"/>
      <c r="S774" s="186" t="str">
        <f t="shared" ref="S774:S782" si="31">IF(AND(ISBLANK(P774),ISBLANK(Q774),ISBLANK(R774))," ",
IF(OR(P774&lt;5,AND(P774=" ",Q774&lt;&gt;" ",R774&lt;&gt;" ")),"&lt;5 yrs",
IF(AND(P774&gt;=5,P774&lt;=14),"5 - 14 yrs",
IF(AND(P774&gt;=15,P774&lt;=18),"15 - 18 yrs",
IF(AND(P774&gt;=19,P774&lt;=49),"19 - 49 yrs","50 yrs +")))))</f>
        <v>19 - 49 yrs</v>
      </c>
      <c r="T774" s="183" t="s">
        <v>603</v>
      </c>
      <c r="U774" s="183"/>
      <c r="V774" s="183" t="s">
        <v>4934</v>
      </c>
      <c r="W774" s="183" t="s">
        <v>294</v>
      </c>
      <c r="X774" s="183" t="s">
        <v>294</v>
      </c>
      <c r="Y774" s="186" t="str">
        <f>INDEX(info!$Y$2:$Y$192,MATCH(phc_8[[#This Row],[Sub_Category]],info!$X$2:$X$192,0))</f>
        <v>Other (non-communicable)</v>
      </c>
      <c r="Z774" s="186" t="str">
        <f t="array" ref="Z774">INDEX(info!$AA$2:$AA$192,MATCH(PHC!$X774&amp;PHC!$Y774,info!$X$2:$X$192&amp;info!$Y$2:$Y$192,0))</f>
        <v>Other</v>
      </c>
      <c r="AA774" s="183" t="s">
        <v>4944</v>
      </c>
      <c r="AB774" s="9" t="s">
        <v>654</v>
      </c>
      <c r="AC774" s="9" t="s">
        <v>654</v>
      </c>
      <c r="AD774" s="9" t="s">
        <v>654</v>
      </c>
      <c r="AE774" s="9" t="s">
        <v>654</v>
      </c>
      <c r="AF774" s="184"/>
      <c r="AG774" s="183"/>
      <c r="AH774" s="183"/>
      <c r="AI774" s="183"/>
      <c r="AJ774" s="183"/>
      <c r="AK774" s="183"/>
      <c r="AL774" s="183"/>
      <c r="AM774" s="186" t="str">
        <f>IF(AF774="","","Q"&amp;INT((MONTH(AF774)-1)/3)+1&amp;YEAR(AF774)&amp;#REF!&amp;T774)</f>
        <v/>
      </c>
      <c r="AN774" s="186" t="e">
        <f>IF(K774="","","Q"&amp;INT((MONTH(K774)-1)/3)+1&amp;YEAR(K774)&amp;#REF!)</f>
        <v>#REF!</v>
      </c>
    </row>
    <row r="775" spans="1:40" ht="20.100000000000001" customHeight="1" x14ac:dyDescent="0.25">
      <c r="A775" s="8">
        <v>773</v>
      </c>
      <c r="B775" s="8" t="s">
        <v>399</v>
      </c>
      <c r="C775" s="8" t="s">
        <v>1997</v>
      </c>
      <c r="D775" s="8" t="s">
        <v>2416</v>
      </c>
      <c r="E775" s="182" t="s">
        <v>1998</v>
      </c>
      <c r="F775" s="183" t="s">
        <v>2254</v>
      </c>
      <c r="G775" s="183"/>
      <c r="H775" s="183" t="s">
        <v>4889</v>
      </c>
      <c r="I775" s="183" t="s">
        <v>579</v>
      </c>
      <c r="J775" s="183"/>
      <c r="K775" s="184">
        <v>46072</v>
      </c>
      <c r="L775" s="183">
        <v>20</v>
      </c>
      <c r="M775" s="185" t="str">
        <f>IF(phc_8[[#This Row],[Register No.]]="","",C775&amp;"-"&amp;D775&amp;"-"&amp;"BHA-PHC-"&amp;phc_8[[#This Row],[Register No.]])</f>
        <v>Shining Star-Mobile Clinic-BHA-PHC-20</v>
      </c>
      <c r="N775" s="9" t="s">
        <v>401</v>
      </c>
      <c r="O775" s="183" t="s">
        <v>4726</v>
      </c>
      <c r="P775" s="183">
        <v>48</v>
      </c>
      <c r="Q775" s="183"/>
      <c r="R775" s="183"/>
      <c r="S775" s="186" t="str">
        <f t="shared" si="31"/>
        <v>19 - 49 yrs</v>
      </c>
      <c r="T775" s="183" t="s">
        <v>603</v>
      </c>
      <c r="U775" s="183"/>
      <c r="V775" s="183" t="s">
        <v>4934</v>
      </c>
      <c r="W775" s="183" t="s">
        <v>2014</v>
      </c>
      <c r="X775" s="183" t="s">
        <v>2014</v>
      </c>
      <c r="Y775" s="186" t="str">
        <f>INDEX(info!$Y$2:$Y$192,MATCH(phc_8[[#This Row],[Sub_Category]],info!$X$2:$X$192,0))</f>
        <v>Other (non-communicable)</v>
      </c>
      <c r="Z775" s="186" t="str">
        <f t="array" ref="Z775">INDEX(info!$AA$2:$AA$192,MATCH(PHC!$X775&amp;PHC!$Y775,info!$X$2:$X$192&amp;info!$Y$2:$Y$192,0))</f>
        <v>Other</v>
      </c>
      <c r="AA775" s="183" t="s">
        <v>4945</v>
      </c>
      <c r="AB775" s="9" t="s">
        <v>654</v>
      </c>
      <c r="AC775" s="9" t="s">
        <v>654</v>
      </c>
      <c r="AD775" s="9" t="s">
        <v>654</v>
      </c>
      <c r="AE775" s="9" t="s">
        <v>654</v>
      </c>
      <c r="AF775" s="184"/>
      <c r="AG775" s="183"/>
      <c r="AH775" s="183"/>
      <c r="AI775" s="183"/>
      <c r="AJ775" s="183"/>
      <c r="AK775" s="183"/>
      <c r="AL775" s="183"/>
      <c r="AM775" s="186" t="str">
        <f>IF(AF775="","","Q"&amp;INT((MONTH(AF775)-1)/3)+1&amp;YEAR(AF775)&amp;#REF!&amp;T775)</f>
        <v/>
      </c>
      <c r="AN775" s="186" t="e">
        <f>IF(K775="","","Q"&amp;INT((MONTH(K775)-1)/3)+1&amp;YEAR(K775)&amp;#REF!)</f>
        <v>#REF!</v>
      </c>
    </row>
    <row r="776" spans="1:40" ht="20.100000000000001" customHeight="1" x14ac:dyDescent="0.25">
      <c r="A776" s="8">
        <v>774</v>
      </c>
      <c r="B776" s="8" t="s">
        <v>399</v>
      </c>
      <c r="C776" s="8" t="s">
        <v>1997</v>
      </c>
      <c r="D776" s="8" t="s">
        <v>2416</v>
      </c>
      <c r="E776" s="182" t="s">
        <v>1998</v>
      </c>
      <c r="F776" s="183" t="s">
        <v>2254</v>
      </c>
      <c r="G776" s="183"/>
      <c r="H776" s="183" t="s">
        <v>4889</v>
      </c>
      <c r="I776" s="183" t="s">
        <v>579</v>
      </c>
      <c r="J776" s="183"/>
      <c r="K776" s="184">
        <v>46072</v>
      </c>
      <c r="L776" s="183">
        <v>21</v>
      </c>
      <c r="M776" s="185" t="str">
        <f>IF(phc_8[[#This Row],[Register No.]]="","",C776&amp;"-"&amp;D776&amp;"-"&amp;"BHA-PHC-"&amp;phc_8[[#This Row],[Register No.]])</f>
        <v>Shining Star-Mobile Clinic-BHA-PHC-21</v>
      </c>
      <c r="N776" s="9" t="s">
        <v>401</v>
      </c>
      <c r="O776" s="183" t="s">
        <v>4928</v>
      </c>
      <c r="P776" s="183">
        <v>7</v>
      </c>
      <c r="Q776" s="183"/>
      <c r="R776" s="183"/>
      <c r="S776" s="186" t="str">
        <f t="shared" si="31"/>
        <v>5 - 14 yrs</v>
      </c>
      <c r="T776" s="183" t="s">
        <v>603</v>
      </c>
      <c r="U776" s="183"/>
      <c r="V776" s="183" t="s">
        <v>4113</v>
      </c>
      <c r="W776" s="183" t="s">
        <v>3249</v>
      </c>
      <c r="X776" s="183" t="s">
        <v>196</v>
      </c>
      <c r="Y776" s="186" t="str">
        <f>INDEX(info!$Y$2:$Y$192,MATCH(phc_8[[#This Row],[Sub_Category]],info!$X$2:$X$192,0))</f>
        <v>Skin infection/disease</v>
      </c>
      <c r="Z776" s="186" t="str">
        <f t="array" ref="Z776">INDEX(info!$AA$2:$AA$192,MATCH(PHC!$X776&amp;PHC!$Y776,info!$X$2:$X$192&amp;info!$Y$2:$Y$192,0))</f>
        <v>Non-communicable disease</v>
      </c>
      <c r="AA776" s="183" t="s">
        <v>4946</v>
      </c>
      <c r="AB776" s="9" t="s">
        <v>654</v>
      </c>
      <c r="AC776" s="9" t="s">
        <v>654</v>
      </c>
      <c r="AD776" s="9" t="s">
        <v>654</v>
      </c>
      <c r="AE776" s="9" t="s">
        <v>654</v>
      </c>
      <c r="AF776" s="184"/>
      <c r="AG776" s="183"/>
      <c r="AH776" s="183"/>
      <c r="AI776" s="183"/>
      <c r="AJ776" s="183"/>
      <c r="AK776" s="183"/>
      <c r="AL776" s="183"/>
      <c r="AM776" s="186" t="str">
        <f>IF(AF776="","","Q"&amp;INT((MONTH(AF776)-1)/3)+1&amp;YEAR(AF776)&amp;#REF!&amp;T776)</f>
        <v/>
      </c>
      <c r="AN776" s="186" t="e">
        <f>IF(K776="","","Q"&amp;INT((MONTH(K776)-1)/3)+1&amp;YEAR(K776)&amp;#REF!)</f>
        <v>#REF!</v>
      </c>
    </row>
    <row r="777" spans="1:40" ht="20.100000000000001" customHeight="1" x14ac:dyDescent="0.25">
      <c r="A777" s="8">
        <v>775</v>
      </c>
      <c r="B777" s="8" t="s">
        <v>399</v>
      </c>
      <c r="C777" s="8" t="s">
        <v>1997</v>
      </c>
      <c r="D777" s="8" t="s">
        <v>2416</v>
      </c>
      <c r="E777" s="182" t="s">
        <v>1998</v>
      </c>
      <c r="F777" s="183" t="s">
        <v>2254</v>
      </c>
      <c r="G777" s="183"/>
      <c r="H777" s="183" t="s">
        <v>4889</v>
      </c>
      <c r="I777" s="183" t="s">
        <v>579</v>
      </c>
      <c r="J777" s="183"/>
      <c r="K777" s="184">
        <v>46072</v>
      </c>
      <c r="L777" s="183">
        <v>22</v>
      </c>
      <c r="M777" s="185" t="str">
        <f>IF(phc_8[[#This Row],[Register No.]]="","",C777&amp;"-"&amp;D777&amp;"-"&amp;"BHA-PHC-"&amp;phc_8[[#This Row],[Register No.]])</f>
        <v>Shining Star-Mobile Clinic-BHA-PHC-22</v>
      </c>
      <c r="N777" s="9" t="s">
        <v>401</v>
      </c>
      <c r="O777" s="183" t="s">
        <v>4929</v>
      </c>
      <c r="P777" s="183">
        <v>59</v>
      </c>
      <c r="Q777" s="183"/>
      <c r="R777" s="183"/>
      <c r="S777" s="186" t="str">
        <f t="shared" si="31"/>
        <v>50 yrs +</v>
      </c>
      <c r="T777" s="183" t="s">
        <v>402</v>
      </c>
      <c r="U777" s="183"/>
      <c r="V777" s="183" t="s">
        <v>4935</v>
      </c>
      <c r="W777" s="183" t="s">
        <v>178</v>
      </c>
      <c r="X777" s="183" t="s">
        <v>178</v>
      </c>
      <c r="Y777" s="186" t="str">
        <f>INDEX(info!$Y$2:$Y$192,MATCH(phc_8[[#This Row],[Sub_Category]],info!$X$2:$X$192,0))</f>
        <v>Chronic medical disease</v>
      </c>
      <c r="Z777" s="186" t="str">
        <f t="array" ref="Z777">INDEX(info!$AA$2:$AA$192,MATCH(PHC!$X777&amp;PHC!$Y777,info!$X$2:$X$192&amp;info!$Y$2:$Y$192,0))</f>
        <v>Non-communicable disease</v>
      </c>
      <c r="AA777" s="183" t="s">
        <v>4950</v>
      </c>
      <c r="AB777" s="9" t="s">
        <v>654</v>
      </c>
      <c r="AC777" s="9" t="s">
        <v>654</v>
      </c>
      <c r="AD777" s="9" t="s">
        <v>654</v>
      </c>
      <c r="AE777" s="9" t="s">
        <v>654</v>
      </c>
      <c r="AF777" s="184"/>
      <c r="AG777" s="183"/>
      <c r="AH777" s="183"/>
      <c r="AI777" s="183"/>
      <c r="AJ777" s="183"/>
      <c r="AK777" s="183"/>
      <c r="AL777" s="183"/>
      <c r="AM777" s="186" t="str">
        <f>IF(AF777="","","Q"&amp;INT((MONTH(AF777)-1)/3)+1&amp;YEAR(AF777)&amp;#REF!&amp;T777)</f>
        <v/>
      </c>
      <c r="AN777" s="186" t="e">
        <f>IF(K777="","","Q"&amp;INT((MONTH(K777)-1)/3)+1&amp;YEAR(K777)&amp;#REF!)</f>
        <v>#REF!</v>
      </c>
    </row>
    <row r="778" spans="1:40" ht="20.100000000000001" customHeight="1" x14ac:dyDescent="0.25">
      <c r="A778" s="8">
        <v>776</v>
      </c>
      <c r="B778" s="8" t="s">
        <v>399</v>
      </c>
      <c r="C778" s="8" t="s">
        <v>1997</v>
      </c>
      <c r="D778" s="8" t="s">
        <v>2416</v>
      </c>
      <c r="E778" s="182" t="s">
        <v>1998</v>
      </c>
      <c r="F778" s="183" t="s">
        <v>2254</v>
      </c>
      <c r="G778" s="183"/>
      <c r="H778" s="183" t="s">
        <v>4889</v>
      </c>
      <c r="I778" s="183" t="s">
        <v>579</v>
      </c>
      <c r="J778" s="183"/>
      <c r="K778" s="184">
        <v>46072</v>
      </c>
      <c r="L778" s="183">
        <v>23</v>
      </c>
      <c r="M778" s="185" t="str">
        <f>IF(phc_8[[#This Row],[Register No.]]="","",C778&amp;"-"&amp;D778&amp;"-"&amp;"BHA-PHC-"&amp;phc_8[[#This Row],[Register No.]])</f>
        <v>Shining Star-Mobile Clinic-BHA-PHC-23</v>
      </c>
      <c r="N778" s="9" t="s">
        <v>401</v>
      </c>
      <c r="O778" s="183" t="s">
        <v>4930</v>
      </c>
      <c r="P778" s="183">
        <v>13</v>
      </c>
      <c r="Q778" s="183"/>
      <c r="R778" s="183"/>
      <c r="S778" s="186" t="str">
        <f t="shared" si="31"/>
        <v>5 - 14 yrs</v>
      </c>
      <c r="T778" s="183" t="s">
        <v>402</v>
      </c>
      <c r="U778" s="183"/>
      <c r="V778" s="183" t="s">
        <v>4936</v>
      </c>
      <c r="W778" s="183" t="s">
        <v>4810</v>
      </c>
      <c r="X778" s="183" t="s">
        <v>113</v>
      </c>
      <c r="Y778" s="186" t="str">
        <f>INDEX(info!$Y$2:$Y$192,MATCH(phc_8[[#This Row],[Sub_Category]],info!$X$2:$X$192,0))</f>
        <v>ARI/RTI</v>
      </c>
      <c r="Z778" s="186" t="str">
        <f t="array" ref="Z778">INDEX(info!$AA$2:$AA$192,MATCH(PHC!$X778&amp;PHC!$Y778,info!$X$2:$X$192&amp;info!$Y$2:$Y$192,0))</f>
        <v>Communicable disease</v>
      </c>
      <c r="AA778" s="183" t="s">
        <v>4947</v>
      </c>
      <c r="AB778" s="9" t="s">
        <v>654</v>
      </c>
      <c r="AC778" s="9" t="s">
        <v>654</v>
      </c>
      <c r="AD778" s="9" t="s">
        <v>654</v>
      </c>
      <c r="AE778" s="9" t="s">
        <v>654</v>
      </c>
      <c r="AF778" s="184"/>
      <c r="AG778" s="183"/>
      <c r="AH778" s="183"/>
      <c r="AI778" s="183"/>
      <c r="AJ778" s="183"/>
      <c r="AK778" s="183"/>
      <c r="AL778" s="183"/>
      <c r="AM778" s="186" t="str">
        <f>IF(AF778="","","Q"&amp;INT((MONTH(AF778)-1)/3)+1&amp;YEAR(AF778)&amp;#REF!&amp;T778)</f>
        <v/>
      </c>
      <c r="AN778" s="186" t="e">
        <f>IF(K778="","","Q"&amp;INT((MONTH(K778)-1)/3)+1&amp;YEAR(K778)&amp;#REF!)</f>
        <v>#REF!</v>
      </c>
    </row>
    <row r="779" spans="1:40" ht="20.100000000000001" customHeight="1" x14ac:dyDescent="0.25">
      <c r="A779" s="8">
        <v>777</v>
      </c>
      <c r="B779" s="8" t="s">
        <v>399</v>
      </c>
      <c r="C779" s="8" t="s">
        <v>1997</v>
      </c>
      <c r="D779" s="8" t="s">
        <v>2416</v>
      </c>
      <c r="E779" s="182" t="s">
        <v>1998</v>
      </c>
      <c r="F779" s="183" t="s">
        <v>2254</v>
      </c>
      <c r="G779" s="183"/>
      <c r="H779" s="183" t="s">
        <v>4889</v>
      </c>
      <c r="I779" s="183" t="s">
        <v>579</v>
      </c>
      <c r="J779" s="183"/>
      <c r="K779" s="184">
        <v>46072</v>
      </c>
      <c r="L779" s="183">
        <v>24</v>
      </c>
      <c r="M779" s="185" t="str">
        <f>IF(phc_8[[#This Row],[Register No.]]="","",C779&amp;"-"&amp;D779&amp;"-"&amp;"BHA-PHC-"&amp;phc_8[[#This Row],[Register No.]])</f>
        <v>Shining Star-Mobile Clinic-BHA-PHC-24</v>
      </c>
      <c r="N779" s="9" t="s">
        <v>401</v>
      </c>
      <c r="O779" s="183" t="s">
        <v>4931</v>
      </c>
      <c r="P779" s="183">
        <v>2</v>
      </c>
      <c r="Q779" s="183"/>
      <c r="R779" s="183"/>
      <c r="S779" s="186" t="str">
        <f t="shared" si="31"/>
        <v>&lt;5 yrs</v>
      </c>
      <c r="T779" s="183" t="s">
        <v>402</v>
      </c>
      <c r="U779" s="183"/>
      <c r="V779" s="183" t="s">
        <v>4937</v>
      </c>
      <c r="W779" s="183" t="s">
        <v>4940</v>
      </c>
      <c r="X779" s="183" t="s">
        <v>46</v>
      </c>
      <c r="Y779" s="186" t="str">
        <f>INDEX(info!$Y$2:$Y$192,MATCH(phc_8[[#This Row],[Sub_Category]],info!$X$2:$X$192,0))</f>
        <v>Diarrhoea/ GE</v>
      </c>
      <c r="Z779" s="186" t="str">
        <f t="array" ref="Z779">INDEX(info!$AA$2:$AA$192,MATCH(PHC!$X779&amp;PHC!$Y779,info!$X$2:$X$192&amp;info!$Y$2:$Y$192,0))</f>
        <v>Communicable disease</v>
      </c>
      <c r="AA779" s="183" t="s">
        <v>4948</v>
      </c>
      <c r="AB779" s="9" t="s">
        <v>654</v>
      </c>
      <c r="AC779" s="9" t="s">
        <v>654</v>
      </c>
      <c r="AD779" s="9" t="s">
        <v>654</v>
      </c>
      <c r="AE779" s="9" t="s">
        <v>654</v>
      </c>
      <c r="AF779" s="184"/>
      <c r="AG779" s="183"/>
      <c r="AH779" s="183"/>
      <c r="AI779" s="183"/>
      <c r="AJ779" s="183"/>
      <c r="AK779" s="183"/>
      <c r="AL779" s="183"/>
      <c r="AM779" s="186" t="str">
        <f>IF(AF779="","","Q"&amp;INT((MONTH(AF779)-1)/3)+1&amp;YEAR(AF779)&amp;#REF!&amp;T779)</f>
        <v/>
      </c>
      <c r="AN779" s="186" t="e">
        <f>IF(K779="","","Q"&amp;INT((MONTH(K779)-1)/3)+1&amp;YEAR(K779)&amp;#REF!)</f>
        <v>#REF!</v>
      </c>
    </row>
    <row r="780" spans="1:40" ht="20.100000000000001" customHeight="1" x14ac:dyDescent="0.25">
      <c r="A780" s="8">
        <v>778</v>
      </c>
      <c r="B780" s="8" t="s">
        <v>399</v>
      </c>
      <c r="C780" s="8" t="s">
        <v>1997</v>
      </c>
      <c r="D780" s="8" t="s">
        <v>2416</v>
      </c>
      <c r="E780" s="182" t="s">
        <v>1998</v>
      </c>
      <c r="F780" s="183" t="s">
        <v>2254</v>
      </c>
      <c r="G780" s="183"/>
      <c r="H780" s="183" t="s">
        <v>4889</v>
      </c>
      <c r="I780" s="183" t="s">
        <v>579</v>
      </c>
      <c r="J780" s="183"/>
      <c r="K780" s="184">
        <v>46072</v>
      </c>
      <c r="L780" s="183">
        <v>25</v>
      </c>
      <c r="M780" s="185" t="str">
        <f>IF(phc_8[[#This Row],[Register No.]]="","",C780&amp;"-"&amp;D780&amp;"-"&amp;"BHA-PHC-"&amp;phc_8[[#This Row],[Register No.]])</f>
        <v>Shining Star-Mobile Clinic-BHA-PHC-25</v>
      </c>
      <c r="N780" s="9" t="s">
        <v>401</v>
      </c>
      <c r="O780" s="183" t="s">
        <v>3540</v>
      </c>
      <c r="P780" s="183">
        <v>55</v>
      </c>
      <c r="Q780" s="183"/>
      <c r="R780" s="183"/>
      <c r="S780" s="186" t="str">
        <f t="shared" si="31"/>
        <v>50 yrs +</v>
      </c>
      <c r="T780" s="183" t="s">
        <v>603</v>
      </c>
      <c r="U780" s="183"/>
      <c r="V780" s="183" t="s">
        <v>4938</v>
      </c>
      <c r="W780" s="183" t="s">
        <v>294</v>
      </c>
      <c r="X780" s="183" t="s">
        <v>294</v>
      </c>
      <c r="Y780" s="186" t="str">
        <f>INDEX(info!$Y$2:$Y$192,MATCH(phc_8[[#This Row],[Sub_Category]],info!$X$2:$X$192,0))</f>
        <v>Other (non-communicable)</v>
      </c>
      <c r="Z780" s="186" t="str">
        <f t="array" ref="Z780">INDEX(info!$AA$2:$AA$192,MATCH(PHC!$X780&amp;PHC!$Y780,info!$X$2:$X$192&amp;info!$Y$2:$Y$192,0))</f>
        <v>Other</v>
      </c>
      <c r="AA780" s="183" t="s">
        <v>4949</v>
      </c>
      <c r="AB780" s="9" t="s">
        <v>654</v>
      </c>
      <c r="AC780" s="9" t="s">
        <v>654</v>
      </c>
      <c r="AD780" s="9" t="s">
        <v>654</v>
      </c>
      <c r="AE780" s="9" t="s">
        <v>654</v>
      </c>
      <c r="AF780" s="184"/>
      <c r="AG780" s="183"/>
      <c r="AH780" s="183"/>
      <c r="AI780" s="183"/>
      <c r="AJ780" s="183"/>
      <c r="AK780" s="183"/>
      <c r="AL780" s="183"/>
      <c r="AM780" s="186" t="str">
        <f>IF(AF780="","","Q"&amp;INT((MONTH(AF780)-1)/3)+1&amp;YEAR(AF780)&amp;#REF!&amp;T780)</f>
        <v/>
      </c>
      <c r="AN780" s="186" t="e">
        <f>IF(K780="","","Q"&amp;INT((MONTH(K780)-1)/3)+1&amp;YEAR(K780)&amp;#REF!)</f>
        <v>#REF!</v>
      </c>
    </row>
    <row r="781" spans="1:40" ht="20.100000000000001" customHeight="1" x14ac:dyDescent="0.25">
      <c r="A781" s="8">
        <v>779</v>
      </c>
      <c r="B781" s="8" t="s">
        <v>399</v>
      </c>
      <c r="C781" s="8" t="s">
        <v>1997</v>
      </c>
      <c r="D781" s="8" t="s">
        <v>2416</v>
      </c>
      <c r="E781" s="182" t="s">
        <v>1998</v>
      </c>
      <c r="F781" s="183" t="s">
        <v>2254</v>
      </c>
      <c r="G781" s="183"/>
      <c r="H781" s="183" t="s">
        <v>4889</v>
      </c>
      <c r="I781" s="183" t="s">
        <v>579</v>
      </c>
      <c r="J781" s="183"/>
      <c r="K781" s="184">
        <v>46072</v>
      </c>
      <c r="L781" s="183">
        <v>26</v>
      </c>
      <c r="M781" s="185" t="str">
        <f>IF(phc_8[[#This Row],[Register No.]]="","",C781&amp;"-"&amp;D781&amp;"-"&amp;"BHA-PHC-"&amp;phc_8[[#This Row],[Register No.]])</f>
        <v>Shining Star-Mobile Clinic-BHA-PHC-26</v>
      </c>
      <c r="N781" s="9" t="s">
        <v>401</v>
      </c>
      <c r="O781" s="183" t="s">
        <v>4951</v>
      </c>
      <c r="P781" s="183">
        <v>40</v>
      </c>
      <c r="Q781" s="183"/>
      <c r="R781" s="183"/>
      <c r="S781" s="186" t="str">
        <f t="shared" si="31"/>
        <v>19 - 49 yrs</v>
      </c>
      <c r="T781" s="183" t="s">
        <v>603</v>
      </c>
      <c r="U781" s="183"/>
      <c r="V781" s="183" t="s">
        <v>2163</v>
      </c>
      <c r="W781" s="183" t="s">
        <v>3236</v>
      </c>
      <c r="X781" s="183" t="s">
        <v>225</v>
      </c>
      <c r="Y781" s="186" t="str">
        <f>INDEX(info!$Y$2:$Y$192,MATCH(phc_8[[#This Row],[Sub_Category]],info!$X$2:$X$192,0))</f>
        <v>GI problem</v>
      </c>
      <c r="Z781" s="186" t="str">
        <f t="array" ref="Z781">INDEX(info!$AA$2:$AA$192,MATCH(PHC!$X781&amp;PHC!$Y781,info!$X$2:$X$192&amp;info!$Y$2:$Y$192,0))</f>
        <v>Non-communicable disease</v>
      </c>
      <c r="AA781" s="183" t="s">
        <v>4965</v>
      </c>
      <c r="AB781" s="9" t="s">
        <v>654</v>
      </c>
      <c r="AC781" s="9" t="s">
        <v>654</v>
      </c>
      <c r="AD781" s="9" t="s">
        <v>654</v>
      </c>
      <c r="AE781" s="9" t="s">
        <v>654</v>
      </c>
      <c r="AF781" s="184"/>
      <c r="AG781" s="183"/>
      <c r="AH781" s="183"/>
      <c r="AI781" s="183"/>
      <c r="AJ781" s="183"/>
      <c r="AK781" s="183"/>
      <c r="AL781" s="183"/>
      <c r="AM781" s="186" t="str">
        <f>IF(AF781="","","Q"&amp;INT((MONTH(AF781)-1)/3)+1&amp;YEAR(AF781)&amp;#REF!&amp;T781)</f>
        <v/>
      </c>
      <c r="AN781" s="186" t="e">
        <f>IF(K781="","","Q"&amp;INT((MONTH(K781)-1)/3)+1&amp;YEAR(K781)&amp;#REF!)</f>
        <v>#REF!</v>
      </c>
    </row>
    <row r="782" spans="1:40" ht="20.100000000000001" customHeight="1" x14ac:dyDescent="0.25">
      <c r="A782" s="8">
        <v>780</v>
      </c>
      <c r="B782" s="8" t="s">
        <v>399</v>
      </c>
      <c r="C782" s="8" t="s">
        <v>1997</v>
      </c>
      <c r="D782" s="8" t="s">
        <v>2416</v>
      </c>
      <c r="E782" s="182" t="s">
        <v>1998</v>
      </c>
      <c r="F782" s="183" t="s">
        <v>2254</v>
      </c>
      <c r="G782" s="183"/>
      <c r="H782" s="183" t="s">
        <v>4889</v>
      </c>
      <c r="I782" s="183" t="s">
        <v>579</v>
      </c>
      <c r="J782" s="183"/>
      <c r="K782" s="184">
        <v>46072</v>
      </c>
      <c r="L782" s="183">
        <v>27</v>
      </c>
      <c r="M782" s="185" t="str">
        <f>IF(phc_8[[#This Row],[Register No.]]="","",C782&amp;"-"&amp;D782&amp;"-"&amp;"BHA-PHC-"&amp;phc_8[[#This Row],[Register No.]])</f>
        <v>Shining Star-Mobile Clinic-BHA-PHC-27</v>
      </c>
      <c r="N782" s="9" t="s">
        <v>401</v>
      </c>
      <c r="O782" s="183" t="s">
        <v>4952</v>
      </c>
      <c r="P782" s="183">
        <v>35</v>
      </c>
      <c r="Q782" s="183"/>
      <c r="R782" s="183"/>
      <c r="S782" s="186" t="str">
        <f t="shared" si="31"/>
        <v>19 - 49 yrs</v>
      </c>
      <c r="T782" s="183" t="s">
        <v>603</v>
      </c>
      <c r="U782" s="183"/>
      <c r="V782" s="183" t="s">
        <v>3344</v>
      </c>
      <c r="W782" s="183" t="s">
        <v>4963</v>
      </c>
      <c r="X782" s="183" t="s">
        <v>210</v>
      </c>
      <c r="Y782" s="186" t="str">
        <f>INDEX(info!$Y$2:$Y$192,MATCH(phc_8[[#This Row],[Sub_Category]],info!$X$2:$X$192,0))</f>
        <v>Eye problem/disease</v>
      </c>
      <c r="Z782" s="186" t="str">
        <f t="array" ref="Z782">INDEX(info!$AA$2:$AA$192,MATCH(PHC!$X782&amp;PHC!$Y782,info!$X$2:$X$192&amp;info!$Y$2:$Y$192,0))</f>
        <v>Non-communicable disease</v>
      </c>
      <c r="AA782" s="183" t="s">
        <v>4966</v>
      </c>
      <c r="AB782" s="9" t="s">
        <v>654</v>
      </c>
      <c r="AC782" s="9" t="s">
        <v>654</v>
      </c>
      <c r="AD782" s="9" t="s">
        <v>654</v>
      </c>
      <c r="AE782" s="9" t="s">
        <v>654</v>
      </c>
      <c r="AF782" s="184"/>
      <c r="AG782" s="183"/>
      <c r="AH782" s="183"/>
      <c r="AI782" s="183"/>
      <c r="AJ782" s="183"/>
      <c r="AK782" s="183"/>
      <c r="AL782" s="183"/>
      <c r="AM782" s="186" t="str">
        <f>IF(AF782="","","Q"&amp;INT((MONTH(AF782)-1)/3)+1&amp;YEAR(AF782)&amp;#REF!&amp;T782)</f>
        <v/>
      </c>
      <c r="AN782" s="186" t="e">
        <f>IF(K782="","","Q"&amp;INT((MONTH(K782)-1)/3)+1&amp;YEAR(K782)&amp;#REF!)</f>
        <v>#REF!</v>
      </c>
    </row>
    <row r="783" spans="1:40" ht="20.100000000000001" customHeight="1" x14ac:dyDescent="0.25">
      <c r="A783" s="8">
        <v>781</v>
      </c>
      <c r="B783" s="8" t="s">
        <v>399</v>
      </c>
      <c r="C783" s="8" t="s">
        <v>1997</v>
      </c>
      <c r="D783" s="8" t="s">
        <v>2416</v>
      </c>
      <c r="E783" s="182" t="s">
        <v>1998</v>
      </c>
      <c r="F783" s="183" t="s">
        <v>2254</v>
      </c>
      <c r="G783" s="183"/>
      <c r="H783" s="183" t="s">
        <v>4889</v>
      </c>
      <c r="I783" s="183" t="s">
        <v>579</v>
      </c>
      <c r="J783" s="183"/>
      <c r="K783" s="184">
        <v>46072</v>
      </c>
      <c r="L783" s="183">
        <v>28</v>
      </c>
      <c r="M783" s="185" t="str">
        <f>IF(phc_8[[#This Row],[Register No.]]="","",C783&amp;"-"&amp;D783&amp;"-"&amp;"BHA-PHC-"&amp;phc_8[[#This Row],[Register No.]])</f>
        <v>Shining Star-Mobile Clinic-BHA-PHC-28</v>
      </c>
      <c r="N783" s="9" t="s">
        <v>401</v>
      </c>
      <c r="O783" s="183" t="s">
        <v>4953</v>
      </c>
      <c r="P783" s="183">
        <v>21</v>
      </c>
      <c r="Q783" s="183"/>
      <c r="R783" s="183"/>
      <c r="S783" s="186" t="str">
        <f t="shared" ref="S783:S823" si="32">IF(AND(ISBLANK(P783),ISBLANK(Q783),ISBLANK(R783))," ",
IF(OR(P783&lt;5,AND(P783=" ",Q783&lt;&gt;" ",R783&lt;&gt;" ")),"&lt;5 yrs",
IF(AND(P783&gt;=5,P783&lt;=14),"5 - 14 yrs",
IF(AND(P783&gt;=15,P783&lt;=18),"15 - 18 yrs",
IF(AND(P783&gt;=19,P783&lt;=49),"19 - 49 yrs","50 yrs +")))))</f>
        <v>19 - 49 yrs</v>
      </c>
      <c r="T783" s="183" t="s">
        <v>603</v>
      </c>
      <c r="U783" s="183"/>
      <c r="V783" s="183" t="s">
        <v>4959</v>
      </c>
      <c r="W783" s="183" t="s">
        <v>225</v>
      </c>
      <c r="X783" s="183" t="s">
        <v>225</v>
      </c>
      <c r="Y783" s="186" t="str">
        <f>INDEX(info!$Y$2:$Y$192,MATCH(phc_8[[#This Row],[Sub_Category]],info!$X$2:$X$192,0))</f>
        <v>GI problem</v>
      </c>
      <c r="Z783" s="186" t="str">
        <f t="array" ref="Z783">INDEX(info!$AA$2:$AA$192,MATCH(PHC!$X783&amp;PHC!$Y783,info!$X$2:$X$192&amp;info!$Y$2:$Y$192,0))</f>
        <v>Non-communicable disease</v>
      </c>
      <c r="AA783" s="183" t="s">
        <v>4967</v>
      </c>
      <c r="AB783" s="9" t="s">
        <v>654</v>
      </c>
      <c r="AC783" s="9" t="s">
        <v>654</v>
      </c>
      <c r="AD783" s="9" t="s">
        <v>654</v>
      </c>
      <c r="AE783" s="9" t="s">
        <v>654</v>
      </c>
      <c r="AF783" s="184"/>
      <c r="AG783" s="183"/>
      <c r="AH783" s="183"/>
      <c r="AI783" s="183"/>
      <c r="AJ783" s="183"/>
      <c r="AK783" s="183"/>
      <c r="AL783" s="183"/>
      <c r="AM783" s="186" t="str">
        <f>IF(AF783="","","Q"&amp;INT((MONTH(AF783)-1)/3)+1&amp;YEAR(AF783)&amp;#REF!&amp;T783)</f>
        <v/>
      </c>
      <c r="AN783" s="186" t="e">
        <f>IF(K783="","","Q"&amp;INT((MONTH(K783)-1)/3)+1&amp;YEAR(K783)&amp;#REF!)</f>
        <v>#REF!</v>
      </c>
    </row>
    <row r="784" spans="1:40" ht="20.100000000000001" customHeight="1" x14ac:dyDescent="0.25">
      <c r="A784" s="8">
        <v>782</v>
      </c>
      <c r="B784" s="8" t="s">
        <v>399</v>
      </c>
      <c r="C784" s="8" t="s">
        <v>1997</v>
      </c>
      <c r="D784" s="8" t="s">
        <v>2416</v>
      </c>
      <c r="E784" s="182" t="s">
        <v>1998</v>
      </c>
      <c r="F784" s="183" t="s">
        <v>2254</v>
      </c>
      <c r="G784" s="183"/>
      <c r="H784" s="183" t="s">
        <v>4889</v>
      </c>
      <c r="I784" s="183" t="s">
        <v>579</v>
      </c>
      <c r="J784" s="183"/>
      <c r="K784" s="184">
        <v>46072</v>
      </c>
      <c r="L784" s="183">
        <v>29</v>
      </c>
      <c r="M784" s="185" t="str">
        <f>IF(phc_8[[#This Row],[Register No.]]="","",C784&amp;"-"&amp;D784&amp;"-"&amp;"BHA-PHC-"&amp;phc_8[[#This Row],[Register No.]])</f>
        <v>Shining Star-Mobile Clinic-BHA-PHC-29</v>
      </c>
      <c r="N784" s="9" t="s">
        <v>401</v>
      </c>
      <c r="O784" s="183" t="s">
        <v>4954</v>
      </c>
      <c r="P784" s="183">
        <v>64</v>
      </c>
      <c r="Q784" s="183"/>
      <c r="R784" s="183"/>
      <c r="S784" s="186" t="str">
        <f t="shared" si="32"/>
        <v>50 yrs +</v>
      </c>
      <c r="T784" s="183" t="s">
        <v>603</v>
      </c>
      <c r="U784" s="183"/>
      <c r="V784" s="183" t="s">
        <v>3834</v>
      </c>
      <c r="W784" s="183" t="s">
        <v>4964</v>
      </c>
      <c r="X784" s="183" t="s">
        <v>178</v>
      </c>
      <c r="Y784" s="186" t="str">
        <f>INDEX(info!$Y$2:$Y$192,MATCH(phc_8[[#This Row],[Sub_Category]],info!$X$2:$X$192,0))</f>
        <v>Chronic medical disease</v>
      </c>
      <c r="Z784" s="186" t="str">
        <f t="array" ref="Z784">INDEX(info!$AA$2:$AA$192,MATCH(PHC!$X784&amp;PHC!$Y784,info!$X$2:$X$192&amp;info!$Y$2:$Y$192,0))</f>
        <v>Non-communicable disease</v>
      </c>
      <c r="AA784" s="183" t="s">
        <v>4968</v>
      </c>
      <c r="AB784" s="9" t="s">
        <v>654</v>
      </c>
      <c r="AC784" s="9" t="s">
        <v>654</v>
      </c>
      <c r="AD784" s="9" t="s">
        <v>654</v>
      </c>
      <c r="AE784" s="9" t="s">
        <v>654</v>
      </c>
      <c r="AF784" s="184"/>
      <c r="AG784" s="183"/>
      <c r="AH784" s="183"/>
      <c r="AI784" s="183"/>
      <c r="AJ784" s="183"/>
      <c r="AK784" s="183"/>
      <c r="AL784" s="183"/>
      <c r="AM784" s="186" t="str">
        <f>IF(AF784="","","Q"&amp;INT((MONTH(AF784)-1)/3)+1&amp;YEAR(AF784)&amp;#REF!&amp;T784)</f>
        <v/>
      </c>
      <c r="AN784" s="186" t="e">
        <f>IF(K784="","","Q"&amp;INT((MONTH(K784)-1)/3)+1&amp;YEAR(K784)&amp;#REF!)</f>
        <v>#REF!</v>
      </c>
    </row>
    <row r="785" spans="1:40" ht="20.100000000000001" customHeight="1" x14ac:dyDescent="0.25">
      <c r="A785" s="8">
        <v>783</v>
      </c>
      <c r="B785" s="8" t="s">
        <v>399</v>
      </c>
      <c r="C785" s="8" t="s">
        <v>1997</v>
      </c>
      <c r="D785" s="8" t="s">
        <v>2416</v>
      </c>
      <c r="E785" s="182" t="s">
        <v>1998</v>
      </c>
      <c r="F785" s="183" t="s">
        <v>2254</v>
      </c>
      <c r="G785" s="183"/>
      <c r="H785" s="183" t="s">
        <v>4889</v>
      </c>
      <c r="I785" s="183" t="s">
        <v>579</v>
      </c>
      <c r="J785" s="183"/>
      <c r="K785" s="184">
        <v>46072</v>
      </c>
      <c r="L785" s="183">
        <v>30</v>
      </c>
      <c r="M785" s="185" t="str">
        <f>IF(phc_8[[#This Row],[Register No.]]="","",C785&amp;"-"&amp;D785&amp;"-"&amp;"BHA-PHC-"&amp;phc_8[[#This Row],[Register No.]])</f>
        <v>Shining Star-Mobile Clinic-BHA-PHC-30</v>
      </c>
      <c r="N785" s="9" t="s">
        <v>401</v>
      </c>
      <c r="O785" s="183" t="s">
        <v>4955</v>
      </c>
      <c r="P785" s="183">
        <v>69</v>
      </c>
      <c r="Q785" s="183"/>
      <c r="R785" s="183"/>
      <c r="S785" s="186" t="str">
        <f t="shared" si="32"/>
        <v>50 yrs +</v>
      </c>
      <c r="T785" s="183" t="s">
        <v>603</v>
      </c>
      <c r="U785" s="183"/>
      <c r="V785" s="183" t="s">
        <v>2043</v>
      </c>
      <c r="W785" s="183" t="s">
        <v>2003</v>
      </c>
      <c r="X785" s="183" t="s">
        <v>181</v>
      </c>
      <c r="Y785" s="186" t="str">
        <f>INDEX(info!$Y$2:$Y$192,MATCH(phc_8[[#This Row],[Sub_Category]],info!$X$2:$X$192,0))</f>
        <v>Chronic medical disease</v>
      </c>
      <c r="Z785" s="186" t="str">
        <f t="array" ref="Z785">INDEX(info!$AA$2:$AA$192,MATCH(PHC!$X785&amp;PHC!$Y785,info!$X$2:$X$192&amp;info!$Y$2:$Y$192,0))</f>
        <v>Non-communicable disease</v>
      </c>
      <c r="AA785" s="183" t="s">
        <v>4969</v>
      </c>
      <c r="AB785" s="9" t="s">
        <v>654</v>
      </c>
      <c r="AC785" s="9" t="s">
        <v>654</v>
      </c>
      <c r="AD785" s="9" t="s">
        <v>654</v>
      </c>
      <c r="AE785" s="9" t="s">
        <v>654</v>
      </c>
      <c r="AF785" s="184"/>
      <c r="AG785" s="183"/>
      <c r="AH785" s="183"/>
      <c r="AI785" s="183"/>
      <c r="AJ785" s="183"/>
      <c r="AK785" s="183"/>
      <c r="AL785" s="183"/>
      <c r="AM785" s="186" t="str">
        <f>IF(AF785="","","Q"&amp;INT((MONTH(AF785)-1)/3)+1&amp;YEAR(AF785)&amp;#REF!&amp;T785)</f>
        <v/>
      </c>
      <c r="AN785" s="186" t="e">
        <f>IF(K785="","","Q"&amp;INT((MONTH(K785)-1)/3)+1&amp;YEAR(K785)&amp;#REF!)</f>
        <v>#REF!</v>
      </c>
    </row>
    <row r="786" spans="1:40" ht="20.100000000000001" customHeight="1" x14ac:dyDescent="0.25">
      <c r="A786" s="8">
        <v>784</v>
      </c>
      <c r="B786" s="8" t="s">
        <v>399</v>
      </c>
      <c r="C786" s="8" t="s">
        <v>1997</v>
      </c>
      <c r="D786" s="8" t="s">
        <v>2416</v>
      </c>
      <c r="E786" s="182" t="s">
        <v>1998</v>
      </c>
      <c r="F786" s="183" t="s">
        <v>2254</v>
      </c>
      <c r="G786" s="183"/>
      <c r="H786" s="183" t="s">
        <v>4889</v>
      </c>
      <c r="I786" s="183" t="s">
        <v>579</v>
      </c>
      <c r="J786" s="183"/>
      <c r="K786" s="184">
        <v>46072</v>
      </c>
      <c r="L786" s="183">
        <v>31</v>
      </c>
      <c r="M786" s="185" t="str">
        <f>IF(phc_8[[#This Row],[Register No.]]="","",C786&amp;"-"&amp;D786&amp;"-"&amp;"BHA-PHC-"&amp;phc_8[[#This Row],[Register No.]])</f>
        <v>Shining Star-Mobile Clinic-BHA-PHC-31</v>
      </c>
      <c r="N786" s="9" t="s">
        <v>401</v>
      </c>
      <c r="O786" s="183" t="s">
        <v>2862</v>
      </c>
      <c r="P786" s="183">
        <v>66</v>
      </c>
      <c r="Q786" s="183"/>
      <c r="R786" s="183"/>
      <c r="S786" s="186" t="str">
        <f t="shared" si="32"/>
        <v>50 yrs +</v>
      </c>
      <c r="T786" s="183" t="s">
        <v>603</v>
      </c>
      <c r="U786" s="183"/>
      <c r="V786" s="183" t="s">
        <v>4880</v>
      </c>
      <c r="W786" s="183" t="s">
        <v>225</v>
      </c>
      <c r="X786" s="183" t="s">
        <v>225</v>
      </c>
      <c r="Y786" s="186" t="str">
        <f>INDEX(info!$Y$2:$Y$192,MATCH(phc_8[[#This Row],[Sub_Category]],info!$X$2:$X$192,0))</f>
        <v>GI problem</v>
      </c>
      <c r="Z786" s="186" t="str">
        <f t="array" ref="Z786">INDEX(info!$AA$2:$AA$192,MATCH(PHC!$X786&amp;PHC!$Y786,info!$X$2:$X$192&amp;info!$Y$2:$Y$192,0))</f>
        <v>Non-communicable disease</v>
      </c>
      <c r="AA786" s="183" t="s">
        <v>4970</v>
      </c>
      <c r="AB786" s="9" t="s">
        <v>654</v>
      </c>
      <c r="AC786" s="9" t="s">
        <v>654</v>
      </c>
      <c r="AD786" s="9" t="s">
        <v>654</v>
      </c>
      <c r="AE786" s="9" t="s">
        <v>654</v>
      </c>
      <c r="AF786" s="184"/>
      <c r="AG786" s="183"/>
      <c r="AH786" s="183"/>
      <c r="AI786" s="183"/>
      <c r="AJ786" s="183"/>
      <c r="AK786" s="183"/>
      <c r="AL786" s="183"/>
      <c r="AM786" s="186" t="str">
        <f>IF(AF786="","","Q"&amp;INT((MONTH(AF786)-1)/3)+1&amp;YEAR(AF786)&amp;#REF!&amp;T786)</f>
        <v/>
      </c>
      <c r="AN786" s="186" t="e">
        <f>IF(K786="","","Q"&amp;INT((MONTH(K786)-1)/3)+1&amp;YEAR(K786)&amp;#REF!)</f>
        <v>#REF!</v>
      </c>
    </row>
    <row r="787" spans="1:40" ht="20.100000000000001" customHeight="1" x14ac:dyDescent="0.25">
      <c r="A787" s="8">
        <v>785</v>
      </c>
      <c r="B787" s="8" t="s">
        <v>399</v>
      </c>
      <c r="C787" s="8" t="s">
        <v>1997</v>
      </c>
      <c r="D787" s="8" t="s">
        <v>2416</v>
      </c>
      <c r="E787" s="182" t="s">
        <v>1998</v>
      </c>
      <c r="F787" s="183" t="s">
        <v>2254</v>
      </c>
      <c r="G787" s="183"/>
      <c r="H787" s="183" t="s">
        <v>4889</v>
      </c>
      <c r="I787" s="183" t="s">
        <v>579</v>
      </c>
      <c r="J787" s="183"/>
      <c r="K787" s="184">
        <v>46072</v>
      </c>
      <c r="L787" s="183">
        <v>32</v>
      </c>
      <c r="M787" s="185" t="str">
        <f>IF(phc_8[[#This Row],[Register No.]]="","",C787&amp;"-"&amp;D787&amp;"-"&amp;"BHA-PHC-"&amp;phc_8[[#This Row],[Register No.]])</f>
        <v>Shining Star-Mobile Clinic-BHA-PHC-32</v>
      </c>
      <c r="N787" s="9" t="s">
        <v>401</v>
      </c>
      <c r="O787" s="183" t="s">
        <v>4956</v>
      </c>
      <c r="P787" s="183">
        <v>54</v>
      </c>
      <c r="Q787" s="183"/>
      <c r="R787" s="183"/>
      <c r="S787" s="186" t="str">
        <f t="shared" si="32"/>
        <v>50 yrs +</v>
      </c>
      <c r="T787" s="183" t="s">
        <v>603</v>
      </c>
      <c r="U787" s="183"/>
      <c r="V787" s="183" t="s">
        <v>4960</v>
      </c>
      <c r="W787" s="183" t="s">
        <v>4565</v>
      </c>
      <c r="X787" s="183" t="s">
        <v>242</v>
      </c>
      <c r="Y787" s="186" t="str">
        <f>INDEX(info!$Y$2:$Y$192,MATCH(phc_8[[#This Row],[Sub_Category]],info!$X$2:$X$192,0))</f>
        <v>Accident/minor sugical and injuries</v>
      </c>
      <c r="Z787" s="186" t="str">
        <f t="array" ref="Z787">INDEX(info!$AA$2:$AA$192,MATCH(PHC!$X787&amp;PHC!$Y787,info!$X$2:$X$192&amp;info!$Y$2:$Y$192,0))</f>
        <v>Injury related</v>
      </c>
      <c r="AA787" s="183" t="s">
        <v>4971</v>
      </c>
      <c r="AB787" s="9" t="s">
        <v>654</v>
      </c>
      <c r="AC787" s="9" t="s">
        <v>654</v>
      </c>
      <c r="AD787" s="9" t="s">
        <v>654</v>
      </c>
      <c r="AE787" s="9" t="s">
        <v>654</v>
      </c>
      <c r="AF787" s="184"/>
      <c r="AG787" s="183"/>
      <c r="AH787" s="183"/>
      <c r="AI787" s="183"/>
      <c r="AJ787" s="183"/>
      <c r="AK787" s="183"/>
      <c r="AL787" s="183"/>
      <c r="AM787" s="186" t="str">
        <f>IF(AF787="","","Q"&amp;INT((MONTH(AF787)-1)/3)+1&amp;YEAR(AF787)&amp;#REF!&amp;T787)</f>
        <v/>
      </c>
      <c r="AN787" s="186" t="e">
        <f>IF(K787="","","Q"&amp;INT((MONTH(K787)-1)/3)+1&amp;YEAR(K787)&amp;#REF!)</f>
        <v>#REF!</v>
      </c>
    </row>
    <row r="788" spans="1:40" ht="20.100000000000001" customHeight="1" x14ac:dyDescent="0.25">
      <c r="A788" s="8">
        <v>786</v>
      </c>
      <c r="B788" s="8" t="s">
        <v>399</v>
      </c>
      <c r="C788" s="8" t="s">
        <v>1997</v>
      </c>
      <c r="D788" s="8" t="s">
        <v>2416</v>
      </c>
      <c r="E788" s="182" t="s">
        <v>1998</v>
      </c>
      <c r="F788" s="183" t="s">
        <v>2254</v>
      </c>
      <c r="G788" s="183"/>
      <c r="H788" s="183" t="s">
        <v>4889</v>
      </c>
      <c r="I788" s="183" t="s">
        <v>579</v>
      </c>
      <c r="J788" s="183"/>
      <c r="K788" s="184">
        <v>46072</v>
      </c>
      <c r="L788" s="183">
        <v>33</v>
      </c>
      <c r="M788" s="185" t="str">
        <f>IF(phc_8[[#This Row],[Register No.]]="","",C788&amp;"-"&amp;D788&amp;"-"&amp;"BHA-PHC-"&amp;phc_8[[#This Row],[Register No.]])</f>
        <v>Shining Star-Mobile Clinic-BHA-PHC-33</v>
      </c>
      <c r="N788" s="9" t="s">
        <v>401</v>
      </c>
      <c r="O788" s="183" t="s">
        <v>4957</v>
      </c>
      <c r="P788" s="183">
        <v>45</v>
      </c>
      <c r="Q788" s="183"/>
      <c r="R788" s="183"/>
      <c r="S788" s="186" t="str">
        <f t="shared" si="32"/>
        <v>19 - 49 yrs</v>
      </c>
      <c r="T788" s="183" t="s">
        <v>603</v>
      </c>
      <c r="U788" s="183"/>
      <c r="V788" s="183" t="s">
        <v>4961</v>
      </c>
      <c r="W788" s="183" t="s">
        <v>294</v>
      </c>
      <c r="X788" s="183" t="s">
        <v>294</v>
      </c>
      <c r="Y788" s="186" t="str">
        <f>INDEX(info!$Y$2:$Y$192,MATCH(phc_8[[#This Row],[Sub_Category]],info!$X$2:$X$192,0))</f>
        <v>Other (non-communicable)</v>
      </c>
      <c r="Z788" s="186" t="str">
        <f t="array" ref="Z788">INDEX(info!$AA$2:$AA$192,MATCH(PHC!$X788&amp;PHC!$Y788,info!$X$2:$X$192&amp;info!$Y$2:$Y$192,0))</f>
        <v>Other</v>
      </c>
      <c r="AA788" s="183" t="s">
        <v>4972</v>
      </c>
      <c r="AB788" s="9" t="s">
        <v>654</v>
      </c>
      <c r="AC788" s="9" t="s">
        <v>654</v>
      </c>
      <c r="AD788" s="9" t="s">
        <v>654</v>
      </c>
      <c r="AE788" s="9" t="s">
        <v>654</v>
      </c>
      <c r="AF788" s="184"/>
      <c r="AG788" s="183"/>
      <c r="AH788" s="183"/>
      <c r="AI788" s="183"/>
      <c r="AJ788" s="183"/>
      <c r="AK788" s="183"/>
      <c r="AL788" s="183"/>
      <c r="AM788" s="186" t="str">
        <f>IF(AF788="","","Q"&amp;INT((MONTH(AF788)-1)/3)+1&amp;YEAR(AF788)&amp;#REF!&amp;T788)</f>
        <v/>
      </c>
      <c r="AN788" s="186" t="e">
        <f>IF(K788="","","Q"&amp;INT((MONTH(K788)-1)/3)+1&amp;YEAR(K788)&amp;#REF!)</f>
        <v>#REF!</v>
      </c>
    </row>
    <row r="789" spans="1:40" ht="20.100000000000001" customHeight="1" x14ac:dyDescent="0.25">
      <c r="A789" s="8">
        <v>787</v>
      </c>
      <c r="B789" s="8" t="s">
        <v>399</v>
      </c>
      <c r="C789" s="8" t="s">
        <v>1997</v>
      </c>
      <c r="D789" s="8" t="s">
        <v>2416</v>
      </c>
      <c r="E789" s="182" t="s">
        <v>1998</v>
      </c>
      <c r="F789" s="183" t="s">
        <v>2254</v>
      </c>
      <c r="G789" s="183"/>
      <c r="H789" s="183" t="s">
        <v>4889</v>
      </c>
      <c r="I789" s="183" t="s">
        <v>579</v>
      </c>
      <c r="J789" s="183"/>
      <c r="K789" s="184">
        <v>46072</v>
      </c>
      <c r="L789" s="183">
        <v>34</v>
      </c>
      <c r="M789" s="185" t="str">
        <f>IF(phc_8[[#This Row],[Register No.]]="","",C789&amp;"-"&amp;D789&amp;"-"&amp;"BHA-PHC-"&amp;phc_8[[#This Row],[Register No.]])</f>
        <v>Shining Star-Mobile Clinic-BHA-PHC-34</v>
      </c>
      <c r="N789" s="9" t="s">
        <v>401</v>
      </c>
      <c r="O789" s="183" t="s">
        <v>4958</v>
      </c>
      <c r="P789" s="183">
        <v>65</v>
      </c>
      <c r="Q789" s="183"/>
      <c r="R789" s="183"/>
      <c r="S789" s="186" t="str">
        <f t="shared" si="32"/>
        <v>50 yrs +</v>
      </c>
      <c r="T789" s="183" t="s">
        <v>603</v>
      </c>
      <c r="U789" s="183"/>
      <c r="V789" s="183" t="s">
        <v>4962</v>
      </c>
      <c r="W789" s="183" t="s">
        <v>2003</v>
      </c>
      <c r="X789" s="183" t="s">
        <v>181</v>
      </c>
      <c r="Y789" s="186" t="str">
        <f>INDEX(info!$Y$2:$Y$192,MATCH(phc_8[[#This Row],[Sub_Category]],info!$X$2:$X$192,0))</f>
        <v>Chronic medical disease</v>
      </c>
      <c r="Z789" s="186" t="str">
        <f t="array" ref="Z789">INDEX(info!$AA$2:$AA$192,MATCH(PHC!$X789&amp;PHC!$Y789,info!$X$2:$X$192&amp;info!$Y$2:$Y$192,0))</f>
        <v>Non-communicable disease</v>
      </c>
      <c r="AA789" s="183" t="s">
        <v>4973</v>
      </c>
      <c r="AB789" s="9" t="s">
        <v>654</v>
      </c>
      <c r="AC789" s="9" t="s">
        <v>654</v>
      </c>
      <c r="AD789" s="9" t="s">
        <v>654</v>
      </c>
      <c r="AE789" s="9" t="s">
        <v>654</v>
      </c>
      <c r="AF789" s="184"/>
      <c r="AG789" s="183"/>
      <c r="AH789" s="183"/>
      <c r="AI789" s="183"/>
      <c r="AJ789" s="183"/>
      <c r="AK789" s="183"/>
      <c r="AL789" s="183"/>
      <c r="AM789" s="186" t="str">
        <f>IF(AF789="","","Q"&amp;INT((MONTH(AF789)-1)/3)+1&amp;YEAR(AF789)&amp;#REF!&amp;T789)</f>
        <v/>
      </c>
      <c r="AN789" s="186" t="e">
        <f>IF(K789="","","Q"&amp;INT((MONTH(K789)-1)/3)+1&amp;YEAR(K789)&amp;#REF!)</f>
        <v>#REF!</v>
      </c>
    </row>
    <row r="790" spans="1:40" ht="20.100000000000001" customHeight="1" x14ac:dyDescent="0.25">
      <c r="A790" s="8">
        <v>788</v>
      </c>
      <c r="B790" s="8" t="s">
        <v>399</v>
      </c>
      <c r="C790" s="8" t="s">
        <v>1997</v>
      </c>
      <c r="D790" s="8" t="s">
        <v>2416</v>
      </c>
      <c r="E790" s="182" t="s">
        <v>1998</v>
      </c>
      <c r="F790" s="183" t="s">
        <v>2254</v>
      </c>
      <c r="G790" s="183"/>
      <c r="H790" s="183" t="s">
        <v>4889</v>
      </c>
      <c r="I790" s="183" t="s">
        <v>579</v>
      </c>
      <c r="J790" s="183"/>
      <c r="K790" s="184">
        <v>46072</v>
      </c>
      <c r="L790" s="183">
        <v>35</v>
      </c>
      <c r="M790" s="185" t="str">
        <f>IF(phc_8[[#This Row],[Register No.]]="","",C790&amp;"-"&amp;D790&amp;"-"&amp;"BHA-PHC-"&amp;phc_8[[#This Row],[Register No.]])</f>
        <v>Shining Star-Mobile Clinic-BHA-PHC-35</v>
      </c>
      <c r="N790" s="9" t="s">
        <v>401</v>
      </c>
      <c r="O790" s="183" t="s">
        <v>3214</v>
      </c>
      <c r="P790" s="183">
        <v>49</v>
      </c>
      <c r="Q790" s="183"/>
      <c r="R790" s="183"/>
      <c r="S790" s="186" t="str">
        <f t="shared" si="32"/>
        <v>19 - 49 yrs</v>
      </c>
      <c r="T790" s="183" t="s">
        <v>603</v>
      </c>
      <c r="U790" s="183"/>
      <c r="V790" s="183" t="s">
        <v>3425</v>
      </c>
      <c r="W790" s="183" t="s">
        <v>2014</v>
      </c>
      <c r="X790" s="183" t="s">
        <v>2014</v>
      </c>
      <c r="Y790" s="186" t="str">
        <f>INDEX(info!$Y$2:$Y$192,MATCH(phc_8[[#This Row],[Sub_Category]],info!$X$2:$X$192,0))</f>
        <v>Other (non-communicable)</v>
      </c>
      <c r="Z790" s="186" t="str">
        <f t="array" ref="Z790">INDEX(info!$AA$2:$AA$192,MATCH(PHC!$X790&amp;PHC!$Y790,info!$X$2:$X$192&amp;info!$Y$2:$Y$192,0))</f>
        <v>Other</v>
      </c>
      <c r="AA790" s="183" t="s">
        <v>4974</v>
      </c>
      <c r="AB790" s="9" t="s">
        <v>654</v>
      </c>
      <c r="AC790" s="9" t="s">
        <v>654</v>
      </c>
      <c r="AD790" s="9" t="s">
        <v>654</v>
      </c>
      <c r="AE790" s="9" t="s">
        <v>654</v>
      </c>
      <c r="AF790" s="184"/>
      <c r="AG790" s="183"/>
      <c r="AH790" s="183"/>
      <c r="AI790" s="183"/>
      <c r="AJ790" s="183"/>
      <c r="AK790" s="183"/>
      <c r="AL790" s="183"/>
      <c r="AM790" s="186" t="str">
        <f>IF(AF790="","","Q"&amp;INT((MONTH(AF790)-1)/3)+1&amp;YEAR(AF790)&amp;#REF!&amp;T790)</f>
        <v/>
      </c>
      <c r="AN790" s="186" t="e">
        <f>IF(K790="","","Q"&amp;INT((MONTH(K790)-1)/3)+1&amp;YEAR(K790)&amp;#REF!)</f>
        <v>#REF!</v>
      </c>
    </row>
    <row r="791" spans="1:40" ht="20.100000000000001" customHeight="1" x14ac:dyDescent="0.25">
      <c r="A791" s="8">
        <v>789</v>
      </c>
      <c r="B791" s="8" t="s">
        <v>399</v>
      </c>
      <c r="C791" s="8" t="s">
        <v>1997</v>
      </c>
      <c r="D791" s="8" t="s">
        <v>2416</v>
      </c>
      <c r="E791" s="182" t="s">
        <v>1998</v>
      </c>
      <c r="F791" s="183" t="s">
        <v>2254</v>
      </c>
      <c r="G791" s="183"/>
      <c r="H791" s="183" t="s">
        <v>4889</v>
      </c>
      <c r="I791" s="183" t="s">
        <v>579</v>
      </c>
      <c r="J791" s="183"/>
      <c r="K791" s="184">
        <v>46072</v>
      </c>
      <c r="L791" s="183">
        <v>36</v>
      </c>
      <c r="M791" s="185" t="str">
        <f>IF(phc_8[[#This Row],[Register No.]]="","",C791&amp;"-"&amp;D791&amp;"-"&amp;"BHA-PHC-"&amp;phc_8[[#This Row],[Register No.]])</f>
        <v>Shining Star-Mobile Clinic-BHA-PHC-36</v>
      </c>
      <c r="N791" s="9" t="s">
        <v>401</v>
      </c>
      <c r="O791" s="183" t="s">
        <v>4975</v>
      </c>
      <c r="P791" s="183">
        <v>40</v>
      </c>
      <c r="Q791" s="183"/>
      <c r="R791" s="183"/>
      <c r="S791" s="186" t="str">
        <f t="shared" si="32"/>
        <v>19 - 49 yrs</v>
      </c>
      <c r="T791" s="183" t="s">
        <v>603</v>
      </c>
      <c r="U791" s="183"/>
      <c r="V791" s="183" t="s">
        <v>3261</v>
      </c>
      <c r="W791" s="183" t="s">
        <v>3249</v>
      </c>
      <c r="X791" s="183" t="s">
        <v>196</v>
      </c>
      <c r="Y791" s="186" t="str">
        <f>INDEX(info!$Y$2:$Y$192,MATCH(phc_8[[#This Row],[Sub_Category]],info!$X$2:$X$192,0))</f>
        <v>Skin infection/disease</v>
      </c>
      <c r="Z791" s="186" t="str">
        <f t="array" ref="Z791">INDEX(info!$AA$2:$AA$192,MATCH(PHC!$X791&amp;PHC!$Y791,info!$X$2:$X$192&amp;info!$Y$2:$Y$192,0))</f>
        <v>Non-communicable disease</v>
      </c>
      <c r="AA791" s="183" t="s">
        <v>4992</v>
      </c>
      <c r="AB791" s="9" t="s">
        <v>654</v>
      </c>
      <c r="AC791" s="9" t="s">
        <v>654</v>
      </c>
      <c r="AD791" s="9" t="s">
        <v>654</v>
      </c>
      <c r="AE791" s="9" t="s">
        <v>654</v>
      </c>
      <c r="AF791" s="184"/>
      <c r="AG791" s="183"/>
      <c r="AH791" s="183"/>
      <c r="AI791" s="183"/>
      <c r="AJ791" s="183"/>
      <c r="AK791" s="183"/>
      <c r="AL791" s="183"/>
      <c r="AM791" s="186" t="str">
        <f>IF(AF791="","","Q"&amp;INT((MONTH(AF791)-1)/3)+1&amp;YEAR(AF791)&amp;#REF!&amp;T791)</f>
        <v/>
      </c>
      <c r="AN791" s="186" t="e">
        <f>IF(K791="","","Q"&amp;INT((MONTH(K791)-1)/3)+1&amp;YEAR(K791)&amp;#REF!)</f>
        <v>#REF!</v>
      </c>
    </row>
    <row r="792" spans="1:40" ht="20.100000000000001" customHeight="1" x14ac:dyDescent="0.25">
      <c r="A792" s="8">
        <v>790</v>
      </c>
      <c r="B792" s="8" t="s">
        <v>399</v>
      </c>
      <c r="C792" s="8" t="s">
        <v>1997</v>
      </c>
      <c r="D792" s="8" t="s">
        <v>2416</v>
      </c>
      <c r="E792" s="182" t="s">
        <v>1998</v>
      </c>
      <c r="F792" s="183" t="s">
        <v>2254</v>
      </c>
      <c r="G792" s="183"/>
      <c r="H792" s="183" t="s">
        <v>4889</v>
      </c>
      <c r="I792" s="183" t="s">
        <v>579</v>
      </c>
      <c r="J792" s="183"/>
      <c r="K792" s="184">
        <v>46072</v>
      </c>
      <c r="L792" s="183">
        <v>37</v>
      </c>
      <c r="M792" s="185" t="str">
        <f>IF(phc_8[[#This Row],[Register No.]]="","",C792&amp;"-"&amp;D792&amp;"-"&amp;"BHA-PHC-"&amp;phc_8[[#This Row],[Register No.]])</f>
        <v>Shining Star-Mobile Clinic-BHA-PHC-37</v>
      </c>
      <c r="N792" s="9" t="s">
        <v>401</v>
      </c>
      <c r="O792" s="183" t="s">
        <v>4976</v>
      </c>
      <c r="P792" s="183">
        <v>59</v>
      </c>
      <c r="Q792" s="183"/>
      <c r="R792" s="183"/>
      <c r="S792" s="186" t="str">
        <f t="shared" si="32"/>
        <v>50 yrs +</v>
      </c>
      <c r="T792" s="183" t="s">
        <v>603</v>
      </c>
      <c r="U792" s="183"/>
      <c r="V792" s="183" t="s">
        <v>3344</v>
      </c>
      <c r="W792" s="183" t="s">
        <v>2014</v>
      </c>
      <c r="X792" s="183" t="s">
        <v>2014</v>
      </c>
      <c r="Y792" s="186" t="str">
        <f>INDEX(info!$Y$2:$Y$192,MATCH(phc_8[[#This Row],[Sub_Category]],info!$X$2:$X$192,0))</f>
        <v>Other (non-communicable)</v>
      </c>
      <c r="Z792" s="186" t="str">
        <f t="array" ref="Z792">INDEX(info!$AA$2:$AA$192,MATCH(PHC!$X792&amp;PHC!$Y792,info!$X$2:$X$192&amp;info!$Y$2:$Y$192,0))</f>
        <v>Other</v>
      </c>
      <c r="AA792" s="183" t="s">
        <v>4993</v>
      </c>
      <c r="AB792" s="9" t="s">
        <v>654</v>
      </c>
      <c r="AC792" s="9" t="s">
        <v>654</v>
      </c>
      <c r="AD792" s="9" t="s">
        <v>654</v>
      </c>
      <c r="AE792" s="9" t="s">
        <v>654</v>
      </c>
      <c r="AF792" s="184"/>
      <c r="AG792" s="183"/>
      <c r="AH792" s="183"/>
      <c r="AI792" s="183"/>
      <c r="AJ792" s="183"/>
      <c r="AK792" s="183"/>
      <c r="AL792" s="183"/>
      <c r="AM792" s="186" t="str">
        <f>IF(AF792="","","Q"&amp;INT((MONTH(AF792)-1)/3)+1&amp;YEAR(AF792)&amp;#REF!&amp;T792)</f>
        <v/>
      </c>
      <c r="AN792" s="186" t="e">
        <f>IF(K792="","","Q"&amp;INT((MONTH(K792)-1)/3)+1&amp;YEAR(K792)&amp;#REF!)</f>
        <v>#REF!</v>
      </c>
    </row>
    <row r="793" spans="1:40" ht="20.100000000000001" customHeight="1" x14ac:dyDescent="0.25">
      <c r="A793" s="8">
        <v>791</v>
      </c>
      <c r="B793" s="8" t="s">
        <v>399</v>
      </c>
      <c r="C793" s="8" t="s">
        <v>1997</v>
      </c>
      <c r="D793" s="8" t="s">
        <v>2416</v>
      </c>
      <c r="E793" s="182" t="s">
        <v>1998</v>
      </c>
      <c r="F793" s="183" t="s">
        <v>2254</v>
      </c>
      <c r="G793" s="183"/>
      <c r="H793" s="183" t="s">
        <v>4889</v>
      </c>
      <c r="I793" s="183" t="s">
        <v>579</v>
      </c>
      <c r="J793" s="183"/>
      <c r="K793" s="184">
        <v>46072</v>
      </c>
      <c r="L793" s="183">
        <v>38</v>
      </c>
      <c r="M793" s="185" t="str">
        <f>IF(phc_8[[#This Row],[Register No.]]="","",C793&amp;"-"&amp;D793&amp;"-"&amp;"BHA-PHC-"&amp;phc_8[[#This Row],[Register No.]])</f>
        <v>Shining Star-Mobile Clinic-BHA-PHC-38</v>
      </c>
      <c r="N793" s="9" t="s">
        <v>401</v>
      </c>
      <c r="O793" s="183" t="s">
        <v>4977</v>
      </c>
      <c r="P793" s="183">
        <v>68</v>
      </c>
      <c r="Q793" s="183"/>
      <c r="R793" s="183"/>
      <c r="S793" s="186" t="str">
        <f t="shared" si="32"/>
        <v>50 yrs +</v>
      </c>
      <c r="T793" s="183" t="s">
        <v>402</v>
      </c>
      <c r="U793" s="183"/>
      <c r="V793" s="183" t="s">
        <v>3346</v>
      </c>
      <c r="W793" s="183" t="s">
        <v>2003</v>
      </c>
      <c r="X793" s="183" t="s">
        <v>181</v>
      </c>
      <c r="Y793" s="186" t="str">
        <f>INDEX(info!$Y$2:$Y$192,MATCH(phc_8[[#This Row],[Sub_Category]],info!$X$2:$X$192,0))</f>
        <v>Chronic medical disease</v>
      </c>
      <c r="Z793" s="186" t="str">
        <f t="array" ref="Z793">INDEX(info!$AA$2:$AA$192,MATCH(PHC!$X793&amp;PHC!$Y793,info!$X$2:$X$192&amp;info!$Y$2:$Y$192,0))</f>
        <v>Non-communicable disease</v>
      </c>
      <c r="AA793" s="183" t="s">
        <v>4994</v>
      </c>
      <c r="AB793" s="9" t="s">
        <v>654</v>
      </c>
      <c r="AC793" s="9" t="s">
        <v>654</v>
      </c>
      <c r="AD793" s="9" t="s">
        <v>654</v>
      </c>
      <c r="AE793" s="9" t="s">
        <v>654</v>
      </c>
      <c r="AF793" s="184"/>
      <c r="AG793" s="183"/>
      <c r="AH793" s="183"/>
      <c r="AI793" s="183"/>
      <c r="AJ793" s="183"/>
      <c r="AK793" s="183"/>
      <c r="AL793" s="183"/>
      <c r="AM793" s="186" t="str">
        <f>IF(AF793="","","Q"&amp;INT((MONTH(AF793)-1)/3)+1&amp;YEAR(AF793)&amp;#REF!&amp;T793)</f>
        <v/>
      </c>
      <c r="AN793" s="186" t="e">
        <f>IF(K793="","","Q"&amp;INT((MONTH(K793)-1)/3)+1&amp;YEAR(K793)&amp;#REF!)</f>
        <v>#REF!</v>
      </c>
    </row>
    <row r="794" spans="1:40" ht="20.100000000000001" customHeight="1" x14ac:dyDescent="0.25">
      <c r="A794" s="8">
        <v>792</v>
      </c>
      <c r="B794" s="8" t="s">
        <v>399</v>
      </c>
      <c r="C794" s="8" t="s">
        <v>1997</v>
      </c>
      <c r="D794" s="8" t="s">
        <v>2416</v>
      </c>
      <c r="E794" s="182" t="s">
        <v>1998</v>
      </c>
      <c r="F794" s="183" t="s">
        <v>2254</v>
      </c>
      <c r="G794" s="183"/>
      <c r="H794" s="183" t="s">
        <v>4889</v>
      </c>
      <c r="I794" s="183" t="s">
        <v>579</v>
      </c>
      <c r="J794" s="183"/>
      <c r="K794" s="184">
        <v>46072</v>
      </c>
      <c r="L794" s="183">
        <v>39</v>
      </c>
      <c r="M794" s="185" t="str">
        <f>IF(phc_8[[#This Row],[Register No.]]="","",C794&amp;"-"&amp;D794&amp;"-"&amp;"BHA-PHC-"&amp;phc_8[[#This Row],[Register No.]])</f>
        <v>Shining Star-Mobile Clinic-BHA-PHC-39</v>
      </c>
      <c r="N794" s="9" t="s">
        <v>401</v>
      </c>
      <c r="O794" s="183" t="s">
        <v>4978</v>
      </c>
      <c r="P794" s="183">
        <v>43</v>
      </c>
      <c r="Q794" s="183"/>
      <c r="R794" s="183"/>
      <c r="S794" s="186" t="str">
        <f t="shared" si="32"/>
        <v>19 - 49 yrs</v>
      </c>
      <c r="T794" s="183" t="s">
        <v>603</v>
      </c>
      <c r="U794" s="183"/>
      <c r="V794" s="183" t="s">
        <v>4985</v>
      </c>
      <c r="W794" s="183" t="s">
        <v>2014</v>
      </c>
      <c r="X794" s="183" t="s">
        <v>2014</v>
      </c>
      <c r="Y794" s="186" t="str">
        <f>INDEX(info!$Y$2:$Y$192,MATCH(phc_8[[#This Row],[Sub_Category]],info!$X$2:$X$192,0))</f>
        <v>Other (non-communicable)</v>
      </c>
      <c r="Z794" s="186" t="str">
        <f t="array" ref="Z794">INDEX(info!$AA$2:$AA$192,MATCH(PHC!$X794&amp;PHC!$Y794,info!$X$2:$X$192&amp;info!$Y$2:$Y$192,0))</f>
        <v>Other</v>
      </c>
      <c r="AA794" s="183" t="s">
        <v>4995</v>
      </c>
      <c r="AB794" s="9" t="s">
        <v>654</v>
      </c>
      <c r="AC794" s="9" t="s">
        <v>654</v>
      </c>
      <c r="AD794" s="9" t="s">
        <v>654</v>
      </c>
      <c r="AE794" s="9" t="s">
        <v>654</v>
      </c>
      <c r="AF794" s="184"/>
      <c r="AG794" s="183"/>
      <c r="AH794" s="183"/>
      <c r="AI794" s="183"/>
      <c r="AJ794" s="183"/>
      <c r="AK794" s="183"/>
      <c r="AL794" s="183"/>
      <c r="AM794" s="186" t="str">
        <f>IF(AF794="","","Q"&amp;INT((MONTH(AF794)-1)/3)+1&amp;YEAR(AF794)&amp;#REF!&amp;T794)</f>
        <v/>
      </c>
      <c r="AN794" s="186" t="e">
        <f>IF(K794="","","Q"&amp;INT((MONTH(K794)-1)/3)+1&amp;YEAR(K794)&amp;#REF!)</f>
        <v>#REF!</v>
      </c>
    </row>
    <row r="795" spans="1:40" ht="20.100000000000001" customHeight="1" x14ac:dyDescent="0.25">
      <c r="A795" s="8">
        <v>793</v>
      </c>
      <c r="B795" s="8" t="s">
        <v>399</v>
      </c>
      <c r="C795" s="8" t="s">
        <v>1997</v>
      </c>
      <c r="D795" s="8" t="s">
        <v>2416</v>
      </c>
      <c r="E795" s="182" t="s">
        <v>1998</v>
      </c>
      <c r="F795" s="183" t="s">
        <v>2254</v>
      </c>
      <c r="G795" s="183"/>
      <c r="H795" s="183" t="s">
        <v>4889</v>
      </c>
      <c r="I795" s="183" t="s">
        <v>579</v>
      </c>
      <c r="J795" s="183"/>
      <c r="K795" s="184">
        <v>46072</v>
      </c>
      <c r="L795" s="183">
        <v>40</v>
      </c>
      <c r="M795" s="185" t="str">
        <f>IF(phc_8[[#This Row],[Register No.]]="","",C795&amp;"-"&amp;D795&amp;"-"&amp;"BHA-PHC-"&amp;phc_8[[#This Row],[Register No.]])</f>
        <v>Shining Star-Mobile Clinic-BHA-PHC-40</v>
      </c>
      <c r="N795" s="9" t="s">
        <v>401</v>
      </c>
      <c r="O795" s="183" t="s">
        <v>4979</v>
      </c>
      <c r="P795" s="183">
        <v>57</v>
      </c>
      <c r="Q795" s="183"/>
      <c r="R795" s="183"/>
      <c r="S795" s="186" t="str">
        <f t="shared" si="32"/>
        <v>50 yrs +</v>
      </c>
      <c r="T795" s="183" t="s">
        <v>603</v>
      </c>
      <c r="U795" s="183"/>
      <c r="V795" s="183" t="s">
        <v>2211</v>
      </c>
      <c r="W795" s="183" t="s">
        <v>2014</v>
      </c>
      <c r="X795" s="183" t="s">
        <v>2014</v>
      </c>
      <c r="Y795" s="186" t="str">
        <f>INDEX(info!$Y$2:$Y$192,MATCH(phc_8[[#This Row],[Sub_Category]],info!$X$2:$X$192,0))</f>
        <v>Other (non-communicable)</v>
      </c>
      <c r="Z795" s="186" t="str">
        <f t="array" ref="Z795">INDEX(info!$AA$2:$AA$192,MATCH(PHC!$X795&amp;PHC!$Y795,info!$X$2:$X$192&amp;info!$Y$2:$Y$192,0))</f>
        <v>Other</v>
      </c>
      <c r="AA795" s="183" t="s">
        <v>4996</v>
      </c>
      <c r="AB795" s="9" t="s">
        <v>654</v>
      </c>
      <c r="AC795" s="9" t="s">
        <v>654</v>
      </c>
      <c r="AD795" s="9" t="s">
        <v>654</v>
      </c>
      <c r="AE795" s="9" t="s">
        <v>654</v>
      </c>
      <c r="AF795" s="184"/>
      <c r="AG795" s="183"/>
      <c r="AH795" s="183"/>
      <c r="AI795" s="183"/>
      <c r="AJ795" s="183"/>
      <c r="AK795" s="183"/>
      <c r="AL795" s="183"/>
      <c r="AM795" s="186" t="str">
        <f>IF(AF795="","","Q"&amp;INT((MONTH(AF795)-1)/3)+1&amp;YEAR(AF795)&amp;#REF!&amp;T795)</f>
        <v/>
      </c>
      <c r="AN795" s="186" t="e">
        <f>IF(K795="","","Q"&amp;INT((MONTH(K795)-1)/3)+1&amp;YEAR(K795)&amp;#REF!)</f>
        <v>#REF!</v>
      </c>
    </row>
    <row r="796" spans="1:40" ht="20.100000000000001" customHeight="1" x14ac:dyDescent="0.25">
      <c r="A796" s="8">
        <v>794</v>
      </c>
      <c r="B796" s="8" t="s">
        <v>399</v>
      </c>
      <c r="C796" s="8" t="s">
        <v>1997</v>
      </c>
      <c r="D796" s="8" t="s">
        <v>2416</v>
      </c>
      <c r="E796" s="182" t="s">
        <v>1998</v>
      </c>
      <c r="F796" s="183" t="s">
        <v>2254</v>
      </c>
      <c r="G796" s="183"/>
      <c r="H796" s="183" t="s">
        <v>4889</v>
      </c>
      <c r="I796" s="183" t="s">
        <v>579</v>
      </c>
      <c r="J796" s="183"/>
      <c r="K796" s="184">
        <v>46072</v>
      </c>
      <c r="L796" s="183">
        <v>41</v>
      </c>
      <c r="M796" s="185" t="str">
        <f>IF(phc_8[[#This Row],[Register No.]]="","",C796&amp;"-"&amp;D796&amp;"-"&amp;"BHA-PHC-"&amp;phc_8[[#This Row],[Register No.]])</f>
        <v>Shining Star-Mobile Clinic-BHA-PHC-41</v>
      </c>
      <c r="N796" s="9" t="s">
        <v>401</v>
      </c>
      <c r="O796" s="183" t="s">
        <v>4980</v>
      </c>
      <c r="P796" s="183">
        <v>13</v>
      </c>
      <c r="Q796" s="183"/>
      <c r="R796" s="183"/>
      <c r="S796" s="186" t="str">
        <f t="shared" si="32"/>
        <v>5 - 14 yrs</v>
      </c>
      <c r="T796" s="183" t="s">
        <v>603</v>
      </c>
      <c r="U796" s="183"/>
      <c r="V796" s="183" t="s">
        <v>3860</v>
      </c>
      <c r="W796" s="183" t="s">
        <v>3249</v>
      </c>
      <c r="X796" s="183" t="s">
        <v>196</v>
      </c>
      <c r="Y796" s="186" t="str">
        <f>INDEX(info!$Y$2:$Y$192,MATCH(phc_8[[#This Row],[Sub_Category]],info!$X$2:$X$192,0))</f>
        <v>Skin infection/disease</v>
      </c>
      <c r="Z796" s="186" t="str">
        <f t="array" ref="Z796">INDEX(info!$AA$2:$AA$192,MATCH(PHC!$X796&amp;PHC!$Y796,info!$X$2:$X$192&amp;info!$Y$2:$Y$192,0))</f>
        <v>Non-communicable disease</v>
      </c>
      <c r="AA796" s="183" t="s">
        <v>4997</v>
      </c>
      <c r="AB796" s="9" t="s">
        <v>654</v>
      </c>
      <c r="AC796" s="9" t="s">
        <v>654</v>
      </c>
      <c r="AD796" s="9" t="s">
        <v>654</v>
      </c>
      <c r="AE796" s="9" t="s">
        <v>654</v>
      </c>
      <c r="AF796" s="184"/>
      <c r="AG796" s="183"/>
      <c r="AH796" s="183"/>
      <c r="AI796" s="183"/>
      <c r="AJ796" s="183"/>
      <c r="AK796" s="183"/>
      <c r="AL796" s="183"/>
      <c r="AM796" s="186" t="str">
        <f>IF(AF796="","","Q"&amp;INT((MONTH(AF796)-1)/3)+1&amp;YEAR(AF796)&amp;#REF!&amp;T796)</f>
        <v/>
      </c>
      <c r="AN796" s="186" t="e">
        <f>IF(K796="","","Q"&amp;INT((MONTH(K796)-1)/3)+1&amp;YEAR(K796)&amp;#REF!)</f>
        <v>#REF!</v>
      </c>
    </row>
    <row r="797" spans="1:40" ht="20.100000000000001" customHeight="1" x14ac:dyDescent="0.25">
      <c r="A797" s="8">
        <v>795</v>
      </c>
      <c r="B797" s="8" t="s">
        <v>399</v>
      </c>
      <c r="C797" s="8" t="s">
        <v>1997</v>
      </c>
      <c r="D797" s="8" t="s">
        <v>2416</v>
      </c>
      <c r="E797" s="182" t="s">
        <v>1998</v>
      </c>
      <c r="F797" s="183" t="s">
        <v>2254</v>
      </c>
      <c r="G797" s="183"/>
      <c r="H797" s="183" t="s">
        <v>4889</v>
      </c>
      <c r="I797" s="183" t="s">
        <v>579</v>
      </c>
      <c r="J797" s="183"/>
      <c r="K797" s="184">
        <v>46072</v>
      </c>
      <c r="L797" s="183">
        <v>42</v>
      </c>
      <c r="M797" s="185" t="str">
        <f>IF(phc_8[[#This Row],[Register No.]]="","",C797&amp;"-"&amp;D797&amp;"-"&amp;"BHA-PHC-"&amp;phc_8[[#This Row],[Register No.]])</f>
        <v>Shining Star-Mobile Clinic-BHA-PHC-42</v>
      </c>
      <c r="N797" s="9" t="s">
        <v>401</v>
      </c>
      <c r="O797" s="183" t="s">
        <v>4981</v>
      </c>
      <c r="P797" s="183">
        <v>65</v>
      </c>
      <c r="Q797" s="183"/>
      <c r="R797" s="183"/>
      <c r="S797" s="186" t="str">
        <f t="shared" si="32"/>
        <v>50 yrs +</v>
      </c>
      <c r="T797" s="183" t="s">
        <v>603</v>
      </c>
      <c r="U797" s="183"/>
      <c r="V797" s="183" t="s">
        <v>4986</v>
      </c>
      <c r="W797" s="183" t="s">
        <v>4990</v>
      </c>
      <c r="X797" s="183" t="s">
        <v>113</v>
      </c>
      <c r="Y797" s="186" t="str">
        <f>INDEX(info!$Y$2:$Y$192,MATCH(phc_8[[#This Row],[Sub_Category]],info!$X$2:$X$192,0))</f>
        <v>ARI/RTI</v>
      </c>
      <c r="Z797" s="186" t="str">
        <f t="array" ref="Z797">INDEX(info!$AA$2:$AA$192,MATCH(PHC!$X797&amp;PHC!$Y797,info!$X$2:$X$192&amp;info!$Y$2:$Y$192,0))</f>
        <v>Communicable disease</v>
      </c>
      <c r="AA797" s="183" t="s">
        <v>4998</v>
      </c>
      <c r="AB797" s="9" t="s">
        <v>654</v>
      </c>
      <c r="AC797" s="9" t="s">
        <v>654</v>
      </c>
      <c r="AD797" s="9" t="s">
        <v>654</v>
      </c>
      <c r="AE797" s="9" t="s">
        <v>654</v>
      </c>
      <c r="AF797" s="184"/>
      <c r="AG797" s="183"/>
      <c r="AH797" s="183"/>
      <c r="AI797" s="183"/>
      <c r="AJ797" s="183"/>
      <c r="AK797" s="183"/>
      <c r="AL797" s="183"/>
      <c r="AM797" s="186" t="str">
        <f>IF(AF797="","","Q"&amp;INT((MONTH(AF797)-1)/3)+1&amp;YEAR(AF797)&amp;#REF!&amp;T797)</f>
        <v/>
      </c>
      <c r="AN797" s="186" t="e">
        <f>IF(K797="","","Q"&amp;INT((MONTH(K797)-1)/3)+1&amp;YEAR(K797)&amp;#REF!)</f>
        <v>#REF!</v>
      </c>
    </row>
    <row r="798" spans="1:40" ht="20.100000000000001" customHeight="1" x14ac:dyDescent="0.25">
      <c r="A798" s="8">
        <v>796</v>
      </c>
      <c r="B798" s="8" t="s">
        <v>399</v>
      </c>
      <c r="C798" s="8" t="s">
        <v>1997</v>
      </c>
      <c r="D798" s="8" t="s">
        <v>2416</v>
      </c>
      <c r="E798" s="182" t="s">
        <v>1998</v>
      </c>
      <c r="F798" s="183" t="s">
        <v>2254</v>
      </c>
      <c r="G798" s="183"/>
      <c r="H798" s="183" t="s">
        <v>4889</v>
      </c>
      <c r="I798" s="183" t="s">
        <v>579</v>
      </c>
      <c r="J798" s="183"/>
      <c r="K798" s="184">
        <v>46072</v>
      </c>
      <c r="L798" s="183">
        <v>43</v>
      </c>
      <c r="M798" s="185" t="str">
        <f>IF(phc_8[[#This Row],[Register No.]]="","",C798&amp;"-"&amp;D798&amp;"-"&amp;"BHA-PHC-"&amp;phc_8[[#This Row],[Register No.]])</f>
        <v>Shining Star-Mobile Clinic-BHA-PHC-43</v>
      </c>
      <c r="N798" s="9" t="s">
        <v>401</v>
      </c>
      <c r="O798" s="183" t="s">
        <v>4982</v>
      </c>
      <c r="P798" s="183">
        <v>55</v>
      </c>
      <c r="Q798" s="183"/>
      <c r="R798" s="183"/>
      <c r="S798" s="186" t="str">
        <f t="shared" si="32"/>
        <v>50 yrs +</v>
      </c>
      <c r="T798" s="183" t="s">
        <v>402</v>
      </c>
      <c r="U798" s="183"/>
      <c r="V798" s="183" t="s">
        <v>4987</v>
      </c>
      <c r="W798" s="183" t="s">
        <v>2059</v>
      </c>
      <c r="X798" s="183" t="s">
        <v>242</v>
      </c>
      <c r="Y798" s="186" t="str">
        <f>INDEX(info!$Y$2:$Y$192,MATCH(phc_8[[#This Row],[Sub_Category]],info!$X$2:$X$192,0))</f>
        <v>Accident/minor sugical and injuries</v>
      </c>
      <c r="Z798" s="186" t="str">
        <f t="array" ref="Z798">INDEX(info!$AA$2:$AA$192,MATCH(PHC!$X798&amp;PHC!$Y798,info!$X$2:$X$192&amp;info!$Y$2:$Y$192,0))</f>
        <v>Injury related</v>
      </c>
      <c r="AA798" s="183" t="s">
        <v>4999</v>
      </c>
      <c r="AB798" s="9" t="s">
        <v>654</v>
      </c>
      <c r="AC798" s="9" t="s">
        <v>654</v>
      </c>
      <c r="AD798" s="9" t="s">
        <v>654</v>
      </c>
      <c r="AE798" s="9" t="s">
        <v>654</v>
      </c>
      <c r="AF798" s="184"/>
      <c r="AG798" s="183"/>
      <c r="AH798" s="183"/>
      <c r="AI798" s="183"/>
      <c r="AJ798" s="183"/>
      <c r="AK798" s="183"/>
      <c r="AL798" s="183"/>
      <c r="AM798" s="186" t="str">
        <f>IF(AF798="","","Q"&amp;INT((MONTH(AF798)-1)/3)+1&amp;YEAR(AF798)&amp;#REF!&amp;T798)</f>
        <v/>
      </c>
      <c r="AN798" s="186" t="e">
        <f>IF(K798="","","Q"&amp;INT((MONTH(K798)-1)/3)+1&amp;YEAR(K798)&amp;#REF!)</f>
        <v>#REF!</v>
      </c>
    </row>
    <row r="799" spans="1:40" ht="20.100000000000001" customHeight="1" x14ac:dyDescent="0.25">
      <c r="A799" s="8">
        <v>797</v>
      </c>
      <c r="B799" s="8" t="s">
        <v>399</v>
      </c>
      <c r="C799" s="8" t="s">
        <v>1997</v>
      </c>
      <c r="D799" s="8" t="s">
        <v>2416</v>
      </c>
      <c r="E799" s="182" t="s">
        <v>1998</v>
      </c>
      <c r="F799" s="183" t="s">
        <v>2254</v>
      </c>
      <c r="G799" s="183"/>
      <c r="H799" s="183" t="s">
        <v>4889</v>
      </c>
      <c r="I799" s="183" t="s">
        <v>579</v>
      </c>
      <c r="J799" s="183"/>
      <c r="K799" s="184">
        <v>46072</v>
      </c>
      <c r="L799" s="183">
        <v>44</v>
      </c>
      <c r="M799" s="185" t="str">
        <f>IF(phc_8[[#This Row],[Register No.]]="","",C799&amp;"-"&amp;D799&amp;"-"&amp;"BHA-PHC-"&amp;phc_8[[#This Row],[Register No.]])</f>
        <v>Shining Star-Mobile Clinic-BHA-PHC-44</v>
      </c>
      <c r="N799" s="9" t="s">
        <v>401</v>
      </c>
      <c r="O799" s="183" t="s">
        <v>4983</v>
      </c>
      <c r="P799" s="183">
        <v>54</v>
      </c>
      <c r="Q799" s="183"/>
      <c r="R799" s="183"/>
      <c r="S799" s="186" t="str">
        <f t="shared" si="32"/>
        <v>50 yrs +</v>
      </c>
      <c r="T799" s="183" t="s">
        <v>402</v>
      </c>
      <c r="U799" s="183"/>
      <c r="V799" s="183" t="s">
        <v>4988</v>
      </c>
      <c r="W799" s="183" t="s">
        <v>4991</v>
      </c>
      <c r="X799" s="183" t="s">
        <v>178</v>
      </c>
      <c r="Y799" s="186" t="str">
        <f>INDEX(info!$Y$2:$Y$192,MATCH(phc_8[[#This Row],[Sub_Category]],info!$X$2:$X$192,0))</f>
        <v>Chronic medical disease</v>
      </c>
      <c r="Z799" s="186" t="str">
        <f t="array" ref="Z799">INDEX(info!$AA$2:$AA$192,MATCH(PHC!$X799&amp;PHC!$Y799,info!$X$2:$X$192&amp;info!$Y$2:$Y$192,0))</f>
        <v>Non-communicable disease</v>
      </c>
      <c r="AA799" s="183" t="s">
        <v>5000</v>
      </c>
      <c r="AB799" s="9" t="s">
        <v>654</v>
      </c>
      <c r="AC799" s="9" t="s">
        <v>654</v>
      </c>
      <c r="AD799" s="9" t="s">
        <v>654</v>
      </c>
      <c r="AE799" s="9" t="s">
        <v>654</v>
      </c>
      <c r="AF799" s="184"/>
      <c r="AG799" s="183"/>
      <c r="AH799" s="183"/>
      <c r="AI799" s="183"/>
      <c r="AJ799" s="183"/>
      <c r="AK799" s="183"/>
      <c r="AL799" s="183"/>
      <c r="AM799" s="186" t="str">
        <f>IF(AF799="","","Q"&amp;INT((MONTH(AF799)-1)/3)+1&amp;YEAR(AF799)&amp;#REF!&amp;T799)</f>
        <v/>
      </c>
      <c r="AN799" s="186" t="e">
        <f>IF(K799="","","Q"&amp;INT((MONTH(K799)-1)/3)+1&amp;YEAR(K799)&amp;#REF!)</f>
        <v>#REF!</v>
      </c>
    </row>
    <row r="800" spans="1:40" ht="20.100000000000001" customHeight="1" x14ac:dyDescent="0.25">
      <c r="A800" s="8">
        <v>798</v>
      </c>
      <c r="B800" s="8" t="s">
        <v>399</v>
      </c>
      <c r="C800" s="8" t="s">
        <v>1997</v>
      </c>
      <c r="D800" s="8" t="s">
        <v>2416</v>
      </c>
      <c r="E800" s="182" t="s">
        <v>1998</v>
      </c>
      <c r="F800" s="183" t="s">
        <v>2254</v>
      </c>
      <c r="G800" s="183"/>
      <c r="H800" s="183" t="s">
        <v>4889</v>
      </c>
      <c r="I800" s="183" t="s">
        <v>579</v>
      </c>
      <c r="J800" s="183"/>
      <c r="K800" s="184">
        <v>46072</v>
      </c>
      <c r="L800" s="183">
        <v>45</v>
      </c>
      <c r="M800" s="185" t="str">
        <f>IF(phc_8[[#This Row],[Register No.]]="","",C800&amp;"-"&amp;D800&amp;"-"&amp;"BHA-PHC-"&amp;phc_8[[#This Row],[Register No.]])</f>
        <v>Shining Star-Mobile Clinic-BHA-PHC-45</v>
      </c>
      <c r="N800" s="9" t="s">
        <v>401</v>
      </c>
      <c r="O800" s="183" t="s">
        <v>4984</v>
      </c>
      <c r="P800" s="183">
        <v>66</v>
      </c>
      <c r="Q800" s="183"/>
      <c r="R800" s="183"/>
      <c r="S800" s="186" t="str">
        <f t="shared" si="32"/>
        <v>50 yrs +</v>
      </c>
      <c r="T800" s="183" t="s">
        <v>603</v>
      </c>
      <c r="U800" s="183"/>
      <c r="V800" s="183" t="s">
        <v>4989</v>
      </c>
      <c r="W800" s="183" t="s">
        <v>3558</v>
      </c>
      <c r="X800" s="183" t="s">
        <v>195</v>
      </c>
      <c r="Y800" s="186" t="str">
        <f>INDEX(info!$Y$2:$Y$192,MATCH(phc_8[[#This Row],[Sub_Category]],info!$X$2:$X$192,0))</f>
        <v>Bacteria disease</v>
      </c>
      <c r="Z800" s="186" t="str">
        <f t="array" ref="Z800">INDEX(info!$AA$2:$AA$192,MATCH(PHC!$X800&amp;PHC!$Y800,info!$X$2:$X$192&amp;info!$Y$2:$Y$192,0))</f>
        <v>Communicable disease</v>
      </c>
      <c r="AA800" s="183" t="s">
        <v>5001</v>
      </c>
      <c r="AB800" s="9" t="s">
        <v>654</v>
      </c>
      <c r="AC800" s="9" t="s">
        <v>654</v>
      </c>
      <c r="AD800" s="9" t="s">
        <v>654</v>
      </c>
      <c r="AE800" s="9" t="s">
        <v>654</v>
      </c>
      <c r="AF800" s="184"/>
      <c r="AG800" s="183"/>
      <c r="AH800" s="183"/>
      <c r="AI800" s="183"/>
      <c r="AJ800" s="183"/>
      <c r="AK800" s="183"/>
      <c r="AL800" s="183"/>
      <c r="AM800" s="186" t="str">
        <f>IF(AF800="","","Q"&amp;INT((MONTH(AF800)-1)/3)+1&amp;YEAR(AF800)&amp;#REF!&amp;T800)</f>
        <v/>
      </c>
      <c r="AN800" s="186" t="e">
        <f>IF(K800="","","Q"&amp;INT((MONTH(K800)-1)/3)+1&amp;YEAR(K800)&amp;#REF!)</f>
        <v>#REF!</v>
      </c>
    </row>
    <row r="801" spans="1:40" ht="20.100000000000001" customHeight="1" x14ac:dyDescent="0.25">
      <c r="A801" s="8">
        <v>799</v>
      </c>
      <c r="B801" s="8" t="s">
        <v>399</v>
      </c>
      <c r="C801" s="8" t="s">
        <v>1997</v>
      </c>
      <c r="D801" s="8" t="s">
        <v>2416</v>
      </c>
      <c r="E801" s="182" t="s">
        <v>1998</v>
      </c>
      <c r="F801" s="183" t="s">
        <v>2254</v>
      </c>
      <c r="G801" s="183"/>
      <c r="H801" s="183" t="s">
        <v>4889</v>
      </c>
      <c r="I801" s="183" t="s">
        <v>579</v>
      </c>
      <c r="J801" s="183"/>
      <c r="K801" s="184">
        <v>46072</v>
      </c>
      <c r="L801" s="183">
        <v>46</v>
      </c>
      <c r="M801" s="185" t="str">
        <f>IF(phc_8[[#This Row],[Register No.]]="","",C801&amp;"-"&amp;D801&amp;"-"&amp;"BHA-PHC-"&amp;phc_8[[#This Row],[Register No.]])</f>
        <v>Shining Star-Mobile Clinic-BHA-PHC-46</v>
      </c>
      <c r="N801" s="9" t="s">
        <v>401</v>
      </c>
      <c r="O801" s="183" t="s">
        <v>5247</v>
      </c>
      <c r="P801" s="183">
        <v>57</v>
      </c>
      <c r="Q801" s="183"/>
      <c r="R801" s="183"/>
      <c r="S801" s="186" t="str">
        <f t="shared" si="32"/>
        <v>50 yrs +</v>
      </c>
      <c r="T801" s="183" t="s">
        <v>402</v>
      </c>
      <c r="U801" s="183"/>
      <c r="V801" s="183"/>
      <c r="W801" s="183" t="s">
        <v>2003</v>
      </c>
      <c r="X801" s="183" t="s">
        <v>181</v>
      </c>
      <c r="Y801" s="186" t="str">
        <f>INDEX(info!$Y$2:$Y$192,MATCH(phc_8[[#This Row],[Sub_Category]],info!$X$2:$X$192,0))</f>
        <v>Chronic medical disease</v>
      </c>
      <c r="Z801" s="186" t="str">
        <f t="array" ref="Z801">INDEX(info!$AA$2:$AA$192,MATCH(PHC!$X801&amp;PHC!$Y801,info!$X$2:$X$192&amp;info!$Y$2:$Y$192,0))</f>
        <v>Non-communicable disease</v>
      </c>
      <c r="AA801" s="183" t="s">
        <v>5253</v>
      </c>
      <c r="AB801" s="9" t="s">
        <v>654</v>
      </c>
      <c r="AC801" s="9" t="s">
        <v>654</v>
      </c>
      <c r="AD801" s="9" t="s">
        <v>654</v>
      </c>
      <c r="AE801" s="9" t="s">
        <v>654</v>
      </c>
      <c r="AF801" s="184"/>
      <c r="AG801" s="183"/>
      <c r="AH801" s="183"/>
      <c r="AI801" s="183"/>
      <c r="AJ801" s="183"/>
      <c r="AK801" s="183"/>
      <c r="AL801" s="183"/>
      <c r="AM801" s="186" t="str">
        <f>IF(AF801="","","Q"&amp;INT((MONTH(AF801)-1)/3)+1&amp;YEAR(AF801)&amp;#REF!&amp;T801)</f>
        <v/>
      </c>
      <c r="AN801" s="186" t="e">
        <f>IF(K801="","","Q"&amp;INT((MONTH(K801)-1)/3)+1&amp;YEAR(K801)&amp;#REF!)</f>
        <v>#REF!</v>
      </c>
    </row>
    <row r="802" spans="1:40" ht="20.100000000000001" customHeight="1" x14ac:dyDescent="0.25">
      <c r="A802" s="8">
        <v>800</v>
      </c>
      <c r="B802" s="8" t="s">
        <v>399</v>
      </c>
      <c r="C802" s="8" t="s">
        <v>1997</v>
      </c>
      <c r="D802" s="8" t="s">
        <v>2416</v>
      </c>
      <c r="E802" s="182" t="s">
        <v>1998</v>
      </c>
      <c r="F802" s="183" t="s">
        <v>2254</v>
      </c>
      <c r="G802" s="183"/>
      <c r="H802" s="183" t="s">
        <v>4889</v>
      </c>
      <c r="I802" s="183" t="s">
        <v>579</v>
      </c>
      <c r="J802" s="183"/>
      <c r="K802" s="184">
        <v>46072</v>
      </c>
      <c r="L802" s="183">
        <v>47</v>
      </c>
      <c r="M802" s="185" t="str">
        <f>IF(phc_8[[#This Row],[Register No.]]="","",C802&amp;"-"&amp;D802&amp;"-"&amp;"BHA-PHC-"&amp;phc_8[[#This Row],[Register No.]])</f>
        <v>Shining Star-Mobile Clinic-BHA-PHC-47</v>
      </c>
      <c r="N802" s="9" t="s">
        <v>401</v>
      </c>
      <c r="O802" s="183" t="s">
        <v>5248</v>
      </c>
      <c r="P802" s="183">
        <v>57</v>
      </c>
      <c r="Q802" s="183"/>
      <c r="R802" s="183"/>
      <c r="S802" s="186" t="str">
        <f t="shared" si="32"/>
        <v>50 yrs +</v>
      </c>
      <c r="T802" s="183" t="s">
        <v>603</v>
      </c>
      <c r="U802" s="183"/>
      <c r="V802" s="183" t="s">
        <v>2072</v>
      </c>
      <c r="W802" s="183" t="s">
        <v>178</v>
      </c>
      <c r="X802" s="183" t="s">
        <v>178</v>
      </c>
      <c r="Y802" s="186" t="str">
        <f>INDEX(info!$Y$2:$Y$192,MATCH(phc_8[[#This Row],[Sub_Category]],info!$X$2:$X$192,0))</f>
        <v>Chronic medical disease</v>
      </c>
      <c r="Z802" s="186" t="str">
        <f t="array" ref="Z802">INDEX(info!$AA$2:$AA$192,MATCH(PHC!$X802&amp;PHC!$Y802,info!$X$2:$X$192&amp;info!$Y$2:$Y$192,0))</f>
        <v>Non-communicable disease</v>
      </c>
      <c r="AA802" s="183" t="s">
        <v>5254</v>
      </c>
      <c r="AB802" s="9" t="s">
        <v>654</v>
      </c>
      <c r="AC802" s="9" t="s">
        <v>654</v>
      </c>
      <c r="AD802" s="9" t="s">
        <v>654</v>
      </c>
      <c r="AE802" s="9" t="s">
        <v>654</v>
      </c>
      <c r="AF802" s="184"/>
      <c r="AG802" s="183"/>
      <c r="AH802" s="183"/>
      <c r="AI802" s="183"/>
      <c r="AJ802" s="183"/>
      <c r="AK802" s="183"/>
      <c r="AL802" s="183"/>
      <c r="AM802" s="186" t="str">
        <f>IF(AF802="","","Q"&amp;INT((MONTH(AF802)-1)/3)+1&amp;YEAR(AF802)&amp;#REF!&amp;T802)</f>
        <v/>
      </c>
      <c r="AN802" s="186" t="e">
        <f>IF(K802="","","Q"&amp;INT((MONTH(K802)-1)/3)+1&amp;YEAR(K802)&amp;#REF!)</f>
        <v>#REF!</v>
      </c>
    </row>
    <row r="803" spans="1:40" ht="20.100000000000001" customHeight="1" x14ac:dyDescent="0.25">
      <c r="A803" s="8">
        <v>801</v>
      </c>
      <c r="B803" s="8" t="s">
        <v>399</v>
      </c>
      <c r="C803" s="8" t="s">
        <v>1997</v>
      </c>
      <c r="D803" s="8" t="s">
        <v>2416</v>
      </c>
      <c r="E803" s="182" t="s">
        <v>1998</v>
      </c>
      <c r="F803" s="183" t="s">
        <v>2254</v>
      </c>
      <c r="G803" s="183"/>
      <c r="H803" s="183" t="s">
        <v>4889</v>
      </c>
      <c r="I803" s="183" t="s">
        <v>579</v>
      </c>
      <c r="J803" s="183"/>
      <c r="K803" s="184">
        <v>46072</v>
      </c>
      <c r="L803" s="183">
        <v>48</v>
      </c>
      <c r="M803" s="185" t="str">
        <f>IF(phc_8[[#This Row],[Register No.]]="","",C803&amp;"-"&amp;D803&amp;"-"&amp;"BHA-PHC-"&amp;phc_8[[#This Row],[Register No.]])</f>
        <v>Shining Star-Mobile Clinic-BHA-PHC-48</v>
      </c>
      <c r="N803" s="9" t="s">
        <v>401</v>
      </c>
      <c r="O803" s="183" t="s">
        <v>3769</v>
      </c>
      <c r="P803" s="183">
        <v>46</v>
      </c>
      <c r="Q803" s="183"/>
      <c r="R803" s="183"/>
      <c r="S803" s="186" t="str">
        <f t="shared" si="32"/>
        <v>19 - 49 yrs</v>
      </c>
      <c r="T803" s="183" t="s">
        <v>603</v>
      </c>
      <c r="U803" s="183"/>
      <c r="V803" s="183" t="s">
        <v>2072</v>
      </c>
      <c r="W803" s="183" t="s">
        <v>5252</v>
      </c>
      <c r="X803" s="183" t="s">
        <v>222</v>
      </c>
      <c r="Y803" s="186" t="str">
        <f>INDEX(info!$Y$2:$Y$192,MATCH(phc_8[[#This Row],[Sub_Category]],info!$X$2:$X$192,0))</f>
        <v>Genito-urinary diseases</v>
      </c>
      <c r="Z803" s="186" t="str">
        <f t="array" ref="Z803">INDEX(info!$AA$2:$AA$192,MATCH(PHC!$X803&amp;PHC!$Y803,info!$X$2:$X$192&amp;info!$Y$2:$Y$192,0))</f>
        <v>Non-communicable disease</v>
      </c>
      <c r="AA803" s="183" t="s">
        <v>5255</v>
      </c>
      <c r="AB803" s="9" t="s">
        <v>654</v>
      </c>
      <c r="AC803" s="9" t="s">
        <v>654</v>
      </c>
      <c r="AD803" s="9" t="s">
        <v>654</v>
      </c>
      <c r="AE803" s="9" t="s">
        <v>654</v>
      </c>
      <c r="AF803" s="184"/>
      <c r="AG803" s="183"/>
      <c r="AH803" s="183"/>
      <c r="AI803" s="183"/>
      <c r="AJ803" s="183"/>
      <c r="AK803" s="183"/>
      <c r="AL803" s="183"/>
      <c r="AM803" s="186" t="str">
        <f>IF(AF803="","","Q"&amp;INT((MONTH(AF803)-1)/3)+1&amp;YEAR(AF803)&amp;#REF!&amp;T803)</f>
        <v/>
      </c>
      <c r="AN803" s="186" t="e">
        <f>IF(K803="","","Q"&amp;INT((MONTH(K803)-1)/3)+1&amp;YEAR(K803)&amp;#REF!)</f>
        <v>#REF!</v>
      </c>
    </row>
    <row r="804" spans="1:40" ht="20.100000000000001" customHeight="1" x14ac:dyDescent="0.25">
      <c r="A804" s="8">
        <v>802</v>
      </c>
      <c r="B804" s="8" t="s">
        <v>399</v>
      </c>
      <c r="C804" s="8" t="s">
        <v>1997</v>
      </c>
      <c r="D804" s="8" t="s">
        <v>2416</v>
      </c>
      <c r="E804" s="182" t="s">
        <v>1998</v>
      </c>
      <c r="F804" s="183" t="s">
        <v>2254</v>
      </c>
      <c r="G804" s="183"/>
      <c r="H804" s="183" t="s">
        <v>4889</v>
      </c>
      <c r="I804" s="183" t="s">
        <v>579</v>
      </c>
      <c r="J804" s="183"/>
      <c r="K804" s="184">
        <v>46072</v>
      </c>
      <c r="L804" s="183">
        <v>49</v>
      </c>
      <c r="M804" s="185" t="str">
        <f>IF(phc_8[[#This Row],[Register No.]]="","",C804&amp;"-"&amp;D804&amp;"-"&amp;"BHA-PHC-"&amp;phc_8[[#This Row],[Register No.]])</f>
        <v>Shining Star-Mobile Clinic-BHA-PHC-49</v>
      </c>
      <c r="N804" s="9" t="s">
        <v>401</v>
      </c>
      <c r="O804" s="183" t="s">
        <v>4445</v>
      </c>
      <c r="P804" s="183">
        <v>57</v>
      </c>
      <c r="Q804" s="183"/>
      <c r="R804" s="183"/>
      <c r="S804" s="186" t="str">
        <f t="shared" si="32"/>
        <v>50 yrs +</v>
      </c>
      <c r="T804" s="183" t="s">
        <v>603</v>
      </c>
      <c r="U804" s="183"/>
      <c r="V804" s="183" t="s">
        <v>5250</v>
      </c>
      <c r="W804" s="183" t="s">
        <v>2003</v>
      </c>
      <c r="X804" s="183" t="s">
        <v>181</v>
      </c>
      <c r="Y804" s="186" t="str">
        <f>INDEX(info!$Y$2:$Y$192,MATCH(phc_8[[#This Row],[Sub_Category]],info!$X$2:$X$192,0))</f>
        <v>Chronic medical disease</v>
      </c>
      <c r="Z804" s="186" t="str">
        <f t="array" ref="Z804">INDEX(info!$AA$2:$AA$192,MATCH(PHC!$X804&amp;PHC!$Y804,info!$X$2:$X$192&amp;info!$Y$2:$Y$192,0))</f>
        <v>Non-communicable disease</v>
      </c>
      <c r="AA804" s="183" t="s">
        <v>5256</v>
      </c>
      <c r="AB804" s="9" t="s">
        <v>654</v>
      </c>
      <c r="AC804" s="9" t="s">
        <v>654</v>
      </c>
      <c r="AD804" s="9" t="s">
        <v>654</v>
      </c>
      <c r="AE804" s="9" t="s">
        <v>654</v>
      </c>
      <c r="AF804" s="184"/>
      <c r="AG804" s="183"/>
      <c r="AH804" s="183"/>
      <c r="AI804" s="183"/>
      <c r="AJ804" s="183"/>
      <c r="AK804" s="183"/>
      <c r="AL804" s="183"/>
      <c r="AM804" s="186" t="str">
        <f>IF(AF804="","","Q"&amp;INT((MONTH(AF804)-1)/3)+1&amp;YEAR(AF804)&amp;#REF!&amp;T804)</f>
        <v/>
      </c>
      <c r="AN804" s="186" t="e">
        <f>IF(K804="","","Q"&amp;INT((MONTH(K804)-1)/3)+1&amp;YEAR(K804)&amp;#REF!)</f>
        <v>#REF!</v>
      </c>
    </row>
    <row r="805" spans="1:40" ht="20.100000000000001" customHeight="1" x14ac:dyDescent="0.25">
      <c r="A805" s="8">
        <v>803</v>
      </c>
      <c r="B805" s="8" t="s">
        <v>399</v>
      </c>
      <c r="C805" s="8" t="s">
        <v>1997</v>
      </c>
      <c r="D805" s="8" t="s">
        <v>2416</v>
      </c>
      <c r="E805" s="182" t="s">
        <v>1998</v>
      </c>
      <c r="F805" s="183" t="s">
        <v>2254</v>
      </c>
      <c r="G805" s="183"/>
      <c r="H805" s="183" t="s">
        <v>4889</v>
      </c>
      <c r="I805" s="183" t="s">
        <v>579</v>
      </c>
      <c r="J805" s="183"/>
      <c r="K805" s="184">
        <v>46072</v>
      </c>
      <c r="L805" s="183">
        <v>50</v>
      </c>
      <c r="M805" s="185" t="str">
        <f>IF(phc_8[[#This Row],[Register No.]]="","",C805&amp;"-"&amp;D805&amp;"-"&amp;"BHA-PHC-"&amp;phc_8[[#This Row],[Register No.]])</f>
        <v>Shining Star-Mobile Clinic-BHA-PHC-50</v>
      </c>
      <c r="N805" s="9" t="s">
        <v>401</v>
      </c>
      <c r="O805" s="183" t="s">
        <v>5249</v>
      </c>
      <c r="P805" s="183">
        <v>70</v>
      </c>
      <c r="Q805" s="183"/>
      <c r="R805" s="183"/>
      <c r="S805" s="186" t="str">
        <f t="shared" si="32"/>
        <v>50 yrs +</v>
      </c>
      <c r="T805" s="183" t="s">
        <v>603</v>
      </c>
      <c r="U805" s="183"/>
      <c r="V805" s="183" t="s">
        <v>5251</v>
      </c>
      <c r="W805" s="183" t="s">
        <v>294</v>
      </c>
      <c r="X805" s="183" t="s">
        <v>294</v>
      </c>
      <c r="Y805" s="186" t="str">
        <f>INDEX(info!$Y$2:$Y$192,MATCH(phc_8[[#This Row],[Sub_Category]],info!$X$2:$X$192,0))</f>
        <v>Other (non-communicable)</v>
      </c>
      <c r="Z805" s="186" t="str">
        <f t="array" ref="Z805">INDEX(info!$AA$2:$AA$192,MATCH(PHC!$X805&amp;PHC!$Y805,info!$X$2:$X$192&amp;info!$Y$2:$Y$192,0))</f>
        <v>Other</v>
      </c>
      <c r="AA805" s="183" t="s">
        <v>5257</v>
      </c>
      <c r="AB805" s="9" t="s">
        <v>654</v>
      </c>
      <c r="AC805" s="9" t="s">
        <v>654</v>
      </c>
      <c r="AD805" s="9" t="s">
        <v>654</v>
      </c>
      <c r="AE805" s="9" t="s">
        <v>654</v>
      </c>
      <c r="AF805" s="184"/>
      <c r="AG805" s="183"/>
      <c r="AH805" s="183"/>
      <c r="AI805" s="183"/>
      <c r="AJ805" s="183"/>
      <c r="AK805" s="183"/>
      <c r="AL805" s="183"/>
      <c r="AM805" s="186" t="str">
        <f>IF(AF805="","","Q"&amp;INT((MONTH(AF805)-1)/3)+1&amp;YEAR(AF805)&amp;#REF!&amp;T805)</f>
        <v/>
      </c>
      <c r="AN805" s="186" t="e">
        <f>IF(K805="","","Q"&amp;INT((MONTH(K805)-1)/3)+1&amp;YEAR(K805)&amp;#REF!)</f>
        <v>#REF!</v>
      </c>
    </row>
    <row r="806" spans="1:40" ht="20.100000000000001" customHeight="1" x14ac:dyDescent="0.25">
      <c r="A806" s="8">
        <v>804</v>
      </c>
      <c r="B806" s="8" t="s">
        <v>399</v>
      </c>
      <c r="C806" s="8" t="s">
        <v>1997</v>
      </c>
      <c r="D806" s="8" t="s">
        <v>2416</v>
      </c>
      <c r="E806" s="182" t="s">
        <v>1998</v>
      </c>
      <c r="F806" s="183" t="s">
        <v>2254</v>
      </c>
      <c r="G806" s="183"/>
      <c r="H806" s="183" t="s">
        <v>4889</v>
      </c>
      <c r="I806" s="183" t="s">
        <v>579</v>
      </c>
      <c r="J806" s="183"/>
      <c r="K806" s="184">
        <v>46072</v>
      </c>
      <c r="L806" s="183">
        <v>51</v>
      </c>
      <c r="M806" s="185" t="str">
        <f>IF(phc_8[[#This Row],[Register No.]]="","",C806&amp;"-"&amp;D806&amp;"-"&amp;"BHA-PHC-"&amp;phc_8[[#This Row],[Register No.]])</f>
        <v>Shining Star-Mobile Clinic-BHA-PHC-51</v>
      </c>
      <c r="N806" s="9" t="s">
        <v>401</v>
      </c>
      <c r="O806" s="183" t="s">
        <v>5258</v>
      </c>
      <c r="P806" s="183">
        <v>39</v>
      </c>
      <c r="Q806" s="183"/>
      <c r="R806" s="183"/>
      <c r="S806" s="186" t="str">
        <f t="shared" si="32"/>
        <v>19 - 49 yrs</v>
      </c>
      <c r="T806" s="183" t="s">
        <v>603</v>
      </c>
      <c r="U806" s="183"/>
      <c r="V806" s="183" t="s">
        <v>5263</v>
      </c>
      <c r="W806" s="183" t="s">
        <v>2003</v>
      </c>
      <c r="X806" s="183" t="s">
        <v>181</v>
      </c>
      <c r="Y806" s="186" t="str">
        <f>INDEX(info!$Y$2:$Y$192,MATCH(phc_8[[#This Row],[Sub_Category]],info!$X$2:$X$192,0))</f>
        <v>Chronic medical disease</v>
      </c>
      <c r="Z806" s="186" t="str">
        <f t="array" ref="Z806">INDEX(info!$AA$2:$AA$192,MATCH(PHC!$X806&amp;PHC!$Y806,info!$X$2:$X$192&amp;info!$Y$2:$Y$192,0))</f>
        <v>Non-communicable disease</v>
      </c>
      <c r="AA806" s="183" t="s">
        <v>5266</v>
      </c>
      <c r="AB806" s="9" t="s">
        <v>654</v>
      </c>
      <c r="AC806" s="9" t="s">
        <v>654</v>
      </c>
      <c r="AD806" s="9" t="s">
        <v>654</v>
      </c>
      <c r="AE806" s="9" t="s">
        <v>654</v>
      </c>
      <c r="AF806" s="184"/>
      <c r="AG806" s="183"/>
      <c r="AH806" s="183"/>
      <c r="AI806" s="183"/>
      <c r="AJ806" s="183"/>
      <c r="AK806" s="183"/>
      <c r="AL806" s="183"/>
      <c r="AM806" s="186" t="str">
        <f>IF(AF806="","","Q"&amp;INT((MONTH(AF806)-1)/3)+1&amp;YEAR(AF806)&amp;#REF!&amp;T806)</f>
        <v/>
      </c>
      <c r="AN806" s="186" t="e">
        <f>IF(K806="","","Q"&amp;INT((MONTH(K806)-1)/3)+1&amp;YEAR(K806)&amp;#REF!)</f>
        <v>#REF!</v>
      </c>
    </row>
    <row r="807" spans="1:40" ht="20.100000000000001" customHeight="1" x14ac:dyDescent="0.25">
      <c r="A807" s="8">
        <v>805</v>
      </c>
      <c r="B807" s="8" t="s">
        <v>399</v>
      </c>
      <c r="C807" s="8" t="s">
        <v>1997</v>
      </c>
      <c r="D807" s="8" t="s">
        <v>2416</v>
      </c>
      <c r="E807" s="182" t="s">
        <v>1998</v>
      </c>
      <c r="F807" s="183" t="s">
        <v>2254</v>
      </c>
      <c r="G807" s="183"/>
      <c r="H807" s="183" t="s">
        <v>4889</v>
      </c>
      <c r="I807" s="183" t="s">
        <v>579</v>
      </c>
      <c r="J807" s="183"/>
      <c r="K807" s="184">
        <v>46072</v>
      </c>
      <c r="L807" s="183">
        <v>52</v>
      </c>
      <c r="M807" s="185" t="str">
        <f>IF(phc_8[[#This Row],[Register No.]]="","",C807&amp;"-"&amp;D807&amp;"-"&amp;"BHA-PHC-"&amp;phc_8[[#This Row],[Register No.]])</f>
        <v>Shining Star-Mobile Clinic-BHA-PHC-52</v>
      </c>
      <c r="N807" s="9" t="s">
        <v>401</v>
      </c>
      <c r="O807" s="183" t="s">
        <v>5259</v>
      </c>
      <c r="P807" s="183">
        <v>56</v>
      </c>
      <c r="Q807" s="183"/>
      <c r="R807" s="183"/>
      <c r="S807" s="186" t="str">
        <f t="shared" si="32"/>
        <v>50 yrs +</v>
      </c>
      <c r="T807" s="183" t="s">
        <v>402</v>
      </c>
      <c r="U807" s="183"/>
      <c r="V807" s="183" t="s">
        <v>3260</v>
      </c>
      <c r="W807" s="183" t="s">
        <v>242</v>
      </c>
      <c r="X807" s="183" t="s">
        <v>242</v>
      </c>
      <c r="Y807" s="186" t="str">
        <f>INDEX(info!$Y$2:$Y$192,MATCH(phc_8[[#This Row],[Sub_Category]],info!$X$2:$X$192,0))</f>
        <v>Accident/minor sugical and injuries</v>
      </c>
      <c r="Z807" s="186" t="str">
        <f t="array" ref="Z807">INDEX(info!$AA$2:$AA$192,MATCH(PHC!$X807&amp;PHC!$Y807,info!$X$2:$X$192&amp;info!$Y$2:$Y$192,0))</f>
        <v>Injury related</v>
      </c>
      <c r="AA807" s="183" t="s">
        <v>5267</v>
      </c>
      <c r="AB807" s="9" t="s">
        <v>654</v>
      </c>
      <c r="AC807" s="9" t="s">
        <v>654</v>
      </c>
      <c r="AD807" s="9" t="s">
        <v>654</v>
      </c>
      <c r="AE807" s="9" t="s">
        <v>654</v>
      </c>
      <c r="AF807" s="184"/>
      <c r="AG807" s="183"/>
      <c r="AH807" s="183"/>
      <c r="AI807" s="183"/>
      <c r="AJ807" s="183"/>
      <c r="AK807" s="183"/>
      <c r="AL807" s="183"/>
      <c r="AM807" s="186" t="str">
        <f>IF(AF807="","","Q"&amp;INT((MONTH(AF807)-1)/3)+1&amp;YEAR(AF807)&amp;#REF!&amp;T807)</f>
        <v/>
      </c>
      <c r="AN807" s="186" t="e">
        <f>IF(K807="","","Q"&amp;INT((MONTH(K807)-1)/3)+1&amp;YEAR(K807)&amp;#REF!)</f>
        <v>#REF!</v>
      </c>
    </row>
    <row r="808" spans="1:40" ht="20.100000000000001" customHeight="1" x14ac:dyDescent="0.25">
      <c r="A808" s="8">
        <v>806</v>
      </c>
      <c r="B808" s="8" t="s">
        <v>399</v>
      </c>
      <c r="C808" s="8" t="s">
        <v>1997</v>
      </c>
      <c r="D808" s="8" t="s">
        <v>2416</v>
      </c>
      <c r="E808" s="182" t="s">
        <v>1998</v>
      </c>
      <c r="F808" s="183" t="s">
        <v>2254</v>
      </c>
      <c r="G808" s="183"/>
      <c r="H808" s="183" t="s">
        <v>4889</v>
      </c>
      <c r="I808" s="183" t="s">
        <v>579</v>
      </c>
      <c r="J808" s="183"/>
      <c r="K808" s="184">
        <v>46072</v>
      </c>
      <c r="L808" s="183">
        <v>53</v>
      </c>
      <c r="M808" s="185" t="str">
        <f>IF(phc_8[[#This Row],[Register No.]]="","",C808&amp;"-"&amp;D808&amp;"-"&amp;"BHA-PHC-"&amp;phc_8[[#This Row],[Register No.]])</f>
        <v>Shining Star-Mobile Clinic-BHA-PHC-53</v>
      </c>
      <c r="N808" s="9" t="s">
        <v>401</v>
      </c>
      <c r="O808" s="183" t="s">
        <v>5262</v>
      </c>
      <c r="P808" s="183">
        <v>60</v>
      </c>
      <c r="Q808" s="183"/>
      <c r="R808" s="183"/>
      <c r="S808" s="186" t="str">
        <f t="shared" si="32"/>
        <v>50 yrs +</v>
      </c>
      <c r="T808" s="183" t="s">
        <v>603</v>
      </c>
      <c r="U808" s="183"/>
      <c r="V808" s="183" t="s">
        <v>3232</v>
      </c>
      <c r="W808" s="183" t="s">
        <v>178</v>
      </c>
      <c r="X808" s="183" t="s">
        <v>178</v>
      </c>
      <c r="Y808" s="186" t="str">
        <f>INDEX(info!$Y$2:$Y$192,MATCH(phc_8[[#This Row],[Sub_Category]],info!$X$2:$X$192,0))</f>
        <v>Chronic medical disease</v>
      </c>
      <c r="Z808" s="186" t="str">
        <f t="array" ref="Z808">INDEX(info!$AA$2:$AA$192,MATCH(PHC!$X808&amp;PHC!$Y808,info!$X$2:$X$192&amp;info!$Y$2:$Y$192,0))</f>
        <v>Non-communicable disease</v>
      </c>
      <c r="AA808" s="183" t="s">
        <v>5268</v>
      </c>
      <c r="AB808" s="9" t="s">
        <v>654</v>
      </c>
      <c r="AC808" s="9" t="s">
        <v>654</v>
      </c>
      <c r="AD808" s="9" t="s">
        <v>654</v>
      </c>
      <c r="AE808" s="9" t="s">
        <v>654</v>
      </c>
      <c r="AF808" s="184"/>
      <c r="AG808" s="183"/>
      <c r="AH808" s="183"/>
      <c r="AI808" s="183"/>
      <c r="AJ808" s="183"/>
      <c r="AK808" s="183"/>
      <c r="AL808" s="183"/>
      <c r="AM808" s="186" t="str">
        <f>IF(AF808="","","Q"&amp;INT((MONTH(AF808)-1)/3)+1&amp;YEAR(AF808)&amp;#REF!&amp;T808)</f>
        <v/>
      </c>
      <c r="AN808" s="186" t="e">
        <f>IF(K808="","","Q"&amp;INT((MONTH(K808)-1)/3)+1&amp;YEAR(K808)&amp;#REF!)</f>
        <v>#REF!</v>
      </c>
    </row>
    <row r="809" spans="1:40" ht="20.100000000000001" customHeight="1" x14ac:dyDescent="0.25">
      <c r="A809" s="8">
        <v>807</v>
      </c>
      <c r="B809" s="8" t="s">
        <v>399</v>
      </c>
      <c r="C809" s="8" t="s">
        <v>1997</v>
      </c>
      <c r="D809" s="8" t="s">
        <v>2416</v>
      </c>
      <c r="E809" s="182" t="s">
        <v>1998</v>
      </c>
      <c r="F809" s="183" t="s">
        <v>2254</v>
      </c>
      <c r="G809" s="183"/>
      <c r="H809" s="183" t="s">
        <v>4889</v>
      </c>
      <c r="I809" s="183" t="s">
        <v>579</v>
      </c>
      <c r="J809" s="183"/>
      <c r="K809" s="184">
        <v>46072</v>
      </c>
      <c r="L809" s="183">
        <v>54</v>
      </c>
      <c r="M809" s="185" t="str">
        <f>IF(phc_8[[#This Row],[Register No.]]="","",C809&amp;"-"&amp;D809&amp;"-"&amp;"BHA-PHC-"&amp;phc_8[[#This Row],[Register No.]])</f>
        <v>Shining Star-Mobile Clinic-BHA-PHC-54</v>
      </c>
      <c r="N809" s="9" t="s">
        <v>401</v>
      </c>
      <c r="O809" s="183" t="s">
        <v>5260</v>
      </c>
      <c r="P809" s="183">
        <v>58</v>
      </c>
      <c r="Q809" s="183"/>
      <c r="R809" s="183"/>
      <c r="S809" s="186" t="str">
        <f t="shared" si="32"/>
        <v>50 yrs +</v>
      </c>
      <c r="T809" s="183" t="s">
        <v>603</v>
      </c>
      <c r="U809" s="183"/>
      <c r="V809" s="183" t="s">
        <v>2743</v>
      </c>
      <c r="W809" s="183" t="s">
        <v>5264</v>
      </c>
      <c r="X809" s="183" t="s">
        <v>2014</v>
      </c>
      <c r="Y809" s="186" t="str">
        <f>INDEX(info!$Y$2:$Y$192,MATCH(phc_8[[#This Row],[Sub_Category]],info!$X$2:$X$192,0))</f>
        <v>Other (non-communicable)</v>
      </c>
      <c r="Z809" s="186" t="str">
        <f t="array" ref="Z809">INDEX(info!$AA$2:$AA$192,MATCH(PHC!$X809&amp;PHC!$Y809,info!$X$2:$X$192&amp;info!$Y$2:$Y$192,0))</f>
        <v>Other</v>
      </c>
      <c r="AA809" s="183" t="s">
        <v>5269</v>
      </c>
      <c r="AB809" s="9" t="s">
        <v>654</v>
      </c>
      <c r="AC809" s="9" t="s">
        <v>654</v>
      </c>
      <c r="AD809" s="9" t="s">
        <v>654</v>
      </c>
      <c r="AE809" s="9" t="s">
        <v>654</v>
      </c>
      <c r="AF809" s="184"/>
      <c r="AG809" s="183"/>
      <c r="AH809" s="183"/>
      <c r="AI809" s="183"/>
      <c r="AJ809" s="183"/>
      <c r="AK809" s="183"/>
      <c r="AL809" s="183"/>
      <c r="AM809" s="186" t="str">
        <f>IF(AF809="","","Q"&amp;INT((MONTH(AF809)-1)/3)+1&amp;YEAR(AF809)&amp;#REF!&amp;T809)</f>
        <v/>
      </c>
      <c r="AN809" s="186" t="e">
        <f>IF(K809="","","Q"&amp;INT((MONTH(K809)-1)/3)+1&amp;YEAR(K809)&amp;#REF!)</f>
        <v>#REF!</v>
      </c>
    </row>
    <row r="810" spans="1:40" ht="20.100000000000001" customHeight="1" x14ac:dyDescent="0.25">
      <c r="A810" s="8">
        <v>808</v>
      </c>
      <c r="B810" s="8" t="s">
        <v>399</v>
      </c>
      <c r="C810" s="8" t="s">
        <v>1997</v>
      </c>
      <c r="D810" s="8" t="s">
        <v>2416</v>
      </c>
      <c r="E810" s="182" t="s">
        <v>1998</v>
      </c>
      <c r="F810" s="183" t="s">
        <v>2254</v>
      </c>
      <c r="G810" s="183"/>
      <c r="H810" s="183" t="s">
        <v>4889</v>
      </c>
      <c r="I810" s="183" t="s">
        <v>579</v>
      </c>
      <c r="J810" s="183"/>
      <c r="K810" s="184">
        <v>46072</v>
      </c>
      <c r="L810" s="183">
        <v>55</v>
      </c>
      <c r="M810" s="185" t="str">
        <f>IF(phc_8[[#This Row],[Register No.]]="","",C810&amp;"-"&amp;D810&amp;"-"&amp;"BHA-PHC-"&amp;phc_8[[#This Row],[Register No.]])</f>
        <v>Shining Star-Mobile Clinic-BHA-PHC-55</v>
      </c>
      <c r="N810" s="9" t="s">
        <v>401</v>
      </c>
      <c r="O810" s="183" t="s">
        <v>5261</v>
      </c>
      <c r="P810" s="183">
        <v>41</v>
      </c>
      <c r="Q810" s="183"/>
      <c r="R810" s="183"/>
      <c r="S810" s="186" t="str">
        <f t="shared" si="32"/>
        <v>19 - 49 yrs</v>
      </c>
      <c r="T810" s="183" t="s">
        <v>603</v>
      </c>
      <c r="U810" s="183"/>
      <c r="V810" s="183" t="s">
        <v>3772</v>
      </c>
      <c r="W810" s="183" t="s">
        <v>5265</v>
      </c>
      <c r="X810" s="183" t="s">
        <v>204</v>
      </c>
      <c r="Y810" s="186" t="str">
        <f>INDEX(info!$Y$2:$Y$192,MATCH(phc_8[[#This Row],[Sub_Category]],info!$X$2:$X$192,0))</f>
        <v>GI problem</v>
      </c>
      <c r="Z810" s="186" t="str">
        <f t="array" ref="Z810">INDEX(info!$AA$2:$AA$192,MATCH(PHC!$X810&amp;PHC!$Y810,info!$X$2:$X$192&amp;info!$Y$2:$Y$192,0))</f>
        <v>Other</v>
      </c>
      <c r="AA810" s="183" t="s">
        <v>5270</v>
      </c>
      <c r="AB810" s="9" t="s">
        <v>654</v>
      </c>
      <c r="AC810" s="9" t="s">
        <v>654</v>
      </c>
      <c r="AD810" s="9" t="s">
        <v>654</v>
      </c>
      <c r="AE810" s="9" t="s">
        <v>654</v>
      </c>
      <c r="AF810" s="184"/>
      <c r="AG810" s="183"/>
      <c r="AH810" s="183"/>
      <c r="AI810" s="183"/>
      <c r="AJ810" s="183"/>
      <c r="AK810" s="183"/>
      <c r="AL810" s="183"/>
      <c r="AM810" s="186" t="str">
        <f>IF(AF810="","","Q"&amp;INT((MONTH(AF810)-1)/3)+1&amp;YEAR(AF810)&amp;#REF!&amp;T810)</f>
        <v/>
      </c>
      <c r="AN810" s="186" t="e">
        <f>IF(K810="","","Q"&amp;INT((MONTH(K810)-1)/3)+1&amp;YEAR(K810)&amp;#REF!)</f>
        <v>#REF!</v>
      </c>
    </row>
    <row r="811" spans="1:40" ht="20.100000000000001" customHeight="1" x14ac:dyDescent="0.25">
      <c r="A811" s="8">
        <v>809</v>
      </c>
      <c r="B811" s="8" t="s">
        <v>399</v>
      </c>
      <c r="C811" s="8" t="s">
        <v>1997</v>
      </c>
      <c r="D811" s="8" t="s">
        <v>2416</v>
      </c>
      <c r="E811" s="182" t="s">
        <v>1998</v>
      </c>
      <c r="F811" s="183" t="s">
        <v>2254</v>
      </c>
      <c r="G811" s="183"/>
      <c r="H811" s="183" t="s">
        <v>4889</v>
      </c>
      <c r="I811" s="183" t="s">
        <v>579</v>
      </c>
      <c r="J811" s="183"/>
      <c r="K811" s="184">
        <v>46072</v>
      </c>
      <c r="L811" s="183">
        <v>56</v>
      </c>
      <c r="M811" s="185" t="str">
        <f>IF(phc_8[[#This Row],[Register No.]]="","",C811&amp;"-"&amp;D811&amp;"-"&amp;"BHA-PHC-"&amp;phc_8[[#This Row],[Register No.]])</f>
        <v>Shining Star-Mobile Clinic-BHA-PHC-56</v>
      </c>
      <c r="N811" s="9" t="s">
        <v>401</v>
      </c>
      <c r="O811" s="183" t="s">
        <v>5271</v>
      </c>
      <c r="P811" s="183">
        <v>19</v>
      </c>
      <c r="Q811" s="183"/>
      <c r="R811" s="183"/>
      <c r="S811" s="186" t="str">
        <f t="shared" si="32"/>
        <v>19 - 49 yrs</v>
      </c>
      <c r="T811" s="183" t="s">
        <v>402</v>
      </c>
      <c r="U811" s="183"/>
      <c r="V811" s="183" t="s">
        <v>5276</v>
      </c>
      <c r="W811" s="183" t="s">
        <v>3249</v>
      </c>
      <c r="X811" s="183" t="s">
        <v>196</v>
      </c>
      <c r="Y811" s="186" t="str">
        <f>INDEX(info!$Y$2:$Y$192,MATCH(phc_8[[#This Row],[Sub_Category]],info!$X$2:$X$192,0))</f>
        <v>Skin infection/disease</v>
      </c>
      <c r="Z811" s="186" t="str">
        <f t="array" ref="Z811">INDEX(info!$AA$2:$AA$192,MATCH(PHC!$X811&amp;PHC!$Y811,info!$X$2:$X$192&amp;info!$Y$2:$Y$192,0))</f>
        <v>Non-communicable disease</v>
      </c>
      <c r="AA811" s="183" t="s">
        <v>5282</v>
      </c>
      <c r="AB811" s="9" t="s">
        <v>654</v>
      </c>
      <c r="AC811" s="9" t="s">
        <v>654</v>
      </c>
      <c r="AD811" s="9" t="s">
        <v>654</v>
      </c>
      <c r="AE811" s="9" t="s">
        <v>654</v>
      </c>
      <c r="AF811" s="184"/>
      <c r="AG811" s="183"/>
      <c r="AH811" s="183"/>
      <c r="AI811" s="183"/>
      <c r="AJ811" s="183"/>
      <c r="AK811" s="183"/>
      <c r="AL811" s="183"/>
      <c r="AM811" s="186" t="str">
        <f>IF(AF811="","","Q"&amp;INT((MONTH(AF811)-1)/3)+1&amp;YEAR(AF811)&amp;#REF!&amp;T811)</f>
        <v/>
      </c>
      <c r="AN811" s="186" t="e">
        <f>IF(K811="","","Q"&amp;INT((MONTH(K811)-1)/3)+1&amp;YEAR(K811)&amp;#REF!)</f>
        <v>#REF!</v>
      </c>
    </row>
    <row r="812" spans="1:40" ht="20.100000000000001" customHeight="1" x14ac:dyDescent="0.25">
      <c r="A812" s="8">
        <v>810</v>
      </c>
      <c r="B812" s="8" t="s">
        <v>399</v>
      </c>
      <c r="C812" s="8" t="s">
        <v>1997</v>
      </c>
      <c r="D812" s="8" t="s">
        <v>2416</v>
      </c>
      <c r="E812" s="182" t="s">
        <v>1998</v>
      </c>
      <c r="F812" s="183" t="s">
        <v>2254</v>
      </c>
      <c r="G812" s="183"/>
      <c r="H812" s="183" t="s">
        <v>4889</v>
      </c>
      <c r="I812" s="183" t="s">
        <v>579</v>
      </c>
      <c r="J812" s="183"/>
      <c r="K812" s="184">
        <v>46072</v>
      </c>
      <c r="L812" s="183">
        <v>57</v>
      </c>
      <c r="M812" s="185" t="str">
        <f>IF(phc_8[[#This Row],[Register No.]]="","",C812&amp;"-"&amp;D812&amp;"-"&amp;"BHA-PHC-"&amp;phc_8[[#This Row],[Register No.]])</f>
        <v>Shining Star-Mobile Clinic-BHA-PHC-57</v>
      </c>
      <c r="N812" s="9" t="s">
        <v>401</v>
      </c>
      <c r="O812" s="183" t="s">
        <v>5272</v>
      </c>
      <c r="P812" s="183">
        <v>63</v>
      </c>
      <c r="Q812" s="183"/>
      <c r="R812" s="183"/>
      <c r="S812" s="186" t="str">
        <f t="shared" si="32"/>
        <v>50 yrs +</v>
      </c>
      <c r="T812" s="183" t="s">
        <v>402</v>
      </c>
      <c r="U812" s="183"/>
      <c r="V812" s="183" t="s">
        <v>5277</v>
      </c>
      <c r="W812" s="183" t="s">
        <v>225</v>
      </c>
      <c r="X812" s="183" t="s">
        <v>225</v>
      </c>
      <c r="Y812" s="186" t="str">
        <f>INDEX(info!$Y$2:$Y$192,MATCH(phc_8[[#This Row],[Sub_Category]],info!$X$2:$X$192,0))</f>
        <v>GI problem</v>
      </c>
      <c r="Z812" s="186" t="str">
        <f t="array" ref="Z812">INDEX(info!$AA$2:$AA$192,MATCH(PHC!$X812&amp;PHC!$Y812,info!$X$2:$X$192&amp;info!$Y$2:$Y$192,0))</f>
        <v>Non-communicable disease</v>
      </c>
      <c r="AA812" s="183" t="s">
        <v>5283</v>
      </c>
      <c r="AB812" s="9" t="s">
        <v>654</v>
      </c>
      <c r="AC812" s="9" t="s">
        <v>654</v>
      </c>
      <c r="AD812" s="9" t="s">
        <v>654</v>
      </c>
      <c r="AE812" s="9" t="s">
        <v>654</v>
      </c>
      <c r="AF812" s="184"/>
      <c r="AG812" s="183"/>
      <c r="AH812" s="183"/>
      <c r="AI812" s="183"/>
      <c r="AJ812" s="183"/>
      <c r="AK812" s="183"/>
      <c r="AL812" s="183"/>
      <c r="AM812" s="186" t="str">
        <f>IF(AF812="","","Q"&amp;INT((MONTH(AF812)-1)/3)+1&amp;YEAR(AF812)&amp;#REF!&amp;T812)</f>
        <v/>
      </c>
      <c r="AN812" s="186" t="e">
        <f>IF(K812="","","Q"&amp;INT((MONTH(K812)-1)/3)+1&amp;YEAR(K812)&amp;#REF!)</f>
        <v>#REF!</v>
      </c>
    </row>
    <row r="813" spans="1:40" ht="20.100000000000001" customHeight="1" x14ac:dyDescent="0.25">
      <c r="A813" s="8">
        <v>811</v>
      </c>
      <c r="B813" s="8" t="s">
        <v>399</v>
      </c>
      <c r="C813" s="8" t="s">
        <v>1997</v>
      </c>
      <c r="D813" s="8" t="s">
        <v>2416</v>
      </c>
      <c r="E813" s="182" t="s">
        <v>1998</v>
      </c>
      <c r="F813" s="183" t="s">
        <v>2254</v>
      </c>
      <c r="G813" s="183"/>
      <c r="H813" s="183" t="s">
        <v>4889</v>
      </c>
      <c r="I813" s="183" t="s">
        <v>579</v>
      </c>
      <c r="J813" s="183"/>
      <c r="K813" s="184">
        <v>46072</v>
      </c>
      <c r="L813" s="183">
        <v>58</v>
      </c>
      <c r="M813" s="185" t="str">
        <f>IF(phc_8[[#This Row],[Register No.]]="","",C813&amp;"-"&amp;D813&amp;"-"&amp;"BHA-PHC-"&amp;phc_8[[#This Row],[Register No.]])</f>
        <v>Shining Star-Mobile Clinic-BHA-PHC-58</v>
      </c>
      <c r="N813" s="9" t="s">
        <v>401</v>
      </c>
      <c r="O813" s="183" t="s">
        <v>5273</v>
      </c>
      <c r="P813" s="183">
        <v>81</v>
      </c>
      <c r="Q813" s="183"/>
      <c r="R813" s="183"/>
      <c r="S813" s="186" t="str">
        <f t="shared" si="32"/>
        <v>50 yrs +</v>
      </c>
      <c r="T813" s="183" t="s">
        <v>402</v>
      </c>
      <c r="U813" s="183"/>
      <c r="V813" s="183" t="s">
        <v>5278</v>
      </c>
      <c r="W813" s="183" t="s">
        <v>5281</v>
      </c>
      <c r="X813" s="183" t="s">
        <v>294</v>
      </c>
      <c r="Y813" s="186" t="str">
        <f>INDEX(info!$Y$2:$Y$192,MATCH(phc_8[[#This Row],[Sub_Category]],info!$X$2:$X$192,0))</f>
        <v>Other (non-communicable)</v>
      </c>
      <c r="Z813" s="186" t="str">
        <f t="array" ref="Z813">INDEX(info!$AA$2:$AA$192,MATCH(PHC!$X813&amp;PHC!$Y813,info!$X$2:$X$192&amp;info!$Y$2:$Y$192,0))</f>
        <v>Other</v>
      </c>
      <c r="AA813" s="183" t="s">
        <v>5284</v>
      </c>
      <c r="AB813" s="9" t="s">
        <v>654</v>
      </c>
      <c r="AC813" s="9" t="s">
        <v>654</v>
      </c>
      <c r="AD813" s="9" t="s">
        <v>654</v>
      </c>
      <c r="AE813" s="9" t="s">
        <v>654</v>
      </c>
      <c r="AF813" s="184"/>
      <c r="AG813" s="183"/>
      <c r="AH813" s="183"/>
      <c r="AI813" s="183"/>
      <c r="AJ813" s="183"/>
      <c r="AK813" s="183"/>
      <c r="AL813" s="183"/>
      <c r="AM813" s="186" t="str">
        <f>IF(AF813="","","Q"&amp;INT((MONTH(AF813)-1)/3)+1&amp;YEAR(AF813)&amp;#REF!&amp;T813)</f>
        <v/>
      </c>
      <c r="AN813" s="186" t="e">
        <f>IF(K813="","","Q"&amp;INT((MONTH(K813)-1)/3)+1&amp;YEAR(K813)&amp;#REF!)</f>
        <v>#REF!</v>
      </c>
    </row>
    <row r="814" spans="1:40" ht="20.100000000000001" customHeight="1" x14ac:dyDescent="0.25">
      <c r="A814" s="8">
        <v>812</v>
      </c>
      <c r="B814" s="8" t="s">
        <v>399</v>
      </c>
      <c r="C814" s="8" t="s">
        <v>1997</v>
      </c>
      <c r="D814" s="8" t="s">
        <v>2416</v>
      </c>
      <c r="E814" s="182" t="s">
        <v>1998</v>
      </c>
      <c r="F814" s="183" t="s">
        <v>2254</v>
      </c>
      <c r="G814" s="183"/>
      <c r="H814" s="183" t="s">
        <v>4889</v>
      </c>
      <c r="I814" s="183" t="s">
        <v>579</v>
      </c>
      <c r="J814" s="183"/>
      <c r="K814" s="184">
        <v>46072</v>
      </c>
      <c r="L814" s="183">
        <v>59</v>
      </c>
      <c r="M814" s="185" t="str">
        <f>IF(phc_8[[#This Row],[Register No.]]="","",C814&amp;"-"&amp;D814&amp;"-"&amp;"BHA-PHC-"&amp;phc_8[[#This Row],[Register No.]])</f>
        <v>Shining Star-Mobile Clinic-BHA-PHC-59</v>
      </c>
      <c r="N814" s="9" t="s">
        <v>401</v>
      </c>
      <c r="O814" s="183" t="s">
        <v>5274</v>
      </c>
      <c r="P814" s="183">
        <v>38</v>
      </c>
      <c r="Q814" s="183"/>
      <c r="R814" s="183"/>
      <c r="S814" s="186" t="str">
        <f t="shared" si="32"/>
        <v>19 - 49 yrs</v>
      </c>
      <c r="T814" s="183" t="s">
        <v>603</v>
      </c>
      <c r="U814" s="183"/>
      <c r="V814" s="183" t="s">
        <v>5279</v>
      </c>
      <c r="W814" s="183" t="s">
        <v>3249</v>
      </c>
      <c r="X814" s="183" t="s">
        <v>196</v>
      </c>
      <c r="Y814" s="186" t="str">
        <f>INDEX(info!$Y$2:$Y$192,MATCH(phc_8[[#This Row],[Sub_Category]],info!$X$2:$X$192,0))</f>
        <v>Skin infection/disease</v>
      </c>
      <c r="Z814" s="186" t="str">
        <f t="array" ref="Z814">INDEX(info!$AA$2:$AA$192,MATCH(PHC!$X814&amp;PHC!$Y814,info!$X$2:$X$192&amp;info!$Y$2:$Y$192,0))</f>
        <v>Non-communicable disease</v>
      </c>
      <c r="AA814" s="183" t="s">
        <v>5285</v>
      </c>
      <c r="AB814" s="9" t="s">
        <v>654</v>
      </c>
      <c r="AC814" s="9" t="s">
        <v>654</v>
      </c>
      <c r="AD814" s="9" t="s">
        <v>654</v>
      </c>
      <c r="AE814" s="9" t="s">
        <v>654</v>
      </c>
      <c r="AF814" s="184"/>
      <c r="AG814" s="183"/>
      <c r="AH814" s="183"/>
      <c r="AI814" s="183"/>
      <c r="AJ814" s="183"/>
      <c r="AK814" s="183"/>
      <c r="AL814" s="183"/>
      <c r="AM814" s="186" t="str">
        <f>IF(AF814="","","Q"&amp;INT((MONTH(AF814)-1)/3)+1&amp;YEAR(AF814)&amp;#REF!&amp;T814)</f>
        <v/>
      </c>
      <c r="AN814" s="186" t="e">
        <f>IF(K814="","","Q"&amp;INT((MONTH(K814)-1)/3)+1&amp;YEAR(K814)&amp;#REF!)</f>
        <v>#REF!</v>
      </c>
    </row>
    <row r="815" spans="1:40" ht="20.100000000000001" customHeight="1" x14ac:dyDescent="0.25">
      <c r="A815" s="8">
        <v>813</v>
      </c>
      <c r="B815" s="8" t="s">
        <v>399</v>
      </c>
      <c r="C815" s="8" t="s">
        <v>1997</v>
      </c>
      <c r="D815" s="8" t="s">
        <v>2416</v>
      </c>
      <c r="E815" s="182" t="s">
        <v>1998</v>
      </c>
      <c r="F815" s="183" t="s">
        <v>2254</v>
      </c>
      <c r="G815" s="183"/>
      <c r="H815" s="183" t="s">
        <v>4889</v>
      </c>
      <c r="I815" s="183" t="s">
        <v>579</v>
      </c>
      <c r="J815" s="183"/>
      <c r="K815" s="184">
        <v>46072</v>
      </c>
      <c r="L815" s="183">
        <v>60</v>
      </c>
      <c r="M815" s="185" t="str">
        <f>IF(phc_8[[#This Row],[Register No.]]="","",C815&amp;"-"&amp;D815&amp;"-"&amp;"BHA-PHC-"&amp;phc_8[[#This Row],[Register No.]])</f>
        <v>Shining Star-Mobile Clinic-BHA-PHC-60</v>
      </c>
      <c r="N815" s="9" t="s">
        <v>401</v>
      </c>
      <c r="O815" s="183" t="s">
        <v>5275</v>
      </c>
      <c r="P815" s="183">
        <v>51</v>
      </c>
      <c r="Q815" s="183"/>
      <c r="R815" s="183"/>
      <c r="S815" s="186" t="str">
        <f t="shared" si="32"/>
        <v>50 yrs +</v>
      </c>
      <c r="T815" s="183" t="s">
        <v>603</v>
      </c>
      <c r="U815" s="183"/>
      <c r="V815" s="183" t="s">
        <v>5280</v>
      </c>
      <c r="W815" s="183" t="s">
        <v>3837</v>
      </c>
      <c r="X815" s="183" t="s">
        <v>3105</v>
      </c>
      <c r="Y815" s="186" t="str">
        <f>INDEX(info!$Y$2:$Y$192,MATCH(phc_8[[#This Row],[Sub_Category]],info!$X$2:$X$192,0))</f>
        <v>Chronic medical disease</v>
      </c>
      <c r="Z815" s="186" t="str">
        <f t="array" ref="Z815">INDEX(info!$AA$2:$AA$192,MATCH(PHC!$X815&amp;PHC!$Y815,info!$X$2:$X$192&amp;info!$Y$2:$Y$192,0))</f>
        <v>Non-communicable disease</v>
      </c>
      <c r="AA815" s="183" t="s">
        <v>5286</v>
      </c>
      <c r="AB815" s="9" t="s">
        <v>654</v>
      </c>
      <c r="AC815" s="9" t="s">
        <v>654</v>
      </c>
      <c r="AD815" s="9" t="s">
        <v>654</v>
      </c>
      <c r="AE815" s="9" t="s">
        <v>654</v>
      </c>
      <c r="AF815" s="184"/>
      <c r="AG815" s="183"/>
      <c r="AH815" s="183"/>
      <c r="AI815" s="183"/>
      <c r="AJ815" s="183"/>
      <c r="AK815" s="183"/>
      <c r="AL815" s="183"/>
      <c r="AM815" s="186" t="str">
        <f>IF(AF815="","","Q"&amp;INT((MONTH(AF815)-1)/3)+1&amp;YEAR(AF815)&amp;#REF!&amp;T815)</f>
        <v/>
      </c>
      <c r="AN815" s="186" t="e">
        <f>IF(K815="","","Q"&amp;INT((MONTH(K815)-1)/3)+1&amp;YEAR(K815)&amp;#REF!)</f>
        <v>#REF!</v>
      </c>
    </row>
    <row r="816" spans="1:40" ht="20.100000000000001" customHeight="1" x14ac:dyDescent="0.25">
      <c r="A816" s="8">
        <v>814</v>
      </c>
      <c r="B816" s="8" t="s">
        <v>399</v>
      </c>
      <c r="C816" s="8" t="s">
        <v>1997</v>
      </c>
      <c r="D816" s="8" t="s">
        <v>2416</v>
      </c>
      <c r="E816" s="182" t="s">
        <v>1998</v>
      </c>
      <c r="F816" s="183" t="s">
        <v>2254</v>
      </c>
      <c r="G816" s="183"/>
      <c r="H816" s="183" t="s">
        <v>4889</v>
      </c>
      <c r="I816" s="183" t="s">
        <v>579</v>
      </c>
      <c r="J816" s="183"/>
      <c r="K816" s="184">
        <v>46072</v>
      </c>
      <c r="L816" s="183">
        <v>61</v>
      </c>
      <c r="M816" s="185" t="str">
        <f>IF(phc_8[[#This Row],[Register No.]]="","",C816&amp;"-"&amp;D816&amp;"-"&amp;"BHA-PHC-"&amp;phc_8[[#This Row],[Register No.]])</f>
        <v>Shining Star-Mobile Clinic-BHA-PHC-61</v>
      </c>
      <c r="N816" s="9" t="s">
        <v>401</v>
      </c>
      <c r="O816" s="183" t="s">
        <v>5287</v>
      </c>
      <c r="P816" s="183">
        <v>27</v>
      </c>
      <c r="Q816" s="183"/>
      <c r="R816" s="183"/>
      <c r="S816" s="186" t="str">
        <f t="shared" si="32"/>
        <v>19 - 49 yrs</v>
      </c>
      <c r="T816" s="183" t="s">
        <v>603</v>
      </c>
      <c r="U816" s="183"/>
      <c r="V816" s="183" t="s">
        <v>5292</v>
      </c>
      <c r="W816" s="183" t="s">
        <v>294</v>
      </c>
      <c r="X816" s="183" t="s">
        <v>294</v>
      </c>
      <c r="Y816" s="186" t="str">
        <f>INDEX(info!$Y$2:$Y$192,MATCH(phc_8[[#This Row],[Sub_Category]],info!$X$2:$X$192,0))</f>
        <v>Other (non-communicable)</v>
      </c>
      <c r="Z816" s="186" t="str">
        <f t="array" ref="Z816">INDEX(info!$AA$2:$AA$192,MATCH(PHC!$X816&amp;PHC!$Y816,info!$X$2:$X$192&amp;info!$Y$2:$Y$192,0))</f>
        <v>Other</v>
      </c>
      <c r="AA816" s="183" t="s">
        <v>5296</v>
      </c>
      <c r="AB816" s="9" t="s">
        <v>654</v>
      </c>
      <c r="AC816" s="9" t="s">
        <v>654</v>
      </c>
      <c r="AD816" s="9" t="s">
        <v>654</v>
      </c>
      <c r="AE816" s="9" t="s">
        <v>654</v>
      </c>
      <c r="AF816" s="184"/>
      <c r="AG816" s="183"/>
      <c r="AH816" s="183"/>
      <c r="AI816" s="183"/>
      <c r="AJ816" s="183"/>
      <c r="AK816" s="183"/>
      <c r="AL816" s="183"/>
      <c r="AM816" s="186" t="str">
        <f>IF(AF816="","","Q"&amp;INT((MONTH(AF816)-1)/3)+1&amp;YEAR(AF816)&amp;#REF!&amp;T816)</f>
        <v/>
      </c>
      <c r="AN816" s="186" t="e">
        <f>IF(K816="","","Q"&amp;INT((MONTH(K816)-1)/3)+1&amp;YEAR(K816)&amp;#REF!)</f>
        <v>#REF!</v>
      </c>
    </row>
    <row r="817" spans="1:40" ht="20.100000000000001" customHeight="1" x14ac:dyDescent="0.25">
      <c r="A817" s="8">
        <v>815</v>
      </c>
      <c r="B817" s="8" t="s">
        <v>399</v>
      </c>
      <c r="C817" s="8" t="s">
        <v>1997</v>
      </c>
      <c r="D817" s="8" t="s">
        <v>2416</v>
      </c>
      <c r="E817" s="182" t="s">
        <v>1998</v>
      </c>
      <c r="F817" s="183" t="s">
        <v>2254</v>
      </c>
      <c r="G817" s="183"/>
      <c r="H817" s="183" t="s">
        <v>4889</v>
      </c>
      <c r="I817" s="183" t="s">
        <v>579</v>
      </c>
      <c r="J817" s="183"/>
      <c r="K817" s="184">
        <v>46072</v>
      </c>
      <c r="L817" s="183">
        <v>62</v>
      </c>
      <c r="M817" s="185" t="str">
        <f>IF(phc_8[[#This Row],[Register No.]]="","",C817&amp;"-"&amp;D817&amp;"-"&amp;"BHA-PHC-"&amp;phc_8[[#This Row],[Register No.]])</f>
        <v>Shining Star-Mobile Clinic-BHA-PHC-62</v>
      </c>
      <c r="N817" s="9" t="s">
        <v>401</v>
      </c>
      <c r="O817" s="183" t="s">
        <v>5288</v>
      </c>
      <c r="P817" s="183">
        <v>56</v>
      </c>
      <c r="Q817" s="183"/>
      <c r="R817" s="183"/>
      <c r="S817" s="186" t="str">
        <f t="shared" si="32"/>
        <v>50 yrs +</v>
      </c>
      <c r="T817" s="183" t="s">
        <v>603</v>
      </c>
      <c r="U817" s="183"/>
      <c r="V817" s="183" t="s">
        <v>5293</v>
      </c>
      <c r="W817" s="183" t="s">
        <v>242</v>
      </c>
      <c r="X817" s="183" t="s">
        <v>242</v>
      </c>
      <c r="Y817" s="186" t="str">
        <f>INDEX(info!$Y$2:$Y$192,MATCH(phc_8[[#This Row],[Sub_Category]],info!$X$2:$X$192,0))</f>
        <v>Accident/minor sugical and injuries</v>
      </c>
      <c r="Z817" s="186" t="str">
        <f t="array" ref="Z817">INDEX(info!$AA$2:$AA$192,MATCH(PHC!$X817&amp;PHC!$Y817,info!$X$2:$X$192&amp;info!$Y$2:$Y$192,0))</f>
        <v>Injury related</v>
      </c>
      <c r="AA817" s="183" t="s">
        <v>5297</v>
      </c>
      <c r="AB817" s="9" t="s">
        <v>654</v>
      </c>
      <c r="AC817" s="9" t="s">
        <v>654</v>
      </c>
      <c r="AD817" s="9" t="s">
        <v>654</v>
      </c>
      <c r="AE817" s="9" t="s">
        <v>654</v>
      </c>
      <c r="AF817" s="184"/>
      <c r="AG817" s="183"/>
      <c r="AH817" s="183"/>
      <c r="AI817" s="183"/>
      <c r="AJ817" s="183"/>
      <c r="AK817" s="183"/>
      <c r="AL817" s="183"/>
      <c r="AM817" s="186" t="str">
        <f>IF(AF817="","","Q"&amp;INT((MONTH(AF817)-1)/3)+1&amp;YEAR(AF817)&amp;#REF!&amp;T817)</f>
        <v/>
      </c>
      <c r="AN817" s="186" t="e">
        <f>IF(K817="","","Q"&amp;INT((MONTH(K817)-1)/3)+1&amp;YEAR(K817)&amp;#REF!)</f>
        <v>#REF!</v>
      </c>
    </row>
    <row r="818" spans="1:40" ht="20.100000000000001" customHeight="1" x14ac:dyDescent="0.25">
      <c r="A818" s="8">
        <v>816</v>
      </c>
      <c r="B818" s="8" t="s">
        <v>399</v>
      </c>
      <c r="C818" s="8" t="s">
        <v>1997</v>
      </c>
      <c r="D818" s="8" t="s">
        <v>2416</v>
      </c>
      <c r="E818" s="182" t="s">
        <v>1998</v>
      </c>
      <c r="F818" s="183" t="s">
        <v>2254</v>
      </c>
      <c r="G818" s="183"/>
      <c r="H818" s="183" t="s">
        <v>4889</v>
      </c>
      <c r="I818" s="183" t="s">
        <v>579</v>
      </c>
      <c r="J818" s="183"/>
      <c r="K818" s="184">
        <v>46072</v>
      </c>
      <c r="L818" s="183">
        <v>63</v>
      </c>
      <c r="M818" s="185" t="str">
        <f>IF(phc_8[[#This Row],[Register No.]]="","",C818&amp;"-"&amp;D818&amp;"-"&amp;"BHA-PHC-"&amp;phc_8[[#This Row],[Register No.]])</f>
        <v>Shining Star-Mobile Clinic-BHA-PHC-63</v>
      </c>
      <c r="N818" s="9" t="s">
        <v>401</v>
      </c>
      <c r="O818" s="183" t="s">
        <v>5289</v>
      </c>
      <c r="P818" s="183">
        <v>10</v>
      </c>
      <c r="Q818" s="183"/>
      <c r="R818" s="183"/>
      <c r="S818" s="186" t="str">
        <f t="shared" si="32"/>
        <v>5 - 14 yrs</v>
      </c>
      <c r="T818" s="183" t="s">
        <v>603</v>
      </c>
      <c r="U818" s="183"/>
      <c r="V818" s="183" t="s">
        <v>5294</v>
      </c>
      <c r="W818" s="183" t="s">
        <v>4810</v>
      </c>
      <c r="X818" s="183" t="s">
        <v>113</v>
      </c>
      <c r="Y818" s="186" t="str">
        <f>INDEX(info!$Y$2:$Y$192,MATCH(phc_8[[#This Row],[Sub_Category]],info!$X$2:$X$192,0))</f>
        <v>ARI/RTI</v>
      </c>
      <c r="Z818" s="186" t="str">
        <f t="array" ref="Z818">INDEX(info!$AA$2:$AA$192,MATCH(PHC!$X818&amp;PHC!$Y818,info!$X$2:$X$192&amp;info!$Y$2:$Y$192,0))</f>
        <v>Communicable disease</v>
      </c>
      <c r="AA818" s="183" t="s">
        <v>5298</v>
      </c>
      <c r="AB818" s="9" t="s">
        <v>654</v>
      </c>
      <c r="AC818" s="9" t="s">
        <v>654</v>
      </c>
      <c r="AD818" s="9" t="s">
        <v>654</v>
      </c>
      <c r="AE818" s="9" t="s">
        <v>654</v>
      </c>
      <c r="AF818" s="184"/>
      <c r="AG818" s="183"/>
      <c r="AH818" s="183"/>
      <c r="AI818" s="183"/>
      <c r="AJ818" s="183"/>
      <c r="AK818" s="183"/>
      <c r="AL818" s="183"/>
      <c r="AM818" s="186" t="str">
        <f>IF(AF818="","","Q"&amp;INT((MONTH(AF818)-1)/3)+1&amp;YEAR(AF818)&amp;#REF!&amp;T818)</f>
        <v/>
      </c>
      <c r="AN818" s="186" t="e">
        <f>IF(K818="","","Q"&amp;INT((MONTH(K818)-1)/3)+1&amp;YEAR(K818)&amp;#REF!)</f>
        <v>#REF!</v>
      </c>
    </row>
    <row r="819" spans="1:40" ht="20.100000000000001" customHeight="1" x14ac:dyDescent="0.25">
      <c r="A819" s="8">
        <v>817</v>
      </c>
      <c r="B819" s="8" t="s">
        <v>399</v>
      </c>
      <c r="C819" s="8" t="s">
        <v>1997</v>
      </c>
      <c r="D819" s="8" t="s">
        <v>2416</v>
      </c>
      <c r="E819" s="182" t="s">
        <v>1998</v>
      </c>
      <c r="F819" s="183" t="s">
        <v>2254</v>
      </c>
      <c r="G819" s="183"/>
      <c r="H819" s="183" t="s">
        <v>4889</v>
      </c>
      <c r="I819" s="183" t="s">
        <v>579</v>
      </c>
      <c r="J819" s="183"/>
      <c r="K819" s="184">
        <v>46072</v>
      </c>
      <c r="L819" s="183">
        <v>64</v>
      </c>
      <c r="M819" s="185" t="str">
        <f>IF(phc_8[[#This Row],[Register No.]]="","",C819&amp;"-"&amp;D819&amp;"-"&amp;"BHA-PHC-"&amp;phc_8[[#This Row],[Register No.]])</f>
        <v>Shining Star-Mobile Clinic-BHA-PHC-64</v>
      </c>
      <c r="N819" s="9" t="s">
        <v>401</v>
      </c>
      <c r="O819" s="183" t="s">
        <v>5290</v>
      </c>
      <c r="P819" s="183">
        <v>68</v>
      </c>
      <c r="Q819" s="183"/>
      <c r="R819" s="183"/>
      <c r="S819" s="186" t="str">
        <f t="shared" si="32"/>
        <v>50 yrs +</v>
      </c>
      <c r="T819" s="183" t="s">
        <v>402</v>
      </c>
      <c r="U819" s="183"/>
      <c r="V819" s="183" t="s">
        <v>4564</v>
      </c>
      <c r="W819" s="183" t="s">
        <v>178</v>
      </c>
      <c r="X819" s="183" t="s">
        <v>178</v>
      </c>
      <c r="Y819" s="186" t="str">
        <f>INDEX(info!$Y$2:$Y$192,MATCH(phc_8[[#This Row],[Sub_Category]],info!$X$2:$X$192,0))</f>
        <v>Chronic medical disease</v>
      </c>
      <c r="Z819" s="186" t="str">
        <f t="array" ref="Z819">INDEX(info!$AA$2:$AA$192,MATCH(PHC!$X819&amp;PHC!$Y819,info!$X$2:$X$192&amp;info!$Y$2:$Y$192,0))</f>
        <v>Non-communicable disease</v>
      </c>
      <c r="AA819" s="183" t="s">
        <v>5254</v>
      </c>
      <c r="AB819" s="9" t="s">
        <v>654</v>
      </c>
      <c r="AC819" s="9" t="s">
        <v>654</v>
      </c>
      <c r="AD819" s="9" t="s">
        <v>654</v>
      </c>
      <c r="AE819" s="9" t="s">
        <v>654</v>
      </c>
      <c r="AF819" s="184"/>
      <c r="AG819" s="183"/>
      <c r="AH819" s="183"/>
      <c r="AI819" s="183"/>
      <c r="AJ819" s="183"/>
      <c r="AK819" s="183"/>
      <c r="AL819" s="183"/>
      <c r="AM819" s="186" t="str">
        <f>IF(AF819="","","Q"&amp;INT((MONTH(AF819)-1)/3)+1&amp;YEAR(AF819)&amp;#REF!&amp;T819)</f>
        <v/>
      </c>
      <c r="AN819" s="186" t="e">
        <f>IF(K819="","","Q"&amp;INT((MONTH(K819)-1)/3)+1&amp;YEAR(K819)&amp;#REF!)</f>
        <v>#REF!</v>
      </c>
    </row>
    <row r="820" spans="1:40" ht="20.100000000000001" customHeight="1" x14ac:dyDescent="0.25">
      <c r="A820" s="8">
        <v>818</v>
      </c>
      <c r="B820" s="8" t="s">
        <v>399</v>
      </c>
      <c r="C820" s="8" t="s">
        <v>1997</v>
      </c>
      <c r="D820" s="8" t="s">
        <v>2416</v>
      </c>
      <c r="E820" s="182" t="s">
        <v>1998</v>
      </c>
      <c r="F820" s="183" t="s">
        <v>2254</v>
      </c>
      <c r="G820" s="183"/>
      <c r="H820" s="183" t="s">
        <v>4889</v>
      </c>
      <c r="I820" s="183" t="s">
        <v>579</v>
      </c>
      <c r="J820" s="183"/>
      <c r="K820" s="184">
        <v>46072</v>
      </c>
      <c r="L820" s="183">
        <v>65</v>
      </c>
      <c r="M820" s="185" t="str">
        <f>IF(phc_8[[#This Row],[Register No.]]="","",C820&amp;"-"&amp;D820&amp;"-"&amp;"BHA-PHC-"&amp;phc_8[[#This Row],[Register No.]])</f>
        <v>Shining Star-Mobile Clinic-BHA-PHC-65</v>
      </c>
      <c r="N820" s="9" t="s">
        <v>401</v>
      </c>
      <c r="O820" s="183" t="s">
        <v>5291</v>
      </c>
      <c r="P820" s="183">
        <v>18</v>
      </c>
      <c r="Q820" s="183"/>
      <c r="R820" s="183"/>
      <c r="S820" s="186" t="str">
        <f t="shared" si="32"/>
        <v>15 - 18 yrs</v>
      </c>
      <c r="T820" s="183" t="s">
        <v>402</v>
      </c>
      <c r="U820" s="183"/>
      <c r="V820" s="183" t="s">
        <v>3345</v>
      </c>
      <c r="W820" s="183" t="s">
        <v>5295</v>
      </c>
      <c r="X820" s="183" t="s">
        <v>103</v>
      </c>
      <c r="Y820" s="186" t="str">
        <f>INDEX(info!$Y$2:$Y$192,MATCH(phc_8[[#This Row],[Sub_Category]],info!$X$2:$X$192,0))</f>
        <v>ARI/RTI</v>
      </c>
      <c r="Z820" s="186" t="str">
        <f t="array" ref="Z820">INDEX(info!$AA$2:$AA$192,MATCH(PHC!$X820&amp;PHC!$Y820,info!$X$2:$X$192&amp;info!$Y$2:$Y$192,0))</f>
        <v>Communicable disease</v>
      </c>
      <c r="AA820" s="183" t="s">
        <v>5299</v>
      </c>
      <c r="AB820" s="9" t="s">
        <v>654</v>
      </c>
      <c r="AC820" s="9" t="s">
        <v>654</v>
      </c>
      <c r="AD820" s="9" t="s">
        <v>654</v>
      </c>
      <c r="AE820" s="9" t="s">
        <v>654</v>
      </c>
      <c r="AF820" s="184"/>
      <c r="AG820" s="183"/>
      <c r="AH820" s="183"/>
      <c r="AI820" s="183"/>
      <c r="AJ820" s="183"/>
      <c r="AK820" s="183"/>
      <c r="AL820" s="183"/>
      <c r="AM820" s="186" t="str">
        <f>IF(AF820="","","Q"&amp;INT((MONTH(AF820)-1)/3)+1&amp;YEAR(AF820)&amp;#REF!&amp;T820)</f>
        <v/>
      </c>
      <c r="AN820" s="186" t="e">
        <f>IF(K820="","","Q"&amp;INT((MONTH(K820)-1)/3)+1&amp;YEAR(K820)&amp;#REF!)</f>
        <v>#REF!</v>
      </c>
    </row>
    <row r="821" spans="1:40" ht="20.100000000000001" customHeight="1" x14ac:dyDescent="0.25">
      <c r="A821" s="8">
        <v>819</v>
      </c>
      <c r="B821" s="8" t="s">
        <v>399</v>
      </c>
      <c r="C821" s="8" t="s">
        <v>1997</v>
      </c>
      <c r="D821" s="8" t="s">
        <v>2416</v>
      </c>
      <c r="E821" s="182" t="s">
        <v>1998</v>
      </c>
      <c r="F821" s="183" t="s">
        <v>2254</v>
      </c>
      <c r="G821" s="183"/>
      <c r="H821" s="183" t="s">
        <v>4889</v>
      </c>
      <c r="I821" s="183" t="s">
        <v>579</v>
      </c>
      <c r="J821" s="183"/>
      <c r="K821" s="184">
        <v>46072</v>
      </c>
      <c r="L821" s="183">
        <v>66</v>
      </c>
      <c r="M821" s="185" t="str">
        <f>IF(phc_8[[#This Row],[Register No.]]="","",C821&amp;"-"&amp;D821&amp;"-"&amp;"BHA-PHC-"&amp;phc_8[[#This Row],[Register No.]])</f>
        <v>Shining Star-Mobile Clinic-BHA-PHC-66</v>
      </c>
      <c r="N821" s="9" t="s">
        <v>401</v>
      </c>
      <c r="O821" s="183" t="s">
        <v>4079</v>
      </c>
      <c r="P821" s="183">
        <v>58</v>
      </c>
      <c r="Q821" s="183"/>
      <c r="R821" s="183"/>
      <c r="S821" s="186" t="str">
        <f t="shared" si="32"/>
        <v>50 yrs +</v>
      </c>
      <c r="T821" s="183" t="s">
        <v>603</v>
      </c>
      <c r="U821" s="183"/>
      <c r="V821" s="183" t="s">
        <v>5301</v>
      </c>
      <c r="W821" s="183" t="s">
        <v>2059</v>
      </c>
      <c r="X821" s="183" t="s">
        <v>2014</v>
      </c>
      <c r="Y821" s="186" t="str">
        <f>INDEX(info!$Y$2:$Y$192,MATCH(phc_8[[#This Row],[Sub_Category]],info!$X$2:$X$192,0))</f>
        <v>Other (non-communicable)</v>
      </c>
      <c r="Z821" s="186" t="str">
        <f t="array" ref="Z821">INDEX(info!$AA$2:$AA$192,MATCH(PHC!$X821&amp;PHC!$Y821,info!$X$2:$X$192&amp;info!$Y$2:$Y$192,0))</f>
        <v>Other</v>
      </c>
      <c r="AA821" s="183" t="s">
        <v>5303</v>
      </c>
      <c r="AB821" s="9" t="s">
        <v>654</v>
      </c>
      <c r="AC821" s="9" t="s">
        <v>654</v>
      </c>
      <c r="AD821" s="9" t="s">
        <v>654</v>
      </c>
      <c r="AE821" s="9" t="s">
        <v>654</v>
      </c>
      <c r="AF821" s="184"/>
      <c r="AG821" s="183"/>
      <c r="AH821" s="183"/>
      <c r="AI821" s="183"/>
      <c r="AJ821" s="183"/>
      <c r="AK821" s="183"/>
      <c r="AL821" s="183"/>
      <c r="AM821" s="186" t="str">
        <f>IF(AF821="","","Q"&amp;INT((MONTH(AF821)-1)/3)+1&amp;YEAR(AF821)&amp;#REF!&amp;T821)</f>
        <v/>
      </c>
      <c r="AN821" s="186" t="e">
        <f>IF(K821="","","Q"&amp;INT((MONTH(K821)-1)/3)+1&amp;YEAR(K821)&amp;#REF!)</f>
        <v>#REF!</v>
      </c>
    </row>
    <row r="822" spans="1:40" ht="20.100000000000001" customHeight="1" x14ac:dyDescent="0.25">
      <c r="A822" s="8">
        <v>820</v>
      </c>
      <c r="B822" s="8" t="s">
        <v>399</v>
      </c>
      <c r="C822" s="8" t="s">
        <v>1997</v>
      </c>
      <c r="D822" s="8" t="s">
        <v>2416</v>
      </c>
      <c r="E822" s="182" t="s">
        <v>1998</v>
      </c>
      <c r="F822" s="183" t="s">
        <v>2254</v>
      </c>
      <c r="G822" s="183"/>
      <c r="H822" s="183" t="s">
        <v>4889</v>
      </c>
      <c r="I822" s="183" t="s">
        <v>579</v>
      </c>
      <c r="J822" s="183"/>
      <c r="K822" s="184">
        <v>46072</v>
      </c>
      <c r="L822" s="183">
        <v>67</v>
      </c>
      <c r="M822" s="185" t="str">
        <f>IF(phc_8[[#This Row],[Register No.]]="","",C822&amp;"-"&amp;D822&amp;"-"&amp;"BHA-PHC-"&amp;phc_8[[#This Row],[Register No.]])</f>
        <v>Shining Star-Mobile Clinic-BHA-PHC-67</v>
      </c>
      <c r="N822" s="9" t="s">
        <v>401</v>
      </c>
      <c r="O822" s="183" t="s">
        <v>5300</v>
      </c>
      <c r="P822" s="183">
        <v>32</v>
      </c>
      <c r="Q822" s="183"/>
      <c r="R822" s="183"/>
      <c r="S822" s="186" t="str">
        <f t="shared" si="32"/>
        <v>19 - 49 yrs</v>
      </c>
      <c r="T822" s="183" t="s">
        <v>603</v>
      </c>
      <c r="U822" s="183"/>
      <c r="V822" s="183" t="s">
        <v>5302</v>
      </c>
      <c r="W822" s="183" t="s">
        <v>294</v>
      </c>
      <c r="X822" s="183" t="s">
        <v>294</v>
      </c>
      <c r="Y822" s="186" t="str">
        <f>INDEX(info!$Y$2:$Y$192,MATCH(phc_8[[#This Row],[Sub_Category]],info!$X$2:$X$192,0))</f>
        <v>Other (non-communicable)</v>
      </c>
      <c r="Z822" s="186" t="str">
        <f t="array" ref="Z822">INDEX(info!$AA$2:$AA$192,MATCH(PHC!$X822&amp;PHC!$Y822,info!$X$2:$X$192&amp;info!$Y$2:$Y$192,0))</f>
        <v>Other</v>
      </c>
      <c r="AA822" s="183" t="s">
        <v>5304</v>
      </c>
      <c r="AB822" s="9" t="s">
        <v>654</v>
      </c>
      <c r="AC822" s="9" t="s">
        <v>654</v>
      </c>
      <c r="AD822" s="9" t="s">
        <v>654</v>
      </c>
      <c r="AE822" s="9" t="s">
        <v>654</v>
      </c>
      <c r="AF822" s="184"/>
      <c r="AG822" s="183"/>
      <c r="AH822" s="183"/>
      <c r="AI822" s="183"/>
      <c r="AJ822" s="183"/>
      <c r="AK822" s="183"/>
      <c r="AL822" s="183"/>
      <c r="AM822" s="186" t="str">
        <f>IF(AF822="","","Q"&amp;INT((MONTH(AF822)-1)/3)+1&amp;YEAR(AF822)&amp;#REF!&amp;T822)</f>
        <v/>
      </c>
      <c r="AN822" s="186" t="e">
        <f>IF(K822="","","Q"&amp;INT((MONTH(K822)-1)/3)+1&amp;YEAR(K822)&amp;#REF!)</f>
        <v>#REF!</v>
      </c>
    </row>
    <row r="823" spans="1:40" ht="20.100000000000001" customHeight="1" x14ac:dyDescent="0.25">
      <c r="A823" s="8">
        <v>821</v>
      </c>
      <c r="B823" s="8" t="s">
        <v>399</v>
      </c>
      <c r="C823" s="8" t="s">
        <v>1997</v>
      </c>
      <c r="D823" s="8" t="s">
        <v>2416</v>
      </c>
      <c r="E823" s="182" t="s">
        <v>1998</v>
      </c>
      <c r="F823" s="183"/>
      <c r="G823" s="183"/>
      <c r="H823" s="183"/>
      <c r="I823" s="183"/>
      <c r="J823" s="183"/>
      <c r="K823" s="184"/>
      <c r="L823" s="183"/>
      <c r="M823" s="185" t="str">
        <f>IF(phc_8[[#This Row],[Register No.]]="","",C823&amp;"-"&amp;D823&amp;"-"&amp;"BHA-PHC-"&amp;phc_8[[#This Row],[Register No.]])</f>
        <v/>
      </c>
      <c r="N823" s="9"/>
      <c r="O823" s="183"/>
      <c r="P823" s="183"/>
      <c r="Q823" s="183"/>
      <c r="R823" s="183"/>
      <c r="S823" s="186" t="str">
        <f t="shared" si="32"/>
        <v xml:space="preserve"> </v>
      </c>
      <c r="T823" s="183"/>
      <c r="U823" s="183"/>
      <c r="V823" s="183"/>
      <c r="W823" s="183"/>
      <c r="X823" s="183"/>
      <c r="Y823" s="186" t="e">
        <f>INDEX(info!$Y$2:$Y$192,MATCH(phc_8[[#This Row],[Sub_Category]],info!$X$2:$X$192,0))</f>
        <v>#N/A</v>
      </c>
      <c r="Z823" s="186" t="e">
        <f t="array" ref="Z823">INDEX(info!$AA$2:$AA$192,MATCH(PHC!$X823&amp;PHC!$Y823,info!$X$2:$X$192&amp;info!$Y$2:$Y$192,0))</f>
        <v>#N/A</v>
      </c>
      <c r="AA823" s="183"/>
      <c r="AB823" s="9" t="s">
        <v>654</v>
      </c>
      <c r="AC823" s="9" t="s">
        <v>654</v>
      </c>
      <c r="AD823" s="9" t="s">
        <v>654</v>
      </c>
      <c r="AE823" s="9" t="s">
        <v>654</v>
      </c>
      <c r="AF823" s="184"/>
      <c r="AG823" s="183"/>
      <c r="AH823" s="183"/>
      <c r="AI823" s="183"/>
      <c r="AJ823" s="183"/>
      <c r="AK823" s="183"/>
      <c r="AL823" s="183"/>
      <c r="AM823" s="186" t="str">
        <f>IF(AF823="","","Q"&amp;INT((MONTH(AF823)-1)/3)+1&amp;YEAR(AF823)&amp;#REF!&amp;T823)</f>
        <v/>
      </c>
      <c r="AN823" s="186" t="str">
        <f>IF(K823="","","Q"&amp;INT((MONTH(K823)-1)/3)+1&amp;YEAR(K823)&amp;#REF!)</f>
        <v/>
      </c>
    </row>
    <row r="824" spans="1:40" ht="20.100000000000001" customHeight="1" x14ac:dyDescent="0.25">
      <c r="A824" s="8">
        <v>822</v>
      </c>
      <c r="B824" s="8" t="s">
        <v>399</v>
      </c>
      <c r="C824" s="8" t="s">
        <v>1997</v>
      </c>
      <c r="D824" s="8" t="s">
        <v>2416</v>
      </c>
      <c r="E824" s="182" t="s">
        <v>1998</v>
      </c>
      <c r="F824" s="183"/>
      <c r="G824" s="183"/>
      <c r="H824" s="183"/>
      <c r="I824" s="183"/>
      <c r="J824" s="183"/>
      <c r="K824" s="184"/>
      <c r="L824" s="183"/>
      <c r="M824" s="185" t="str">
        <f>IF(phc_8[[#This Row],[Register No.]]="","",C824&amp;"-"&amp;D824&amp;"-"&amp;"BHA-PHC-"&amp;phc_8[[#This Row],[Register No.]])</f>
        <v/>
      </c>
      <c r="N824" s="9" t="s">
        <v>401</v>
      </c>
      <c r="O824" s="183"/>
      <c r="P824" s="183"/>
      <c r="Q824" s="183"/>
      <c r="R824" s="183"/>
      <c r="S824" s="186" t="str">
        <f t="shared" ref="S824:S855" si="33">IF(AND(ISBLANK(P824),ISBLANK(Q824),ISBLANK(R824))," ",
IF(OR(P824&lt;5,AND(P824=" ",Q824&lt;&gt;" ",R824&lt;&gt;" ")),"&lt;5 yrs",
IF(AND(P824&gt;=5,P824&lt;=14),"5 - 14 yrs",
IF(AND(P824&gt;=15,P824&lt;=18),"15 - 18 yrs",
IF(AND(P824&gt;=19,P824&lt;=49),"19 - 49 yrs","50 yrs +")))))</f>
        <v xml:space="preserve"> </v>
      </c>
      <c r="T824" s="183"/>
      <c r="U824" s="183"/>
      <c r="V824" s="183"/>
      <c r="W824" s="183"/>
      <c r="X824" s="183"/>
      <c r="Y824" s="186" t="e">
        <f>INDEX(info!$Y$2:$Y$192,MATCH(phc_8[[#This Row],[Sub_Category]],info!$X$2:$X$192,0))</f>
        <v>#N/A</v>
      </c>
      <c r="Z824" s="186" t="e">
        <f t="array" ref="Z824">INDEX(info!$AA$2:$AA$192,MATCH(PHC!$X824&amp;PHC!$Y824,info!$X$2:$X$192&amp;info!$Y$2:$Y$192,0))</f>
        <v>#N/A</v>
      </c>
      <c r="AA824" s="183"/>
      <c r="AB824" s="9" t="s">
        <v>654</v>
      </c>
      <c r="AC824" s="9" t="s">
        <v>654</v>
      </c>
      <c r="AD824" s="9" t="s">
        <v>654</v>
      </c>
      <c r="AE824" s="9" t="s">
        <v>654</v>
      </c>
      <c r="AF824" s="184"/>
      <c r="AG824" s="183"/>
      <c r="AH824" s="183"/>
      <c r="AI824" s="183"/>
      <c r="AJ824" s="183"/>
      <c r="AK824" s="183"/>
      <c r="AL824" s="183"/>
      <c r="AM824" s="186" t="str">
        <f>IF(AF824="","","Q"&amp;INT((MONTH(AF824)-1)/3)+1&amp;YEAR(AF824)&amp;#REF!&amp;T824)</f>
        <v/>
      </c>
      <c r="AN824" s="186" t="str">
        <f>IF(K824="","","Q"&amp;INT((MONTH(K824)-1)/3)+1&amp;YEAR(K824)&amp;#REF!)</f>
        <v/>
      </c>
    </row>
    <row r="825" spans="1:40" ht="20.100000000000001" customHeight="1" x14ac:dyDescent="0.25">
      <c r="A825" s="8">
        <v>823</v>
      </c>
      <c r="B825" s="8" t="s">
        <v>399</v>
      </c>
      <c r="C825" s="8" t="s">
        <v>1997</v>
      </c>
      <c r="D825" s="8" t="s">
        <v>2416</v>
      </c>
      <c r="E825" s="182" t="s">
        <v>1998</v>
      </c>
      <c r="F825" s="183"/>
      <c r="G825" s="183"/>
      <c r="H825" s="183"/>
      <c r="I825" s="183"/>
      <c r="J825" s="183"/>
      <c r="K825" s="184"/>
      <c r="L825" s="183"/>
      <c r="M825" s="185" t="str">
        <f>IF(phc_8[[#This Row],[Register No.]]="","",C825&amp;"-"&amp;D825&amp;"-"&amp;"BHA-PHC-"&amp;phc_8[[#This Row],[Register No.]])</f>
        <v/>
      </c>
      <c r="N825" s="9" t="s">
        <v>401</v>
      </c>
      <c r="O825" s="183"/>
      <c r="P825" s="183"/>
      <c r="Q825" s="183"/>
      <c r="R825" s="183"/>
      <c r="S825" s="186" t="str">
        <f t="shared" si="33"/>
        <v xml:space="preserve"> </v>
      </c>
      <c r="T825" s="183"/>
      <c r="U825" s="183"/>
      <c r="V825" s="183"/>
      <c r="W825" s="183"/>
      <c r="X825" s="183"/>
      <c r="Y825" s="186" t="e">
        <f>INDEX(info!$Y$2:$Y$192,MATCH(phc_8[[#This Row],[Sub_Category]],info!$X$2:$X$192,0))</f>
        <v>#N/A</v>
      </c>
      <c r="Z825" s="186" t="e">
        <f t="array" ref="Z825">INDEX(info!$AA$2:$AA$192,MATCH(PHC!$X825&amp;PHC!$Y825,info!$X$2:$X$192&amp;info!$Y$2:$Y$192,0))</f>
        <v>#N/A</v>
      </c>
      <c r="AA825" s="183"/>
      <c r="AB825" s="9" t="s">
        <v>654</v>
      </c>
      <c r="AC825" s="9" t="s">
        <v>654</v>
      </c>
      <c r="AD825" s="9" t="s">
        <v>654</v>
      </c>
      <c r="AE825" s="9" t="s">
        <v>654</v>
      </c>
      <c r="AF825" s="184"/>
      <c r="AG825" s="183"/>
      <c r="AH825" s="183"/>
      <c r="AI825" s="183"/>
      <c r="AJ825" s="183"/>
      <c r="AK825" s="183"/>
      <c r="AL825" s="183"/>
      <c r="AM825" s="186" t="str">
        <f>IF(AF825="","","Q"&amp;INT((MONTH(AF825)-1)/3)+1&amp;YEAR(AF825)&amp;#REF!&amp;T825)</f>
        <v/>
      </c>
      <c r="AN825" s="186" t="str">
        <f>IF(K825="","","Q"&amp;INT((MONTH(K825)-1)/3)+1&amp;YEAR(K825)&amp;#REF!)</f>
        <v/>
      </c>
    </row>
    <row r="826" spans="1:40" ht="20.100000000000001" customHeight="1" x14ac:dyDescent="0.25">
      <c r="A826" s="8">
        <v>824</v>
      </c>
      <c r="B826" s="8" t="s">
        <v>399</v>
      </c>
      <c r="C826" s="8" t="s">
        <v>1997</v>
      </c>
      <c r="D826" s="8" t="s">
        <v>2416</v>
      </c>
      <c r="E826" s="182" t="s">
        <v>1998</v>
      </c>
      <c r="F826" s="183"/>
      <c r="G826" s="183"/>
      <c r="H826" s="183"/>
      <c r="I826" s="183"/>
      <c r="J826" s="183"/>
      <c r="K826" s="184"/>
      <c r="L826" s="183"/>
      <c r="M826" s="185" t="str">
        <f>IF(phc_8[[#This Row],[Register No.]]="","",C826&amp;"-"&amp;D826&amp;"-"&amp;"BHA-PHC-"&amp;phc_8[[#This Row],[Register No.]])</f>
        <v/>
      </c>
      <c r="N826" s="9" t="s">
        <v>401</v>
      </c>
      <c r="O826" s="183"/>
      <c r="P826" s="183"/>
      <c r="Q826" s="183"/>
      <c r="R826" s="183"/>
      <c r="S826" s="186" t="str">
        <f t="shared" si="33"/>
        <v xml:space="preserve"> </v>
      </c>
      <c r="T826" s="183"/>
      <c r="U826" s="183"/>
      <c r="V826" s="183"/>
      <c r="W826" s="183"/>
      <c r="X826" s="183"/>
      <c r="Y826" s="186" t="e">
        <f>INDEX(info!$Y$2:$Y$192,MATCH(phc_8[[#This Row],[Sub_Category]],info!$X$2:$X$192,0))</f>
        <v>#N/A</v>
      </c>
      <c r="Z826" s="186" t="e">
        <f t="array" ref="Z826">INDEX(info!$AA$2:$AA$192,MATCH(PHC!$X826&amp;PHC!$Y826,info!$X$2:$X$192&amp;info!$Y$2:$Y$192,0))</f>
        <v>#N/A</v>
      </c>
      <c r="AA826" s="183"/>
      <c r="AB826" s="9" t="s">
        <v>654</v>
      </c>
      <c r="AC826" s="9" t="s">
        <v>654</v>
      </c>
      <c r="AD826" s="9" t="s">
        <v>654</v>
      </c>
      <c r="AE826" s="9" t="s">
        <v>654</v>
      </c>
      <c r="AF826" s="184"/>
      <c r="AG826" s="183"/>
      <c r="AH826" s="183"/>
      <c r="AI826" s="183"/>
      <c r="AJ826" s="183"/>
      <c r="AK826" s="183"/>
      <c r="AL826" s="183"/>
      <c r="AM826" s="186" t="str">
        <f>IF(AF826="","","Q"&amp;INT((MONTH(AF826)-1)/3)+1&amp;YEAR(AF826)&amp;#REF!&amp;T826)</f>
        <v/>
      </c>
      <c r="AN826" s="186" t="str">
        <f>IF(K826="","","Q"&amp;INT((MONTH(K826)-1)/3)+1&amp;YEAR(K826)&amp;#REF!)</f>
        <v/>
      </c>
    </row>
    <row r="827" spans="1:40" ht="20.100000000000001" customHeight="1" x14ac:dyDescent="0.25">
      <c r="A827" s="8">
        <v>825</v>
      </c>
      <c r="B827" s="8" t="s">
        <v>399</v>
      </c>
      <c r="C827" s="8" t="s">
        <v>1997</v>
      </c>
      <c r="D827" s="8" t="s">
        <v>2416</v>
      </c>
      <c r="E827" s="182" t="s">
        <v>1998</v>
      </c>
      <c r="F827" s="183"/>
      <c r="G827" s="183"/>
      <c r="H827" s="183"/>
      <c r="I827" s="183"/>
      <c r="J827" s="183"/>
      <c r="K827" s="184"/>
      <c r="L827" s="183"/>
      <c r="M827" s="185" t="str">
        <f>IF(phc_8[[#This Row],[Register No.]]="","",C827&amp;"-"&amp;D827&amp;"-"&amp;"BHA-PHC-"&amp;phc_8[[#This Row],[Register No.]])</f>
        <v/>
      </c>
      <c r="N827" s="9" t="s">
        <v>401</v>
      </c>
      <c r="O827" s="183"/>
      <c r="P827" s="183"/>
      <c r="Q827" s="183"/>
      <c r="R827" s="183"/>
      <c r="S827" s="186" t="str">
        <f t="shared" si="33"/>
        <v xml:space="preserve"> </v>
      </c>
      <c r="T827" s="183"/>
      <c r="U827" s="183"/>
      <c r="V827" s="183"/>
      <c r="W827" s="183"/>
      <c r="X827" s="183"/>
      <c r="Y827" s="186" t="e">
        <f>INDEX(info!$Y$2:$Y$192,MATCH(phc_8[[#This Row],[Sub_Category]],info!$X$2:$X$192,0))</f>
        <v>#N/A</v>
      </c>
      <c r="Z827" s="186" t="e">
        <f t="array" ref="Z827">INDEX(info!$AA$2:$AA$192,MATCH(PHC!$X827&amp;PHC!$Y827,info!$X$2:$X$192&amp;info!$Y$2:$Y$192,0))</f>
        <v>#N/A</v>
      </c>
      <c r="AA827" s="183"/>
      <c r="AB827" s="9" t="s">
        <v>654</v>
      </c>
      <c r="AC827" s="9" t="s">
        <v>654</v>
      </c>
      <c r="AD827" s="9" t="s">
        <v>654</v>
      </c>
      <c r="AE827" s="9" t="s">
        <v>654</v>
      </c>
      <c r="AF827" s="184"/>
      <c r="AG827" s="183"/>
      <c r="AH827" s="183"/>
      <c r="AI827" s="183"/>
      <c r="AJ827" s="183"/>
      <c r="AK827" s="183"/>
      <c r="AL827" s="183"/>
      <c r="AM827" s="186" t="str">
        <f>IF(AF827="","","Q"&amp;INT((MONTH(AF827)-1)/3)+1&amp;YEAR(AF827)&amp;#REF!&amp;T827)</f>
        <v/>
      </c>
      <c r="AN827" s="186" t="str">
        <f>IF(K827="","","Q"&amp;INT((MONTH(K827)-1)/3)+1&amp;YEAR(K827)&amp;#REF!)</f>
        <v/>
      </c>
    </row>
    <row r="828" spans="1:40" ht="20.100000000000001" customHeight="1" x14ac:dyDescent="0.25">
      <c r="A828" s="8">
        <v>826</v>
      </c>
      <c r="B828" s="8" t="s">
        <v>399</v>
      </c>
      <c r="C828" s="8" t="s">
        <v>1997</v>
      </c>
      <c r="D828" s="8" t="s">
        <v>2416</v>
      </c>
      <c r="E828" s="182" t="s">
        <v>1998</v>
      </c>
      <c r="F828" s="183"/>
      <c r="G828" s="183"/>
      <c r="H828" s="183"/>
      <c r="I828" s="183"/>
      <c r="J828" s="183"/>
      <c r="K828" s="184"/>
      <c r="L828" s="183"/>
      <c r="M828" s="185" t="str">
        <f>IF(phc_8[[#This Row],[Register No.]]="","",C828&amp;"-"&amp;D828&amp;"-"&amp;"BHA-PHC-"&amp;phc_8[[#This Row],[Register No.]])</f>
        <v/>
      </c>
      <c r="N828" s="9" t="s">
        <v>401</v>
      </c>
      <c r="O828" s="183"/>
      <c r="P828" s="183"/>
      <c r="Q828" s="183"/>
      <c r="R828" s="183"/>
      <c r="S828" s="186" t="str">
        <f t="shared" si="33"/>
        <v xml:space="preserve"> </v>
      </c>
      <c r="T828" s="183"/>
      <c r="U828" s="183"/>
      <c r="V828" s="183"/>
      <c r="W828" s="183"/>
      <c r="X828" s="183"/>
      <c r="Y828" s="186" t="e">
        <f>INDEX(info!$Y$2:$Y$192,MATCH(phc_8[[#This Row],[Sub_Category]],info!$X$2:$X$192,0))</f>
        <v>#N/A</v>
      </c>
      <c r="Z828" s="186" t="e">
        <f t="array" ref="Z828">INDEX(info!$AA$2:$AA$192,MATCH(PHC!$X828&amp;PHC!$Y828,info!$X$2:$X$192&amp;info!$Y$2:$Y$192,0))</f>
        <v>#N/A</v>
      </c>
      <c r="AA828" s="183"/>
      <c r="AB828" s="9" t="s">
        <v>654</v>
      </c>
      <c r="AC828" s="9" t="s">
        <v>654</v>
      </c>
      <c r="AD828" s="9" t="s">
        <v>654</v>
      </c>
      <c r="AE828" s="9" t="s">
        <v>654</v>
      </c>
      <c r="AF828" s="184"/>
      <c r="AG828" s="183"/>
      <c r="AH828" s="183"/>
      <c r="AI828" s="183"/>
      <c r="AJ828" s="183"/>
      <c r="AK828" s="183"/>
      <c r="AL828" s="183"/>
      <c r="AM828" s="186" t="str">
        <f>IF(AF828="","","Q"&amp;INT((MONTH(AF828)-1)/3)+1&amp;YEAR(AF828)&amp;#REF!&amp;T828)</f>
        <v/>
      </c>
      <c r="AN828" s="186" t="str">
        <f>IF(K828="","","Q"&amp;INT((MONTH(K828)-1)/3)+1&amp;YEAR(K828)&amp;#REF!)</f>
        <v/>
      </c>
    </row>
    <row r="829" spans="1:40" ht="20.100000000000001" customHeight="1" x14ac:dyDescent="0.25">
      <c r="A829" s="8">
        <v>827</v>
      </c>
      <c r="B829" s="8" t="s">
        <v>399</v>
      </c>
      <c r="C829" s="8" t="s">
        <v>1997</v>
      </c>
      <c r="D829" s="8" t="s">
        <v>2416</v>
      </c>
      <c r="E829" s="182" t="s">
        <v>1998</v>
      </c>
      <c r="F829" s="183"/>
      <c r="G829" s="183"/>
      <c r="H829" s="183"/>
      <c r="I829" s="183"/>
      <c r="J829" s="183"/>
      <c r="K829" s="184"/>
      <c r="L829" s="183"/>
      <c r="M829" s="185" t="str">
        <f>IF(phc_8[[#This Row],[Register No.]]="","",C829&amp;"-"&amp;D829&amp;"-"&amp;"BHA-PHC-"&amp;phc_8[[#This Row],[Register No.]])</f>
        <v/>
      </c>
      <c r="N829" s="9" t="s">
        <v>401</v>
      </c>
      <c r="O829" s="183"/>
      <c r="P829" s="183"/>
      <c r="Q829" s="183"/>
      <c r="R829" s="183"/>
      <c r="S829" s="186" t="str">
        <f t="shared" si="33"/>
        <v xml:space="preserve"> </v>
      </c>
      <c r="T829" s="183"/>
      <c r="U829" s="183"/>
      <c r="V829" s="183"/>
      <c r="W829" s="183"/>
      <c r="X829" s="183"/>
      <c r="Y829" s="186" t="e">
        <f>INDEX(info!$Y$2:$Y$192,MATCH(phc_8[[#This Row],[Sub_Category]],info!$X$2:$X$192,0))</f>
        <v>#N/A</v>
      </c>
      <c r="Z829" s="186" t="e">
        <f t="array" ref="Z829">INDEX(info!$AA$2:$AA$192,MATCH(PHC!$X829&amp;PHC!$Y829,info!$X$2:$X$192&amp;info!$Y$2:$Y$192,0))</f>
        <v>#N/A</v>
      </c>
      <c r="AA829" s="183"/>
      <c r="AB829" s="9" t="s">
        <v>654</v>
      </c>
      <c r="AC829" s="9" t="s">
        <v>654</v>
      </c>
      <c r="AD829" s="9" t="s">
        <v>654</v>
      </c>
      <c r="AE829" s="9" t="s">
        <v>654</v>
      </c>
      <c r="AF829" s="184"/>
      <c r="AG829" s="183"/>
      <c r="AH829" s="183"/>
      <c r="AI829" s="183"/>
      <c r="AJ829" s="183"/>
      <c r="AK829" s="183"/>
      <c r="AL829" s="183"/>
      <c r="AM829" s="186" t="str">
        <f>IF(AF829="","","Q"&amp;INT((MONTH(AF829)-1)/3)+1&amp;YEAR(AF829)&amp;#REF!&amp;T829)</f>
        <v/>
      </c>
      <c r="AN829" s="186" t="str">
        <f>IF(K829="","","Q"&amp;INT((MONTH(K829)-1)/3)+1&amp;YEAR(K829)&amp;#REF!)</f>
        <v/>
      </c>
    </row>
    <row r="830" spans="1:40" ht="20.100000000000001" customHeight="1" x14ac:dyDescent="0.25">
      <c r="A830" s="8">
        <v>828</v>
      </c>
      <c r="B830" s="8" t="s">
        <v>399</v>
      </c>
      <c r="C830" s="8" t="s">
        <v>1997</v>
      </c>
      <c r="D830" s="8" t="s">
        <v>2416</v>
      </c>
      <c r="E830" s="182" t="s">
        <v>1998</v>
      </c>
      <c r="F830" s="183"/>
      <c r="G830" s="183"/>
      <c r="H830" s="183"/>
      <c r="I830" s="183"/>
      <c r="J830" s="183"/>
      <c r="K830" s="184"/>
      <c r="L830" s="183"/>
      <c r="M830" s="185" t="str">
        <f>IF(phc_8[[#This Row],[Register No.]]="","",C830&amp;"-"&amp;D830&amp;"-"&amp;"BHA-PHC-"&amp;phc_8[[#This Row],[Register No.]])</f>
        <v/>
      </c>
      <c r="N830" s="9" t="s">
        <v>401</v>
      </c>
      <c r="O830" s="183"/>
      <c r="P830" s="183"/>
      <c r="Q830" s="183"/>
      <c r="R830" s="183"/>
      <c r="S830" s="186" t="str">
        <f t="shared" si="33"/>
        <v xml:space="preserve"> </v>
      </c>
      <c r="T830" s="183"/>
      <c r="U830" s="183"/>
      <c r="V830" s="183"/>
      <c r="W830" s="183"/>
      <c r="X830" s="183"/>
      <c r="Y830" s="186" t="e">
        <f>INDEX(info!$Y$2:$Y$192,MATCH(phc_8[[#This Row],[Sub_Category]],info!$X$2:$X$192,0))</f>
        <v>#N/A</v>
      </c>
      <c r="Z830" s="186" t="e">
        <f t="array" ref="Z830">INDEX(info!$AA$2:$AA$192,MATCH(PHC!$X830&amp;PHC!$Y830,info!$X$2:$X$192&amp;info!$Y$2:$Y$192,0))</f>
        <v>#N/A</v>
      </c>
      <c r="AA830" s="183"/>
      <c r="AB830" s="9" t="s">
        <v>654</v>
      </c>
      <c r="AC830" s="9" t="s">
        <v>654</v>
      </c>
      <c r="AD830" s="9" t="s">
        <v>654</v>
      </c>
      <c r="AE830" s="9" t="s">
        <v>654</v>
      </c>
      <c r="AF830" s="184"/>
      <c r="AG830" s="183"/>
      <c r="AH830" s="183"/>
      <c r="AI830" s="183"/>
      <c r="AJ830" s="183"/>
      <c r="AK830" s="183"/>
      <c r="AL830" s="183"/>
      <c r="AM830" s="186" t="str">
        <f>IF(AF830="","","Q"&amp;INT((MONTH(AF830)-1)/3)+1&amp;YEAR(AF830)&amp;#REF!&amp;T830)</f>
        <v/>
      </c>
      <c r="AN830" s="186" t="str">
        <f>IF(K830="","","Q"&amp;INT((MONTH(K830)-1)/3)+1&amp;YEAR(K830)&amp;#REF!)</f>
        <v/>
      </c>
    </row>
    <row r="831" spans="1:40" ht="20.100000000000001" customHeight="1" x14ac:dyDescent="0.25">
      <c r="A831" s="8">
        <v>829</v>
      </c>
      <c r="B831" s="8" t="s">
        <v>399</v>
      </c>
      <c r="C831" s="8" t="s">
        <v>1997</v>
      </c>
      <c r="D831" s="8" t="s">
        <v>2416</v>
      </c>
      <c r="E831" s="182" t="s">
        <v>1998</v>
      </c>
      <c r="F831" s="183"/>
      <c r="G831" s="183"/>
      <c r="H831" s="183"/>
      <c r="I831" s="183"/>
      <c r="J831" s="183"/>
      <c r="K831" s="184"/>
      <c r="L831" s="183"/>
      <c r="M831" s="185" t="str">
        <f>IF(phc_8[[#This Row],[Register No.]]="","",C831&amp;"-"&amp;D831&amp;"-"&amp;"BHA-PHC-"&amp;phc_8[[#This Row],[Register No.]])</f>
        <v/>
      </c>
      <c r="N831" s="9" t="s">
        <v>401</v>
      </c>
      <c r="O831" s="183"/>
      <c r="P831" s="183"/>
      <c r="Q831" s="183"/>
      <c r="R831" s="183"/>
      <c r="S831" s="186" t="str">
        <f t="shared" si="33"/>
        <v xml:space="preserve"> </v>
      </c>
      <c r="T831" s="183"/>
      <c r="U831" s="183"/>
      <c r="V831" s="183"/>
      <c r="W831" s="183"/>
      <c r="X831" s="183"/>
      <c r="Y831" s="186" t="e">
        <f>INDEX(info!$Y$2:$Y$192,MATCH(phc_8[[#This Row],[Sub_Category]],info!$X$2:$X$192,0))</f>
        <v>#N/A</v>
      </c>
      <c r="Z831" s="186" t="e">
        <f t="array" ref="Z831">INDEX(info!$AA$2:$AA$192,MATCH(PHC!$X831&amp;PHC!$Y831,info!$X$2:$X$192&amp;info!$Y$2:$Y$192,0))</f>
        <v>#N/A</v>
      </c>
      <c r="AA831" s="183"/>
      <c r="AB831" s="9" t="s">
        <v>654</v>
      </c>
      <c r="AC831" s="9" t="s">
        <v>654</v>
      </c>
      <c r="AD831" s="9" t="s">
        <v>654</v>
      </c>
      <c r="AE831" s="9" t="s">
        <v>654</v>
      </c>
      <c r="AF831" s="184"/>
      <c r="AG831" s="183"/>
      <c r="AH831" s="183"/>
      <c r="AI831" s="183"/>
      <c r="AJ831" s="183"/>
      <c r="AK831" s="183"/>
      <c r="AL831" s="183"/>
      <c r="AM831" s="186" t="str">
        <f>IF(AF831="","","Q"&amp;INT((MONTH(AF831)-1)/3)+1&amp;YEAR(AF831)&amp;#REF!&amp;T831)</f>
        <v/>
      </c>
      <c r="AN831" s="186" t="str">
        <f>IF(K831="","","Q"&amp;INT((MONTH(K831)-1)/3)+1&amp;YEAR(K831)&amp;#REF!)</f>
        <v/>
      </c>
    </row>
    <row r="832" spans="1:40" ht="20.100000000000001" customHeight="1" x14ac:dyDescent="0.25">
      <c r="A832" s="8">
        <v>830</v>
      </c>
      <c r="B832" s="8" t="s">
        <v>399</v>
      </c>
      <c r="C832" s="8" t="s">
        <v>1997</v>
      </c>
      <c r="D832" s="8" t="s">
        <v>2416</v>
      </c>
      <c r="E832" s="182" t="s">
        <v>1998</v>
      </c>
      <c r="F832" s="183"/>
      <c r="G832" s="183"/>
      <c r="H832" s="183"/>
      <c r="I832" s="183"/>
      <c r="J832" s="183"/>
      <c r="K832" s="184"/>
      <c r="L832" s="183"/>
      <c r="M832" s="185" t="str">
        <f>IF(phc_8[[#This Row],[Register No.]]="","",C832&amp;"-"&amp;D832&amp;"-"&amp;"BHA-PHC-"&amp;phc_8[[#This Row],[Register No.]])</f>
        <v/>
      </c>
      <c r="N832" s="9" t="s">
        <v>401</v>
      </c>
      <c r="O832" s="183"/>
      <c r="P832" s="183"/>
      <c r="Q832" s="183"/>
      <c r="R832" s="183"/>
      <c r="S832" s="186" t="str">
        <f t="shared" si="33"/>
        <v xml:space="preserve"> </v>
      </c>
      <c r="T832" s="183"/>
      <c r="U832" s="183"/>
      <c r="V832" s="183"/>
      <c r="W832" s="183"/>
      <c r="X832" s="183"/>
      <c r="Y832" s="186" t="e">
        <f>INDEX(info!$Y$2:$Y$192,MATCH(phc_8[[#This Row],[Sub_Category]],info!$X$2:$X$192,0))</f>
        <v>#N/A</v>
      </c>
      <c r="Z832" s="186" t="e">
        <f t="array" ref="Z832">INDEX(info!$AA$2:$AA$192,MATCH(PHC!$X832&amp;PHC!$Y832,info!$X$2:$X$192&amp;info!$Y$2:$Y$192,0))</f>
        <v>#N/A</v>
      </c>
      <c r="AA832" s="183"/>
      <c r="AB832" s="9" t="s">
        <v>654</v>
      </c>
      <c r="AC832" s="9" t="s">
        <v>654</v>
      </c>
      <c r="AD832" s="9" t="s">
        <v>654</v>
      </c>
      <c r="AE832" s="9" t="s">
        <v>654</v>
      </c>
      <c r="AF832" s="184"/>
      <c r="AG832" s="183"/>
      <c r="AH832" s="183"/>
      <c r="AI832" s="183"/>
      <c r="AJ832" s="183"/>
      <c r="AK832" s="183"/>
      <c r="AL832" s="183"/>
      <c r="AM832" s="186" t="str">
        <f>IF(AF832="","","Q"&amp;INT((MONTH(AF832)-1)/3)+1&amp;YEAR(AF832)&amp;#REF!&amp;T832)</f>
        <v/>
      </c>
      <c r="AN832" s="186" t="str">
        <f>IF(K832="","","Q"&amp;INT((MONTH(K832)-1)/3)+1&amp;YEAR(K832)&amp;#REF!)</f>
        <v/>
      </c>
    </row>
    <row r="833" spans="1:40" ht="20.100000000000001" customHeight="1" x14ac:dyDescent="0.25">
      <c r="A833" s="8">
        <v>831</v>
      </c>
      <c r="B833" s="8" t="s">
        <v>399</v>
      </c>
      <c r="C833" s="8" t="s">
        <v>1997</v>
      </c>
      <c r="D833" s="8" t="s">
        <v>2416</v>
      </c>
      <c r="E833" s="182" t="s">
        <v>1998</v>
      </c>
      <c r="F833" s="183"/>
      <c r="G833" s="183"/>
      <c r="H833" s="183"/>
      <c r="I833" s="183"/>
      <c r="J833" s="183"/>
      <c r="K833" s="184"/>
      <c r="L833" s="183"/>
      <c r="M833" s="185" t="str">
        <f>IF(phc_8[[#This Row],[Register No.]]="","",C833&amp;"-"&amp;D833&amp;"-"&amp;"BHA-PHC-"&amp;phc_8[[#This Row],[Register No.]])</f>
        <v/>
      </c>
      <c r="N833" s="9" t="s">
        <v>401</v>
      </c>
      <c r="O833" s="183"/>
      <c r="P833" s="183"/>
      <c r="Q833" s="183"/>
      <c r="R833" s="183"/>
      <c r="S833" s="186" t="str">
        <f t="shared" si="33"/>
        <v xml:space="preserve"> </v>
      </c>
      <c r="T833" s="183"/>
      <c r="U833" s="183"/>
      <c r="V833" s="183"/>
      <c r="W833" s="183"/>
      <c r="X833" s="183"/>
      <c r="Y833" s="186" t="e">
        <f>INDEX(info!$Y$2:$Y$192,MATCH(phc_8[[#This Row],[Sub_Category]],info!$X$2:$X$192,0))</f>
        <v>#N/A</v>
      </c>
      <c r="Z833" s="186" t="e">
        <f t="array" ref="Z833">INDEX(info!$AA$2:$AA$192,MATCH(PHC!$X833&amp;PHC!$Y833,info!$X$2:$X$192&amp;info!$Y$2:$Y$192,0))</f>
        <v>#N/A</v>
      </c>
      <c r="AA833" s="183"/>
      <c r="AB833" s="9" t="s">
        <v>654</v>
      </c>
      <c r="AC833" s="9" t="s">
        <v>654</v>
      </c>
      <c r="AD833" s="9" t="s">
        <v>654</v>
      </c>
      <c r="AE833" s="9" t="s">
        <v>654</v>
      </c>
      <c r="AF833" s="184"/>
      <c r="AG833" s="183"/>
      <c r="AH833" s="183"/>
      <c r="AI833" s="183"/>
      <c r="AJ833" s="183"/>
      <c r="AK833" s="183"/>
      <c r="AL833" s="183"/>
      <c r="AM833" s="186" t="str">
        <f>IF(AF833="","","Q"&amp;INT((MONTH(AF833)-1)/3)+1&amp;YEAR(AF833)&amp;#REF!&amp;T833)</f>
        <v/>
      </c>
      <c r="AN833" s="186" t="str">
        <f>IF(K833="","","Q"&amp;INT((MONTH(K833)-1)/3)+1&amp;YEAR(K833)&amp;#REF!)</f>
        <v/>
      </c>
    </row>
    <row r="834" spans="1:40" ht="20.100000000000001" customHeight="1" x14ac:dyDescent="0.25">
      <c r="A834" s="8">
        <v>832</v>
      </c>
      <c r="B834" s="8" t="s">
        <v>399</v>
      </c>
      <c r="C834" s="8" t="s">
        <v>1997</v>
      </c>
      <c r="D834" s="8" t="s">
        <v>2416</v>
      </c>
      <c r="E834" s="182" t="s">
        <v>1998</v>
      </c>
      <c r="F834" s="183"/>
      <c r="G834" s="183"/>
      <c r="H834" s="183"/>
      <c r="I834" s="183"/>
      <c r="J834" s="183"/>
      <c r="K834" s="184"/>
      <c r="L834" s="183"/>
      <c r="M834" s="185" t="str">
        <f>IF(phc_8[[#This Row],[Register No.]]="","",C834&amp;"-"&amp;D834&amp;"-"&amp;"BHA-PHC-"&amp;phc_8[[#This Row],[Register No.]])</f>
        <v/>
      </c>
      <c r="N834" s="9" t="s">
        <v>401</v>
      </c>
      <c r="O834" s="183"/>
      <c r="P834" s="183"/>
      <c r="Q834" s="183"/>
      <c r="R834" s="183"/>
      <c r="S834" s="186" t="str">
        <f t="shared" si="33"/>
        <v xml:space="preserve"> </v>
      </c>
      <c r="T834" s="183"/>
      <c r="U834" s="183"/>
      <c r="V834" s="183"/>
      <c r="W834" s="183"/>
      <c r="X834" s="183"/>
      <c r="Y834" s="186" t="e">
        <f>INDEX(info!$Y$2:$Y$192,MATCH(phc_8[[#This Row],[Sub_Category]],info!$X$2:$X$192,0))</f>
        <v>#N/A</v>
      </c>
      <c r="Z834" s="186" t="e">
        <f t="array" ref="Z834">INDEX(info!$AA$2:$AA$192,MATCH(PHC!$X834&amp;PHC!$Y834,info!$X$2:$X$192&amp;info!$Y$2:$Y$192,0))</f>
        <v>#N/A</v>
      </c>
      <c r="AA834" s="183"/>
      <c r="AB834" s="9" t="s">
        <v>654</v>
      </c>
      <c r="AC834" s="9" t="s">
        <v>654</v>
      </c>
      <c r="AD834" s="9" t="s">
        <v>654</v>
      </c>
      <c r="AE834" s="9" t="s">
        <v>654</v>
      </c>
      <c r="AF834" s="184"/>
      <c r="AG834" s="183"/>
      <c r="AH834" s="183"/>
      <c r="AI834" s="183"/>
      <c r="AJ834" s="183"/>
      <c r="AK834" s="183"/>
      <c r="AL834" s="183"/>
      <c r="AM834" s="186" t="str">
        <f>IF(AF834="","","Q"&amp;INT((MONTH(AF834)-1)/3)+1&amp;YEAR(AF834)&amp;#REF!&amp;T834)</f>
        <v/>
      </c>
      <c r="AN834" s="186" t="str">
        <f>IF(K834="","","Q"&amp;INT((MONTH(K834)-1)/3)+1&amp;YEAR(K834)&amp;#REF!)</f>
        <v/>
      </c>
    </row>
    <row r="835" spans="1:40" ht="20.100000000000001" customHeight="1" x14ac:dyDescent="0.25">
      <c r="A835" s="8">
        <v>833</v>
      </c>
      <c r="B835" s="8" t="s">
        <v>399</v>
      </c>
      <c r="C835" s="8" t="s">
        <v>1997</v>
      </c>
      <c r="D835" s="8" t="s">
        <v>2416</v>
      </c>
      <c r="E835" s="182" t="s">
        <v>1998</v>
      </c>
      <c r="F835" s="183"/>
      <c r="G835" s="183"/>
      <c r="H835" s="183"/>
      <c r="I835" s="183"/>
      <c r="J835" s="183"/>
      <c r="K835" s="184"/>
      <c r="L835" s="183"/>
      <c r="M835" s="185" t="str">
        <f>IF(phc_8[[#This Row],[Register No.]]="","",C835&amp;"-"&amp;D835&amp;"-"&amp;"BHA-PHC-"&amp;phc_8[[#This Row],[Register No.]])</f>
        <v/>
      </c>
      <c r="N835" s="9" t="s">
        <v>401</v>
      </c>
      <c r="O835" s="183"/>
      <c r="P835" s="183"/>
      <c r="Q835" s="183"/>
      <c r="R835" s="183"/>
      <c r="S835" s="186" t="str">
        <f t="shared" si="33"/>
        <v xml:space="preserve"> </v>
      </c>
      <c r="T835" s="183"/>
      <c r="U835" s="183"/>
      <c r="V835" s="183"/>
      <c r="W835" s="183"/>
      <c r="X835" s="183"/>
      <c r="Y835" s="186" t="e">
        <f>INDEX(info!$Y$2:$Y$192,MATCH(phc_8[[#This Row],[Sub_Category]],info!$X$2:$X$192,0))</f>
        <v>#N/A</v>
      </c>
      <c r="Z835" s="186" t="e">
        <f t="array" ref="Z835">INDEX(info!$AA$2:$AA$192,MATCH(PHC!$X835&amp;PHC!$Y835,info!$X$2:$X$192&amp;info!$Y$2:$Y$192,0))</f>
        <v>#N/A</v>
      </c>
      <c r="AA835" s="183"/>
      <c r="AB835" s="9" t="s">
        <v>654</v>
      </c>
      <c r="AC835" s="9" t="s">
        <v>654</v>
      </c>
      <c r="AD835" s="9" t="s">
        <v>654</v>
      </c>
      <c r="AE835" s="9" t="s">
        <v>654</v>
      </c>
      <c r="AF835" s="184"/>
      <c r="AG835" s="183"/>
      <c r="AH835" s="183"/>
      <c r="AI835" s="183"/>
      <c r="AJ835" s="183"/>
      <c r="AK835" s="183"/>
      <c r="AL835" s="183"/>
      <c r="AM835" s="186" t="str">
        <f>IF(AF835="","","Q"&amp;INT((MONTH(AF835)-1)/3)+1&amp;YEAR(AF835)&amp;#REF!&amp;T835)</f>
        <v/>
      </c>
      <c r="AN835" s="186" t="str">
        <f>IF(K835="","","Q"&amp;INT((MONTH(K835)-1)/3)+1&amp;YEAR(K835)&amp;#REF!)</f>
        <v/>
      </c>
    </row>
    <row r="836" spans="1:40" ht="20.100000000000001" customHeight="1" x14ac:dyDescent="0.25">
      <c r="A836" s="8">
        <v>834</v>
      </c>
      <c r="B836" s="8" t="s">
        <v>399</v>
      </c>
      <c r="C836" s="8" t="s">
        <v>1997</v>
      </c>
      <c r="D836" s="8" t="s">
        <v>2416</v>
      </c>
      <c r="E836" s="182" t="s">
        <v>1998</v>
      </c>
      <c r="F836" s="183"/>
      <c r="G836" s="183"/>
      <c r="H836" s="183"/>
      <c r="I836" s="183"/>
      <c r="J836" s="183"/>
      <c r="K836" s="184"/>
      <c r="L836" s="183"/>
      <c r="M836" s="185" t="str">
        <f>IF(phc_8[[#This Row],[Register No.]]="","",C836&amp;"-"&amp;D836&amp;"-"&amp;"BHA-PHC-"&amp;phc_8[[#This Row],[Register No.]])</f>
        <v/>
      </c>
      <c r="N836" s="9" t="s">
        <v>401</v>
      </c>
      <c r="O836" s="183"/>
      <c r="P836" s="183"/>
      <c r="Q836" s="183"/>
      <c r="R836" s="183"/>
      <c r="S836" s="186" t="str">
        <f t="shared" si="33"/>
        <v xml:space="preserve"> </v>
      </c>
      <c r="T836" s="183"/>
      <c r="U836" s="183"/>
      <c r="V836" s="183"/>
      <c r="W836" s="183"/>
      <c r="X836" s="183"/>
      <c r="Y836" s="186" t="e">
        <f>INDEX(info!$Y$2:$Y$192,MATCH(phc_8[[#This Row],[Sub_Category]],info!$X$2:$X$192,0))</f>
        <v>#N/A</v>
      </c>
      <c r="Z836" s="186" t="e">
        <f t="array" ref="Z836">INDEX(info!$AA$2:$AA$192,MATCH(PHC!$X836&amp;PHC!$Y836,info!$X$2:$X$192&amp;info!$Y$2:$Y$192,0))</f>
        <v>#N/A</v>
      </c>
      <c r="AA836" s="183"/>
      <c r="AB836" s="9" t="s">
        <v>654</v>
      </c>
      <c r="AC836" s="9" t="s">
        <v>654</v>
      </c>
      <c r="AD836" s="9" t="s">
        <v>654</v>
      </c>
      <c r="AE836" s="9" t="s">
        <v>654</v>
      </c>
      <c r="AF836" s="184"/>
      <c r="AG836" s="183"/>
      <c r="AH836" s="183"/>
      <c r="AI836" s="183"/>
      <c r="AJ836" s="183"/>
      <c r="AK836" s="183"/>
      <c r="AL836" s="183"/>
      <c r="AM836" s="186" t="str">
        <f>IF(AF836="","","Q"&amp;INT((MONTH(AF836)-1)/3)+1&amp;YEAR(AF836)&amp;#REF!&amp;T836)</f>
        <v/>
      </c>
      <c r="AN836" s="186" t="str">
        <f>IF(K836="","","Q"&amp;INT((MONTH(K836)-1)/3)+1&amp;YEAR(K836)&amp;#REF!)</f>
        <v/>
      </c>
    </row>
    <row r="837" spans="1:40" ht="20.100000000000001" customHeight="1" x14ac:dyDescent="0.25">
      <c r="A837" s="8">
        <v>835</v>
      </c>
      <c r="B837" s="8" t="s">
        <v>399</v>
      </c>
      <c r="C837" s="8" t="s">
        <v>1997</v>
      </c>
      <c r="D837" s="8" t="s">
        <v>2416</v>
      </c>
      <c r="E837" s="182" t="s">
        <v>1998</v>
      </c>
      <c r="F837" s="183"/>
      <c r="G837" s="183"/>
      <c r="H837" s="183"/>
      <c r="I837" s="183"/>
      <c r="J837" s="183"/>
      <c r="K837" s="184"/>
      <c r="L837" s="183"/>
      <c r="M837" s="185" t="str">
        <f>IF(phc_8[[#This Row],[Register No.]]="","",C837&amp;"-"&amp;D837&amp;"-"&amp;"BHA-PHC-"&amp;phc_8[[#This Row],[Register No.]])</f>
        <v/>
      </c>
      <c r="N837" s="9" t="s">
        <v>401</v>
      </c>
      <c r="O837" s="183"/>
      <c r="P837" s="183"/>
      <c r="Q837" s="183"/>
      <c r="R837" s="183"/>
      <c r="S837" s="186" t="str">
        <f t="shared" si="33"/>
        <v xml:space="preserve"> </v>
      </c>
      <c r="T837" s="183"/>
      <c r="U837" s="183"/>
      <c r="V837" s="183"/>
      <c r="W837" s="183"/>
      <c r="X837" s="183"/>
      <c r="Y837" s="186" t="e">
        <f>INDEX(info!$Y$2:$Y$192,MATCH(phc_8[[#This Row],[Sub_Category]],info!$X$2:$X$192,0))</f>
        <v>#N/A</v>
      </c>
      <c r="Z837" s="186" t="e">
        <f t="array" ref="Z837">INDEX(info!$AA$2:$AA$192,MATCH(PHC!$X837&amp;PHC!$Y837,info!$X$2:$X$192&amp;info!$Y$2:$Y$192,0))</f>
        <v>#N/A</v>
      </c>
      <c r="AA837" s="183"/>
      <c r="AB837" s="9" t="s">
        <v>654</v>
      </c>
      <c r="AC837" s="9" t="s">
        <v>654</v>
      </c>
      <c r="AD837" s="9" t="s">
        <v>654</v>
      </c>
      <c r="AE837" s="9" t="s">
        <v>654</v>
      </c>
      <c r="AF837" s="184"/>
      <c r="AG837" s="183"/>
      <c r="AH837" s="183"/>
      <c r="AI837" s="183"/>
      <c r="AJ837" s="183"/>
      <c r="AK837" s="183"/>
      <c r="AL837" s="183"/>
      <c r="AM837" s="186" t="str">
        <f>IF(AF837="","","Q"&amp;INT((MONTH(AF837)-1)/3)+1&amp;YEAR(AF837)&amp;#REF!&amp;T837)</f>
        <v/>
      </c>
      <c r="AN837" s="186" t="str">
        <f>IF(K837="","","Q"&amp;INT((MONTH(K837)-1)/3)+1&amp;YEAR(K837)&amp;#REF!)</f>
        <v/>
      </c>
    </row>
    <row r="838" spans="1:40" ht="20.100000000000001" customHeight="1" x14ac:dyDescent="0.25">
      <c r="A838" s="8">
        <v>836</v>
      </c>
      <c r="B838" s="8" t="s">
        <v>399</v>
      </c>
      <c r="C838" s="8" t="s">
        <v>1997</v>
      </c>
      <c r="D838" s="8" t="s">
        <v>2416</v>
      </c>
      <c r="E838" s="182" t="s">
        <v>1998</v>
      </c>
      <c r="F838" s="183"/>
      <c r="G838" s="183"/>
      <c r="H838" s="183"/>
      <c r="I838" s="183"/>
      <c r="J838" s="183"/>
      <c r="K838" s="184"/>
      <c r="L838" s="183"/>
      <c r="M838" s="185" t="str">
        <f>IF(phc_8[[#This Row],[Register No.]]="","",C838&amp;"-"&amp;D838&amp;"-"&amp;"BHA-PHC-"&amp;phc_8[[#This Row],[Register No.]])</f>
        <v/>
      </c>
      <c r="N838" s="9" t="s">
        <v>401</v>
      </c>
      <c r="O838" s="183"/>
      <c r="P838" s="183"/>
      <c r="Q838" s="183"/>
      <c r="R838" s="183"/>
      <c r="S838" s="186" t="str">
        <f t="shared" si="33"/>
        <v xml:space="preserve"> </v>
      </c>
      <c r="T838" s="183"/>
      <c r="U838" s="183"/>
      <c r="V838" s="183"/>
      <c r="W838" s="183"/>
      <c r="X838" s="183"/>
      <c r="Y838" s="186" t="e">
        <f>INDEX(info!$Y$2:$Y$192,MATCH(phc_8[[#This Row],[Sub_Category]],info!$X$2:$X$192,0))</f>
        <v>#N/A</v>
      </c>
      <c r="Z838" s="186" t="e">
        <f t="array" ref="Z838">INDEX(info!$AA$2:$AA$192,MATCH(PHC!$X838&amp;PHC!$Y838,info!$X$2:$X$192&amp;info!$Y$2:$Y$192,0))</f>
        <v>#N/A</v>
      </c>
      <c r="AA838" s="183"/>
      <c r="AB838" s="9" t="s">
        <v>654</v>
      </c>
      <c r="AC838" s="9" t="s">
        <v>654</v>
      </c>
      <c r="AD838" s="9" t="s">
        <v>654</v>
      </c>
      <c r="AE838" s="9" t="s">
        <v>654</v>
      </c>
      <c r="AF838" s="184"/>
      <c r="AG838" s="183"/>
      <c r="AH838" s="183"/>
      <c r="AI838" s="183"/>
      <c r="AJ838" s="183"/>
      <c r="AK838" s="183"/>
      <c r="AL838" s="183"/>
      <c r="AM838" s="186" t="str">
        <f>IF(AF838="","","Q"&amp;INT((MONTH(AF838)-1)/3)+1&amp;YEAR(AF838)&amp;#REF!&amp;T838)</f>
        <v/>
      </c>
      <c r="AN838" s="186" t="str">
        <f>IF(K838="","","Q"&amp;INT((MONTH(K838)-1)/3)+1&amp;YEAR(K838)&amp;#REF!)</f>
        <v/>
      </c>
    </row>
    <row r="839" spans="1:40" ht="20.100000000000001" customHeight="1" x14ac:dyDescent="0.25">
      <c r="A839" s="8">
        <v>837</v>
      </c>
      <c r="B839" s="8" t="s">
        <v>399</v>
      </c>
      <c r="C839" s="8" t="s">
        <v>1997</v>
      </c>
      <c r="D839" s="8" t="s">
        <v>2416</v>
      </c>
      <c r="E839" s="182" t="s">
        <v>1998</v>
      </c>
      <c r="F839" s="183"/>
      <c r="G839" s="183"/>
      <c r="H839" s="183"/>
      <c r="I839" s="183"/>
      <c r="J839" s="183"/>
      <c r="K839" s="184"/>
      <c r="L839" s="183"/>
      <c r="M839" s="185" t="str">
        <f>IF(phc_8[[#This Row],[Register No.]]="","",C839&amp;"-"&amp;D839&amp;"-"&amp;"BHA-PHC-"&amp;phc_8[[#This Row],[Register No.]])</f>
        <v/>
      </c>
      <c r="N839" s="9" t="s">
        <v>401</v>
      </c>
      <c r="O839" s="183"/>
      <c r="P839" s="183"/>
      <c r="Q839" s="183"/>
      <c r="R839" s="183"/>
      <c r="S839" s="186" t="str">
        <f t="shared" si="33"/>
        <v xml:space="preserve"> </v>
      </c>
      <c r="T839" s="183"/>
      <c r="U839" s="183"/>
      <c r="V839" s="183"/>
      <c r="W839" s="183"/>
      <c r="X839" s="183"/>
      <c r="Y839" s="186" t="e">
        <f>INDEX(info!$Y$2:$Y$192,MATCH(phc_8[[#This Row],[Sub_Category]],info!$X$2:$X$192,0))</f>
        <v>#N/A</v>
      </c>
      <c r="Z839" s="186" t="e">
        <f t="array" ref="Z839">INDEX(info!$AA$2:$AA$192,MATCH(PHC!$X839&amp;PHC!$Y839,info!$X$2:$X$192&amp;info!$Y$2:$Y$192,0))</f>
        <v>#N/A</v>
      </c>
      <c r="AA839" s="183"/>
      <c r="AB839" s="9" t="s">
        <v>654</v>
      </c>
      <c r="AC839" s="9" t="s">
        <v>654</v>
      </c>
      <c r="AD839" s="9" t="s">
        <v>654</v>
      </c>
      <c r="AE839" s="9" t="s">
        <v>654</v>
      </c>
      <c r="AF839" s="184"/>
      <c r="AG839" s="183"/>
      <c r="AH839" s="183"/>
      <c r="AI839" s="183"/>
      <c r="AJ839" s="183"/>
      <c r="AK839" s="183"/>
      <c r="AL839" s="183"/>
      <c r="AM839" s="186" t="str">
        <f>IF(AF839="","","Q"&amp;INT((MONTH(AF839)-1)/3)+1&amp;YEAR(AF839)&amp;#REF!&amp;T839)</f>
        <v/>
      </c>
      <c r="AN839" s="186" t="str">
        <f>IF(K839="","","Q"&amp;INT((MONTH(K839)-1)/3)+1&amp;YEAR(K839)&amp;#REF!)</f>
        <v/>
      </c>
    </row>
    <row r="840" spans="1:40" ht="20.100000000000001" customHeight="1" x14ac:dyDescent="0.25">
      <c r="A840" s="8">
        <v>838</v>
      </c>
      <c r="B840" s="8" t="s">
        <v>399</v>
      </c>
      <c r="C840" s="8" t="s">
        <v>1997</v>
      </c>
      <c r="D840" s="8" t="s">
        <v>2416</v>
      </c>
      <c r="E840" s="182" t="s">
        <v>1998</v>
      </c>
      <c r="F840" s="183"/>
      <c r="G840" s="183"/>
      <c r="H840" s="183"/>
      <c r="I840" s="183"/>
      <c r="J840" s="183"/>
      <c r="K840" s="184"/>
      <c r="L840" s="183"/>
      <c r="M840" s="185" t="str">
        <f>IF(phc_8[[#This Row],[Register No.]]="","",C840&amp;"-"&amp;D840&amp;"-"&amp;"BHA-PHC-"&amp;phc_8[[#This Row],[Register No.]])</f>
        <v/>
      </c>
      <c r="N840" s="9" t="s">
        <v>401</v>
      </c>
      <c r="O840" s="183"/>
      <c r="P840" s="183"/>
      <c r="Q840" s="183"/>
      <c r="R840" s="183"/>
      <c r="S840" s="186" t="str">
        <f t="shared" si="33"/>
        <v xml:space="preserve"> </v>
      </c>
      <c r="T840" s="183"/>
      <c r="U840" s="183"/>
      <c r="V840" s="183"/>
      <c r="W840" s="183"/>
      <c r="X840" s="183"/>
      <c r="Y840" s="186" t="e">
        <f>INDEX(info!$Y$2:$Y$192,MATCH(phc_8[[#This Row],[Sub_Category]],info!$X$2:$X$192,0))</f>
        <v>#N/A</v>
      </c>
      <c r="Z840" s="186" t="e">
        <f t="array" ref="Z840">INDEX(info!$AA$2:$AA$192,MATCH(PHC!$X840&amp;PHC!$Y840,info!$X$2:$X$192&amp;info!$Y$2:$Y$192,0))</f>
        <v>#N/A</v>
      </c>
      <c r="AA840" s="183"/>
      <c r="AB840" s="9" t="s">
        <v>654</v>
      </c>
      <c r="AC840" s="9" t="s">
        <v>654</v>
      </c>
      <c r="AD840" s="9" t="s">
        <v>654</v>
      </c>
      <c r="AE840" s="9" t="s">
        <v>654</v>
      </c>
      <c r="AF840" s="184"/>
      <c r="AG840" s="183"/>
      <c r="AH840" s="183"/>
      <c r="AI840" s="183"/>
      <c r="AJ840" s="183"/>
      <c r="AK840" s="183"/>
      <c r="AL840" s="183"/>
      <c r="AM840" s="186" t="str">
        <f>IF(AF840="","","Q"&amp;INT((MONTH(AF840)-1)/3)+1&amp;YEAR(AF840)&amp;#REF!&amp;T840)</f>
        <v/>
      </c>
      <c r="AN840" s="186" t="str">
        <f>IF(K840="","","Q"&amp;INT((MONTH(K840)-1)/3)+1&amp;YEAR(K840)&amp;#REF!)</f>
        <v/>
      </c>
    </row>
    <row r="841" spans="1:40" ht="20.100000000000001" customHeight="1" x14ac:dyDescent="0.25">
      <c r="A841" s="8">
        <v>839</v>
      </c>
      <c r="B841" s="8" t="s">
        <v>399</v>
      </c>
      <c r="C841" s="8" t="s">
        <v>1997</v>
      </c>
      <c r="D841" s="8" t="s">
        <v>2416</v>
      </c>
      <c r="E841" s="182" t="s">
        <v>1998</v>
      </c>
      <c r="F841" s="183"/>
      <c r="G841" s="183"/>
      <c r="H841" s="183"/>
      <c r="I841" s="183"/>
      <c r="J841" s="183"/>
      <c r="K841" s="184"/>
      <c r="L841" s="183"/>
      <c r="M841" s="185" t="str">
        <f>IF(phc_8[[#This Row],[Register No.]]="","",C841&amp;"-"&amp;D841&amp;"-"&amp;"BHA-PHC-"&amp;phc_8[[#This Row],[Register No.]])</f>
        <v/>
      </c>
      <c r="N841" s="9" t="s">
        <v>401</v>
      </c>
      <c r="O841" s="183"/>
      <c r="P841" s="183"/>
      <c r="Q841" s="183"/>
      <c r="R841" s="183"/>
      <c r="S841" s="186" t="str">
        <f t="shared" si="33"/>
        <v xml:space="preserve"> </v>
      </c>
      <c r="T841" s="183"/>
      <c r="U841" s="183"/>
      <c r="V841" s="183"/>
      <c r="W841" s="183"/>
      <c r="X841" s="183"/>
      <c r="Y841" s="186" t="e">
        <f>INDEX(info!$Y$2:$Y$192,MATCH(phc_8[[#This Row],[Sub_Category]],info!$X$2:$X$192,0))</f>
        <v>#N/A</v>
      </c>
      <c r="Z841" s="186" t="e">
        <f t="array" ref="Z841">INDEX(info!$AA$2:$AA$192,MATCH(PHC!$X841&amp;PHC!$Y841,info!$X$2:$X$192&amp;info!$Y$2:$Y$192,0))</f>
        <v>#N/A</v>
      </c>
      <c r="AA841" s="183"/>
      <c r="AB841" s="9" t="s">
        <v>654</v>
      </c>
      <c r="AC841" s="9" t="s">
        <v>654</v>
      </c>
      <c r="AD841" s="9" t="s">
        <v>654</v>
      </c>
      <c r="AE841" s="9" t="s">
        <v>654</v>
      </c>
      <c r="AF841" s="184"/>
      <c r="AG841" s="183"/>
      <c r="AH841" s="183"/>
      <c r="AI841" s="183"/>
      <c r="AJ841" s="183"/>
      <c r="AK841" s="183"/>
      <c r="AL841" s="183"/>
      <c r="AM841" s="186" t="str">
        <f>IF(AF841="","","Q"&amp;INT((MONTH(AF841)-1)/3)+1&amp;YEAR(AF841)&amp;#REF!&amp;T841)</f>
        <v/>
      </c>
      <c r="AN841" s="186" t="str">
        <f>IF(K841="","","Q"&amp;INT((MONTH(K841)-1)/3)+1&amp;YEAR(K841)&amp;#REF!)</f>
        <v/>
      </c>
    </row>
    <row r="842" spans="1:40" ht="20.100000000000001" customHeight="1" x14ac:dyDescent="0.25">
      <c r="A842" s="8">
        <v>840</v>
      </c>
      <c r="B842" s="8" t="s">
        <v>399</v>
      </c>
      <c r="C842" s="8" t="s">
        <v>1997</v>
      </c>
      <c r="D842" s="8" t="s">
        <v>2416</v>
      </c>
      <c r="E842" s="182" t="s">
        <v>1998</v>
      </c>
      <c r="F842" s="183"/>
      <c r="G842" s="183"/>
      <c r="H842" s="183"/>
      <c r="I842" s="183"/>
      <c r="J842" s="183"/>
      <c r="K842" s="184"/>
      <c r="L842" s="183"/>
      <c r="M842" s="185" t="str">
        <f>IF(phc_8[[#This Row],[Register No.]]="","",C842&amp;"-"&amp;D842&amp;"-"&amp;"BHA-PHC-"&amp;phc_8[[#This Row],[Register No.]])</f>
        <v/>
      </c>
      <c r="N842" s="9" t="s">
        <v>401</v>
      </c>
      <c r="O842" s="183"/>
      <c r="P842" s="183"/>
      <c r="Q842" s="183"/>
      <c r="R842" s="183"/>
      <c r="S842" s="186" t="str">
        <f t="shared" si="33"/>
        <v xml:space="preserve"> </v>
      </c>
      <c r="T842" s="183"/>
      <c r="U842" s="183"/>
      <c r="V842" s="183"/>
      <c r="W842" s="183"/>
      <c r="X842" s="183"/>
      <c r="Y842" s="186" t="e">
        <f>INDEX(info!$Y$2:$Y$192,MATCH(phc_8[[#This Row],[Sub_Category]],info!$X$2:$X$192,0))</f>
        <v>#N/A</v>
      </c>
      <c r="Z842" s="186" t="e">
        <f t="array" ref="Z842">INDEX(info!$AA$2:$AA$192,MATCH(PHC!$X842&amp;PHC!$Y842,info!$X$2:$X$192&amp;info!$Y$2:$Y$192,0))</f>
        <v>#N/A</v>
      </c>
      <c r="AA842" s="183"/>
      <c r="AB842" s="9" t="s">
        <v>654</v>
      </c>
      <c r="AC842" s="9" t="s">
        <v>654</v>
      </c>
      <c r="AD842" s="9" t="s">
        <v>654</v>
      </c>
      <c r="AE842" s="9" t="s">
        <v>654</v>
      </c>
      <c r="AF842" s="184"/>
      <c r="AG842" s="183"/>
      <c r="AH842" s="183"/>
      <c r="AI842" s="183"/>
      <c r="AJ842" s="183"/>
      <c r="AK842" s="183"/>
      <c r="AL842" s="183"/>
      <c r="AM842" s="186" t="str">
        <f>IF(AF842="","","Q"&amp;INT((MONTH(AF842)-1)/3)+1&amp;YEAR(AF842)&amp;#REF!&amp;T842)</f>
        <v/>
      </c>
      <c r="AN842" s="186" t="str">
        <f>IF(K842="","","Q"&amp;INT((MONTH(K842)-1)/3)+1&amp;YEAR(K842)&amp;#REF!)</f>
        <v/>
      </c>
    </row>
    <row r="843" spans="1:40" ht="20.100000000000001" customHeight="1" x14ac:dyDescent="0.25">
      <c r="A843" s="8">
        <v>841</v>
      </c>
      <c r="B843" s="8" t="s">
        <v>399</v>
      </c>
      <c r="C843" s="8" t="s">
        <v>1997</v>
      </c>
      <c r="D843" s="8" t="s">
        <v>2416</v>
      </c>
      <c r="E843" s="182" t="s">
        <v>1998</v>
      </c>
      <c r="F843" s="183"/>
      <c r="G843" s="183"/>
      <c r="H843" s="183"/>
      <c r="I843" s="183"/>
      <c r="J843" s="183"/>
      <c r="K843" s="184"/>
      <c r="L843" s="183"/>
      <c r="M843" s="185" t="str">
        <f>IF(phc_8[[#This Row],[Register No.]]="","",C843&amp;"-"&amp;D843&amp;"-"&amp;"BHA-PHC-"&amp;phc_8[[#This Row],[Register No.]])</f>
        <v/>
      </c>
      <c r="N843" s="9" t="s">
        <v>401</v>
      </c>
      <c r="O843" s="183"/>
      <c r="P843" s="183"/>
      <c r="Q843" s="183"/>
      <c r="R843" s="183"/>
      <c r="S843" s="186" t="str">
        <f t="shared" si="33"/>
        <v xml:space="preserve"> </v>
      </c>
      <c r="T843" s="183"/>
      <c r="U843" s="183"/>
      <c r="V843" s="183"/>
      <c r="W843" s="183"/>
      <c r="X843" s="183"/>
      <c r="Y843" s="186" t="e">
        <f>INDEX(info!$Y$2:$Y$192,MATCH(phc_8[[#This Row],[Sub_Category]],info!$X$2:$X$192,0))</f>
        <v>#N/A</v>
      </c>
      <c r="Z843" s="186" t="e">
        <f t="array" ref="Z843">INDEX(info!$AA$2:$AA$192,MATCH(PHC!$X843&amp;PHC!$Y843,info!$X$2:$X$192&amp;info!$Y$2:$Y$192,0))</f>
        <v>#N/A</v>
      </c>
      <c r="AA843" s="183"/>
      <c r="AB843" s="9" t="s">
        <v>654</v>
      </c>
      <c r="AC843" s="9" t="s">
        <v>654</v>
      </c>
      <c r="AD843" s="9" t="s">
        <v>654</v>
      </c>
      <c r="AE843" s="9" t="s">
        <v>654</v>
      </c>
      <c r="AF843" s="184"/>
      <c r="AG843" s="183"/>
      <c r="AH843" s="183"/>
      <c r="AI843" s="183"/>
      <c r="AJ843" s="183"/>
      <c r="AK843" s="183"/>
      <c r="AL843" s="183"/>
      <c r="AM843" s="186" t="str">
        <f>IF(AF843="","","Q"&amp;INT((MONTH(AF843)-1)/3)+1&amp;YEAR(AF843)&amp;#REF!&amp;T843)</f>
        <v/>
      </c>
      <c r="AN843" s="186" t="str">
        <f>IF(K843="","","Q"&amp;INT((MONTH(K843)-1)/3)+1&amp;YEAR(K843)&amp;#REF!)</f>
        <v/>
      </c>
    </row>
    <row r="844" spans="1:40" ht="20.100000000000001" customHeight="1" x14ac:dyDescent="0.25">
      <c r="A844" s="8">
        <v>842</v>
      </c>
      <c r="B844" s="8" t="s">
        <v>399</v>
      </c>
      <c r="C844" s="8" t="s">
        <v>1997</v>
      </c>
      <c r="D844" s="8" t="s">
        <v>2416</v>
      </c>
      <c r="E844" s="182" t="s">
        <v>1998</v>
      </c>
      <c r="F844" s="183"/>
      <c r="G844" s="183"/>
      <c r="H844" s="183"/>
      <c r="I844" s="183"/>
      <c r="J844" s="183"/>
      <c r="K844" s="184"/>
      <c r="L844" s="183"/>
      <c r="M844" s="185" t="str">
        <f>IF(phc_8[[#This Row],[Register No.]]="","",C844&amp;"-"&amp;D844&amp;"-"&amp;"BHA-PHC-"&amp;phc_8[[#This Row],[Register No.]])</f>
        <v/>
      </c>
      <c r="N844" s="9" t="s">
        <v>401</v>
      </c>
      <c r="O844" s="183"/>
      <c r="P844" s="183"/>
      <c r="Q844" s="183"/>
      <c r="R844" s="183"/>
      <c r="S844" s="186" t="str">
        <f t="shared" si="33"/>
        <v xml:space="preserve"> </v>
      </c>
      <c r="T844" s="183"/>
      <c r="U844" s="183"/>
      <c r="V844" s="183"/>
      <c r="W844" s="183"/>
      <c r="X844" s="183"/>
      <c r="Y844" s="186" t="e">
        <f>INDEX(info!$Y$2:$Y$192,MATCH(phc_8[[#This Row],[Sub_Category]],info!$X$2:$X$192,0))</f>
        <v>#N/A</v>
      </c>
      <c r="Z844" s="186" t="e">
        <f t="array" ref="Z844">INDEX(info!$AA$2:$AA$192,MATCH(PHC!$X844&amp;PHC!$Y844,info!$X$2:$X$192&amp;info!$Y$2:$Y$192,0))</f>
        <v>#N/A</v>
      </c>
      <c r="AA844" s="183"/>
      <c r="AB844" s="9" t="s">
        <v>654</v>
      </c>
      <c r="AC844" s="9" t="s">
        <v>654</v>
      </c>
      <c r="AD844" s="9" t="s">
        <v>654</v>
      </c>
      <c r="AE844" s="9" t="s">
        <v>654</v>
      </c>
      <c r="AF844" s="184"/>
      <c r="AG844" s="183"/>
      <c r="AH844" s="183"/>
      <c r="AI844" s="183"/>
      <c r="AJ844" s="183"/>
      <c r="AK844" s="183"/>
      <c r="AL844" s="183"/>
      <c r="AM844" s="186" t="str">
        <f>IF(AF844="","","Q"&amp;INT((MONTH(AF844)-1)/3)+1&amp;YEAR(AF844)&amp;#REF!&amp;T844)</f>
        <v/>
      </c>
      <c r="AN844" s="186" t="str">
        <f>IF(K844="","","Q"&amp;INT((MONTH(K844)-1)/3)+1&amp;YEAR(K844)&amp;#REF!)</f>
        <v/>
      </c>
    </row>
    <row r="845" spans="1:40" ht="20.100000000000001" customHeight="1" x14ac:dyDescent="0.25">
      <c r="A845" s="8">
        <v>843</v>
      </c>
      <c r="B845" s="8" t="s">
        <v>399</v>
      </c>
      <c r="C845" s="8" t="s">
        <v>1997</v>
      </c>
      <c r="D845" s="8" t="s">
        <v>2416</v>
      </c>
      <c r="E845" s="182" t="s">
        <v>1998</v>
      </c>
      <c r="F845" s="183"/>
      <c r="G845" s="183"/>
      <c r="H845" s="183"/>
      <c r="I845" s="183"/>
      <c r="J845" s="183"/>
      <c r="K845" s="184"/>
      <c r="L845" s="183"/>
      <c r="M845" s="185" t="str">
        <f>IF(phc_8[[#This Row],[Register No.]]="","",C845&amp;"-"&amp;D845&amp;"-"&amp;"BHA-PHC-"&amp;phc_8[[#This Row],[Register No.]])</f>
        <v/>
      </c>
      <c r="N845" s="9" t="s">
        <v>401</v>
      </c>
      <c r="O845" s="183"/>
      <c r="P845" s="183"/>
      <c r="Q845" s="183"/>
      <c r="R845" s="183"/>
      <c r="S845" s="186" t="str">
        <f t="shared" si="33"/>
        <v xml:space="preserve"> </v>
      </c>
      <c r="T845" s="183"/>
      <c r="U845" s="183"/>
      <c r="V845" s="183"/>
      <c r="W845" s="183"/>
      <c r="X845" s="183"/>
      <c r="Y845" s="186" t="e">
        <f>INDEX(info!$Y$2:$Y$192,MATCH(phc_8[[#This Row],[Sub_Category]],info!$X$2:$X$192,0))</f>
        <v>#N/A</v>
      </c>
      <c r="Z845" s="186" t="e">
        <f t="array" ref="Z845">INDEX(info!$AA$2:$AA$192,MATCH(PHC!$X845&amp;PHC!$Y845,info!$X$2:$X$192&amp;info!$Y$2:$Y$192,0))</f>
        <v>#N/A</v>
      </c>
      <c r="AA845" s="183"/>
      <c r="AB845" s="9" t="s">
        <v>654</v>
      </c>
      <c r="AC845" s="9" t="s">
        <v>654</v>
      </c>
      <c r="AD845" s="9" t="s">
        <v>654</v>
      </c>
      <c r="AE845" s="9" t="s">
        <v>654</v>
      </c>
      <c r="AF845" s="184"/>
      <c r="AG845" s="183"/>
      <c r="AH845" s="183"/>
      <c r="AI845" s="183"/>
      <c r="AJ845" s="183"/>
      <c r="AK845" s="183"/>
      <c r="AL845" s="183"/>
      <c r="AM845" s="186" t="str">
        <f>IF(AF845="","","Q"&amp;INT((MONTH(AF845)-1)/3)+1&amp;YEAR(AF845)&amp;#REF!&amp;T845)</f>
        <v/>
      </c>
      <c r="AN845" s="186" t="str">
        <f>IF(K845="","","Q"&amp;INT((MONTH(K845)-1)/3)+1&amp;YEAR(K845)&amp;#REF!)</f>
        <v/>
      </c>
    </row>
    <row r="846" spans="1:40" ht="20.100000000000001" customHeight="1" x14ac:dyDescent="0.25">
      <c r="A846" s="8">
        <v>844</v>
      </c>
      <c r="B846" s="8" t="s">
        <v>399</v>
      </c>
      <c r="C846" s="8" t="s">
        <v>1997</v>
      </c>
      <c r="D846" s="8" t="s">
        <v>2416</v>
      </c>
      <c r="E846" s="182" t="s">
        <v>1998</v>
      </c>
      <c r="F846" s="183"/>
      <c r="G846" s="183"/>
      <c r="H846" s="183"/>
      <c r="I846" s="183"/>
      <c r="J846" s="183"/>
      <c r="K846" s="184"/>
      <c r="L846" s="183"/>
      <c r="M846" s="185" t="str">
        <f>IF(phc_8[[#This Row],[Register No.]]="","",C846&amp;"-"&amp;D846&amp;"-"&amp;"BHA-PHC-"&amp;phc_8[[#This Row],[Register No.]])</f>
        <v/>
      </c>
      <c r="N846" s="9" t="s">
        <v>401</v>
      </c>
      <c r="O846" s="183"/>
      <c r="P846" s="183"/>
      <c r="Q846" s="183"/>
      <c r="R846" s="183"/>
      <c r="S846" s="186" t="str">
        <f t="shared" si="33"/>
        <v xml:space="preserve"> </v>
      </c>
      <c r="T846" s="183"/>
      <c r="U846" s="183"/>
      <c r="V846" s="183"/>
      <c r="W846" s="183"/>
      <c r="X846" s="183"/>
      <c r="Y846" s="186" t="e">
        <f>INDEX(info!$Y$2:$Y$192,MATCH(phc_8[[#This Row],[Sub_Category]],info!$X$2:$X$192,0))</f>
        <v>#N/A</v>
      </c>
      <c r="Z846" s="186" t="e">
        <f t="array" ref="Z846">INDEX(info!$AA$2:$AA$192,MATCH(PHC!$X846&amp;PHC!$Y846,info!$X$2:$X$192&amp;info!$Y$2:$Y$192,0))</f>
        <v>#N/A</v>
      </c>
      <c r="AA846" s="183"/>
      <c r="AB846" s="9" t="s">
        <v>654</v>
      </c>
      <c r="AC846" s="9" t="s">
        <v>654</v>
      </c>
      <c r="AD846" s="9" t="s">
        <v>654</v>
      </c>
      <c r="AE846" s="9" t="s">
        <v>654</v>
      </c>
      <c r="AF846" s="184"/>
      <c r="AG846" s="183"/>
      <c r="AH846" s="183"/>
      <c r="AI846" s="183"/>
      <c r="AJ846" s="183"/>
      <c r="AK846" s="183"/>
      <c r="AL846" s="183"/>
      <c r="AM846" s="186" t="str">
        <f>IF(AF846="","","Q"&amp;INT((MONTH(AF846)-1)/3)+1&amp;YEAR(AF846)&amp;#REF!&amp;T846)</f>
        <v/>
      </c>
      <c r="AN846" s="186" t="str">
        <f>IF(K846="","","Q"&amp;INT((MONTH(K846)-1)/3)+1&amp;YEAR(K846)&amp;#REF!)</f>
        <v/>
      </c>
    </row>
    <row r="847" spans="1:40" ht="20.100000000000001" customHeight="1" x14ac:dyDescent="0.25">
      <c r="A847" s="8">
        <v>845</v>
      </c>
      <c r="B847" s="8" t="s">
        <v>399</v>
      </c>
      <c r="C847" s="8" t="s">
        <v>1997</v>
      </c>
      <c r="D847" s="8" t="s">
        <v>2416</v>
      </c>
      <c r="E847" s="182" t="s">
        <v>1998</v>
      </c>
      <c r="F847" s="183"/>
      <c r="G847" s="183"/>
      <c r="H847" s="183"/>
      <c r="I847" s="183"/>
      <c r="J847" s="183"/>
      <c r="K847" s="184"/>
      <c r="L847" s="183"/>
      <c r="M847" s="185" t="str">
        <f>IF(phc_8[[#This Row],[Register No.]]="","",C847&amp;"-"&amp;D847&amp;"-"&amp;"BHA-PHC-"&amp;phc_8[[#This Row],[Register No.]])</f>
        <v/>
      </c>
      <c r="N847" s="9" t="s">
        <v>401</v>
      </c>
      <c r="O847" s="183"/>
      <c r="P847" s="183"/>
      <c r="Q847" s="183"/>
      <c r="R847" s="183"/>
      <c r="S847" s="186" t="str">
        <f t="shared" si="33"/>
        <v xml:space="preserve"> </v>
      </c>
      <c r="T847" s="183"/>
      <c r="U847" s="183"/>
      <c r="V847" s="183"/>
      <c r="W847" s="183"/>
      <c r="X847" s="183"/>
      <c r="Y847" s="186" t="e">
        <f>INDEX(info!$Y$2:$Y$192,MATCH(phc_8[[#This Row],[Sub_Category]],info!$X$2:$X$192,0))</f>
        <v>#N/A</v>
      </c>
      <c r="Z847" s="186" t="e">
        <f t="array" ref="Z847">INDEX(info!$AA$2:$AA$192,MATCH(PHC!$X847&amp;PHC!$Y847,info!$X$2:$X$192&amp;info!$Y$2:$Y$192,0))</f>
        <v>#N/A</v>
      </c>
      <c r="AA847" s="183"/>
      <c r="AB847" s="9" t="s">
        <v>654</v>
      </c>
      <c r="AC847" s="9" t="s">
        <v>654</v>
      </c>
      <c r="AD847" s="9" t="s">
        <v>654</v>
      </c>
      <c r="AE847" s="9" t="s">
        <v>654</v>
      </c>
      <c r="AF847" s="184"/>
      <c r="AG847" s="183"/>
      <c r="AH847" s="183"/>
      <c r="AI847" s="183"/>
      <c r="AJ847" s="183"/>
      <c r="AK847" s="183"/>
      <c r="AL847" s="183"/>
      <c r="AM847" s="186" t="str">
        <f>IF(AF847="","","Q"&amp;INT((MONTH(AF847)-1)/3)+1&amp;YEAR(AF847)&amp;#REF!&amp;T847)</f>
        <v/>
      </c>
      <c r="AN847" s="186" t="str">
        <f>IF(K847="","","Q"&amp;INT((MONTH(K847)-1)/3)+1&amp;YEAR(K847)&amp;#REF!)</f>
        <v/>
      </c>
    </row>
    <row r="848" spans="1:40" ht="20.100000000000001" customHeight="1" x14ac:dyDescent="0.25">
      <c r="A848" s="8">
        <v>846</v>
      </c>
      <c r="B848" s="8" t="s">
        <v>399</v>
      </c>
      <c r="C848" s="8" t="s">
        <v>1997</v>
      </c>
      <c r="D848" s="8" t="s">
        <v>2416</v>
      </c>
      <c r="E848" s="182" t="s">
        <v>1998</v>
      </c>
      <c r="F848" s="183"/>
      <c r="G848" s="183"/>
      <c r="H848" s="183"/>
      <c r="I848" s="183"/>
      <c r="J848" s="183"/>
      <c r="K848" s="184"/>
      <c r="L848" s="183"/>
      <c r="M848" s="185" t="str">
        <f>IF(phc_8[[#This Row],[Register No.]]="","",C848&amp;"-"&amp;D848&amp;"-"&amp;"BHA-PHC-"&amp;phc_8[[#This Row],[Register No.]])</f>
        <v/>
      </c>
      <c r="N848" s="9" t="s">
        <v>401</v>
      </c>
      <c r="O848" s="183"/>
      <c r="P848" s="183"/>
      <c r="Q848" s="183"/>
      <c r="R848" s="183"/>
      <c r="S848" s="186" t="str">
        <f t="shared" si="33"/>
        <v xml:space="preserve"> </v>
      </c>
      <c r="T848" s="183"/>
      <c r="U848" s="183"/>
      <c r="V848" s="183"/>
      <c r="W848" s="183"/>
      <c r="X848" s="183"/>
      <c r="Y848" s="186" t="e">
        <f>INDEX(info!$Y$2:$Y$192,MATCH(phc_8[[#This Row],[Sub_Category]],info!$X$2:$X$192,0))</f>
        <v>#N/A</v>
      </c>
      <c r="Z848" s="186" t="e">
        <f t="array" ref="Z848">INDEX(info!$AA$2:$AA$192,MATCH(PHC!$X848&amp;PHC!$Y848,info!$X$2:$X$192&amp;info!$Y$2:$Y$192,0))</f>
        <v>#N/A</v>
      </c>
      <c r="AA848" s="183"/>
      <c r="AB848" s="9" t="s">
        <v>654</v>
      </c>
      <c r="AC848" s="9" t="s">
        <v>654</v>
      </c>
      <c r="AD848" s="9" t="s">
        <v>654</v>
      </c>
      <c r="AE848" s="9" t="s">
        <v>654</v>
      </c>
      <c r="AF848" s="184"/>
      <c r="AG848" s="183"/>
      <c r="AH848" s="183"/>
      <c r="AI848" s="183"/>
      <c r="AJ848" s="183"/>
      <c r="AK848" s="183"/>
      <c r="AL848" s="183"/>
      <c r="AM848" s="186" t="str">
        <f>IF(AF848="","","Q"&amp;INT((MONTH(AF848)-1)/3)+1&amp;YEAR(AF848)&amp;#REF!&amp;T848)</f>
        <v/>
      </c>
      <c r="AN848" s="186" t="str">
        <f>IF(K848="","","Q"&amp;INT((MONTH(K848)-1)/3)+1&amp;YEAR(K848)&amp;#REF!)</f>
        <v/>
      </c>
    </row>
    <row r="849" spans="1:40" ht="20.100000000000001" customHeight="1" x14ac:dyDescent="0.25">
      <c r="A849" s="8">
        <v>847</v>
      </c>
      <c r="B849" s="8" t="s">
        <v>399</v>
      </c>
      <c r="C849" s="8" t="s">
        <v>1997</v>
      </c>
      <c r="D849" s="8" t="s">
        <v>2416</v>
      </c>
      <c r="E849" s="182" t="s">
        <v>1998</v>
      </c>
      <c r="F849" s="183"/>
      <c r="G849" s="183"/>
      <c r="H849" s="183"/>
      <c r="I849" s="183"/>
      <c r="J849" s="183"/>
      <c r="K849" s="184"/>
      <c r="L849" s="183"/>
      <c r="M849" s="185" t="str">
        <f>IF(phc_8[[#This Row],[Register No.]]="","",C849&amp;"-"&amp;D849&amp;"-"&amp;"BHA-PHC-"&amp;phc_8[[#This Row],[Register No.]])</f>
        <v/>
      </c>
      <c r="N849" s="9" t="s">
        <v>401</v>
      </c>
      <c r="O849" s="183"/>
      <c r="P849" s="183"/>
      <c r="Q849" s="183"/>
      <c r="R849" s="183"/>
      <c r="S849" s="186" t="str">
        <f t="shared" si="33"/>
        <v xml:space="preserve"> </v>
      </c>
      <c r="T849" s="183"/>
      <c r="U849" s="183"/>
      <c r="V849" s="183"/>
      <c r="W849" s="183"/>
      <c r="X849" s="183"/>
      <c r="Y849" s="186" t="e">
        <f>INDEX(info!$Y$2:$Y$192,MATCH(phc_8[[#This Row],[Sub_Category]],info!$X$2:$X$192,0))</f>
        <v>#N/A</v>
      </c>
      <c r="Z849" s="186" t="e">
        <f t="array" ref="Z849">INDEX(info!$AA$2:$AA$192,MATCH(PHC!$X849&amp;PHC!$Y849,info!$X$2:$X$192&amp;info!$Y$2:$Y$192,0))</f>
        <v>#N/A</v>
      </c>
      <c r="AA849" s="183"/>
      <c r="AB849" s="9" t="s">
        <v>654</v>
      </c>
      <c r="AC849" s="9" t="s">
        <v>654</v>
      </c>
      <c r="AD849" s="9" t="s">
        <v>654</v>
      </c>
      <c r="AE849" s="9" t="s">
        <v>654</v>
      </c>
      <c r="AF849" s="184"/>
      <c r="AG849" s="183"/>
      <c r="AH849" s="183"/>
      <c r="AI849" s="183"/>
      <c r="AJ849" s="183"/>
      <c r="AK849" s="183"/>
      <c r="AL849" s="183"/>
      <c r="AM849" s="186" t="str">
        <f>IF(AF849="","","Q"&amp;INT((MONTH(AF849)-1)/3)+1&amp;YEAR(AF849)&amp;#REF!&amp;T849)</f>
        <v/>
      </c>
      <c r="AN849" s="186" t="str">
        <f>IF(K849="","","Q"&amp;INT((MONTH(K849)-1)/3)+1&amp;YEAR(K849)&amp;#REF!)</f>
        <v/>
      </c>
    </row>
    <row r="850" spans="1:40" ht="20.100000000000001" customHeight="1" x14ac:dyDescent="0.25">
      <c r="A850" s="8">
        <v>848</v>
      </c>
      <c r="B850" s="8" t="s">
        <v>399</v>
      </c>
      <c r="C850" s="8" t="s">
        <v>1997</v>
      </c>
      <c r="D850" s="8" t="s">
        <v>2416</v>
      </c>
      <c r="E850" s="182" t="s">
        <v>1998</v>
      </c>
      <c r="F850" s="183"/>
      <c r="G850" s="183"/>
      <c r="H850" s="183"/>
      <c r="I850" s="183"/>
      <c r="J850" s="183"/>
      <c r="K850" s="184"/>
      <c r="L850" s="183"/>
      <c r="M850" s="185" t="str">
        <f>IF(phc_8[[#This Row],[Register No.]]="","",C850&amp;"-"&amp;D850&amp;"-"&amp;"BHA-PHC-"&amp;phc_8[[#This Row],[Register No.]])</f>
        <v/>
      </c>
      <c r="N850" s="9" t="s">
        <v>401</v>
      </c>
      <c r="O850" s="183"/>
      <c r="P850" s="183"/>
      <c r="Q850" s="183"/>
      <c r="R850" s="183"/>
      <c r="S850" s="186" t="str">
        <f t="shared" si="33"/>
        <v xml:space="preserve"> </v>
      </c>
      <c r="T850" s="183"/>
      <c r="U850" s="183"/>
      <c r="V850" s="183"/>
      <c r="W850" s="183"/>
      <c r="X850" s="183"/>
      <c r="Y850" s="186" t="e">
        <f>INDEX(info!$Y$2:$Y$192,MATCH(phc_8[[#This Row],[Sub_Category]],info!$X$2:$X$192,0))</f>
        <v>#N/A</v>
      </c>
      <c r="Z850" s="186" t="e">
        <f t="array" ref="Z850">INDEX(info!$AA$2:$AA$192,MATCH(PHC!$X850&amp;PHC!$Y850,info!$X$2:$X$192&amp;info!$Y$2:$Y$192,0))</f>
        <v>#N/A</v>
      </c>
      <c r="AA850" s="183"/>
      <c r="AB850" s="9" t="s">
        <v>654</v>
      </c>
      <c r="AC850" s="9" t="s">
        <v>654</v>
      </c>
      <c r="AD850" s="9" t="s">
        <v>654</v>
      </c>
      <c r="AE850" s="9" t="s">
        <v>654</v>
      </c>
      <c r="AF850" s="184"/>
      <c r="AG850" s="183"/>
      <c r="AH850" s="183"/>
      <c r="AI850" s="183"/>
      <c r="AJ850" s="183"/>
      <c r="AK850" s="183"/>
      <c r="AL850" s="183"/>
      <c r="AM850" s="186" t="str">
        <f>IF(AF850="","","Q"&amp;INT((MONTH(AF850)-1)/3)+1&amp;YEAR(AF850)&amp;#REF!&amp;T850)</f>
        <v/>
      </c>
      <c r="AN850" s="186" t="str">
        <f>IF(K850="","","Q"&amp;INT((MONTH(K850)-1)/3)+1&amp;YEAR(K850)&amp;#REF!)</f>
        <v/>
      </c>
    </row>
    <row r="851" spans="1:40" ht="20.100000000000001" customHeight="1" x14ac:dyDescent="0.25">
      <c r="A851" s="8">
        <v>849</v>
      </c>
      <c r="B851" s="8" t="s">
        <v>399</v>
      </c>
      <c r="C851" s="8" t="s">
        <v>1997</v>
      </c>
      <c r="D851" s="8" t="s">
        <v>2416</v>
      </c>
      <c r="E851" s="182" t="s">
        <v>1998</v>
      </c>
      <c r="F851" s="183"/>
      <c r="G851" s="183"/>
      <c r="H851" s="183"/>
      <c r="I851" s="183"/>
      <c r="J851" s="183"/>
      <c r="K851" s="184"/>
      <c r="L851" s="183"/>
      <c r="M851" s="185" t="str">
        <f>IF(phc_8[[#This Row],[Register No.]]="","",C851&amp;"-"&amp;D851&amp;"-"&amp;"BHA-PHC-"&amp;phc_8[[#This Row],[Register No.]])</f>
        <v/>
      </c>
      <c r="N851" s="9" t="s">
        <v>401</v>
      </c>
      <c r="O851" s="183"/>
      <c r="P851" s="183"/>
      <c r="Q851" s="183"/>
      <c r="R851" s="183"/>
      <c r="S851" s="186" t="str">
        <f t="shared" si="33"/>
        <v xml:space="preserve"> </v>
      </c>
      <c r="T851" s="183"/>
      <c r="U851" s="183"/>
      <c r="V851" s="183"/>
      <c r="W851" s="183"/>
      <c r="X851" s="183"/>
      <c r="Y851" s="186" t="e">
        <f>INDEX(info!$Y$2:$Y$192,MATCH(phc_8[[#This Row],[Sub_Category]],info!$X$2:$X$192,0))</f>
        <v>#N/A</v>
      </c>
      <c r="Z851" s="186" t="e">
        <f t="array" ref="Z851">INDEX(info!$AA$2:$AA$192,MATCH(PHC!$X851&amp;PHC!$Y851,info!$X$2:$X$192&amp;info!$Y$2:$Y$192,0))</f>
        <v>#N/A</v>
      </c>
      <c r="AA851" s="183"/>
      <c r="AB851" s="9" t="s">
        <v>654</v>
      </c>
      <c r="AC851" s="9" t="s">
        <v>654</v>
      </c>
      <c r="AD851" s="9" t="s">
        <v>654</v>
      </c>
      <c r="AE851" s="9" t="s">
        <v>654</v>
      </c>
      <c r="AF851" s="184"/>
      <c r="AG851" s="183"/>
      <c r="AH851" s="183"/>
      <c r="AI851" s="183"/>
      <c r="AJ851" s="183"/>
      <c r="AK851" s="183"/>
      <c r="AL851" s="183"/>
      <c r="AM851" s="186" t="str">
        <f>IF(AF851="","","Q"&amp;INT((MONTH(AF851)-1)/3)+1&amp;YEAR(AF851)&amp;#REF!&amp;T851)</f>
        <v/>
      </c>
      <c r="AN851" s="186" t="str">
        <f>IF(K851="","","Q"&amp;INT((MONTH(K851)-1)/3)+1&amp;YEAR(K851)&amp;#REF!)</f>
        <v/>
      </c>
    </row>
    <row r="852" spans="1:40" ht="20.100000000000001" customHeight="1" x14ac:dyDescent="0.25">
      <c r="A852" s="8">
        <v>850</v>
      </c>
      <c r="B852" s="8" t="s">
        <v>399</v>
      </c>
      <c r="C852" s="8" t="s">
        <v>1997</v>
      </c>
      <c r="D852" s="8" t="s">
        <v>2416</v>
      </c>
      <c r="E852" s="182" t="s">
        <v>1998</v>
      </c>
      <c r="F852" s="183"/>
      <c r="G852" s="183"/>
      <c r="H852" s="183"/>
      <c r="I852" s="183"/>
      <c r="J852" s="183"/>
      <c r="K852" s="184"/>
      <c r="L852" s="183"/>
      <c r="M852" s="185" t="str">
        <f>IF(phc_8[[#This Row],[Register No.]]="","",C852&amp;"-"&amp;D852&amp;"-"&amp;"BHA-PHC-"&amp;phc_8[[#This Row],[Register No.]])</f>
        <v/>
      </c>
      <c r="N852" s="9" t="s">
        <v>401</v>
      </c>
      <c r="O852" s="183"/>
      <c r="P852" s="183"/>
      <c r="Q852" s="183"/>
      <c r="R852" s="183"/>
      <c r="S852" s="186" t="str">
        <f t="shared" si="33"/>
        <v xml:space="preserve"> </v>
      </c>
      <c r="T852" s="183"/>
      <c r="U852" s="183"/>
      <c r="V852" s="183"/>
      <c r="W852" s="183"/>
      <c r="X852" s="183"/>
      <c r="Y852" s="186" t="e">
        <f>INDEX(info!$Y$2:$Y$192,MATCH(phc_8[[#This Row],[Sub_Category]],info!$X$2:$X$192,0))</f>
        <v>#N/A</v>
      </c>
      <c r="Z852" s="186" t="e">
        <f t="array" ref="Z852">INDEX(info!$AA$2:$AA$192,MATCH(PHC!$X852&amp;PHC!$Y852,info!$X$2:$X$192&amp;info!$Y$2:$Y$192,0))</f>
        <v>#N/A</v>
      </c>
      <c r="AA852" s="183"/>
      <c r="AB852" s="9" t="s">
        <v>654</v>
      </c>
      <c r="AC852" s="9" t="s">
        <v>654</v>
      </c>
      <c r="AD852" s="9" t="s">
        <v>654</v>
      </c>
      <c r="AE852" s="9" t="s">
        <v>654</v>
      </c>
      <c r="AF852" s="184"/>
      <c r="AG852" s="183"/>
      <c r="AH852" s="183"/>
      <c r="AI852" s="183"/>
      <c r="AJ852" s="183"/>
      <c r="AK852" s="183"/>
      <c r="AL852" s="183"/>
      <c r="AM852" s="186" t="str">
        <f>IF(AF852="","","Q"&amp;INT((MONTH(AF852)-1)/3)+1&amp;YEAR(AF852)&amp;#REF!&amp;T852)</f>
        <v/>
      </c>
      <c r="AN852" s="186" t="str">
        <f>IF(K852="","","Q"&amp;INT((MONTH(K852)-1)/3)+1&amp;YEAR(K852)&amp;#REF!)</f>
        <v/>
      </c>
    </row>
    <row r="853" spans="1:40" ht="20.100000000000001" customHeight="1" x14ac:dyDescent="0.25">
      <c r="A853" s="8">
        <v>851</v>
      </c>
      <c r="B853" s="8" t="s">
        <v>399</v>
      </c>
      <c r="C853" s="8" t="s">
        <v>1997</v>
      </c>
      <c r="D853" s="8" t="s">
        <v>2416</v>
      </c>
      <c r="E853" s="182" t="s">
        <v>1998</v>
      </c>
      <c r="F853" s="183"/>
      <c r="G853" s="183"/>
      <c r="H853" s="183"/>
      <c r="I853" s="183"/>
      <c r="J853" s="183"/>
      <c r="K853" s="184"/>
      <c r="L853" s="183"/>
      <c r="M853" s="185" t="str">
        <f>IF(phc_8[[#This Row],[Register No.]]="","",C853&amp;"-"&amp;D853&amp;"-"&amp;"BHA-PHC-"&amp;phc_8[[#This Row],[Register No.]])</f>
        <v/>
      </c>
      <c r="N853" s="9" t="s">
        <v>401</v>
      </c>
      <c r="O853" s="183"/>
      <c r="P853" s="183"/>
      <c r="Q853" s="183"/>
      <c r="R853" s="183"/>
      <c r="S853" s="186" t="str">
        <f t="shared" si="33"/>
        <v xml:space="preserve"> </v>
      </c>
      <c r="T853" s="183"/>
      <c r="U853" s="183"/>
      <c r="V853" s="183"/>
      <c r="W853" s="183"/>
      <c r="X853" s="183"/>
      <c r="Y853" s="186" t="e">
        <f>INDEX(info!$Y$2:$Y$192,MATCH(phc_8[[#This Row],[Sub_Category]],info!$X$2:$X$192,0))</f>
        <v>#N/A</v>
      </c>
      <c r="Z853" s="186" t="e">
        <f t="array" ref="Z853">INDEX(info!$AA$2:$AA$192,MATCH(PHC!$X853&amp;PHC!$Y853,info!$X$2:$X$192&amp;info!$Y$2:$Y$192,0))</f>
        <v>#N/A</v>
      </c>
      <c r="AA853" s="183"/>
      <c r="AB853" s="9" t="s">
        <v>654</v>
      </c>
      <c r="AC853" s="9" t="s">
        <v>654</v>
      </c>
      <c r="AD853" s="9" t="s">
        <v>654</v>
      </c>
      <c r="AE853" s="9" t="s">
        <v>654</v>
      </c>
      <c r="AF853" s="184"/>
      <c r="AG853" s="183"/>
      <c r="AH853" s="183"/>
      <c r="AI853" s="183"/>
      <c r="AJ853" s="183"/>
      <c r="AK853" s="183"/>
      <c r="AL853" s="183"/>
      <c r="AM853" s="186" t="str">
        <f>IF(AF853="","","Q"&amp;INT((MONTH(AF853)-1)/3)+1&amp;YEAR(AF853)&amp;#REF!&amp;T853)</f>
        <v/>
      </c>
      <c r="AN853" s="186" t="str">
        <f>IF(K853="","","Q"&amp;INT((MONTH(K853)-1)/3)+1&amp;YEAR(K853)&amp;#REF!)</f>
        <v/>
      </c>
    </row>
    <row r="854" spans="1:40" ht="20.100000000000001" customHeight="1" x14ac:dyDescent="0.25">
      <c r="A854" s="8">
        <v>852</v>
      </c>
      <c r="B854" s="8" t="s">
        <v>399</v>
      </c>
      <c r="C854" s="8" t="s">
        <v>1997</v>
      </c>
      <c r="D854" s="8" t="s">
        <v>2416</v>
      </c>
      <c r="E854" s="182" t="s">
        <v>1998</v>
      </c>
      <c r="F854" s="183"/>
      <c r="G854" s="183"/>
      <c r="H854" s="183"/>
      <c r="I854" s="183"/>
      <c r="J854" s="183"/>
      <c r="K854" s="184"/>
      <c r="L854" s="183"/>
      <c r="M854" s="185" t="str">
        <f>IF(phc_8[[#This Row],[Register No.]]="","",C854&amp;"-"&amp;D854&amp;"-"&amp;"BHA-PHC-"&amp;phc_8[[#This Row],[Register No.]])</f>
        <v/>
      </c>
      <c r="N854" s="9" t="s">
        <v>401</v>
      </c>
      <c r="O854" s="183"/>
      <c r="P854" s="183"/>
      <c r="Q854" s="183"/>
      <c r="R854" s="183"/>
      <c r="S854" s="186" t="str">
        <f t="shared" si="33"/>
        <v xml:space="preserve"> </v>
      </c>
      <c r="T854" s="183"/>
      <c r="U854" s="183"/>
      <c r="V854" s="183"/>
      <c r="W854" s="183"/>
      <c r="X854" s="183"/>
      <c r="Y854" s="186" t="e">
        <f>INDEX(info!$Y$2:$Y$192,MATCH(phc_8[[#This Row],[Sub_Category]],info!$X$2:$X$192,0))</f>
        <v>#N/A</v>
      </c>
      <c r="Z854" s="186" t="e">
        <f t="array" ref="Z854">INDEX(info!$AA$2:$AA$192,MATCH(PHC!$X854&amp;PHC!$Y854,info!$X$2:$X$192&amp;info!$Y$2:$Y$192,0))</f>
        <v>#N/A</v>
      </c>
      <c r="AA854" s="183"/>
      <c r="AB854" s="9" t="s">
        <v>654</v>
      </c>
      <c r="AC854" s="9" t="s">
        <v>654</v>
      </c>
      <c r="AD854" s="9" t="s">
        <v>654</v>
      </c>
      <c r="AE854" s="9" t="s">
        <v>654</v>
      </c>
      <c r="AF854" s="184"/>
      <c r="AG854" s="183"/>
      <c r="AH854" s="183"/>
      <c r="AI854" s="183"/>
      <c r="AJ854" s="183"/>
      <c r="AK854" s="183"/>
      <c r="AL854" s="183"/>
      <c r="AM854" s="186" t="str">
        <f>IF(AF854="","","Q"&amp;INT((MONTH(AF854)-1)/3)+1&amp;YEAR(AF854)&amp;#REF!&amp;T854)</f>
        <v/>
      </c>
      <c r="AN854" s="186" t="str">
        <f>IF(K854="","","Q"&amp;INT((MONTH(K854)-1)/3)+1&amp;YEAR(K854)&amp;#REF!)</f>
        <v/>
      </c>
    </row>
    <row r="855" spans="1:40" ht="20.100000000000001" customHeight="1" x14ac:dyDescent="0.25">
      <c r="A855" s="8">
        <v>853</v>
      </c>
      <c r="B855" s="8" t="s">
        <v>399</v>
      </c>
      <c r="C855" s="8" t="s">
        <v>1997</v>
      </c>
      <c r="D855" s="8" t="s">
        <v>2416</v>
      </c>
      <c r="E855" s="182" t="s">
        <v>1998</v>
      </c>
      <c r="F855" s="183"/>
      <c r="G855" s="183"/>
      <c r="H855" s="183"/>
      <c r="I855" s="183"/>
      <c r="J855" s="183"/>
      <c r="K855" s="184"/>
      <c r="L855" s="183"/>
      <c r="M855" s="185" t="str">
        <f>IF(phc_8[[#This Row],[Register No.]]="","",C855&amp;"-"&amp;D855&amp;"-"&amp;"BHA-PHC-"&amp;phc_8[[#This Row],[Register No.]])</f>
        <v/>
      </c>
      <c r="N855" s="9" t="s">
        <v>401</v>
      </c>
      <c r="O855" s="183"/>
      <c r="P855" s="183"/>
      <c r="Q855" s="183"/>
      <c r="R855" s="183"/>
      <c r="S855" s="186" t="str">
        <f t="shared" si="33"/>
        <v xml:space="preserve"> </v>
      </c>
      <c r="T855" s="183"/>
      <c r="U855" s="183"/>
      <c r="V855" s="183"/>
      <c r="W855" s="183"/>
      <c r="X855" s="183"/>
      <c r="Y855" s="186" t="e">
        <f>INDEX(info!$Y$2:$Y$192,MATCH(phc_8[[#This Row],[Sub_Category]],info!$X$2:$X$192,0))</f>
        <v>#N/A</v>
      </c>
      <c r="Z855" s="186" t="e">
        <f t="array" ref="Z855">INDEX(info!$AA$2:$AA$192,MATCH(PHC!$X855&amp;PHC!$Y855,info!$X$2:$X$192&amp;info!$Y$2:$Y$192,0))</f>
        <v>#N/A</v>
      </c>
      <c r="AA855" s="183"/>
      <c r="AB855" s="9" t="s">
        <v>654</v>
      </c>
      <c r="AC855" s="9" t="s">
        <v>654</v>
      </c>
      <c r="AD855" s="9" t="s">
        <v>654</v>
      </c>
      <c r="AE855" s="9" t="s">
        <v>654</v>
      </c>
      <c r="AF855" s="184"/>
      <c r="AG855" s="183"/>
      <c r="AH855" s="183"/>
      <c r="AI855" s="183"/>
      <c r="AJ855" s="183"/>
      <c r="AK855" s="183"/>
      <c r="AL855" s="183"/>
      <c r="AM855" s="186" t="str">
        <f>IF(AF855="","","Q"&amp;INT((MONTH(AF855)-1)/3)+1&amp;YEAR(AF855)&amp;#REF!&amp;T855)</f>
        <v/>
      </c>
      <c r="AN855" s="186" t="str">
        <f>IF(K855="","","Q"&amp;INT((MONTH(K855)-1)/3)+1&amp;YEAR(K855)&amp;#REF!)</f>
        <v/>
      </c>
    </row>
    <row r="856" spans="1:40" ht="20.100000000000001" customHeight="1" x14ac:dyDescent="0.25">
      <c r="A856" s="8">
        <v>854</v>
      </c>
      <c r="B856" s="8" t="s">
        <v>399</v>
      </c>
      <c r="C856" s="8" t="s">
        <v>1997</v>
      </c>
      <c r="D856" s="8" t="s">
        <v>2416</v>
      </c>
      <c r="E856" s="182" t="s">
        <v>1998</v>
      </c>
      <c r="F856" s="183"/>
      <c r="G856" s="183"/>
      <c r="H856" s="183"/>
      <c r="I856" s="183"/>
      <c r="J856" s="183"/>
      <c r="K856" s="184"/>
      <c r="L856" s="183"/>
      <c r="M856" s="185" t="str">
        <f>IF(phc_8[[#This Row],[Register No.]]="","",C856&amp;"-"&amp;D856&amp;"-"&amp;"BHA-PHC-"&amp;phc_8[[#This Row],[Register No.]])</f>
        <v/>
      </c>
      <c r="N856" s="9" t="s">
        <v>401</v>
      </c>
      <c r="O856" s="183"/>
      <c r="P856" s="183"/>
      <c r="Q856" s="183"/>
      <c r="R856" s="183"/>
      <c r="S856" s="186" t="str">
        <f t="shared" ref="S856:S887" si="34">IF(AND(ISBLANK(P856),ISBLANK(Q856),ISBLANK(R856))," ",
IF(OR(P856&lt;5,AND(P856=" ",Q856&lt;&gt;" ",R856&lt;&gt;" ")),"&lt;5 yrs",
IF(AND(P856&gt;=5,P856&lt;=14),"5 - 14 yrs",
IF(AND(P856&gt;=15,P856&lt;=18),"15 - 18 yrs",
IF(AND(P856&gt;=19,P856&lt;=49),"19 - 49 yrs","50 yrs +")))))</f>
        <v xml:space="preserve"> </v>
      </c>
      <c r="T856" s="183"/>
      <c r="U856" s="183"/>
      <c r="V856" s="183"/>
      <c r="W856" s="183"/>
      <c r="X856" s="183"/>
      <c r="Y856" s="186" t="e">
        <f>INDEX(info!$Y$2:$Y$192,MATCH(phc_8[[#This Row],[Sub_Category]],info!$X$2:$X$192,0))</f>
        <v>#N/A</v>
      </c>
      <c r="Z856" s="186" t="e">
        <f t="array" ref="Z856">INDEX(info!$AA$2:$AA$192,MATCH(PHC!$X856&amp;PHC!$Y856,info!$X$2:$X$192&amp;info!$Y$2:$Y$192,0))</f>
        <v>#N/A</v>
      </c>
      <c r="AA856" s="183"/>
      <c r="AB856" s="9" t="s">
        <v>654</v>
      </c>
      <c r="AC856" s="9" t="s">
        <v>654</v>
      </c>
      <c r="AD856" s="9" t="s">
        <v>654</v>
      </c>
      <c r="AE856" s="9" t="s">
        <v>654</v>
      </c>
      <c r="AF856" s="184"/>
      <c r="AG856" s="183"/>
      <c r="AH856" s="183"/>
      <c r="AI856" s="183"/>
      <c r="AJ856" s="183"/>
      <c r="AK856" s="183"/>
      <c r="AL856" s="183"/>
      <c r="AM856" s="186" t="str">
        <f>IF(AF856="","","Q"&amp;INT((MONTH(AF856)-1)/3)+1&amp;YEAR(AF856)&amp;#REF!&amp;T856)</f>
        <v/>
      </c>
      <c r="AN856" s="186" t="str">
        <f>IF(K856="","","Q"&amp;INT((MONTH(K856)-1)/3)+1&amp;YEAR(K856)&amp;#REF!)</f>
        <v/>
      </c>
    </row>
    <row r="857" spans="1:40" ht="20.100000000000001" customHeight="1" x14ac:dyDescent="0.25">
      <c r="A857" s="8">
        <v>855</v>
      </c>
      <c r="B857" s="8" t="s">
        <v>399</v>
      </c>
      <c r="C857" s="8" t="s">
        <v>1997</v>
      </c>
      <c r="D857" s="8" t="s">
        <v>2416</v>
      </c>
      <c r="E857" s="182" t="s">
        <v>1998</v>
      </c>
      <c r="F857" s="183"/>
      <c r="G857" s="183"/>
      <c r="H857" s="183"/>
      <c r="I857" s="183"/>
      <c r="J857" s="183"/>
      <c r="K857" s="184"/>
      <c r="L857" s="183"/>
      <c r="M857" s="185" t="str">
        <f>IF(phc_8[[#This Row],[Register No.]]="","",C857&amp;"-"&amp;D857&amp;"-"&amp;"BHA-PHC-"&amp;phc_8[[#This Row],[Register No.]])</f>
        <v/>
      </c>
      <c r="N857" s="9" t="s">
        <v>401</v>
      </c>
      <c r="O857" s="183"/>
      <c r="P857" s="183"/>
      <c r="Q857" s="183"/>
      <c r="R857" s="183"/>
      <c r="S857" s="186" t="str">
        <f t="shared" si="34"/>
        <v xml:space="preserve"> </v>
      </c>
      <c r="T857" s="183"/>
      <c r="U857" s="183"/>
      <c r="V857" s="183"/>
      <c r="W857" s="183"/>
      <c r="X857" s="183"/>
      <c r="Y857" s="186" t="e">
        <f>INDEX(info!$Y$2:$Y$192,MATCH(phc_8[[#This Row],[Sub_Category]],info!$X$2:$X$192,0))</f>
        <v>#N/A</v>
      </c>
      <c r="Z857" s="186" t="e">
        <f t="array" ref="Z857">INDEX(info!$AA$2:$AA$192,MATCH(PHC!$X857&amp;PHC!$Y857,info!$X$2:$X$192&amp;info!$Y$2:$Y$192,0))</f>
        <v>#N/A</v>
      </c>
      <c r="AA857" s="183"/>
      <c r="AB857" s="9" t="s">
        <v>654</v>
      </c>
      <c r="AC857" s="9" t="s">
        <v>654</v>
      </c>
      <c r="AD857" s="9" t="s">
        <v>654</v>
      </c>
      <c r="AE857" s="9" t="s">
        <v>654</v>
      </c>
      <c r="AF857" s="184"/>
      <c r="AG857" s="183"/>
      <c r="AH857" s="183"/>
      <c r="AI857" s="183"/>
      <c r="AJ857" s="183"/>
      <c r="AK857" s="183"/>
      <c r="AL857" s="183"/>
      <c r="AM857" s="186" t="str">
        <f>IF(AF857="","","Q"&amp;INT((MONTH(AF857)-1)/3)+1&amp;YEAR(AF857)&amp;#REF!&amp;T857)</f>
        <v/>
      </c>
      <c r="AN857" s="186" t="str">
        <f>IF(K857="","","Q"&amp;INT((MONTH(K857)-1)/3)+1&amp;YEAR(K857)&amp;#REF!)</f>
        <v/>
      </c>
    </row>
    <row r="858" spans="1:40" ht="20.100000000000001" customHeight="1" x14ac:dyDescent="0.25">
      <c r="A858" s="8">
        <v>856</v>
      </c>
      <c r="B858" s="8" t="s">
        <v>399</v>
      </c>
      <c r="C858" s="8" t="s">
        <v>1997</v>
      </c>
      <c r="D858" s="8" t="s">
        <v>2416</v>
      </c>
      <c r="E858" s="182" t="s">
        <v>1998</v>
      </c>
      <c r="F858" s="183"/>
      <c r="G858" s="183"/>
      <c r="H858" s="183"/>
      <c r="I858" s="183"/>
      <c r="J858" s="183"/>
      <c r="K858" s="184"/>
      <c r="L858" s="183"/>
      <c r="M858" s="185" t="str">
        <f>IF(phc_8[[#This Row],[Register No.]]="","",C858&amp;"-"&amp;D858&amp;"-"&amp;"BHA-PHC-"&amp;phc_8[[#This Row],[Register No.]])</f>
        <v/>
      </c>
      <c r="N858" s="9" t="s">
        <v>401</v>
      </c>
      <c r="O858" s="183"/>
      <c r="P858" s="183"/>
      <c r="Q858" s="183"/>
      <c r="R858" s="183"/>
      <c r="S858" s="186" t="str">
        <f t="shared" si="34"/>
        <v xml:space="preserve"> </v>
      </c>
      <c r="T858" s="183"/>
      <c r="U858" s="183"/>
      <c r="V858" s="183"/>
      <c r="W858" s="183"/>
      <c r="X858" s="183"/>
      <c r="Y858" s="186" t="e">
        <f>INDEX(info!$Y$2:$Y$192,MATCH(phc_8[[#This Row],[Sub_Category]],info!$X$2:$X$192,0))</f>
        <v>#N/A</v>
      </c>
      <c r="Z858" s="186" t="e">
        <f t="array" ref="Z858">INDEX(info!$AA$2:$AA$192,MATCH(PHC!$X858&amp;PHC!$Y858,info!$X$2:$X$192&amp;info!$Y$2:$Y$192,0))</f>
        <v>#N/A</v>
      </c>
      <c r="AA858" s="183"/>
      <c r="AB858" s="9" t="s">
        <v>654</v>
      </c>
      <c r="AC858" s="9" t="s">
        <v>654</v>
      </c>
      <c r="AD858" s="9" t="s">
        <v>654</v>
      </c>
      <c r="AE858" s="9" t="s">
        <v>654</v>
      </c>
      <c r="AF858" s="184"/>
      <c r="AG858" s="183"/>
      <c r="AH858" s="183"/>
      <c r="AI858" s="183"/>
      <c r="AJ858" s="183"/>
      <c r="AK858" s="183"/>
      <c r="AL858" s="183"/>
      <c r="AM858" s="186" t="str">
        <f>IF(AF858="","","Q"&amp;INT((MONTH(AF858)-1)/3)+1&amp;YEAR(AF858)&amp;#REF!&amp;T858)</f>
        <v/>
      </c>
      <c r="AN858" s="186" t="str">
        <f>IF(K858="","","Q"&amp;INT((MONTH(K858)-1)/3)+1&amp;YEAR(K858)&amp;#REF!)</f>
        <v/>
      </c>
    </row>
    <row r="859" spans="1:40" ht="20.100000000000001" customHeight="1" x14ac:dyDescent="0.25">
      <c r="A859" s="8">
        <v>857</v>
      </c>
      <c r="B859" s="8" t="s">
        <v>399</v>
      </c>
      <c r="C859" s="8" t="s">
        <v>1997</v>
      </c>
      <c r="D859" s="8" t="s">
        <v>2416</v>
      </c>
      <c r="E859" s="182" t="s">
        <v>1998</v>
      </c>
      <c r="F859" s="183"/>
      <c r="G859" s="183"/>
      <c r="H859" s="183"/>
      <c r="I859" s="183"/>
      <c r="J859" s="183"/>
      <c r="K859" s="184"/>
      <c r="L859" s="183"/>
      <c r="M859" s="185" t="str">
        <f>IF(phc_8[[#This Row],[Register No.]]="","",C859&amp;"-"&amp;D859&amp;"-"&amp;"BHA-PHC-"&amp;phc_8[[#This Row],[Register No.]])</f>
        <v/>
      </c>
      <c r="N859" s="9" t="s">
        <v>401</v>
      </c>
      <c r="O859" s="183"/>
      <c r="P859" s="183"/>
      <c r="Q859" s="183"/>
      <c r="R859" s="183"/>
      <c r="S859" s="186" t="str">
        <f t="shared" si="34"/>
        <v xml:space="preserve"> </v>
      </c>
      <c r="T859" s="183"/>
      <c r="U859" s="183"/>
      <c r="V859" s="183"/>
      <c r="W859" s="183"/>
      <c r="X859" s="183"/>
      <c r="Y859" s="186" t="e">
        <f>INDEX(info!$Y$2:$Y$192,MATCH(phc_8[[#This Row],[Sub_Category]],info!$X$2:$X$192,0))</f>
        <v>#N/A</v>
      </c>
      <c r="Z859" s="186" t="e">
        <f t="array" ref="Z859">INDEX(info!$AA$2:$AA$192,MATCH(PHC!$X859&amp;PHC!$Y859,info!$X$2:$X$192&amp;info!$Y$2:$Y$192,0))</f>
        <v>#N/A</v>
      </c>
      <c r="AA859" s="183"/>
      <c r="AB859" s="9" t="s">
        <v>654</v>
      </c>
      <c r="AC859" s="9" t="s">
        <v>654</v>
      </c>
      <c r="AD859" s="9" t="s">
        <v>654</v>
      </c>
      <c r="AE859" s="9" t="s">
        <v>654</v>
      </c>
      <c r="AF859" s="184"/>
      <c r="AG859" s="183"/>
      <c r="AH859" s="183"/>
      <c r="AI859" s="183"/>
      <c r="AJ859" s="183"/>
      <c r="AK859" s="183"/>
      <c r="AL859" s="183"/>
      <c r="AM859" s="186" t="str">
        <f>IF(AF859="","","Q"&amp;INT((MONTH(AF859)-1)/3)+1&amp;YEAR(AF859)&amp;#REF!&amp;T859)</f>
        <v/>
      </c>
      <c r="AN859" s="186" t="str">
        <f>IF(K859="","","Q"&amp;INT((MONTH(K859)-1)/3)+1&amp;YEAR(K859)&amp;#REF!)</f>
        <v/>
      </c>
    </row>
    <row r="860" spans="1:40" ht="20.100000000000001" customHeight="1" x14ac:dyDescent="0.25">
      <c r="A860" s="8">
        <v>858</v>
      </c>
      <c r="B860" s="8" t="s">
        <v>399</v>
      </c>
      <c r="C860" s="8" t="s">
        <v>1997</v>
      </c>
      <c r="D860" s="8" t="s">
        <v>2416</v>
      </c>
      <c r="E860" s="182" t="s">
        <v>1998</v>
      </c>
      <c r="F860" s="183"/>
      <c r="G860" s="183"/>
      <c r="H860" s="183"/>
      <c r="I860" s="183"/>
      <c r="J860" s="183"/>
      <c r="K860" s="184"/>
      <c r="L860" s="183"/>
      <c r="M860" s="185" t="str">
        <f>IF(phc_8[[#This Row],[Register No.]]="","",C860&amp;"-"&amp;D860&amp;"-"&amp;"BHA-PHC-"&amp;phc_8[[#This Row],[Register No.]])</f>
        <v/>
      </c>
      <c r="N860" s="9" t="s">
        <v>401</v>
      </c>
      <c r="O860" s="183"/>
      <c r="P860" s="183"/>
      <c r="Q860" s="183"/>
      <c r="R860" s="183"/>
      <c r="S860" s="186" t="str">
        <f t="shared" si="34"/>
        <v xml:space="preserve"> </v>
      </c>
      <c r="T860" s="183"/>
      <c r="U860" s="183"/>
      <c r="V860" s="183"/>
      <c r="W860" s="183"/>
      <c r="X860" s="183"/>
      <c r="Y860" s="186" t="e">
        <f>INDEX(info!$Y$2:$Y$192,MATCH(phc_8[[#This Row],[Sub_Category]],info!$X$2:$X$192,0))</f>
        <v>#N/A</v>
      </c>
      <c r="Z860" s="186" t="e">
        <f t="array" ref="Z860">INDEX(info!$AA$2:$AA$192,MATCH(PHC!$X860&amp;PHC!$Y860,info!$X$2:$X$192&amp;info!$Y$2:$Y$192,0))</f>
        <v>#N/A</v>
      </c>
      <c r="AA860" s="183"/>
      <c r="AB860" s="9" t="s">
        <v>654</v>
      </c>
      <c r="AC860" s="9" t="s">
        <v>654</v>
      </c>
      <c r="AD860" s="9" t="s">
        <v>654</v>
      </c>
      <c r="AE860" s="9" t="s">
        <v>654</v>
      </c>
      <c r="AF860" s="184"/>
      <c r="AG860" s="183"/>
      <c r="AH860" s="183"/>
      <c r="AI860" s="183"/>
      <c r="AJ860" s="183"/>
      <c r="AK860" s="183"/>
      <c r="AL860" s="183"/>
      <c r="AM860" s="186" t="str">
        <f>IF(AF860="","","Q"&amp;INT((MONTH(AF860)-1)/3)+1&amp;YEAR(AF860)&amp;#REF!&amp;T860)</f>
        <v/>
      </c>
      <c r="AN860" s="186" t="str">
        <f>IF(K860="","","Q"&amp;INT((MONTH(K860)-1)/3)+1&amp;YEAR(K860)&amp;#REF!)</f>
        <v/>
      </c>
    </row>
    <row r="861" spans="1:40" ht="20.100000000000001" customHeight="1" x14ac:dyDescent="0.25">
      <c r="A861" s="8">
        <v>859</v>
      </c>
      <c r="B861" s="8" t="s">
        <v>399</v>
      </c>
      <c r="C861" s="8" t="s">
        <v>1997</v>
      </c>
      <c r="D861" s="8" t="s">
        <v>2416</v>
      </c>
      <c r="E861" s="182" t="s">
        <v>1998</v>
      </c>
      <c r="F861" s="183"/>
      <c r="G861" s="183"/>
      <c r="H861" s="183"/>
      <c r="I861" s="183"/>
      <c r="J861" s="183"/>
      <c r="K861" s="184"/>
      <c r="L861" s="183"/>
      <c r="M861" s="185" t="str">
        <f>IF(phc_8[[#This Row],[Register No.]]="","",C861&amp;"-"&amp;D861&amp;"-"&amp;"BHA-PHC-"&amp;phc_8[[#This Row],[Register No.]])</f>
        <v/>
      </c>
      <c r="N861" s="9" t="s">
        <v>401</v>
      </c>
      <c r="O861" s="183"/>
      <c r="P861" s="183"/>
      <c r="Q861" s="183"/>
      <c r="R861" s="183"/>
      <c r="S861" s="186" t="str">
        <f t="shared" si="34"/>
        <v xml:space="preserve"> </v>
      </c>
      <c r="T861" s="183"/>
      <c r="U861" s="183"/>
      <c r="V861" s="183"/>
      <c r="W861" s="183"/>
      <c r="X861" s="183"/>
      <c r="Y861" s="186" t="e">
        <f>INDEX(info!$Y$2:$Y$192,MATCH(phc_8[[#This Row],[Sub_Category]],info!$X$2:$X$192,0))</f>
        <v>#N/A</v>
      </c>
      <c r="Z861" s="186" t="e">
        <f t="array" ref="Z861">INDEX(info!$AA$2:$AA$192,MATCH(PHC!$X861&amp;PHC!$Y861,info!$X$2:$X$192&amp;info!$Y$2:$Y$192,0))</f>
        <v>#N/A</v>
      </c>
      <c r="AA861" s="183"/>
      <c r="AB861" s="9" t="s">
        <v>654</v>
      </c>
      <c r="AC861" s="9" t="s">
        <v>654</v>
      </c>
      <c r="AD861" s="9" t="s">
        <v>654</v>
      </c>
      <c r="AE861" s="9" t="s">
        <v>654</v>
      </c>
      <c r="AF861" s="184"/>
      <c r="AG861" s="183"/>
      <c r="AH861" s="183"/>
      <c r="AI861" s="183"/>
      <c r="AJ861" s="183"/>
      <c r="AK861" s="183"/>
      <c r="AL861" s="183"/>
      <c r="AM861" s="186" t="str">
        <f>IF(AF861="","","Q"&amp;INT((MONTH(AF861)-1)/3)+1&amp;YEAR(AF861)&amp;#REF!&amp;T861)</f>
        <v/>
      </c>
      <c r="AN861" s="186" t="str">
        <f>IF(K861="","","Q"&amp;INT((MONTH(K861)-1)/3)+1&amp;YEAR(K861)&amp;#REF!)</f>
        <v/>
      </c>
    </row>
    <row r="862" spans="1:40" ht="20.100000000000001" customHeight="1" x14ac:dyDescent="0.25">
      <c r="A862" s="8">
        <v>860</v>
      </c>
      <c r="B862" s="8" t="s">
        <v>399</v>
      </c>
      <c r="C862" s="8" t="s">
        <v>1997</v>
      </c>
      <c r="D862" s="8" t="s">
        <v>2416</v>
      </c>
      <c r="E862" s="182" t="s">
        <v>1998</v>
      </c>
      <c r="F862" s="183"/>
      <c r="G862" s="183"/>
      <c r="H862" s="183"/>
      <c r="I862" s="183"/>
      <c r="J862" s="183"/>
      <c r="K862" s="184"/>
      <c r="L862" s="183"/>
      <c r="M862" s="185" t="str">
        <f>IF(phc_8[[#This Row],[Register No.]]="","",C862&amp;"-"&amp;D862&amp;"-"&amp;"BHA-PHC-"&amp;phc_8[[#This Row],[Register No.]])</f>
        <v/>
      </c>
      <c r="N862" s="9" t="s">
        <v>401</v>
      </c>
      <c r="O862" s="183"/>
      <c r="P862" s="183"/>
      <c r="Q862" s="183"/>
      <c r="R862" s="183"/>
      <c r="S862" s="186" t="str">
        <f t="shared" si="34"/>
        <v xml:space="preserve"> </v>
      </c>
      <c r="T862" s="183"/>
      <c r="U862" s="183"/>
      <c r="V862" s="183"/>
      <c r="W862" s="183"/>
      <c r="X862" s="183"/>
      <c r="Y862" s="186" t="e">
        <f>INDEX(info!$Y$2:$Y$192,MATCH(phc_8[[#This Row],[Sub_Category]],info!$X$2:$X$192,0))</f>
        <v>#N/A</v>
      </c>
      <c r="Z862" s="186" t="e">
        <f t="array" ref="Z862">INDEX(info!$AA$2:$AA$192,MATCH(PHC!$X862&amp;PHC!$Y862,info!$X$2:$X$192&amp;info!$Y$2:$Y$192,0))</f>
        <v>#N/A</v>
      </c>
      <c r="AA862" s="183"/>
      <c r="AB862" s="9" t="s">
        <v>654</v>
      </c>
      <c r="AC862" s="9" t="s">
        <v>654</v>
      </c>
      <c r="AD862" s="9" t="s">
        <v>654</v>
      </c>
      <c r="AE862" s="9" t="s">
        <v>654</v>
      </c>
      <c r="AF862" s="184"/>
      <c r="AG862" s="183"/>
      <c r="AH862" s="183"/>
      <c r="AI862" s="183"/>
      <c r="AJ862" s="183"/>
      <c r="AK862" s="183"/>
      <c r="AL862" s="183"/>
      <c r="AM862" s="186" t="str">
        <f>IF(AF862="","","Q"&amp;INT((MONTH(AF862)-1)/3)+1&amp;YEAR(AF862)&amp;#REF!&amp;T862)</f>
        <v/>
      </c>
      <c r="AN862" s="186" t="str">
        <f>IF(K862="","","Q"&amp;INT((MONTH(K862)-1)/3)+1&amp;YEAR(K862)&amp;#REF!)</f>
        <v/>
      </c>
    </row>
    <row r="863" spans="1:40" ht="20.100000000000001" customHeight="1" x14ac:dyDescent="0.25">
      <c r="A863" s="8">
        <v>861</v>
      </c>
      <c r="B863" s="8" t="s">
        <v>399</v>
      </c>
      <c r="C863" s="8" t="s">
        <v>1997</v>
      </c>
      <c r="D863" s="8" t="s">
        <v>2416</v>
      </c>
      <c r="E863" s="182" t="s">
        <v>1998</v>
      </c>
      <c r="F863" s="183"/>
      <c r="G863" s="183"/>
      <c r="H863" s="183"/>
      <c r="I863" s="183"/>
      <c r="J863" s="183"/>
      <c r="K863" s="184"/>
      <c r="L863" s="183"/>
      <c r="M863" s="185" t="str">
        <f>IF(phc_8[[#This Row],[Register No.]]="","",C863&amp;"-"&amp;D863&amp;"-"&amp;"BHA-PHC-"&amp;phc_8[[#This Row],[Register No.]])</f>
        <v/>
      </c>
      <c r="N863" s="9" t="s">
        <v>401</v>
      </c>
      <c r="O863" s="183"/>
      <c r="P863" s="183"/>
      <c r="Q863" s="183"/>
      <c r="R863" s="183"/>
      <c r="S863" s="186" t="str">
        <f t="shared" si="34"/>
        <v xml:space="preserve"> </v>
      </c>
      <c r="T863" s="183"/>
      <c r="U863" s="183"/>
      <c r="V863" s="183"/>
      <c r="W863" s="183"/>
      <c r="X863" s="183"/>
      <c r="Y863" s="186" t="e">
        <f>INDEX(info!$Y$2:$Y$192,MATCH(phc_8[[#This Row],[Sub_Category]],info!$X$2:$X$192,0))</f>
        <v>#N/A</v>
      </c>
      <c r="Z863" s="186" t="e">
        <f t="array" ref="Z863">INDEX(info!$AA$2:$AA$192,MATCH(PHC!$X863&amp;PHC!$Y863,info!$X$2:$X$192&amp;info!$Y$2:$Y$192,0))</f>
        <v>#N/A</v>
      </c>
      <c r="AA863" s="183"/>
      <c r="AB863" s="9" t="s">
        <v>654</v>
      </c>
      <c r="AC863" s="9" t="s">
        <v>654</v>
      </c>
      <c r="AD863" s="9" t="s">
        <v>654</v>
      </c>
      <c r="AE863" s="9" t="s">
        <v>654</v>
      </c>
      <c r="AF863" s="184"/>
      <c r="AG863" s="183"/>
      <c r="AH863" s="183"/>
      <c r="AI863" s="183"/>
      <c r="AJ863" s="183"/>
      <c r="AK863" s="183"/>
      <c r="AL863" s="183"/>
      <c r="AM863" s="186" t="str">
        <f>IF(AF863="","","Q"&amp;INT((MONTH(AF863)-1)/3)+1&amp;YEAR(AF863)&amp;#REF!&amp;T863)</f>
        <v/>
      </c>
      <c r="AN863" s="186" t="str">
        <f>IF(K863="","","Q"&amp;INT((MONTH(K863)-1)/3)+1&amp;YEAR(K863)&amp;#REF!)</f>
        <v/>
      </c>
    </row>
    <row r="864" spans="1:40" ht="20.100000000000001" customHeight="1" x14ac:dyDescent="0.25">
      <c r="A864" s="8">
        <v>862</v>
      </c>
      <c r="B864" s="8" t="s">
        <v>399</v>
      </c>
      <c r="C864" s="8" t="s">
        <v>1997</v>
      </c>
      <c r="D864" s="8" t="s">
        <v>2416</v>
      </c>
      <c r="E864" s="182" t="s">
        <v>1998</v>
      </c>
      <c r="F864" s="183"/>
      <c r="G864" s="183"/>
      <c r="H864" s="183"/>
      <c r="I864" s="183"/>
      <c r="J864" s="183"/>
      <c r="K864" s="184"/>
      <c r="L864" s="183"/>
      <c r="M864" s="185" t="str">
        <f>IF(phc_8[[#This Row],[Register No.]]="","",C864&amp;"-"&amp;D864&amp;"-"&amp;"BHA-PHC-"&amp;phc_8[[#This Row],[Register No.]])</f>
        <v/>
      </c>
      <c r="N864" s="9" t="s">
        <v>401</v>
      </c>
      <c r="O864" s="183"/>
      <c r="P864" s="183"/>
      <c r="Q864" s="183"/>
      <c r="R864" s="183"/>
      <c r="S864" s="186" t="str">
        <f t="shared" si="34"/>
        <v xml:space="preserve"> </v>
      </c>
      <c r="T864" s="183"/>
      <c r="U864" s="183"/>
      <c r="V864" s="183"/>
      <c r="W864" s="183"/>
      <c r="X864" s="183"/>
      <c r="Y864" s="186" t="e">
        <f>INDEX(info!$Y$2:$Y$192,MATCH(phc_8[[#This Row],[Sub_Category]],info!$X$2:$X$192,0))</f>
        <v>#N/A</v>
      </c>
      <c r="Z864" s="186" t="e">
        <f t="array" ref="Z864">INDEX(info!$AA$2:$AA$192,MATCH(PHC!$X864&amp;PHC!$Y864,info!$X$2:$X$192&amp;info!$Y$2:$Y$192,0))</f>
        <v>#N/A</v>
      </c>
      <c r="AA864" s="183"/>
      <c r="AB864" s="9" t="s">
        <v>654</v>
      </c>
      <c r="AC864" s="9" t="s">
        <v>654</v>
      </c>
      <c r="AD864" s="9" t="s">
        <v>654</v>
      </c>
      <c r="AE864" s="9" t="s">
        <v>654</v>
      </c>
      <c r="AF864" s="184"/>
      <c r="AG864" s="183"/>
      <c r="AH864" s="183"/>
      <c r="AI864" s="183"/>
      <c r="AJ864" s="183"/>
      <c r="AK864" s="183"/>
      <c r="AL864" s="183"/>
      <c r="AM864" s="186" t="str">
        <f>IF(AF864="","","Q"&amp;INT((MONTH(AF864)-1)/3)+1&amp;YEAR(AF864)&amp;#REF!&amp;T864)</f>
        <v/>
      </c>
      <c r="AN864" s="186" t="str">
        <f>IF(K864="","","Q"&amp;INT((MONTH(K864)-1)/3)+1&amp;YEAR(K864)&amp;#REF!)</f>
        <v/>
      </c>
    </row>
    <row r="865" spans="1:40" ht="20.100000000000001" customHeight="1" x14ac:dyDescent="0.25">
      <c r="A865" s="8">
        <v>863</v>
      </c>
      <c r="B865" s="8" t="s">
        <v>399</v>
      </c>
      <c r="C865" s="8" t="s">
        <v>1997</v>
      </c>
      <c r="D865" s="8" t="s">
        <v>2416</v>
      </c>
      <c r="E865" s="182" t="s">
        <v>1998</v>
      </c>
      <c r="F865" s="183"/>
      <c r="G865" s="183"/>
      <c r="H865" s="183"/>
      <c r="I865" s="183"/>
      <c r="J865" s="183"/>
      <c r="K865" s="184"/>
      <c r="L865" s="183"/>
      <c r="M865" s="185" t="str">
        <f>IF(phc_8[[#This Row],[Register No.]]="","",C865&amp;"-"&amp;D865&amp;"-"&amp;"BHA-PHC-"&amp;phc_8[[#This Row],[Register No.]])</f>
        <v/>
      </c>
      <c r="N865" s="9" t="s">
        <v>401</v>
      </c>
      <c r="O865" s="183"/>
      <c r="P865" s="183"/>
      <c r="Q865" s="183"/>
      <c r="R865" s="183"/>
      <c r="S865" s="186" t="str">
        <f t="shared" si="34"/>
        <v xml:space="preserve"> </v>
      </c>
      <c r="T865" s="183"/>
      <c r="U865" s="183"/>
      <c r="V865" s="183"/>
      <c r="W865" s="183"/>
      <c r="X865" s="183"/>
      <c r="Y865" s="186" t="e">
        <f>INDEX(info!$Y$2:$Y$192,MATCH(phc_8[[#This Row],[Sub_Category]],info!$X$2:$X$192,0))</f>
        <v>#N/A</v>
      </c>
      <c r="Z865" s="186" t="e">
        <f t="array" ref="Z865">INDEX(info!$AA$2:$AA$192,MATCH(PHC!$X865&amp;PHC!$Y865,info!$X$2:$X$192&amp;info!$Y$2:$Y$192,0))</f>
        <v>#N/A</v>
      </c>
      <c r="AA865" s="183"/>
      <c r="AB865" s="9" t="s">
        <v>654</v>
      </c>
      <c r="AC865" s="9" t="s">
        <v>654</v>
      </c>
      <c r="AD865" s="9" t="s">
        <v>654</v>
      </c>
      <c r="AE865" s="9" t="s">
        <v>654</v>
      </c>
      <c r="AF865" s="184"/>
      <c r="AG865" s="183"/>
      <c r="AH865" s="183"/>
      <c r="AI865" s="183"/>
      <c r="AJ865" s="183"/>
      <c r="AK865" s="183"/>
      <c r="AL865" s="183"/>
      <c r="AM865" s="186" t="str">
        <f>IF(AF865="","","Q"&amp;INT((MONTH(AF865)-1)/3)+1&amp;YEAR(AF865)&amp;#REF!&amp;T865)</f>
        <v/>
      </c>
      <c r="AN865" s="186" t="str">
        <f>IF(K865="","","Q"&amp;INT((MONTH(K865)-1)/3)+1&amp;YEAR(K865)&amp;#REF!)</f>
        <v/>
      </c>
    </row>
    <row r="866" spans="1:40" ht="20.100000000000001" customHeight="1" x14ac:dyDescent="0.25">
      <c r="A866" s="8">
        <v>864</v>
      </c>
      <c r="B866" s="8" t="s">
        <v>399</v>
      </c>
      <c r="C866" s="8" t="s">
        <v>1997</v>
      </c>
      <c r="D866" s="8" t="s">
        <v>2416</v>
      </c>
      <c r="E866" s="182" t="s">
        <v>1998</v>
      </c>
      <c r="F866" s="183"/>
      <c r="G866" s="183"/>
      <c r="H866" s="183"/>
      <c r="I866" s="183"/>
      <c r="J866" s="183"/>
      <c r="K866" s="184"/>
      <c r="L866" s="183"/>
      <c r="M866" s="185" t="str">
        <f>IF(phc_8[[#This Row],[Register No.]]="","",C866&amp;"-"&amp;D866&amp;"-"&amp;"BHA-PHC-"&amp;phc_8[[#This Row],[Register No.]])</f>
        <v/>
      </c>
      <c r="N866" s="9" t="s">
        <v>401</v>
      </c>
      <c r="O866" s="183"/>
      <c r="P866" s="183"/>
      <c r="Q866" s="183"/>
      <c r="R866" s="183"/>
      <c r="S866" s="186" t="str">
        <f t="shared" si="34"/>
        <v xml:space="preserve"> </v>
      </c>
      <c r="T866" s="183"/>
      <c r="U866" s="183"/>
      <c r="V866" s="183"/>
      <c r="W866" s="183"/>
      <c r="X866" s="183"/>
      <c r="Y866" s="186" t="e">
        <f>INDEX(info!$Y$2:$Y$192,MATCH(phc_8[[#This Row],[Sub_Category]],info!$X$2:$X$192,0))</f>
        <v>#N/A</v>
      </c>
      <c r="Z866" s="186" t="e">
        <f t="array" ref="Z866">INDEX(info!$AA$2:$AA$192,MATCH(PHC!$X866&amp;PHC!$Y866,info!$X$2:$X$192&amp;info!$Y$2:$Y$192,0))</f>
        <v>#N/A</v>
      </c>
      <c r="AA866" s="183"/>
      <c r="AB866" s="9" t="s">
        <v>654</v>
      </c>
      <c r="AC866" s="9" t="s">
        <v>654</v>
      </c>
      <c r="AD866" s="9" t="s">
        <v>654</v>
      </c>
      <c r="AE866" s="9" t="s">
        <v>654</v>
      </c>
      <c r="AF866" s="184"/>
      <c r="AG866" s="183"/>
      <c r="AH866" s="183"/>
      <c r="AI866" s="183"/>
      <c r="AJ866" s="183"/>
      <c r="AK866" s="183"/>
      <c r="AL866" s="183"/>
      <c r="AM866" s="186" t="str">
        <f>IF(AF866="","","Q"&amp;INT((MONTH(AF866)-1)/3)+1&amp;YEAR(AF866)&amp;#REF!&amp;T866)</f>
        <v/>
      </c>
      <c r="AN866" s="186" t="str">
        <f>IF(K866="","","Q"&amp;INT((MONTH(K866)-1)/3)+1&amp;YEAR(K866)&amp;#REF!)</f>
        <v/>
      </c>
    </row>
    <row r="867" spans="1:40" ht="20.100000000000001" customHeight="1" x14ac:dyDescent="0.25">
      <c r="A867" s="8">
        <v>865</v>
      </c>
      <c r="B867" s="8" t="s">
        <v>399</v>
      </c>
      <c r="C867" s="8" t="s">
        <v>1997</v>
      </c>
      <c r="D867" s="8" t="s">
        <v>2416</v>
      </c>
      <c r="E867" s="182" t="s">
        <v>1998</v>
      </c>
      <c r="F867" s="183"/>
      <c r="G867" s="183"/>
      <c r="H867" s="183"/>
      <c r="I867" s="183"/>
      <c r="J867" s="183"/>
      <c r="K867" s="184"/>
      <c r="L867" s="183"/>
      <c r="M867" s="185" t="str">
        <f>IF(phc_8[[#This Row],[Register No.]]="","",C867&amp;"-"&amp;D867&amp;"-"&amp;"BHA-PHC-"&amp;phc_8[[#This Row],[Register No.]])</f>
        <v/>
      </c>
      <c r="N867" s="9" t="s">
        <v>401</v>
      </c>
      <c r="O867" s="183"/>
      <c r="P867" s="183"/>
      <c r="Q867" s="183"/>
      <c r="R867" s="183"/>
      <c r="S867" s="186" t="str">
        <f t="shared" si="34"/>
        <v xml:space="preserve"> </v>
      </c>
      <c r="T867" s="183"/>
      <c r="U867" s="183"/>
      <c r="V867" s="183"/>
      <c r="W867" s="183"/>
      <c r="X867" s="183"/>
      <c r="Y867" s="186" t="e">
        <f>INDEX(info!$Y$2:$Y$192,MATCH(phc_8[[#This Row],[Sub_Category]],info!$X$2:$X$192,0))</f>
        <v>#N/A</v>
      </c>
      <c r="Z867" s="186" t="e">
        <f t="array" ref="Z867">INDEX(info!$AA$2:$AA$192,MATCH(PHC!$X867&amp;PHC!$Y867,info!$X$2:$X$192&amp;info!$Y$2:$Y$192,0))</f>
        <v>#N/A</v>
      </c>
      <c r="AA867" s="183"/>
      <c r="AB867" s="9" t="s">
        <v>654</v>
      </c>
      <c r="AC867" s="9" t="s">
        <v>654</v>
      </c>
      <c r="AD867" s="9" t="s">
        <v>654</v>
      </c>
      <c r="AE867" s="9" t="s">
        <v>654</v>
      </c>
      <c r="AF867" s="184"/>
      <c r="AG867" s="183"/>
      <c r="AH867" s="183"/>
      <c r="AI867" s="183"/>
      <c r="AJ867" s="183"/>
      <c r="AK867" s="183"/>
      <c r="AL867" s="183"/>
      <c r="AM867" s="186" t="str">
        <f>IF(AF867="","","Q"&amp;INT((MONTH(AF867)-1)/3)+1&amp;YEAR(AF867)&amp;#REF!&amp;T867)</f>
        <v/>
      </c>
      <c r="AN867" s="186" t="str">
        <f>IF(K867="","","Q"&amp;INT((MONTH(K867)-1)/3)+1&amp;YEAR(K867)&amp;#REF!)</f>
        <v/>
      </c>
    </row>
    <row r="868" spans="1:40" ht="20.100000000000001" customHeight="1" x14ac:dyDescent="0.25">
      <c r="A868" s="8">
        <v>866</v>
      </c>
      <c r="B868" s="8" t="s">
        <v>399</v>
      </c>
      <c r="C868" s="8" t="s">
        <v>1997</v>
      </c>
      <c r="D868" s="8" t="s">
        <v>2416</v>
      </c>
      <c r="E868" s="182" t="s">
        <v>1998</v>
      </c>
      <c r="F868" s="183"/>
      <c r="G868" s="183"/>
      <c r="H868" s="183"/>
      <c r="I868" s="183"/>
      <c r="J868" s="183"/>
      <c r="K868" s="184"/>
      <c r="L868" s="183"/>
      <c r="M868" s="185" t="str">
        <f>IF(phc_8[[#This Row],[Register No.]]="","",C868&amp;"-"&amp;D868&amp;"-"&amp;"BHA-PHC-"&amp;phc_8[[#This Row],[Register No.]])</f>
        <v/>
      </c>
      <c r="N868" s="9" t="s">
        <v>401</v>
      </c>
      <c r="O868" s="183"/>
      <c r="P868" s="183"/>
      <c r="Q868" s="183"/>
      <c r="R868" s="183"/>
      <c r="S868" s="186" t="str">
        <f t="shared" si="34"/>
        <v xml:space="preserve"> </v>
      </c>
      <c r="T868" s="183"/>
      <c r="U868" s="183"/>
      <c r="V868" s="183"/>
      <c r="W868" s="183"/>
      <c r="X868" s="183"/>
      <c r="Y868" s="186" t="e">
        <f>INDEX(info!$Y$2:$Y$192,MATCH(phc_8[[#This Row],[Sub_Category]],info!$X$2:$X$192,0))</f>
        <v>#N/A</v>
      </c>
      <c r="Z868" s="186" t="e">
        <f t="array" ref="Z868">INDEX(info!$AA$2:$AA$192,MATCH(PHC!$X868&amp;PHC!$Y868,info!$X$2:$X$192&amp;info!$Y$2:$Y$192,0))</f>
        <v>#N/A</v>
      </c>
      <c r="AA868" s="183"/>
      <c r="AB868" s="9" t="s">
        <v>654</v>
      </c>
      <c r="AC868" s="9" t="s">
        <v>654</v>
      </c>
      <c r="AD868" s="9" t="s">
        <v>654</v>
      </c>
      <c r="AE868" s="9" t="s">
        <v>654</v>
      </c>
      <c r="AF868" s="184"/>
      <c r="AG868" s="183"/>
      <c r="AH868" s="183"/>
      <c r="AI868" s="183"/>
      <c r="AJ868" s="183"/>
      <c r="AK868" s="183"/>
      <c r="AL868" s="183"/>
      <c r="AM868" s="186" t="str">
        <f>IF(AF868="","","Q"&amp;INT((MONTH(AF868)-1)/3)+1&amp;YEAR(AF868)&amp;#REF!&amp;T868)</f>
        <v/>
      </c>
      <c r="AN868" s="186" t="str">
        <f>IF(K868="","","Q"&amp;INT((MONTH(K868)-1)/3)+1&amp;YEAR(K868)&amp;#REF!)</f>
        <v/>
      </c>
    </row>
    <row r="869" spans="1:40" ht="20.100000000000001" customHeight="1" x14ac:dyDescent="0.25">
      <c r="A869" s="8">
        <v>867</v>
      </c>
      <c r="B869" s="8" t="s">
        <v>399</v>
      </c>
      <c r="C869" s="8" t="s">
        <v>1997</v>
      </c>
      <c r="D869" s="8" t="s">
        <v>2416</v>
      </c>
      <c r="E869" s="182" t="s">
        <v>1998</v>
      </c>
      <c r="F869" s="183"/>
      <c r="G869" s="183"/>
      <c r="H869" s="183"/>
      <c r="I869" s="183"/>
      <c r="J869" s="183"/>
      <c r="K869" s="184"/>
      <c r="L869" s="183"/>
      <c r="M869" s="185" t="str">
        <f>IF(phc_8[[#This Row],[Register No.]]="","",C869&amp;"-"&amp;D869&amp;"-"&amp;"BHA-PHC-"&amp;phc_8[[#This Row],[Register No.]])</f>
        <v/>
      </c>
      <c r="N869" s="9" t="s">
        <v>401</v>
      </c>
      <c r="O869" s="183"/>
      <c r="P869" s="183"/>
      <c r="Q869" s="183"/>
      <c r="R869" s="183"/>
      <c r="S869" s="186" t="str">
        <f t="shared" si="34"/>
        <v xml:space="preserve"> </v>
      </c>
      <c r="T869" s="183"/>
      <c r="U869" s="183"/>
      <c r="V869" s="183"/>
      <c r="W869" s="183"/>
      <c r="X869" s="183"/>
      <c r="Y869" s="186" t="e">
        <f>INDEX(info!$Y$2:$Y$192,MATCH(phc_8[[#This Row],[Sub_Category]],info!$X$2:$X$192,0))</f>
        <v>#N/A</v>
      </c>
      <c r="Z869" s="186" t="e">
        <f t="array" ref="Z869">INDEX(info!$AA$2:$AA$192,MATCH(PHC!$X869&amp;PHC!$Y869,info!$X$2:$X$192&amp;info!$Y$2:$Y$192,0))</f>
        <v>#N/A</v>
      </c>
      <c r="AA869" s="183"/>
      <c r="AB869" s="9" t="s">
        <v>654</v>
      </c>
      <c r="AC869" s="9" t="s">
        <v>654</v>
      </c>
      <c r="AD869" s="9" t="s">
        <v>654</v>
      </c>
      <c r="AE869" s="9" t="s">
        <v>654</v>
      </c>
      <c r="AF869" s="184"/>
      <c r="AG869" s="183"/>
      <c r="AH869" s="183"/>
      <c r="AI869" s="183"/>
      <c r="AJ869" s="183"/>
      <c r="AK869" s="183"/>
      <c r="AL869" s="183"/>
      <c r="AM869" s="186" t="str">
        <f>IF(AF869="","","Q"&amp;INT((MONTH(AF869)-1)/3)+1&amp;YEAR(AF869)&amp;#REF!&amp;T869)</f>
        <v/>
      </c>
      <c r="AN869" s="186" t="str">
        <f>IF(K869="","","Q"&amp;INT((MONTH(K869)-1)/3)+1&amp;YEAR(K869)&amp;#REF!)</f>
        <v/>
      </c>
    </row>
    <row r="870" spans="1:40" ht="20.100000000000001" customHeight="1" x14ac:dyDescent="0.25">
      <c r="A870" s="8">
        <v>868</v>
      </c>
      <c r="B870" s="8" t="s">
        <v>399</v>
      </c>
      <c r="C870" s="8" t="s">
        <v>1997</v>
      </c>
      <c r="D870" s="8" t="s">
        <v>2416</v>
      </c>
      <c r="E870" s="182" t="s">
        <v>1998</v>
      </c>
      <c r="F870" s="183"/>
      <c r="G870" s="183"/>
      <c r="H870" s="183"/>
      <c r="I870" s="183"/>
      <c r="J870" s="183"/>
      <c r="K870" s="184"/>
      <c r="L870" s="183"/>
      <c r="M870" s="185" t="str">
        <f>IF(phc_8[[#This Row],[Register No.]]="","",C870&amp;"-"&amp;D870&amp;"-"&amp;"BHA-PHC-"&amp;phc_8[[#This Row],[Register No.]])</f>
        <v/>
      </c>
      <c r="N870" s="9" t="s">
        <v>401</v>
      </c>
      <c r="O870" s="183"/>
      <c r="P870" s="183"/>
      <c r="Q870" s="183"/>
      <c r="R870" s="183"/>
      <c r="S870" s="186" t="str">
        <f t="shared" si="34"/>
        <v xml:space="preserve"> </v>
      </c>
      <c r="T870" s="183"/>
      <c r="U870" s="183"/>
      <c r="V870" s="183"/>
      <c r="W870" s="183"/>
      <c r="X870" s="183"/>
      <c r="Y870" s="186" t="e">
        <f>INDEX(info!$Y$2:$Y$192,MATCH(phc_8[[#This Row],[Sub_Category]],info!$X$2:$X$192,0))</f>
        <v>#N/A</v>
      </c>
      <c r="Z870" s="186" t="e">
        <f t="array" ref="Z870">INDEX(info!$AA$2:$AA$192,MATCH(PHC!$X870&amp;PHC!$Y870,info!$X$2:$X$192&amp;info!$Y$2:$Y$192,0))</f>
        <v>#N/A</v>
      </c>
      <c r="AA870" s="183"/>
      <c r="AB870" s="9" t="s">
        <v>654</v>
      </c>
      <c r="AC870" s="9" t="s">
        <v>654</v>
      </c>
      <c r="AD870" s="9" t="s">
        <v>654</v>
      </c>
      <c r="AE870" s="9" t="s">
        <v>654</v>
      </c>
      <c r="AF870" s="184"/>
      <c r="AG870" s="183"/>
      <c r="AH870" s="183"/>
      <c r="AI870" s="183"/>
      <c r="AJ870" s="183"/>
      <c r="AK870" s="183"/>
      <c r="AL870" s="183"/>
      <c r="AM870" s="186" t="str">
        <f>IF(AF870="","","Q"&amp;INT((MONTH(AF870)-1)/3)+1&amp;YEAR(AF870)&amp;#REF!&amp;T870)</f>
        <v/>
      </c>
      <c r="AN870" s="186" t="str">
        <f>IF(K870="","","Q"&amp;INT((MONTH(K870)-1)/3)+1&amp;YEAR(K870)&amp;#REF!)</f>
        <v/>
      </c>
    </row>
    <row r="871" spans="1:40" ht="20.100000000000001" customHeight="1" x14ac:dyDescent="0.25">
      <c r="A871" s="8">
        <v>869</v>
      </c>
      <c r="B871" s="8" t="s">
        <v>399</v>
      </c>
      <c r="C871" s="8" t="s">
        <v>1997</v>
      </c>
      <c r="D871" s="8" t="s">
        <v>2416</v>
      </c>
      <c r="E871" s="182" t="s">
        <v>1998</v>
      </c>
      <c r="F871" s="183"/>
      <c r="G871" s="183"/>
      <c r="H871" s="183"/>
      <c r="I871" s="183"/>
      <c r="J871" s="183"/>
      <c r="K871" s="184"/>
      <c r="L871" s="183"/>
      <c r="M871" s="185" t="str">
        <f>IF(phc_8[[#This Row],[Register No.]]="","",C871&amp;"-"&amp;D871&amp;"-"&amp;"BHA-PHC-"&amp;phc_8[[#This Row],[Register No.]])</f>
        <v/>
      </c>
      <c r="N871" s="9" t="s">
        <v>401</v>
      </c>
      <c r="O871" s="183"/>
      <c r="P871" s="183"/>
      <c r="Q871" s="183"/>
      <c r="R871" s="183"/>
      <c r="S871" s="186" t="str">
        <f t="shared" si="34"/>
        <v xml:space="preserve"> </v>
      </c>
      <c r="T871" s="183"/>
      <c r="U871" s="183"/>
      <c r="V871" s="183"/>
      <c r="W871" s="183"/>
      <c r="X871" s="183"/>
      <c r="Y871" s="186" t="e">
        <f>INDEX(info!$Y$2:$Y$192,MATCH(phc_8[[#This Row],[Sub_Category]],info!$X$2:$X$192,0))</f>
        <v>#N/A</v>
      </c>
      <c r="Z871" s="186" t="e">
        <f t="array" ref="Z871">INDEX(info!$AA$2:$AA$192,MATCH(PHC!$X871&amp;PHC!$Y871,info!$X$2:$X$192&amp;info!$Y$2:$Y$192,0))</f>
        <v>#N/A</v>
      </c>
      <c r="AA871" s="183"/>
      <c r="AB871" s="9" t="s">
        <v>654</v>
      </c>
      <c r="AC871" s="9" t="s">
        <v>654</v>
      </c>
      <c r="AD871" s="9" t="s">
        <v>654</v>
      </c>
      <c r="AE871" s="9" t="s">
        <v>654</v>
      </c>
      <c r="AF871" s="184"/>
      <c r="AG871" s="183"/>
      <c r="AH871" s="183"/>
      <c r="AI871" s="183"/>
      <c r="AJ871" s="183"/>
      <c r="AK871" s="183"/>
      <c r="AL871" s="183"/>
      <c r="AM871" s="186" t="str">
        <f>IF(AF871="","","Q"&amp;INT((MONTH(AF871)-1)/3)+1&amp;YEAR(AF871)&amp;#REF!&amp;T871)</f>
        <v/>
      </c>
      <c r="AN871" s="186" t="str">
        <f>IF(K871="","","Q"&amp;INT((MONTH(K871)-1)/3)+1&amp;YEAR(K871)&amp;#REF!)</f>
        <v/>
      </c>
    </row>
    <row r="872" spans="1:40" ht="20.100000000000001" customHeight="1" x14ac:dyDescent="0.25">
      <c r="A872" s="8">
        <v>870</v>
      </c>
      <c r="B872" s="8" t="s">
        <v>399</v>
      </c>
      <c r="C872" s="8" t="s">
        <v>1997</v>
      </c>
      <c r="D872" s="8" t="s">
        <v>2416</v>
      </c>
      <c r="E872" s="182" t="s">
        <v>1998</v>
      </c>
      <c r="F872" s="183"/>
      <c r="G872" s="183"/>
      <c r="H872" s="183"/>
      <c r="I872" s="183"/>
      <c r="J872" s="183"/>
      <c r="K872" s="184"/>
      <c r="L872" s="183"/>
      <c r="M872" s="185" t="str">
        <f>IF(phc_8[[#This Row],[Register No.]]="","",C872&amp;"-"&amp;D872&amp;"-"&amp;"BHA-PHC-"&amp;phc_8[[#This Row],[Register No.]])</f>
        <v/>
      </c>
      <c r="N872" s="9" t="s">
        <v>401</v>
      </c>
      <c r="O872" s="183"/>
      <c r="P872" s="183"/>
      <c r="Q872" s="183"/>
      <c r="R872" s="183"/>
      <c r="S872" s="186" t="str">
        <f t="shared" si="34"/>
        <v xml:space="preserve"> </v>
      </c>
      <c r="T872" s="183"/>
      <c r="U872" s="183"/>
      <c r="V872" s="183"/>
      <c r="W872" s="183"/>
      <c r="X872" s="183"/>
      <c r="Y872" s="186" t="e">
        <f>INDEX(info!$Y$2:$Y$192,MATCH(phc_8[[#This Row],[Sub_Category]],info!$X$2:$X$192,0))</f>
        <v>#N/A</v>
      </c>
      <c r="Z872" s="186" t="e">
        <f t="array" ref="Z872">INDEX(info!$AA$2:$AA$192,MATCH(PHC!$X872&amp;PHC!$Y872,info!$X$2:$X$192&amp;info!$Y$2:$Y$192,0))</f>
        <v>#N/A</v>
      </c>
      <c r="AA872" s="183"/>
      <c r="AB872" s="9" t="s">
        <v>654</v>
      </c>
      <c r="AC872" s="9" t="s">
        <v>654</v>
      </c>
      <c r="AD872" s="9" t="s">
        <v>654</v>
      </c>
      <c r="AE872" s="9" t="s">
        <v>654</v>
      </c>
      <c r="AF872" s="184"/>
      <c r="AG872" s="183"/>
      <c r="AH872" s="183"/>
      <c r="AI872" s="183"/>
      <c r="AJ872" s="183"/>
      <c r="AK872" s="183"/>
      <c r="AL872" s="183"/>
      <c r="AM872" s="186" t="str">
        <f>IF(AF872="","","Q"&amp;INT((MONTH(AF872)-1)/3)+1&amp;YEAR(AF872)&amp;#REF!&amp;T872)</f>
        <v/>
      </c>
      <c r="AN872" s="186" t="str">
        <f>IF(K872="","","Q"&amp;INT((MONTH(K872)-1)/3)+1&amp;YEAR(K872)&amp;#REF!)</f>
        <v/>
      </c>
    </row>
    <row r="873" spans="1:40" ht="20.100000000000001" customHeight="1" x14ac:dyDescent="0.25">
      <c r="A873" s="8">
        <v>871</v>
      </c>
      <c r="B873" s="8" t="s">
        <v>399</v>
      </c>
      <c r="C873" s="8" t="s">
        <v>1997</v>
      </c>
      <c r="D873" s="8" t="s">
        <v>2416</v>
      </c>
      <c r="E873" s="182" t="s">
        <v>1998</v>
      </c>
      <c r="F873" s="183"/>
      <c r="G873" s="183"/>
      <c r="H873" s="183"/>
      <c r="I873" s="183"/>
      <c r="J873" s="183"/>
      <c r="K873" s="184"/>
      <c r="L873" s="183"/>
      <c r="M873" s="185" t="str">
        <f>IF(phc_8[[#This Row],[Register No.]]="","",C873&amp;"-"&amp;D873&amp;"-"&amp;"BHA-PHC-"&amp;phc_8[[#This Row],[Register No.]])</f>
        <v/>
      </c>
      <c r="N873" s="9" t="s">
        <v>401</v>
      </c>
      <c r="O873" s="183"/>
      <c r="P873" s="183"/>
      <c r="Q873" s="183"/>
      <c r="R873" s="183"/>
      <c r="S873" s="186" t="str">
        <f t="shared" si="34"/>
        <v xml:space="preserve"> </v>
      </c>
      <c r="T873" s="183"/>
      <c r="U873" s="183"/>
      <c r="V873" s="183"/>
      <c r="W873" s="183"/>
      <c r="X873" s="183"/>
      <c r="Y873" s="186" t="e">
        <f>INDEX(info!$Y$2:$Y$192,MATCH(phc_8[[#This Row],[Sub_Category]],info!$X$2:$X$192,0))</f>
        <v>#N/A</v>
      </c>
      <c r="Z873" s="186" t="e">
        <f t="array" ref="Z873">INDEX(info!$AA$2:$AA$192,MATCH(PHC!$X873&amp;PHC!$Y873,info!$X$2:$X$192&amp;info!$Y$2:$Y$192,0))</f>
        <v>#N/A</v>
      </c>
      <c r="AA873" s="183"/>
      <c r="AB873" s="9" t="s">
        <v>654</v>
      </c>
      <c r="AC873" s="9" t="s">
        <v>654</v>
      </c>
      <c r="AD873" s="9" t="s">
        <v>654</v>
      </c>
      <c r="AE873" s="9" t="s">
        <v>654</v>
      </c>
      <c r="AF873" s="184"/>
      <c r="AG873" s="183"/>
      <c r="AH873" s="183"/>
      <c r="AI873" s="183"/>
      <c r="AJ873" s="183"/>
      <c r="AK873" s="183"/>
      <c r="AL873" s="183"/>
      <c r="AM873" s="186" t="str">
        <f>IF(AF873="","","Q"&amp;INT((MONTH(AF873)-1)/3)+1&amp;YEAR(AF873)&amp;#REF!&amp;T873)</f>
        <v/>
      </c>
      <c r="AN873" s="186" t="str">
        <f>IF(K873="","","Q"&amp;INT((MONTH(K873)-1)/3)+1&amp;YEAR(K873)&amp;#REF!)</f>
        <v/>
      </c>
    </row>
    <row r="874" spans="1:40" ht="20.100000000000001" customHeight="1" x14ac:dyDescent="0.25">
      <c r="A874" s="8">
        <v>872</v>
      </c>
      <c r="B874" s="8" t="s">
        <v>399</v>
      </c>
      <c r="C874" s="8" t="s">
        <v>1997</v>
      </c>
      <c r="D874" s="8" t="s">
        <v>2416</v>
      </c>
      <c r="E874" s="182" t="s">
        <v>1998</v>
      </c>
      <c r="F874" s="183"/>
      <c r="G874" s="183"/>
      <c r="H874" s="183"/>
      <c r="I874" s="183"/>
      <c r="J874" s="183"/>
      <c r="K874" s="184"/>
      <c r="L874" s="183"/>
      <c r="M874" s="185" t="str">
        <f>IF(phc_8[[#This Row],[Register No.]]="","",C874&amp;"-"&amp;D874&amp;"-"&amp;"BHA-PHC-"&amp;phc_8[[#This Row],[Register No.]])</f>
        <v/>
      </c>
      <c r="N874" s="9" t="s">
        <v>401</v>
      </c>
      <c r="O874" s="183"/>
      <c r="P874" s="183"/>
      <c r="Q874" s="183"/>
      <c r="R874" s="183"/>
      <c r="S874" s="186" t="str">
        <f t="shared" si="34"/>
        <v xml:space="preserve"> </v>
      </c>
      <c r="T874" s="183"/>
      <c r="U874" s="183"/>
      <c r="V874" s="183"/>
      <c r="W874" s="183"/>
      <c r="X874" s="183"/>
      <c r="Y874" s="186" t="e">
        <f>INDEX(info!$Y$2:$Y$192,MATCH(phc_8[[#This Row],[Sub_Category]],info!$X$2:$X$192,0))</f>
        <v>#N/A</v>
      </c>
      <c r="Z874" s="186" t="e">
        <f t="array" ref="Z874">INDEX(info!$AA$2:$AA$192,MATCH(PHC!$X874&amp;PHC!$Y874,info!$X$2:$X$192&amp;info!$Y$2:$Y$192,0))</f>
        <v>#N/A</v>
      </c>
      <c r="AA874" s="183"/>
      <c r="AB874" s="9" t="s">
        <v>654</v>
      </c>
      <c r="AC874" s="9" t="s">
        <v>654</v>
      </c>
      <c r="AD874" s="9" t="s">
        <v>654</v>
      </c>
      <c r="AE874" s="9" t="s">
        <v>654</v>
      </c>
      <c r="AF874" s="184"/>
      <c r="AG874" s="183"/>
      <c r="AH874" s="183"/>
      <c r="AI874" s="183"/>
      <c r="AJ874" s="183"/>
      <c r="AK874" s="183"/>
      <c r="AL874" s="183"/>
      <c r="AM874" s="186" t="str">
        <f>IF(AF874="","","Q"&amp;INT((MONTH(AF874)-1)/3)+1&amp;YEAR(AF874)&amp;#REF!&amp;T874)</f>
        <v/>
      </c>
      <c r="AN874" s="186" t="str">
        <f>IF(K874="","","Q"&amp;INT((MONTH(K874)-1)/3)+1&amp;YEAR(K874)&amp;#REF!)</f>
        <v/>
      </c>
    </row>
    <row r="875" spans="1:40" ht="20.100000000000001" customHeight="1" x14ac:dyDescent="0.25">
      <c r="A875" s="8">
        <v>873</v>
      </c>
      <c r="B875" s="8" t="s">
        <v>399</v>
      </c>
      <c r="C875" s="8" t="s">
        <v>1997</v>
      </c>
      <c r="D875" s="8" t="s">
        <v>2416</v>
      </c>
      <c r="E875" s="182" t="s">
        <v>1998</v>
      </c>
      <c r="F875" s="183"/>
      <c r="G875" s="183"/>
      <c r="H875" s="183"/>
      <c r="I875" s="183"/>
      <c r="J875" s="183"/>
      <c r="K875" s="184"/>
      <c r="L875" s="183"/>
      <c r="M875" s="185" t="str">
        <f>IF(phc_8[[#This Row],[Register No.]]="","",C875&amp;"-"&amp;D875&amp;"-"&amp;"BHA-PHC-"&amp;phc_8[[#This Row],[Register No.]])</f>
        <v/>
      </c>
      <c r="N875" s="9" t="s">
        <v>401</v>
      </c>
      <c r="O875" s="183"/>
      <c r="P875" s="183"/>
      <c r="Q875" s="183"/>
      <c r="R875" s="183"/>
      <c r="S875" s="186" t="str">
        <f t="shared" si="34"/>
        <v xml:space="preserve"> </v>
      </c>
      <c r="T875" s="183"/>
      <c r="U875" s="183"/>
      <c r="V875" s="183"/>
      <c r="W875" s="183"/>
      <c r="X875" s="183"/>
      <c r="Y875" s="186" t="e">
        <f>INDEX(info!$Y$2:$Y$192,MATCH(phc_8[[#This Row],[Sub_Category]],info!$X$2:$X$192,0))</f>
        <v>#N/A</v>
      </c>
      <c r="Z875" s="186" t="e">
        <f t="array" ref="Z875">INDEX(info!$AA$2:$AA$192,MATCH(PHC!$X875&amp;PHC!$Y875,info!$X$2:$X$192&amp;info!$Y$2:$Y$192,0))</f>
        <v>#N/A</v>
      </c>
      <c r="AA875" s="183"/>
      <c r="AB875" s="9" t="s">
        <v>654</v>
      </c>
      <c r="AC875" s="9" t="s">
        <v>654</v>
      </c>
      <c r="AD875" s="9" t="s">
        <v>654</v>
      </c>
      <c r="AE875" s="9" t="s">
        <v>654</v>
      </c>
      <c r="AF875" s="184"/>
      <c r="AG875" s="183"/>
      <c r="AH875" s="183"/>
      <c r="AI875" s="183"/>
      <c r="AJ875" s="183"/>
      <c r="AK875" s="183"/>
      <c r="AL875" s="183"/>
      <c r="AM875" s="186" t="str">
        <f>IF(AF875="","","Q"&amp;INT((MONTH(AF875)-1)/3)+1&amp;YEAR(AF875)&amp;#REF!&amp;T875)</f>
        <v/>
      </c>
      <c r="AN875" s="186" t="str">
        <f>IF(K875="","","Q"&amp;INT((MONTH(K875)-1)/3)+1&amp;YEAR(K875)&amp;#REF!)</f>
        <v/>
      </c>
    </row>
    <row r="876" spans="1:40" ht="20.100000000000001" customHeight="1" x14ac:dyDescent="0.25">
      <c r="A876" s="8">
        <v>874</v>
      </c>
      <c r="B876" s="8" t="s">
        <v>399</v>
      </c>
      <c r="C876" s="8" t="s">
        <v>1997</v>
      </c>
      <c r="D876" s="8" t="s">
        <v>2416</v>
      </c>
      <c r="E876" s="182" t="s">
        <v>1998</v>
      </c>
      <c r="F876" s="183"/>
      <c r="G876" s="183"/>
      <c r="H876" s="183"/>
      <c r="I876" s="183"/>
      <c r="J876" s="183"/>
      <c r="K876" s="184"/>
      <c r="L876" s="183"/>
      <c r="M876" s="185" t="str">
        <f>IF(phc_8[[#This Row],[Register No.]]="","",C876&amp;"-"&amp;D876&amp;"-"&amp;"BHA-PHC-"&amp;phc_8[[#This Row],[Register No.]])</f>
        <v/>
      </c>
      <c r="N876" s="9" t="s">
        <v>401</v>
      </c>
      <c r="O876" s="183"/>
      <c r="P876" s="183"/>
      <c r="Q876" s="183"/>
      <c r="R876" s="183"/>
      <c r="S876" s="186" t="str">
        <f t="shared" si="34"/>
        <v xml:space="preserve"> </v>
      </c>
      <c r="T876" s="183"/>
      <c r="U876" s="183"/>
      <c r="V876" s="183"/>
      <c r="W876" s="183"/>
      <c r="X876" s="183"/>
      <c r="Y876" s="186" t="e">
        <f>INDEX(info!$Y$2:$Y$192,MATCH(phc_8[[#This Row],[Sub_Category]],info!$X$2:$X$192,0))</f>
        <v>#N/A</v>
      </c>
      <c r="Z876" s="186" t="e">
        <f t="array" ref="Z876">INDEX(info!$AA$2:$AA$192,MATCH(PHC!$X876&amp;PHC!$Y876,info!$X$2:$X$192&amp;info!$Y$2:$Y$192,0))</f>
        <v>#N/A</v>
      </c>
      <c r="AA876" s="183"/>
      <c r="AB876" s="9" t="s">
        <v>654</v>
      </c>
      <c r="AC876" s="9" t="s">
        <v>654</v>
      </c>
      <c r="AD876" s="9" t="s">
        <v>654</v>
      </c>
      <c r="AE876" s="9" t="s">
        <v>654</v>
      </c>
      <c r="AF876" s="184"/>
      <c r="AG876" s="183"/>
      <c r="AH876" s="183"/>
      <c r="AI876" s="183"/>
      <c r="AJ876" s="183"/>
      <c r="AK876" s="183"/>
      <c r="AL876" s="183"/>
      <c r="AM876" s="186" t="str">
        <f>IF(AF876="","","Q"&amp;INT((MONTH(AF876)-1)/3)+1&amp;YEAR(AF876)&amp;#REF!&amp;T876)</f>
        <v/>
      </c>
      <c r="AN876" s="186" t="str">
        <f>IF(K876="","","Q"&amp;INT((MONTH(K876)-1)/3)+1&amp;YEAR(K876)&amp;#REF!)</f>
        <v/>
      </c>
    </row>
    <row r="877" spans="1:40" ht="20.100000000000001" customHeight="1" x14ac:dyDescent="0.25">
      <c r="A877" s="8">
        <v>875</v>
      </c>
      <c r="B877" s="8" t="s">
        <v>399</v>
      </c>
      <c r="C877" s="8" t="s">
        <v>1997</v>
      </c>
      <c r="D877" s="8" t="s">
        <v>2416</v>
      </c>
      <c r="E877" s="182" t="s">
        <v>1998</v>
      </c>
      <c r="F877" s="183"/>
      <c r="G877" s="183"/>
      <c r="H877" s="183"/>
      <c r="I877" s="183"/>
      <c r="J877" s="183"/>
      <c r="K877" s="184"/>
      <c r="L877" s="183"/>
      <c r="M877" s="185" t="str">
        <f>IF(phc_8[[#This Row],[Register No.]]="","",C877&amp;"-"&amp;D877&amp;"-"&amp;"BHA-PHC-"&amp;phc_8[[#This Row],[Register No.]])</f>
        <v/>
      </c>
      <c r="N877" s="9" t="s">
        <v>401</v>
      </c>
      <c r="O877" s="183"/>
      <c r="P877" s="183"/>
      <c r="Q877" s="183"/>
      <c r="R877" s="183"/>
      <c r="S877" s="186" t="str">
        <f t="shared" si="34"/>
        <v xml:space="preserve"> </v>
      </c>
      <c r="T877" s="183"/>
      <c r="U877" s="183"/>
      <c r="V877" s="183"/>
      <c r="W877" s="183"/>
      <c r="X877" s="183"/>
      <c r="Y877" s="186" t="e">
        <f>INDEX(info!$Y$2:$Y$192,MATCH(phc_8[[#This Row],[Sub_Category]],info!$X$2:$X$192,0))</f>
        <v>#N/A</v>
      </c>
      <c r="Z877" s="186" t="e">
        <f t="array" ref="Z877">INDEX(info!$AA$2:$AA$192,MATCH(PHC!$X877&amp;PHC!$Y877,info!$X$2:$X$192&amp;info!$Y$2:$Y$192,0))</f>
        <v>#N/A</v>
      </c>
      <c r="AA877" s="183"/>
      <c r="AB877" s="9" t="s">
        <v>654</v>
      </c>
      <c r="AC877" s="9" t="s">
        <v>654</v>
      </c>
      <c r="AD877" s="9" t="s">
        <v>654</v>
      </c>
      <c r="AE877" s="9" t="s">
        <v>654</v>
      </c>
      <c r="AF877" s="184"/>
      <c r="AG877" s="183"/>
      <c r="AH877" s="183"/>
      <c r="AI877" s="183"/>
      <c r="AJ877" s="183"/>
      <c r="AK877" s="183"/>
      <c r="AL877" s="183"/>
      <c r="AM877" s="186" t="str">
        <f>IF(AF877="","","Q"&amp;INT((MONTH(AF877)-1)/3)+1&amp;YEAR(AF877)&amp;#REF!&amp;T877)</f>
        <v/>
      </c>
      <c r="AN877" s="186" t="str">
        <f>IF(K877="","","Q"&amp;INT((MONTH(K877)-1)/3)+1&amp;YEAR(K877)&amp;#REF!)</f>
        <v/>
      </c>
    </row>
    <row r="878" spans="1:40" ht="20.100000000000001" customHeight="1" x14ac:dyDescent="0.25">
      <c r="A878" s="8">
        <v>876</v>
      </c>
      <c r="B878" s="8" t="s">
        <v>399</v>
      </c>
      <c r="C878" s="8" t="s">
        <v>1997</v>
      </c>
      <c r="D878" s="8" t="s">
        <v>2416</v>
      </c>
      <c r="E878" s="182" t="s">
        <v>1998</v>
      </c>
      <c r="F878" s="183"/>
      <c r="G878" s="183"/>
      <c r="H878" s="183"/>
      <c r="I878" s="183"/>
      <c r="J878" s="183"/>
      <c r="K878" s="184"/>
      <c r="L878" s="183"/>
      <c r="M878" s="185" t="str">
        <f>IF(phc_8[[#This Row],[Register No.]]="","",C878&amp;"-"&amp;D878&amp;"-"&amp;"BHA-PHC-"&amp;phc_8[[#This Row],[Register No.]])</f>
        <v/>
      </c>
      <c r="N878" s="9" t="s">
        <v>401</v>
      </c>
      <c r="O878" s="183"/>
      <c r="P878" s="183"/>
      <c r="Q878" s="183"/>
      <c r="R878" s="183"/>
      <c r="S878" s="186" t="str">
        <f t="shared" si="34"/>
        <v xml:space="preserve"> </v>
      </c>
      <c r="T878" s="183"/>
      <c r="U878" s="183"/>
      <c r="V878" s="183"/>
      <c r="W878" s="183"/>
      <c r="X878" s="183"/>
      <c r="Y878" s="186" t="e">
        <f>INDEX(info!$Y$2:$Y$192,MATCH(phc_8[[#This Row],[Sub_Category]],info!$X$2:$X$192,0))</f>
        <v>#N/A</v>
      </c>
      <c r="Z878" s="186" t="e">
        <f t="array" ref="Z878">INDEX(info!$AA$2:$AA$192,MATCH(PHC!$X878&amp;PHC!$Y878,info!$X$2:$X$192&amp;info!$Y$2:$Y$192,0))</f>
        <v>#N/A</v>
      </c>
      <c r="AA878" s="183"/>
      <c r="AB878" s="9" t="s">
        <v>654</v>
      </c>
      <c r="AC878" s="9" t="s">
        <v>654</v>
      </c>
      <c r="AD878" s="9" t="s">
        <v>654</v>
      </c>
      <c r="AE878" s="9" t="s">
        <v>654</v>
      </c>
      <c r="AF878" s="184"/>
      <c r="AG878" s="183"/>
      <c r="AH878" s="183"/>
      <c r="AI878" s="183"/>
      <c r="AJ878" s="183"/>
      <c r="AK878" s="183"/>
      <c r="AL878" s="183"/>
      <c r="AM878" s="186" t="str">
        <f>IF(AF878="","","Q"&amp;INT((MONTH(AF878)-1)/3)+1&amp;YEAR(AF878)&amp;#REF!&amp;T878)</f>
        <v/>
      </c>
      <c r="AN878" s="186" t="str">
        <f>IF(K878="","","Q"&amp;INT((MONTH(K878)-1)/3)+1&amp;YEAR(K878)&amp;#REF!)</f>
        <v/>
      </c>
    </row>
    <row r="879" spans="1:40" ht="20.100000000000001" customHeight="1" x14ac:dyDescent="0.25">
      <c r="A879" s="8">
        <v>877</v>
      </c>
      <c r="B879" s="8" t="s">
        <v>399</v>
      </c>
      <c r="C879" s="8" t="s">
        <v>1997</v>
      </c>
      <c r="D879" s="8" t="s">
        <v>2416</v>
      </c>
      <c r="E879" s="182" t="s">
        <v>1998</v>
      </c>
      <c r="F879" s="183"/>
      <c r="G879" s="183"/>
      <c r="H879" s="183"/>
      <c r="I879" s="183"/>
      <c r="J879" s="183"/>
      <c r="K879" s="184"/>
      <c r="L879" s="183"/>
      <c r="M879" s="185" t="str">
        <f>IF(phc_8[[#This Row],[Register No.]]="","",C879&amp;"-"&amp;D879&amp;"-"&amp;"BHA-PHC-"&amp;phc_8[[#This Row],[Register No.]])</f>
        <v/>
      </c>
      <c r="N879" s="9" t="s">
        <v>401</v>
      </c>
      <c r="O879" s="183"/>
      <c r="P879" s="183"/>
      <c r="Q879" s="183"/>
      <c r="R879" s="183"/>
      <c r="S879" s="186" t="str">
        <f t="shared" si="34"/>
        <v xml:space="preserve"> </v>
      </c>
      <c r="T879" s="183"/>
      <c r="U879" s="183"/>
      <c r="V879" s="183"/>
      <c r="W879" s="183"/>
      <c r="X879" s="183"/>
      <c r="Y879" s="186" t="e">
        <f>INDEX(info!$Y$2:$Y$192,MATCH(phc_8[[#This Row],[Sub_Category]],info!$X$2:$X$192,0))</f>
        <v>#N/A</v>
      </c>
      <c r="Z879" s="186" t="e">
        <f t="array" ref="Z879">INDEX(info!$AA$2:$AA$192,MATCH(PHC!$X879&amp;PHC!$Y879,info!$X$2:$X$192&amp;info!$Y$2:$Y$192,0))</f>
        <v>#N/A</v>
      </c>
      <c r="AA879" s="183"/>
      <c r="AB879" s="9" t="s">
        <v>654</v>
      </c>
      <c r="AC879" s="9" t="s">
        <v>654</v>
      </c>
      <c r="AD879" s="9" t="s">
        <v>654</v>
      </c>
      <c r="AE879" s="9" t="s">
        <v>654</v>
      </c>
      <c r="AF879" s="184"/>
      <c r="AG879" s="183"/>
      <c r="AH879" s="183"/>
      <c r="AI879" s="183"/>
      <c r="AJ879" s="183"/>
      <c r="AK879" s="183"/>
      <c r="AL879" s="183"/>
      <c r="AM879" s="186" t="str">
        <f>IF(AF879="","","Q"&amp;INT((MONTH(AF879)-1)/3)+1&amp;YEAR(AF879)&amp;#REF!&amp;T879)</f>
        <v/>
      </c>
      <c r="AN879" s="186" t="str">
        <f>IF(K879="","","Q"&amp;INT((MONTH(K879)-1)/3)+1&amp;YEAR(K879)&amp;#REF!)</f>
        <v/>
      </c>
    </row>
    <row r="880" spans="1:40" ht="20.100000000000001" customHeight="1" x14ac:dyDescent="0.25">
      <c r="A880" s="8">
        <v>878</v>
      </c>
      <c r="B880" s="8" t="s">
        <v>399</v>
      </c>
      <c r="C880" s="8" t="s">
        <v>1997</v>
      </c>
      <c r="D880" s="8" t="s">
        <v>2416</v>
      </c>
      <c r="E880" s="182" t="s">
        <v>1998</v>
      </c>
      <c r="F880" s="183"/>
      <c r="G880" s="183"/>
      <c r="H880" s="183"/>
      <c r="I880" s="183"/>
      <c r="J880" s="183"/>
      <c r="K880" s="184"/>
      <c r="L880" s="183"/>
      <c r="M880" s="185" t="str">
        <f>IF(phc_8[[#This Row],[Register No.]]="","",C880&amp;"-"&amp;D880&amp;"-"&amp;"BHA-PHC-"&amp;phc_8[[#This Row],[Register No.]])</f>
        <v/>
      </c>
      <c r="N880" s="9" t="s">
        <v>401</v>
      </c>
      <c r="O880" s="183"/>
      <c r="P880" s="183"/>
      <c r="Q880" s="183"/>
      <c r="R880" s="183"/>
      <c r="S880" s="186" t="str">
        <f t="shared" si="34"/>
        <v xml:space="preserve"> </v>
      </c>
      <c r="T880" s="183"/>
      <c r="U880" s="183"/>
      <c r="V880" s="183"/>
      <c r="W880" s="183"/>
      <c r="X880" s="183"/>
      <c r="Y880" s="186" t="e">
        <f>INDEX(info!$Y$2:$Y$192,MATCH(phc_8[[#This Row],[Sub_Category]],info!$X$2:$X$192,0))</f>
        <v>#N/A</v>
      </c>
      <c r="Z880" s="186" t="e">
        <f t="array" ref="Z880">INDEX(info!$AA$2:$AA$192,MATCH(PHC!$X880&amp;PHC!$Y880,info!$X$2:$X$192&amp;info!$Y$2:$Y$192,0))</f>
        <v>#N/A</v>
      </c>
      <c r="AA880" s="183"/>
      <c r="AB880" s="9" t="s">
        <v>654</v>
      </c>
      <c r="AC880" s="9" t="s">
        <v>654</v>
      </c>
      <c r="AD880" s="9" t="s">
        <v>654</v>
      </c>
      <c r="AE880" s="9" t="s">
        <v>654</v>
      </c>
      <c r="AF880" s="184"/>
      <c r="AG880" s="183"/>
      <c r="AH880" s="183"/>
      <c r="AI880" s="183"/>
      <c r="AJ880" s="183"/>
      <c r="AK880" s="183"/>
      <c r="AL880" s="183"/>
      <c r="AM880" s="186" t="str">
        <f>IF(AF880="","","Q"&amp;INT((MONTH(AF880)-1)/3)+1&amp;YEAR(AF880)&amp;#REF!&amp;T880)</f>
        <v/>
      </c>
      <c r="AN880" s="186" t="str">
        <f>IF(K880="","","Q"&amp;INT((MONTH(K880)-1)/3)+1&amp;YEAR(K880)&amp;#REF!)</f>
        <v/>
      </c>
    </row>
    <row r="881" spans="1:40" ht="20.100000000000001" customHeight="1" x14ac:dyDescent="0.25">
      <c r="A881" s="8">
        <v>879</v>
      </c>
      <c r="B881" s="8" t="s">
        <v>399</v>
      </c>
      <c r="C881" s="8" t="s">
        <v>1997</v>
      </c>
      <c r="D881" s="8" t="s">
        <v>2416</v>
      </c>
      <c r="E881" s="182" t="s">
        <v>1998</v>
      </c>
      <c r="F881" s="183"/>
      <c r="G881" s="183"/>
      <c r="H881" s="183"/>
      <c r="I881" s="183"/>
      <c r="J881" s="183"/>
      <c r="K881" s="184"/>
      <c r="L881" s="183"/>
      <c r="M881" s="185" t="str">
        <f>IF(phc_8[[#This Row],[Register No.]]="","",C881&amp;"-"&amp;D881&amp;"-"&amp;"BHA-PHC-"&amp;phc_8[[#This Row],[Register No.]])</f>
        <v/>
      </c>
      <c r="N881" s="9" t="s">
        <v>401</v>
      </c>
      <c r="O881" s="183"/>
      <c r="P881" s="183"/>
      <c r="Q881" s="183"/>
      <c r="R881" s="183"/>
      <c r="S881" s="186" t="str">
        <f t="shared" si="34"/>
        <v xml:space="preserve"> </v>
      </c>
      <c r="T881" s="183"/>
      <c r="U881" s="183"/>
      <c r="V881" s="183"/>
      <c r="W881" s="183"/>
      <c r="X881" s="183"/>
      <c r="Y881" s="186" t="e">
        <f>INDEX(info!$Y$2:$Y$192,MATCH(phc_8[[#This Row],[Sub_Category]],info!$X$2:$X$192,0))</f>
        <v>#N/A</v>
      </c>
      <c r="Z881" s="186" t="e">
        <f t="array" ref="Z881">INDEX(info!$AA$2:$AA$192,MATCH(PHC!$X881&amp;PHC!$Y881,info!$X$2:$X$192&amp;info!$Y$2:$Y$192,0))</f>
        <v>#N/A</v>
      </c>
      <c r="AA881" s="183"/>
      <c r="AB881" s="9" t="s">
        <v>654</v>
      </c>
      <c r="AC881" s="9" t="s">
        <v>654</v>
      </c>
      <c r="AD881" s="9" t="s">
        <v>654</v>
      </c>
      <c r="AE881" s="9" t="s">
        <v>654</v>
      </c>
      <c r="AF881" s="184"/>
      <c r="AG881" s="183"/>
      <c r="AH881" s="183"/>
      <c r="AI881" s="183"/>
      <c r="AJ881" s="183"/>
      <c r="AK881" s="183"/>
      <c r="AL881" s="183"/>
      <c r="AM881" s="186" t="str">
        <f>IF(AF881="","","Q"&amp;INT((MONTH(AF881)-1)/3)+1&amp;YEAR(AF881)&amp;#REF!&amp;T881)</f>
        <v/>
      </c>
      <c r="AN881" s="186" t="str">
        <f>IF(K881="","","Q"&amp;INT((MONTH(K881)-1)/3)+1&amp;YEAR(K881)&amp;#REF!)</f>
        <v/>
      </c>
    </row>
    <row r="882" spans="1:40" ht="20.100000000000001" customHeight="1" x14ac:dyDescent="0.25">
      <c r="A882" s="8">
        <v>880</v>
      </c>
      <c r="B882" s="8" t="s">
        <v>399</v>
      </c>
      <c r="C882" s="8" t="s">
        <v>1997</v>
      </c>
      <c r="D882" s="8" t="s">
        <v>2416</v>
      </c>
      <c r="E882" s="182" t="s">
        <v>1998</v>
      </c>
      <c r="F882" s="183"/>
      <c r="G882" s="183"/>
      <c r="H882" s="183"/>
      <c r="I882" s="183"/>
      <c r="J882" s="183"/>
      <c r="K882" s="184"/>
      <c r="L882" s="183"/>
      <c r="M882" s="185" t="str">
        <f>IF(phc_8[[#This Row],[Register No.]]="","",C882&amp;"-"&amp;D882&amp;"-"&amp;"BHA-PHC-"&amp;phc_8[[#This Row],[Register No.]])</f>
        <v/>
      </c>
      <c r="N882" s="9" t="s">
        <v>401</v>
      </c>
      <c r="O882" s="183"/>
      <c r="P882" s="183"/>
      <c r="Q882" s="183"/>
      <c r="R882" s="183"/>
      <c r="S882" s="186" t="str">
        <f t="shared" si="34"/>
        <v xml:space="preserve"> </v>
      </c>
      <c r="T882" s="183"/>
      <c r="U882" s="183"/>
      <c r="V882" s="183"/>
      <c r="W882" s="183"/>
      <c r="X882" s="183"/>
      <c r="Y882" s="186" t="e">
        <f>INDEX(info!$Y$2:$Y$192,MATCH(phc_8[[#This Row],[Sub_Category]],info!$X$2:$X$192,0))</f>
        <v>#N/A</v>
      </c>
      <c r="Z882" s="186" t="e">
        <f t="array" ref="Z882">INDEX(info!$AA$2:$AA$192,MATCH(PHC!$X882&amp;PHC!$Y882,info!$X$2:$X$192&amp;info!$Y$2:$Y$192,0))</f>
        <v>#N/A</v>
      </c>
      <c r="AA882" s="183"/>
      <c r="AB882" s="9" t="s">
        <v>654</v>
      </c>
      <c r="AC882" s="9" t="s">
        <v>654</v>
      </c>
      <c r="AD882" s="9" t="s">
        <v>654</v>
      </c>
      <c r="AE882" s="9" t="s">
        <v>654</v>
      </c>
      <c r="AF882" s="184"/>
      <c r="AG882" s="183"/>
      <c r="AH882" s="183"/>
      <c r="AI882" s="183"/>
      <c r="AJ882" s="183"/>
      <c r="AK882" s="183"/>
      <c r="AL882" s="183"/>
      <c r="AM882" s="186" t="str">
        <f>IF(AF882="","","Q"&amp;INT((MONTH(AF882)-1)/3)+1&amp;YEAR(AF882)&amp;#REF!&amp;T882)</f>
        <v/>
      </c>
      <c r="AN882" s="186" t="str">
        <f>IF(K882="","","Q"&amp;INT((MONTH(K882)-1)/3)+1&amp;YEAR(K882)&amp;#REF!)</f>
        <v/>
      </c>
    </row>
    <row r="883" spans="1:40" ht="20.100000000000001" customHeight="1" x14ac:dyDescent="0.25">
      <c r="A883" s="8">
        <v>881</v>
      </c>
      <c r="B883" s="8" t="s">
        <v>399</v>
      </c>
      <c r="C883" s="8" t="s">
        <v>1997</v>
      </c>
      <c r="D883" s="8" t="s">
        <v>2416</v>
      </c>
      <c r="E883" s="182" t="s">
        <v>1998</v>
      </c>
      <c r="F883" s="183"/>
      <c r="G883" s="183"/>
      <c r="H883" s="183"/>
      <c r="I883" s="183"/>
      <c r="J883" s="183"/>
      <c r="K883" s="184"/>
      <c r="L883" s="183"/>
      <c r="M883" s="185" t="str">
        <f>IF(phc_8[[#This Row],[Register No.]]="","",C883&amp;"-"&amp;D883&amp;"-"&amp;"BHA-PHC-"&amp;phc_8[[#This Row],[Register No.]])</f>
        <v/>
      </c>
      <c r="N883" s="9" t="s">
        <v>401</v>
      </c>
      <c r="O883" s="183"/>
      <c r="P883" s="183"/>
      <c r="Q883" s="183"/>
      <c r="R883" s="183"/>
      <c r="S883" s="186" t="str">
        <f t="shared" si="34"/>
        <v xml:space="preserve"> </v>
      </c>
      <c r="T883" s="183"/>
      <c r="U883" s="183"/>
      <c r="V883" s="183"/>
      <c r="W883" s="183"/>
      <c r="X883" s="183"/>
      <c r="Y883" s="186" t="e">
        <f>INDEX(info!$Y$2:$Y$192,MATCH(phc_8[[#This Row],[Sub_Category]],info!$X$2:$X$192,0))</f>
        <v>#N/A</v>
      </c>
      <c r="Z883" s="186" t="e">
        <f t="array" ref="Z883">INDEX(info!$AA$2:$AA$192,MATCH(PHC!$X883&amp;PHC!$Y883,info!$X$2:$X$192&amp;info!$Y$2:$Y$192,0))</f>
        <v>#N/A</v>
      </c>
      <c r="AA883" s="183"/>
      <c r="AB883" s="9" t="s">
        <v>654</v>
      </c>
      <c r="AC883" s="9" t="s">
        <v>654</v>
      </c>
      <c r="AD883" s="9" t="s">
        <v>654</v>
      </c>
      <c r="AE883" s="9" t="s">
        <v>654</v>
      </c>
      <c r="AF883" s="184"/>
      <c r="AG883" s="183"/>
      <c r="AH883" s="183"/>
      <c r="AI883" s="183"/>
      <c r="AJ883" s="183"/>
      <c r="AK883" s="183"/>
      <c r="AL883" s="183"/>
      <c r="AM883" s="186" t="str">
        <f>IF(AF883="","","Q"&amp;INT((MONTH(AF883)-1)/3)+1&amp;YEAR(AF883)&amp;#REF!&amp;T883)</f>
        <v/>
      </c>
      <c r="AN883" s="186" t="str">
        <f>IF(K883="","","Q"&amp;INT((MONTH(K883)-1)/3)+1&amp;YEAR(K883)&amp;#REF!)</f>
        <v/>
      </c>
    </row>
    <row r="884" spans="1:40" ht="20.100000000000001" customHeight="1" x14ac:dyDescent="0.25">
      <c r="A884" s="8">
        <v>882</v>
      </c>
      <c r="B884" s="8" t="s">
        <v>399</v>
      </c>
      <c r="C884" s="8" t="s">
        <v>1997</v>
      </c>
      <c r="D884" s="8" t="s">
        <v>2416</v>
      </c>
      <c r="E884" s="182" t="s">
        <v>1998</v>
      </c>
      <c r="F884" s="183"/>
      <c r="G884" s="183"/>
      <c r="H884" s="183"/>
      <c r="I884" s="183"/>
      <c r="J884" s="183"/>
      <c r="K884" s="184"/>
      <c r="L884" s="183"/>
      <c r="M884" s="185" t="str">
        <f>IF(phc_8[[#This Row],[Register No.]]="","",C884&amp;"-"&amp;D884&amp;"-"&amp;"BHA-PHC-"&amp;phc_8[[#This Row],[Register No.]])</f>
        <v/>
      </c>
      <c r="N884" s="9" t="s">
        <v>401</v>
      </c>
      <c r="O884" s="183"/>
      <c r="P884" s="183"/>
      <c r="Q884" s="183"/>
      <c r="R884" s="183"/>
      <c r="S884" s="186" t="str">
        <f t="shared" si="34"/>
        <v xml:space="preserve"> </v>
      </c>
      <c r="T884" s="183"/>
      <c r="U884" s="183"/>
      <c r="V884" s="183"/>
      <c r="W884" s="183"/>
      <c r="X884" s="183"/>
      <c r="Y884" s="186" t="e">
        <f>INDEX(info!$Y$2:$Y$192,MATCH(phc_8[[#This Row],[Sub_Category]],info!$X$2:$X$192,0))</f>
        <v>#N/A</v>
      </c>
      <c r="Z884" s="186" t="e">
        <f t="array" ref="Z884">INDEX(info!$AA$2:$AA$192,MATCH(PHC!$X884&amp;PHC!$Y884,info!$X$2:$X$192&amp;info!$Y$2:$Y$192,0))</f>
        <v>#N/A</v>
      </c>
      <c r="AA884" s="183"/>
      <c r="AB884" s="9" t="s">
        <v>654</v>
      </c>
      <c r="AC884" s="9" t="s">
        <v>654</v>
      </c>
      <c r="AD884" s="9" t="s">
        <v>654</v>
      </c>
      <c r="AE884" s="9" t="s">
        <v>654</v>
      </c>
      <c r="AF884" s="184"/>
      <c r="AG884" s="183"/>
      <c r="AH884" s="183"/>
      <c r="AI884" s="183"/>
      <c r="AJ884" s="183"/>
      <c r="AK884" s="183"/>
      <c r="AL884" s="183"/>
      <c r="AM884" s="186" t="str">
        <f>IF(AF884="","","Q"&amp;INT((MONTH(AF884)-1)/3)+1&amp;YEAR(AF884)&amp;#REF!&amp;T884)</f>
        <v/>
      </c>
      <c r="AN884" s="186" t="str">
        <f>IF(K884="","","Q"&amp;INT((MONTH(K884)-1)/3)+1&amp;YEAR(K884)&amp;#REF!)</f>
        <v/>
      </c>
    </row>
    <row r="885" spans="1:40" ht="20.100000000000001" customHeight="1" x14ac:dyDescent="0.25">
      <c r="A885" s="8">
        <v>883</v>
      </c>
      <c r="B885" s="8" t="s">
        <v>399</v>
      </c>
      <c r="C885" s="8" t="s">
        <v>1997</v>
      </c>
      <c r="D885" s="8" t="s">
        <v>2416</v>
      </c>
      <c r="E885" s="182" t="s">
        <v>1998</v>
      </c>
      <c r="F885" s="183"/>
      <c r="G885" s="183"/>
      <c r="H885" s="183"/>
      <c r="I885" s="183"/>
      <c r="J885" s="183"/>
      <c r="K885" s="184"/>
      <c r="L885" s="183"/>
      <c r="M885" s="185" t="str">
        <f>IF(phc_8[[#This Row],[Register No.]]="","",C885&amp;"-"&amp;D885&amp;"-"&amp;"BHA-PHC-"&amp;phc_8[[#This Row],[Register No.]])</f>
        <v/>
      </c>
      <c r="N885" s="9" t="s">
        <v>401</v>
      </c>
      <c r="O885" s="183"/>
      <c r="P885" s="183"/>
      <c r="Q885" s="183"/>
      <c r="R885" s="183"/>
      <c r="S885" s="186" t="str">
        <f t="shared" si="34"/>
        <v xml:space="preserve"> </v>
      </c>
      <c r="T885" s="183"/>
      <c r="U885" s="183"/>
      <c r="V885" s="183"/>
      <c r="W885" s="183"/>
      <c r="X885" s="183"/>
      <c r="Y885" s="186" t="e">
        <f>INDEX(info!$Y$2:$Y$192,MATCH(phc_8[[#This Row],[Sub_Category]],info!$X$2:$X$192,0))</f>
        <v>#N/A</v>
      </c>
      <c r="Z885" s="186" t="e">
        <f t="array" ref="Z885">INDEX(info!$AA$2:$AA$192,MATCH(PHC!$X885&amp;PHC!$Y885,info!$X$2:$X$192&amp;info!$Y$2:$Y$192,0))</f>
        <v>#N/A</v>
      </c>
      <c r="AA885" s="183"/>
      <c r="AB885" s="9" t="s">
        <v>654</v>
      </c>
      <c r="AC885" s="9" t="s">
        <v>654</v>
      </c>
      <c r="AD885" s="9" t="s">
        <v>654</v>
      </c>
      <c r="AE885" s="9" t="s">
        <v>654</v>
      </c>
      <c r="AF885" s="184"/>
      <c r="AG885" s="183"/>
      <c r="AH885" s="183"/>
      <c r="AI885" s="183"/>
      <c r="AJ885" s="183"/>
      <c r="AK885" s="183"/>
      <c r="AL885" s="183"/>
      <c r="AM885" s="186" t="str">
        <f>IF(AF885="","","Q"&amp;INT((MONTH(AF885)-1)/3)+1&amp;YEAR(AF885)&amp;#REF!&amp;T885)</f>
        <v/>
      </c>
      <c r="AN885" s="186" t="str">
        <f>IF(K885="","","Q"&amp;INT((MONTH(K885)-1)/3)+1&amp;YEAR(K885)&amp;#REF!)</f>
        <v/>
      </c>
    </row>
    <row r="886" spans="1:40" ht="20.100000000000001" customHeight="1" x14ac:dyDescent="0.25">
      <c r="A886" s="8">
        <v>884</v>
      </c>
      <c r="B886" s="8" t="s">
        <v>399</v>
      </c>
      <c r="C886" s="8" t="s">
        <v>1997</v>
      </c>
      <c r="D886" s="8" t="s">
        <v>2416</v>
      </c>
      <c r="E886" s="182" t="s">
        <v>1998</v>
      </c>
      <c r="F886" s="183"/>
      <c r="G886" s="183"/>
      <c r="H886" s="183"/>
      <c r="I886" s="183"/>
      <c r="J886" s="183"/>
      <c r="K886" s="184"/>
      <c r="L886" s="183"/>
      <c r="M886" s="185" t="str">
        <f>IF(phc_8[[#This Row],[Register No.]]="","",C886&amp;"-"&amp;D886&amp;"-"&amp;"BHA-PHC-"&amp;phc_8[[#This Row],[Register No.]])</f>
        <v/>
      </c>
      <c r="N886" s="9" t="s">
        <v>401</v>
      </c>
      <c r="O886" s="183"/>
      <c r="P886" s="183"/>
      <c r="Q886" s="183"/>
      <c r="R886" s="183"/>
      <c r="S886" s="186" t="str">
        <f t="shared" si="34"/>
        <v xml:space="preserve"> </v>
      </c>
      <c r="T886" s="183"/>
      <c r="U886" s="183"/>
      <c r="V886" s="183"/>
      <c r="W886" s="183"/>
      <c r="X886" s="183"/>
      <c r="Y886" s="186" t="e">
        <f>INDEX(info!$Y$2:$Y$192,MATCH(phc_8[[#This Row],[Sub_Category]],info!$X$2:$X$192,0))</f>
        <v>#N/A</v>
      </c>
      <c r="Z886" s="186" t="e">
        <f t="array" ref="Z886">INDEX(info!$AA$2:$AA$192,MATCH(PHC!$X886&amp;PHC!$Y886,info!$X$2:$X$192&amp;info!$Y$2:$Y$192,0))</f>
        <v>#N/A</v>
      </c>
      <c r="AA886" s="183"/>
      <c r="AB886" s="9" t="s">
        <v>654</v>
      </c>
      <c r="AC886" s="9" t="s">
        <v>654</v>
      </c>
      <c r="AD886" s="9" t="s">
        <v>654</v>
      </c>
      <c r="AE886" s="9" t="s">
        <v>654</v>
      </c>
      <c r="AF886" s="184"/>
      <c r="AG886" s="183"/>
      <c r="AH886" s="183"/>
      <c r="AI886" s="183"/>
      <c r="AJ886" s="183"/>
      <c r="AK886" s="183"/>
      <c r="AL886" s="183"/>
      <c r="AM886" s="186" t="str">
        <f>IF(AF886="","","Q"&amp;INT((MONTH(AF886)-1)/3)+1&amp;YEAR(AF886)&amp;#REF!&amp;T886)</f>
        <v/>
      </c>
      <c r="AN886" s="186" t="str">
        <f>IF(K886="","","Q"&amp;INT((MONTH(K886)-1)/3)+1&amp;YEAR(K886)&amp;#REF!)</f>
        <v/>
      </c>
    </row>
    <row r="887" spans="1:40" ht="20.100000000000001" customHeight="1" x14ac:dyDescent="0.25">
      <c r="A887" s="8">
        <v>885</v>
      </c>
      <c r="B887" s="8" t="s">
        <v>399</v>
      </c>
      <c r="C887" s="8" t="s">
        <v>1997</v>
      </c>
      <c r="D887" s="8" t="s">
        <v>2416</v>
      </c>
      <c r="E887" s="182" t="s">
        <v>1998</v>
      </c>
      <c r="F887" s="183"/>
      <c r="G887" s="183"/>
      <c r="H887" s="183"/>
      <c r="I887" s="183"/>
      <c r="J887" s="183"/>
      <c r="K887" s="184"/>
      <c r="L887" s="183"/>
      <c r="M887" s="185" t="str">
        <f>IF(phc_8[[#This Row],[Register No.]]="","",C887&amp;"-"&amp;D887&amp;"-"&amp;"BHA-PHC-"&amp;phc_8[[#This Row],[Register No.]])</f>
        <v/>
      </c>
      <c r="N887" s="9" t="s">
        <v>401</v>
      </c>
      <c r="O887" s="183"/>
      <c r="P887" s="183"/>
      <c r="Q887" s="183"/>
      <c r="R887" s="183"/>
      <c r="S887" s="186" t="str">
        <f t="shared" si="34"/>
        <v xml:space="preserve"> </v>
      </c>
      <c r="T887" s="183"/>
      <c r="U887" s="183"/>
      <c r="V887" s="183"/>
      <c r="W887" s="183"/>
      <c r="X887" s="183"/>
      <c r="Y887" s="186" t="e">
        <f>INDEX(info!$Y$2:$Y$192,MATCH(phc_8[[#This Row],[Sub_Category]],info!$X$2:$X$192,0))</f>
        <v>#N/A</v>
      </c>
      <c r="Z887" s="186" t="e">
        <f t="array" ref="Z887">INDEX(info!$AA$2:$AA$192,MATCH(PHC!$X887&amp;PHC!$Y887,info!$X$2:$X$192&amp;info!$Y$2:$Y$192,0))</f>
        <v>#N/A</v>
      </c>
      <c r="AA887" s="183"/>
      <c r="AB887" s="9" t="s">
        <v>654</v>
      </c>
      <c r="AC887" s="9" t="s">
        <v>654</v>
      </c>
      <c r="AD887" s="9" t="s">
        <v>654</v>
      </c>
      <c r="AE887" s="9" t="s">
        <v>654</v>
      </c>
      <c r="AF887" s="184"/>
      <c r="AG887" s="183"/>
      <c r="AH887" s="183"/>
      <c r="AI887" s="183"/>
      <c r="AJ887" s="183"/>
      <c r="AK887" s="183"/>
      <c r="AL887" s="183"/>
      <c r="AM887" s="186" t="str">
        <f>IF(AF887="","","Q"&amp;INT((MONTH(AF887)-1)/3)+1&amp;YEAR(AF887)&amp;#REF!&amp;T887)</f>
        <v/>
      </c>
      <c r="AN887" s="186" t="str">
        <f>IF(K887="","","Q"&amp;INT((MONTH(K887)-1)/3)+1&amp;YEAR(K887)&amp;#REF!)</f>
        <v/>
      </c>
    </row>
    <row r="888" spans="1:40" ht="20.100000000000001" customHeight="1" x14ac:dyDescent="0.25">
      <c r="A888" s="8">
        <v>886</v>
      </c>
      <c r="B888" s="8" t="s">
        <v>399</v>
      </c>
      <c r="C888" s="8" t="s">
        <v>1997</v>
      </c>
      <c r="D888" s="8" t="s">
        <v>2416</v>
      </c>
      <c r="E888" s="182" t="s">
        <v>1998</v>
      </c>
      <c r="F888" s="183"/>
      <c r="G888" s="183"/>
      <c r="H888" s="183"/>
      <c r="I888" s="183"/>
      <c r="J888" s="183"/>
      <c r="K888" s="184"/>
      <c r="L888" s="183"/>
      <c r="M888" s="185" t="str">
        <f>IF(phc_8[[#This Row],[Register No.]]="","",C888&amp;"-"&amp;D888&amp;"-"&amp;"BHA-PHC-"&amp;phc_8[[#This Row],[Register No.]])</f>
        <v/>
      </c>
      <c r="N888" s="9" t="s">
        <v>401</v>
      </c>
      <c r="O888" s="183"/>
      <c r="P888" s="183"/>
      <c r="Q888" s="183"/>
      <c r="R888" s="183"/>
      <c r="S888" s="186" t="str">
        <f t="shared" ref="S888:S910" si="35">IF(AND(ISBLANK(P888),ISBLANK(Q888),ISBLANK(R888))," ",
IF(OR(P888&lt;5,AND(P888=" ",Q888&lt;&gt;" ",R888&lt;&gt;" ")),"&lt;5 yrs",
IF(AND(P888&gt;=5,P888&lt;=14),"5 - 14 yrs",
IF(AND(P888&gt;=15,P888&lt;=18),"15 - 18 yrs",
IF(AND(P888&gt;=19,P888&lt;=49),"19 - 49 yrs","50 yrs +")))))</f>
        <v xml:space="preserve"> </v>
      </c>
      <c r="T888" s="183"/>
      <c r="U888" s="183"/>
      <c r="V888" s="183"/>
      <c r="W888" s="183"/>
      <c r="X888" s="183"/>
      <c r="Y888" s="186" t="e">
        <f>INDEX(info!$Y$2:$Y$192,MATCH(phc_8[[#This Row],[Sub_Category]],info!$X$2:$X$192,0))</f>
        <v>#N/A</v>
      </c>
      <c r="Z888" s="186" t="e">
        <f t="array" ref="Z888">INDEX(info!$AA$2:$AA$192,MATCH(PHC!$X888&amp;PHC!$Y888,info!$X$2:$X$192&amp;info!$Y$2:$Y$192,0))</f>
        <v>#N/A</v>
      </c>
      <c r="AA888" s="183"/>
      <c r="AB888" s="9" t="s">
        <v>654</v>
      </c>
      <c r="AC888" s="9" t="s">
        <v>654</v>
      </c>
      <c r="AD888" s="9" t="s">
        <v>654</v>
      </c>
      <c r="AE888" s="9" t="s">
        <v>654</v>
      </c>
      <c r="AF888" s="184"/>
      <c r="AG888" s="183"/>
      <c r="AH888" s="183"/>
      <c r="AI888" s="183"/>
      <c r="AJ888" s="183"/>
      <c r="AK888" s="183"/>
      <c r="AL888" s="183"/>
      <c r="AM888" s="186" t="str">
        <f>IF(AF888="","","Q"&amp;INT((MONTH(AF888)-1)/3)+1&amp;YEAR(AF888)&amp;#REF!&amp;T888)</f>
        <v/>
      </c>
      <c r="AN888" s="186" t="str">
        <f>IF(K888="","","Q"&amp;INT((MONTH(K888)-1)/3)+1&amp;YEAR(K888)&amp;#REF!)</f>
        <v/>
      </c>
    </row>
    <row r="889" spans="1:40" ht="20.100000000000001" customHeight="1" x14ac:dyDescent="0.25">
      <c r="A889" s="8">
        <v>887</v>
      </c>
      <c r="B889" s="8" t="s">
        <v>399</v>
      </c>
      <c r="C889" s="8" t="s">
        <v>1997</v>
      </c>
      <c r="D889" s="8" t="s">
        <v>2416</v>
      </c>
      <c r="E889" s="182" t="s">
        <v>1998</v>
      </c>
      <c r="F889" s="183"/>
      <c r="G889" s="183"/>
      <c r="H889" s="183"/>
      <c r="I889" s="183"/>
      <c r="J889" s="183"/>
      <c r="K889" s="184"/>
      <c r="L889" s="183"/>
      <c r="M889" s="185" t="str">
        <f>IF(phc_8[[#This Row],[Register No.]]="","",C889&amp;"-"&amp;D889&amp;"-"&amp;"BHA-PHC-"&amp;phc_8[[#This Row],[Register No.]])</f>
        <v/>
      </c>
      <c r="N889" s="9" t="s">
        <v>401</v>
      </c>
      <c r="O889" s="183"/>
      <c r="P889" s="183"/>
      <c r="Q889" s="183"/>
      <c r="R889" s="183"/>
      <c r="S889" s="186" t="str">
        <f t="shared" si="35"/>
        <v xml:space="preserve"> </v>
      </c>
      <c r="T889" s="183"/>
      <c r="U889" s="183"/>
      <c r="V889" s="183"/>
      <c r="W889" s="183"/>
      <c r="X889" s="183"/>
      <c r="Y889" s="186" t="e">
        <f>INDEX(info!$Y$2:$Y$192,MATCH(phc_8[[#This Row],[Sub_Category]],info!$X$2:$X$192,0))</f>
        <v>#N/A</v>
      </c>
      <c r="Z889" s="186" t="e">
        <f t="array" ref="Z889">INDEX(info!$AA$2:$AA$192,MATCH(PHC!$X889&amp;PHC!$Y889,info!$X$2:$X$192&amp;info!$Y$2:$Y$192,0))</f>
        <v>#N/A</v>
      </c>
      <c r="AA889" s="183"/>
      <c r="AB889" s="9" t="s">
        <v>654</v>
      </c>
      <c r="AC889" s="9" t="s">
        <v>654</v>
      </c>
      <c r="AD889" s="9" t="s">
        <v>654</v>
      </c>
      <c r="AE889" s="9" t="s">
        <v>654</v>
      </c>
      <c r="AF889" s="184"/>
      <c r="AG889" s="183"/>
      <c r="AH889" s="183"/>
      <c r="AI889" s="183"/>
      <c r="AJ889" s="183"/>
      <c r="AK889" s="183"/>
      <c r="AL889" s="183"/>
      <c r="AM889" s="186" t="str">
        <f>IF(AF889="","","Q"&amp;INT((MONTH(AF889)-1)/3)+1&amp;YEAR(AF889)&amp;#REF!&amp;T889)</f>
        <v/>
      </c>
      <c r="AN889" s="186" t="str">
        <f>IF(K889="","","Q"&amp;INT((MONTH(K889)-1)/3)+1&amp;YEAR(K889)&amp;#REF!)</f>
        <v/>
      </c>
    </row>
    <row r="890" spans="1:40" ht="20.100000000000001" customHeight="1" x14ac:dyDescent="0.25">
      <c r="A890" s="8">
        <v>888</v>
      </c>
      <c r="B890" s="8" t="s">
        <v>399</v>
      </c>
      <c r="C890" s="8" t="s">
        <v>1997</v>
      </c>
      <c r="D890" s="8" t="s">
        <v>2416</v>
      </c>
      <c r="E890" s="182" t="s">
        <v>1998</v>
      </c>
      <c r="F890" s="183"/>
      <c r="G890" s="183"/>
      <c r="H890" s="183"/>
      <c r="I890" s="183"/>
      <c r="J890" s="183"/>
      <c r="K890" s="184"/>
      <c r="L890" s="183"/>
      <c r="M890" s="185" t="str">
        <f>IF(phc_8[[#This Row],[Register No.]]="","",C890&amp;"-"&amp;D890&amp;"-"&amp;"BHA-PHC-"&amp;phc_8[[#This Row],[Register No.]])</f>
        <v/>
      </c>
      <c r="N890" s="9" t="s">
        <v>401</v>
      </c>
      <c r="O890" s="183"/>
      <c r="P890" s="183"/>
      <c r="Q890" s="183"/>
      <c r="R890" s="183"/>
      <c r="S890" s="186" t="str">
        <f t="shared" si="35"/>
        <v xml:space="preserve"> </v>
      </c>
      <c r="T890" s="183"/>
      <c r="U890" s="183"/>
      <c r="V890" s="183"/>
      <c r="W890" s="183"/>
      <c r="X890" s="183"/>
      <c r="Y890" s="186" t="e">
        <f>INDEX(info!$Y$2:$Y$192,MATCH(phc_8[[#This Row],[Sub_Category]],info!$X$2:$X$192,0))</f>
        <v>#N/A</v>
      </c>
      <c r="Z890" s="186" t="e">
        <f t="array" ref="Z890">INDEX(info!$AA$2:$AA$192,MATCH(PHC!$X890&amp;PHC!$Y890,info!$X$2:$X$192&amp;info!$Y$2:$Y$192,0))</f>
        <v>#N/A</v>
      </c>
      <c r="AA890" s="183"/>
      <c r="AB890" s="9" t="s">
        <v>654</v>
      </c>
      <c r="AC890" s="9" t="s">
        <v>654</v>
      </c>
      <c r="AD890" s="9" t="s">
        <v>654</v>
      </c>
      <c r="AE890" s="9" t="s">
        <v>654</v>
      </c>
      <c r="AF890" s="184"/>
      <c r="AG890" s="183"/>
      <c r="AH890" s="183"/>
      <c r="AI890" s="183"/>
      <c r="AJ890" s="183"/>
      <c r="AK890" s="183"/>
      <c r="AL890" s="183"/>
      <c r="AM890" s="186" t="str">
        <f>IF(AF890="","","Q"&amp;INT((MONTH(AF890)-1)/3)+1&amp;YEAR(AF890)&amp;#REF!&amp;T890)</f>
        <v/>
      </c>
      <c r="AN890" s="186" t="str">
        <f>IF(K890="","","Q"&amp;INT((MONTH(K890)-1)/3)+1&amp;YEAR(K890)&amp;#REF!)</f>
        <v/>
      </c>
    </row>
    <row r="891" spans="1:40" ht="20.100000000000001" customHeight="1" x14ac:dyDescent="0.25">
      <c r="A891" s="8">
        <v>889</v>
      </c>
      <c r="B891" s="8" t="s">
        <v>399</v>
      </c>
      <c r="C891" s="8" t="s">
        <v>1997</v>
      </c>
      <c r="D891" s="8" t="s">
        <v>2416</v>
      </c>
      <c r="E891" s="182" t="s">
        <v>1998</v>
      </c>
      <c r="F891" s="183"/>
      <c r="G891" s="183"/>
      <c r="H891" s="183"/>
      <c r="I891" s="183"/>
      <c r="J891" s="183"/>
      <c r="K891" s="184"/>
      <c r="L891" s="183"/>
      <c r="M891" s="185" t="str">
        <f>IF(phc_8[[#This Row],[Register No.]]="","",C891&amp;"-"&amp;D891&amp;"-"&amp;"BHA-PHC-"&amp;phc_8[[#This Row],[Register No.]])</f>
        <v/>
      </c>
      <c r="N891" s="9" t="s">
        <v>401</v>
      </c>
      <c r="O891" s="183"/>
      <c r="P891" s="183"/>
      <c r="Q891" s="183"/>
      <c r="R891" s="183"/>
      <c r="S891" s="186" t="str">
        <f t="shared" si="35"/>
        <v xml:space="preserve"> </v>
      </c>
      <c r="T891" s="183"/>
      <c r="U891" s="183"/>
      <c r="V891" s="183"/>
      <c r="W891" s="183"/>
      <c r="X891" s="183"/>
      <c r="Y891" s="186" t="e">
        <f>INDEX(info!$Y$2:$Y$192,MATCH(phc_8[[#This Row],[Sub_Category]],info!$X$2:$X$192,0))</f>
        <v>#N/A</v>
      </c>
      <c r="Z891" s="186" t="e">
        <f t="array" ref="Z891">INDEX(info!$AA$2:$AA$192,MATCH(PHC!$X891&amp;PHC!$Y891,info!$X$2:$X$192&amp;info!$Y$2:$Y$192,0))</f>
        <v>#N/A</v>
      </c>
      <c r="AA891" s="183"/>
      <c r="AB891" s="9" t="s">
        <v>654</v>
      </c>
      <c r="AC891" s="9" t="s">
        <v>654</v>
      </c>
      <c r="AD891" s="9" t="s">
        <v>654</v>
      </c>
      <c r="AE891" s="9" t="s">
        <v>654</v>
      </c>
      <c r="AF891" s="184"/>
      <c r="AG891" s="183"/>
      <c r="AH891" s="183"/>
      <c r="AI891" s="183"/>
      <c r="AJ891" s="183"/>
      <c r="AK891" s="183"/>
      <c r="AL891" s="183"/>
      <c r="AM891" s="186" t="str">
        <f>IF(AF891="","","Q"&amp;INT((MONTH(AF891)-1)/3)+1&amp;YEAR(AF891)&amp;#REF!&amp;T891)</f>
        <v/>
      </c>
      <c r="AN891" s="186" t="str">
        <f>IF(K891="","","Q"&amp;INT((MONTH(K891)-1)/3)+1&amp;YEAR(K891)&amp;#REF!)</f>
        <v/>
      </c>
    </row>
    <row r="892" spans="1:40" ht="20.100000000000001" customHeight="1" x14ac:dyDescent="0.25">
      <c r="A892" s="8">
        <v>890</v>
      </c>
      <c r="B892" s="8" t="s">
        <v>399</v>
      </c>
      <c r="C892" s="8" t="s">
        <v>1997</v>
      </c>
      <c r="D892" s="8" t="s">
        <v>2416</v>
      </c>
      <c r="E892" s="182" t="s">
        <v>1998</v>
      </c>
      <c r="F892" s="183"/>
      <c r="G892" s="183"/>
      <c r="H892" s="183"/>
      <c r="I892" s="183"/>
      <c r="J892" s="183"/>
      <c r="K892" s="184"/>
      <c r="L892" s="183"/>
      <c r="M892" s="185" t="str">
        <f>IF(phc_8[[#This Row],[Register No.]]="","",C892&amp;"-"&amp;D892&amp;"-"&amp;"BHA-PHC-"&amp;phc_8[[#This Row],[Register No.]])</f>
        <v/>
      </c>
      <c r="N892" s="9" t="s">
        <v>401</v>
      </c>
      <c r="O892" s="183"/>
      <c r="P892" s="183"/>
      <c r="Q892" s="183"/>
      <c r="R892" s="183"/>
      <c r="S892" s="186" t="str">
        <f t="shared" si="35"/>
        <v xml:space="preserve"> </v>
      </c>
      <c r="T892" s="183"/>
      <c r="U892" s="183"/>
      <c r="V892" s="183"/>
      <c r="W892" s="183"/>
      <c r="X892" s="183"/>
      <c r="Y892" s="186" t="e">
        <f>INDEX(info!$Y$2:$Y$192,MATCH(phc_8[[#This Row],[Sub_Category]],info!$X$2:$X$192,0))</f>
        <v>#N/A</v>
      </c>
      <c r="Z892" s="186" t="e">
        <f t="array" ref="Z892">INDEX(info!$AA$2:$AA$192,MATCH(PHC!$X892&amp;PHC!$Y892,info!$X$2:$X$192&amp;info!$Y$2:$Y$192,0))</f>
        <v>#N/A</v>
      </c>
      <c r="AA892" s="183"/>
      <c r="AB892" s="9" t="s">
        <v>654</v>
      </c>
      <c r="AC892" s="9" t="s">
        <v>654</v>
      </c>
      <c r="AD892" s="9" t="s">
        <v>654</v>
      </c>
      <c r="AE892" s="9" t="s">
        <v>654</v>
      </c>
      <c r="AF892" s="184"/>
      <c r="AG892" s="183"/>
      <c r="AH892" s="183"/>
      <c r="AI892" s="183"/>
      <c r="AJ892" s="183"/>
      <c r="AK892" s="183"/>
      <c r="AL892" s="183"/>
      <c r="AM892" s="186" t="str">
        <f>IF(AF892="","","Q"&amp;INT((MONTH(AF892)-1)/3)+1&amp;YEAR(AF892)&amp;#REF!&amp;T892)</f>
        <v/>
      </c>
      <c r="AN892" s="186" t="str">
        <f>IF(K892="","","Q"&amp;INT((MONTH(K892)-1)/3)+1&amp;YEAR(K892)&amp;#REF!)</f>
        <v/>
      </c>
    </row>
    <row r="893" spans="1:40" ht="20.100000000000001" customHeight="1" x14ac:dyDescent="0.25">
      <c r="A893" s="8">
        <v>891</v>
      </c>
      <c r="B893" s="8" t="s">
        <v>399</v>
      </c>
      <c r="C893" s="8" t="s">
        <v>1997</v>
      </c>
      <c r="D893" s="8" t="s">
        <v>2416</v>
      </c>
      <c r="E893" s="182" t="s">
        <v>1998</v>
      </c>
      <c r="F893" s="183"/>
      <c r="G893" s="183"/>
      <c r="H893" s="183"/>
      <c r="I893" s="183"/>
      <c r="J893" s="183"/>
      <c r="K893" s="184"/>
      <c r="L893" s="183"/>
      <c r="M893" s="185" t="str">
        <f>IF(phc_8[[#This Row],[Register No.]]="","",C893&amp;"-"&amp;D893&amp;"-"&amp;"BHA-PHC-"&amp;phc_8[[#This Row],[Register No.]])</f>
        <v/>
      </c>
      <c r="N893" s="9" t="s">
        <v>401</v>
      </c>
      <c r="O893" s="183"/>
      <c r="P893" s="183"/>
      <c r="Q893" s="183"/>
      <c r="R893" s="183"/>
      <c r="S893" s="186" t="str">
        <f t="shared" si="35"/>
        <v xml:space="preserve"> </v>
      </c>
      <c r="T893" s="183"/>
      <c r="U893" s="183"/>
      <c r="V893" s="183"/>
      <c r="W893" s="183"/>
      <c r="X893" s="183"/>
      <c r="Y893" s="186" t="e">
        <f>INDEX(info!$Y$2:$Y$192,MATCH(phc_8[[#This Row],[Sub_Category]],info!$X$2:$X$192,0))</f>
        <v>#N/A</v>
      </c>
      <c r="Z893" s="186" t="e">
        <f t="array" ref="Z893">INDEX(info!$AA$2:$AA$192,MATCH(PHC!$X893&amp;PHC!$Y893,info!$X$2:$X$192&amp;info!$Y$2:$Y$192,0))</f>
        <v>#N/A</v>
      </c>
      <c r="AA893" s="183"/>
      <c r="AB893" s="9" t="s">
        <v>654</v>
      </c>
      <c r="AC893" s="9" t="s">
        <v>654</v>
      </c>
      <c r="AD893" s="9" t="s">
        <v>654</v>
      </c>
      <c r="AE893" s="9" t="s">
        <v>654</v>
      </c>
      <c r="AF893" s="184"/>
      <c r="AG893" s="183"/>
      <c r="AH893" s="183"/>
      <c r="AI893" s="183"/>
      <c r="AJ893" s="183"/>
      <c r="AK893" s="183"/>
      <c r="AL893" s="183"/>
      <c r="AM893" s="186" t="str">
        <f>IF(AF893="","","Q"&amp;INT((MONTH(AF893)-1)/3)+1&amp;YEAR(AF893)&amp;#REF!&amp;T893)</f>
        <v/>
      </c>
      <c r="AN893" s="186" t="str">
        <f>IF(K893="","","Q"&amp;INT((MONTH(K893)-1)/3)+1&amp;YEAR(K893)&amp;#REF!)</f>
        <v/>
      </c>
    </row>
    <row r="894" spans="1:40" ht="20.100000000000001" customHeight="1" x14ac:dyDescent="0.25">
      <c r="A894" s="8">
        <v>892</v>
      </c>
      <c r="B894" s="8" t="s">
        <v>399</v>
      </c>
      <c r="C894" s="8" t="s">
        <v>1997</v>
      </c>
      <c r="D894" s="8" t="s">
        <v>2416</v>
      </c>
      <c r="E894" s="182" t="s">
        <v>1998</v>
      </c>
      <c r="F894" s="183"/>
      <c r="G894" s="183"/>
      <c r="H894" s="183"/>
      <c r="I894" s="183"/>
      <c r="J894" s="183"/>
      <c r="K894" s="184"/>
      <c r="L894" s="183"/>
      <c r="M894" s="185" t="str">
        <f>IF(phc_8[[#This Row],[Register No.]]="","",C894&amp;"-"&amp;D894&amp;"-"&amp;"BHA-PHC-"&amp;phc_8[[#This Row],[Register No.]])</f>
        <v/>
      </c>
      <c r="N894" s="9" t="s">
        <v>401</v>
      </c>
      <c r="O894" s="183"/>
      <c r="P894" s="183"/>
      <c r="Q894" s="183"/>
      <c r="R894" s="183"/>
      <c r="S894" s="186" t="str">
        <f t="shared" si="35"/>
        <v xml:space="preserve"> </v>
      </c>
      <c r="T894" s="183"/>
      <c r="U894" s="183"/>
      <c r="V894" s="183"/>
      <c r="W894" s="183"/>
      <c r="X894" s="183"/>
      <c r="Y894" s="186" t="e">
        <f>INDEX(info!$Y$2:$Y$192,MATCH(phc_8[[#This Row],[Sub_Category]],info!$X$2:$X$192,0))</f>
        <v>#N/A</v>
      </c>
      <c r="Z894" s="186" t="e">
        <f t="array" ref="Z894">INDEX(info!$AA$2:$AA$192,MATCH(PHC!$X894&amp;PHC!$Y894,info!$X$2:$X$192&amp;info!$Y$2:$Y$192,0))</f>
        <v>#N/A</v>
      </c>
      <c r="AA894" s="183"/>
      <c r="AB894" s="9" t="s">
        <v>654</v>
      </c>
      <c r="AC894" s="9" t="s">
        <v>654</v>
      </c>
      <c r="AD894" s="9" t="s">
        <v>654</v>
      </c>
      <c r="AE894" s="9" t="s">
        <v>654</v>
      </c>
      <c r="AF894" s="184"/>
      <c r="AG894" s="183"/>
      <c r="AH894" s="183"/>
      <c r="AI894" s="183"/>
      <c r="AJ894" s="183"/>
      <c r="AK894" s="183"/>
      <c r="AL894" s="183"/>
      <c r="AM894" s="186" t="str">
        <f>IF(AF894="","","Q"&amp;INT((MONTH(AF894)-1)/3)+1&amp;YEAR(AF894)&amp;#REF!&amp;T894)</f>
        <v/>
      </c>
      <c r="AN894" s="186" t="str">
        <f>IF(K894="","","Q"&amp;INT((MONTH(K894)-1)/3)+1&amp;YEAR(K894)&amp;#REF!)</f>
        <v/>
      </c>
    </row>
    <row r="895" spans="1:40" ht="20.100000000000001" customHeight="1" x14ac:dyDescent="0.25">
      <c r="A895" s="8">
        <v>893</v>
      </c>
      <c r="B895" s="8" t="s">
        <v>399</v>
      </c>
      <c r="C895" s="8" t="s">
        <v>1997</v>
      </c>
      <c r="D895" s="8" t="s">
        <v>2416</v>
      </c>
      <c r="E895" s="182" t="s">
        <v>1998</v>
      </c>
      <c r="F895" s="183"/>
      <c r="G895" s="183"/>
      <c r="H895" s="183"/>
      <c r="I895" s="183"/>
      <c r="J895" s="183"/>
      <c r="K895" s="184"/>
      <c r="L895" s="183"/>
      <c r="M895" s="185" t="str">
        <f>IF(phc_8[[#This Row],[Register No.]]="","",C895&amp;"-"&amp;D895&amp;"-"&amp;"BHA-PHC-"&amp;phc_8[[#This Row],[Register No.]])</f>
        <v/>
      </c>
      <c r="N895" s="9" t="s">
        <v>401</v>
      </c>
      <c r="O895" s="183"/>
      <c r="P895" s="183"/>
      <c r="Q895" s="183"/>
      <c r="R895" s="183"/>
      <c r="S895" s="186" t="str">
        <f t="shared" si="35"/>
        <v xml:space="preserve"> </v>
      </c>
      <c r="T895" s="183"/>
      <c r="U895" s="183"/>
      <c r="V895" s="183"/>
      <c r="W895" s="183"/>
      <c r="X895" s="183"/>
      <c r="Y895" s="186" t="e">
        <f>INDEX(info!$Y$2:$Y$192,MATCH(phc_8[[#This Row],[Sub_Category]],info!$X$2:$X$192,0))</f>
        <v>#N/A</v>
      </c>
      <c r="Z895" s="186" t="e">
        <f t="array" ref="Z895">INDEX(info!$AA$2:$AA$192,MATCH(PHC!$X895&amp;PHC!$Y895,info!$X$2:$X$192&amp;info!$Y$2:$Y$192,0))</f>
        <v>#N/A</v>
      </c>
      <c r="AA895" s="183"/>
      <c r="AB895" s="9" t="s">
        <v>654</v>
      </c>
      <c r="AC895" s="9" t="s">
        <v>654</v>
      </c>
      <c r="AD895" s="9" t="s">
        <v>654</v>
      </c>
      <c r="AE895" s="9" t="s">
        <v>654</v>
      </c>
      <c r="AF895" s="184"/>
      <c r="AG895" s="183"/>
      <c r="AH895" s="183"/>
      <c r="AI895" s="183"/>
      <c r="AJ895" s="183"/>
      <c r="AK895" s="183"/>
      <c r="AL895" s="183"/>
      <c r="AM895" s="186" t="str">
        <f>IF(AF895="","","Q"&amp;INT((MONTH(AF895)-1)/3)+1&amp;YEAR(AF895)&amp;#REF!&amp;T895)</f>
        <v/>
      </c>
      <c r="AN895" s="186" t="str">
        <f>IF(K895="","","Q"&amp;INT((MONTH(K895)-1)/3)+1&amp;YEAR(K895)&amp;#REF!)</f>
        <v/>
      </c>
    </row>
    <row r="896" spans="1:40" ht="20.100000000000001" customHeight="1" x14ac:dyDescent="0.25">
      <c r="A896" s="8">
        <v>894</v>
      </c>
      <c r="B896" s="8" t="s">
        <v>399</v>
      </c>
      <c r="C896" s="8" t="s">
        <v>1997</v>
      </c>
      <c r="D896" s="8" t="s">
        <v>2416</v>
      </c>
      <c r="E896" s="182" t="s">
        <v>1998</v>
      </c>
      <c r="F896" s="183"/>
      <c r="G896" s="183"/>
      <c r="H896" s="183"/>
      <c r="I896" s="183"/>
      <c r="J896" s="183"/>
      <c r="K896" s="184"/>
      <c r="L896" s="183"/>
      <c r="M896" s="185" t="str">
        <f>IF(phc_8[[#This Row],[Register No.]]="","",C896&amp;"-"&amp;D896&amp;"-"&amp;"BHA-PHC-"&amp;phc_8[[#This Row],[Register No.]])</f>
        <v/>
      </c>
      <c r="N896" s="9" t="s">
        <v>401</v>
      </c>
      <c r="O896" s="183"/>
      <c r="P896" s="183"/>
      <c r="Q896" s="183"/>
      <c r="R896" s="183"/>
      <c r="S896" s="186" t="str">
        <f t="shared" si="35"/>
        <v xml:space="preserve"> </v>
      </c>
      <c r="T896" s="183"/>
      <c r="U896" s="183"/>
      <c r="V896" s="183"/>
      <c r="W896" s="183"/>
      <c r="X896" s="183"/>
      <c r="Y896" s="186" t="e">
        <f>INDEX(info!$Y$2:$Y$192,MATCH(phc_8[[#This Row],[Sub_Category]],info!$X$2:$X$192,0))</f>
        <v>#N/A</v>
      </c>
      <c r="Z896" s="186" t="e">
        <f t="array" ref="Z896">INDEX(info!$AA$2:$AA$192,MATCH(PHC!$X896&amp;PHC!$Y896,info!$X$2:$X$192&amp;info!$Y$2:$Y$192,0))</f>
        <v>#N/A</v>
      </c>
      <c r="AA896" s="183"/>
      <c r="AB896" s="9" t="s">
        <v>654</v>
      </c>
      <c r="AC896" s="9" t="s">
        <v>654</v>
      </c>
      <c r="AD896" s="9" t="s">
        <v>654</v>
      </c>
      <c r="AE896" s="9" t="s">
        <v>654</v>
      </c>
      <c r="AF896" s="184"/>
      <c r="AG896" s="183"/>
      <c r="AH896" s="183"/>
      <c r="AI896" s="183"/>
      <c r="AJ896" s="183"/>
      <c r="AK896" s="183"/>
      <c r="AL896" s="183"/>
      <c r="AM896" s="186" t="str">
        <f>IF(AF896="","","Q"&amp;INT((MONTH(AF896)-1)/3)+1&amp;YEAR(AF896)&amp;#REF!&amp;T896)</f>
        <v/>
      </c>
      <c r="AN896" s="186" t="str">
        <f>IF(K896="","","Q"&amp;INT((MONTH(K896)-1)/3)+1&amp;YEAR(K896)&amp;#REF!)</f>
        <v/>
      </c>
    </row>
    <row r="897" spans="1:40" ht="20.100000000000001" customHeight="1" x14ac:dyDescent="0.25">
      <c r="A897" s="8">
        <v>895</v>
      </c>
      <c r="B897" s="8" t="s">
        <v>399</v>
      </c>
      <c r="C897" s="8" t="s">
        <v>1997</v>
      </c>
      <c r="D897" s="8" t="s">
        <v>2416</v>
      </c>
      <c r="E897" s="182" t="s">
        <v>1998</v>
      </c>
      <c r="F897" s="183"/>
      <c r="G897" s="183"/>
      <c r="H897" s="183"/>
      <c r="I897" s="183"/>
      <c r="J897" s="183"/>
      <c r="K897" s="184"/>
      <c r="L897" s="183"/>
      <c r="M897" s="185" t="str">
        <f>IF(phc_8[[#This Row],[Register No.]]="","",C897&amp;"-"&amp;D897&amp;"-"&amp;"BHA-PHC-"&amp;phc_8[[#This Row],[Register No.]])</f>
        <v/>
      </c>
      <c r="N897" s="9" t="s">
        <v>401</v>
      </c>
      <c r="O897" s="183"/>
      <c r="P897" s="183"/>
      <c r="Q897" s="183"/>
      <c r="R897" s="183"/>
      <c r="S897" s="186" t="str">
        <f t="shared" si="35"/>
        <v xml:space="preserve"> </v>
      </c>
      <c r="T897" s="183"/>
      <c r="U897" s="183"/>
      <c r="V897" s="183"/>
      <c r="W897" s="183"/>
      <c r="X897" s="183"/>
      <c r="Y897" s="186" t="e">
        <f>INDEX(info!$Y$2:$Y$192,MATCH(phc_8[[#This Row],[Sub_Category]],info!$X$2:$X$192,0))</f>
        <v>#N/A</v>
      </c>
      <c r="Z897" s="186" t="e">
        <f t="array" ref="Z897">INDEX(info!$AA$2:$AA$192,MATCH(PHC!$X897&amp;PHC!$Y897,info!$X$2:$X$192&amp;info!$Y$2:$Y$192,0))</f>
        <v>#N/A</v>
      </c>
      <c r="AA897" s="183"/>
      <c r="AB897" s="9" t="s">
        <v>654</v>
      </c>
      <c r="AC897" s="9" t="s">
        <v>654</v>
      </c>
      <c r="AD897" s="9" t="s">
        <v>654</v>
      </c>
      <c r="AE897" s="9" t="s">
        <v>654</v>
      </c>
      <c r="AF897" s="184"/>
      <c r="AG897" s="183"/>
      <c r="AH897" s="183"/>
      <c r="AI897" s="183"/>
      <c r="AJ897" s="183"/>
      <c r="AK897" s="183"/>
      <c r="AL897" s="183"/>
      <c r="AM897" s="186" t="str">
        <f>IF(AF897="","","Q"&amp;INT((MONTH(AF897)-1)/3)+1&amp;YEAR(AF897)&amp;#REF!&amp;T897)</f>
        <v/>
      </c>
      <c r="AN897" s="186" t="str">
        <f>IF(K897="","","Q"&amp;INT((MONTH(K897)-1)/3)+1&amp;YEAR(K897)&amp;#REF!)</f>
        <v/>
      </c>
    </row>
    <row r="898" spans="1:40" ht="20.100000000000001" customHeight="1" x14ac:dyDescent="0.25">
      <c r="A898" s="8">
        <v>896</v>
      </c>
      <c r="B898" s="8" t="s">
        <v>399</v>
      </c>
      <c r="C898" s="8" t="s">
        <v>1997</v>
      </c>
      <c r="D898" s="8" t="s">
        <v>2416</v>
      </c>
      <c r="E898" s="182" t="s">
        <v>1998</v>
      </c>
      <c r="F898" s="183"/>
      <c r="G898" s="183"/>
      <c r="H898" s="183"/>
      <c r="I898" s="183"/>
      <c r="J898" s="183"/>
      <c r="K898" s="184"/>
      <c r="L898" s="183"/>
      <c r="M898" s="185" t="str">
        <f>IF(phc_8[[#This Row],[Register No.]]="","",C898&amp;"-"&amp;D898&amp;"-"&amp;"BHA-PHC-"&amp;phc_8[[#This Row],[Register No.]])</f>
        <v/>
      </c>
      <c r="N898" s="9" t="s">
        <v>401</v>
      </c>
      <c r="O898" s="183"/>
      <c r="P898" s="183"/>
      <c r="Q898" s="183"/>
      <c r="R898" s="183"/>
      <c r="S898" s="186" t="str">
        <f t="shared" si="35"/>
        <v xml:space="preserve"> </v>
      </c>
      <c r="T898" s="183"/>
      <c r="U898" s="183"/>
      <c r="V898" s="183"/>
      <c r="W898" s="183"/>
      <c r="X898" s="183"/>
      <c r="Y898" s="186" t="e">
        <f>INDEX(info!$Y$2:$Y$192,MATCH(phc_8[[#This Row],[Sub_Category]],info!$X$2:$X$192,0))</f>
        <v>#N/A</v>
      </c>
      <c r="Z898" s="186" t="e">
        <f t="array" ref="Z898">INDEX(info!$AA$2:$AA$192,MATCH(PHC!$X898&amp;PHC!$Y898,info!$X$2:$X$192&amp;info!$Y$2:$Y$192,0))</f>
        <v>#N/A</v>
      </c>
      <c r="AA898" s="183"/>
      <c r="AB898" s="9" t="s">
        <v>654</v>
      </c>
      <c r="AC898" s="9" t="s">
        <v>654</v>
      </c>
      <c r="AD898" s="9" t="s">
        <v>654</v>
      </c>
      <c r="AE898" s="9" t="s">
        <v>654</v>
      </c>
      <c r="AF898" s="184"/>
      <c r="AG898" s="183"/>
      <c r="AH898" s="183"/>
      <c r="AI898" s="183"/>
      <c r="AJ898" s="183"/>
      <c r="AK898" s="183"/>
      <c r="AL898" s="183"/>
      <c r="AM898" s="186" t="str">
        <f>IF(AF898="","","Q"&amp;INT((MONTH(AF898)-1)/3)+1&amp;YEAR(AF898)&amp;#REF!&amp;T898)</f>
        <v/>
      </c>
      <c r="AN898" s="186" t="str">
        <f>IF(K898="","","Q"&amp;INT((MONTH(K898)-1)/3)+1&amp;YEAR(K898)&amp;#REF!)</f>
        <v/>
      </c>
    </row>
    <row r="899" spans="1:40" ht="20.100000000000001" customHeight="1" x14ac:dyDescent="0.25">
      <c r="A899" s="8">
        <v>897</v>
      </c>
      <c r="B899" s="8" t="s">
        <v>399</v>
      </c>
      <c r="C899" s="8" t="s">
        <v>1997</v>
      </c>
      <c r="D899" s="8" t="s">
        <v>2416</v>
      </c>
      <c r="E899" s="182" t="s">
        <v>1998</v>
      </c>
      <c r="F899" s="183"/>
      <c r="G899" s="183"/>
      <c r="H899" s="183"/>
      <c r="I899" s="183"/>
      <c r="J899" s="183"/>
      <c r="K899" s="184"/>
      <c r="L899" s="183"/>
      <c r="M899" s="185" t="str">
        <f>IF(phc_8[[#This Row],[Register No.]]="","",C899&amp;"-"&amp;D899&amp;"-"&amp;"BHA-PHC-"&amp;phc_8[[#This Row],[Register No.]])</f>
        <v/>
      </c>
      <c r="N899" s="9" t="s">
        <v>401</v>
      </c>
      <c r="O899" s="183"/>
      <c r="P899" s="183"/>
      <c r="Q899" s="183"/>
      <c r="R899" s="183"/>
      <c r="S899" s="186" t="str">
        <f t="shared" si="35"/>
        <v xml:space="preserve"> </v>
      </c>
      <c r="T899" s="183"/>
      <c r="U899" s="183"/>
      <c r="V899" s="183"/>
      <c r="W899" s="183"/>
      <c r="X899" s="183"/>
      <c r="Y899" s="186" t="e">
        <f>INDEX(info!$Y$2:$Y$192,MATCH(phc_8[[#This Row],[Sub_Category]],info!$X$2:$X$192,0))</f>
        <v>#N/A</v>
      </c>
      <c r="Z899" s="186" t="e">
        <f t="array" ref="Z899">INDEX(info!$AA$2:$AA$192,MATCH(PHC!$X899&amp;PHC!$Y899,info!$X$2:$X$192&amp;info!$Y$2:$Y$192,0))</f>
        <v>#N/A</v>
      </c>
      <c r="AA899" s="183"/>
      <c r="AB899" s="9" t="s">
        <v>654</v>
      </c>
      <c r="AC899" s="9" t="s">
        <v>654</v>
      </c>
      <c r="AD899" s="9" t="s">
        <v>654</v>
      </c>
      <c r="AE899" s="9" t="s">
        <v>654</v>
      </c>
      <c r="AF899" s="184"/>
      <c r="AG899" s="183"/>
      <c r="AH899" s="183"/>
      <c r="AI899" s="183"/>
      <c r="AJ899" s="183"/>
      <c r="AK899" s="183"/>
      <c r="AL899" s="183"/>
      <c r="AM899" s="186" t="str">
        <f>IF(AF899="","","Q"&amp;INT((MONTH(AF899)-1)/3)+1&amp;YEAR(AF899)&amp;#REF!&amp;T899)</f>
        <v/>
      </c>
      <c r="AN899" s="186" t="str">
        <f>IF(K899="","","Q"&amp;INT((MONTH(K899)-1)/3)+1&amp;YEAR(K899)&amp;#REF!)</f>
        <v/>
      </c>
    </row>
    <row r="900" spans="1:40" ht="20.100000000000001" customHeight="1" x14ac:dyDescent="0.25">
      <c r="A900" s="8">
        <v>898</v>
      </c>
      <c r="B900" s="8" t="s">
        <v>399</v>
      </c>
      <c r="C900" s="8" t="s">
        <v>1997</v>
      </c>
      <c r="D900" s="8" t="s">
        <v>2416</v>
      </c>
      <c r="E900" s="182" t="s">
        <v>1998</v>
      </c>
      <c r="F900" s="183"/>
      <c r="G900" s="183"/>
      <c r="H900" s="183"/>
      <c r="I900" s="183"/>
      <c r="J900" s="183"/>
      <c r="K900" s="184"/>
      <c r="L900" s="183"/>
      <c r="M900" s="185" t="str">
        <f>IF(phc_8[[#This Row],[Register No.]]="","",C900&amp;"-"&amp;D900&amp;"-"&amp;"BHA-PHC-"&amp;phc_8[[#This Row],[Register No.]])</f>
        <v/>
      </c>
      <c r="N900" s="9" t="s">
        <v>401</v>
      </c>
      <c r="O900" s="183"/>
      <c r="P900" s="183"/>
      <c r="Q900" s="183"/>
      <c r="R900" s="183"/>
      <c r="S900" s="186" t="str">
        <f t="shared" si="35"/>
        <v xml:space="preserve"> </v>
      </c>
      <c r="T900" s="183"/>
      <c r="U900" s="183"/>
      <c r="V900" s="183"/>
      <c r="W900" s="183"/>
      <c r="X900" s="183"/>
      <c r="Y900" s="186" t="e">
        <f>INDEX(info!$Y$2:$Y$192,MATCH(phc_8[[#This Row],[Sub_Category]],info!$X$2:$X$192,0))</f>
        <v>#N/A</v>
      </c>
      <c r="Z900" s="186" t="e">
        <f t="array" ref="Z900">INDEX(info!$AA$2:$AA$192,MATCH(PHC!$X900&amp;PHC!$Y900,info!$X$2:$X$192&amp;info!$Y$2:$Y$192,0))</f>
        <v>#N/A</v>
      </c>
      <c r="AA900" s="183"/>
      <c r="AB900" s="9" t="s">
        <v>654</v>
      </c>
      <c r="AC900" s="9" t="s">
        <v>654</v>
      </c>
      <c r="AD900" s="9" t="s">
        <v>654</v>
      </c>
      <c r="AE900" s="9" t="s">
        <v>654</v>
      </c>
      <c r="AF900" s="184"/>
      <c r="AG900" s="183"/>
      <c r="AH900" s="183"/>
      <c r="AI900" s="183"/>
      <c r="AJ900" s="183"/>
      <c r="AK900" s="183"/>
      <c r="AL900" s="183"/>
      <c r="AM900" s="186" t="str">
        <f>IF(AF900="","","Q"&amp;INT((MONTH(AF900)-1)/3)+1&amp;YEAR(AF900)&amp;#REF!&amp;T900)</f>
        <v/>
      </c>
      <c r="AN900" s="186" t="str">
        <f>IF(K900="","","Q"&amp;INT((MONTH(K900)-1)/3)+1&amp;YEAR(K900)&amp;#REF!)</f>
        <v/>
      </c>
    </row>
    <row r="901" spans="1:40" ht="20.100000000000001" customHeight="1" x14ac:dyDescent="0.25">
      <c r="A901" s="8">
        <v>899</v>
      </c>
      <c r="B901" s="8" t="s">
        <v>399</v>
      </c>
      <c r="C901" s="8" t="s">
        <v>1997</v>
      </c>
      <c r="D901" s="8" t="s">
        <v>2416</v>
      </c>
      <c r="E901" s="182" t="s">
        <v>1998</v>
      </c>
      <c r="F901" s="183"/>
      <c r="G901" s="183"/>
      <c r="H901" s="183"/>
      <c r="I901" s="183"/>
      <c r="J901" s="183"/>
      <c r="K901" s="184"/>
      <c r="L901" s="183"/>
      <c r="M901" s="185" t="str">
        <f>IF(phc_8[[#This Row],[Register No.]]="","",C901&amp;"-"&amp;D901&amp;"-"&amp;"BHA-PHC-"&amp;phc_8[[#This Row],[Register No.]])</f>
        <v/>
      </c>
      <c r="N901" s="9" t="s">
        <v>401</v>
      </c>
      <c r="O901" s="183"/>
      <c r="P901" s="183"/>
      <c r="Q901" s="183"/>
      <c r="R901" s="183"/>
      <c r="S901" s="186" t="str">
        <f t="shared" si="35"/>
        <v xml:space="preserve"> </v>
      </c>
      <c r="T901" s="183"/>
      <c r="U901" s="183"/>
      <c r="V901" s="183"/>
      <c r="W901" s="183"/>
      <c r="X901" s="183"/>
      <c r="Y901" s="186" t="e">
        <f>INDEX(info!$Y$2:$Y$192,MATCH(phc_8[[#This Row],[Sub_Category]],info!$X$2:$X$192,0))</f>
        <v>#N/A</v>
      </c>
      <c r="Z901" s="186" t="e">
        <f t="array" ref="Z901">INDEX(info!$AA$2:$AA$192,MATCH(PHC!$X901&amp;PHC!$Y901,info!$X$2:$X$192&amp;info!$Y$2:$Y$192,0))</f>
        <v>#N/A</v>
      </c>
      <c r="AA901" s="183"/>
      <c r="AB901" s="9" t="s">
        <v>654</v>
      </c>
      <c r="AC901" s="9" t="s">
        <v>654</v>
      </c>
      <c r="AD901" s="9" t="s">
        <v>654</v>
      </c>
      <c r="AE901" s="9" t="s">
        <v>654</v>
      </c>
      <c r="AF901" s="184"/>
      <c r="AG901" s="183"/>
      <c r="AH901" s="183"/>
      <c r="AI901" s="183"/>
      <c r="AJ901" s="183"/>
      <c r="AK901" s="183"/>
      <c r="AL901" s="183"/>
      <c r="AM901" s="186" t="str">
        <f>IF(AF901="","","Q"&amp;INT((MONTH(AF901)-1)/3)+1&amp;YEAR(AF901)&amp;#REF!&amp;T901)</f>
        <v/>
      </c>
      <c r="AN901" s="186" t="str">
        <f>IF(K901="","","Q"&amp;INT((MONTH(K901)-1)/3)+1&amp;YEAR(K901)&amp;#REF!)</f>
        <v/>
      </c>
    </row>
    <row r="902" spans="1:40" ht="20.100000000000001" customHeight="1" x14ac:dyDescent="0.25">
      <c r="A902" s="8">
        <v>900</v>
      </c>
      <c r="B902" s="8" t="s">
        <v>399</v>
      </c>
      <c r="C902" s="8" t="s">
        <v>1997</v>
      </c>
      <c r="D902" s="8" t="s">
        <v>2416</v>
      </c>
      <c r="E902" s="182" t="s">
        <v>1998</v>
      </c>
      <c r="F902" s="183"/>
      <c r="G902" s="183"/>
      <c r="H902" s="183"/>
      <c r="I902" s="183"/>
      <c r="J902" s="183"/>
      <c r="K902" s="184"/>
      <c r="L902" s="183"/>
      <c r="M902" s="185" t="str">
        <f>IF(phc_8[[#This Row],[Register No.]]="","",C902&amp;"-"&amp;D902&amp;"-"&amp;"BHA-PHC-"&amp;phc_8[[#This Row],[Register No.]])</f>
        <v/>
      </c>
      <c r="N902" s="9" t="s">
        <v>401</v>
      </c>
      <c r="O902" s="183"/>
      <c r="P902" s="183"/>
      <c r="Q902" s="183"/>
      <c r="R902" s="183"/>
      <c r="S902" s="186" t="str">
        <f t="shared" si="35"/>
        <v xml:space="preserve"> </v>
      </c>
      <c r="T902" s="183"/>
      <c r="U902" s="183"/>
      <c r="V902" s="183"/>
      <c r="W902" s="183"/>
      <c r="X902" s="183"/>
      <c r="Y902" s="186" t="e">
        <f>INDEX(info!$Y$2:$Y$192,MATCH(phc_8[[#This Row],[Sub_Category]],info!$X$2:$X$192,0))</f>
        <v>#N/A</v>
      </c>
      <c r="Z902" s="186" t="e">
        <f t="array" ref="Z902">INDEX(info!$AA$2:$AA$192,MATCH(PHC!$X902&amp;PHC!$Y902,info!$X$2:$X$192&amp;info!$Y$2:$Y$192,0))</f>
        <v>#N/A</v>
      </c>
      <c r="AA902" s="183"/>
      <c r="AB902" s="9" t="s">
        <v>654</v>
      </c>
      <c r="AC902" s="9" t="s">
        <v>654</v>
      </c>
      <c r="AD902" s="9" t="s">
        <v>654</v>
      </c>
      <c r="AE902" s="9" t="s">
        <v>654</v>
      </c>
      <c r="AF902" s="184"/>
      <c r="AG902" s="183"/>
      <c r="AH902" s="183"/>
      <c r="AI902" s="183"/>
      <c r="AJ902" s="183"/>
      <c r="AK902" s="183"/>
      <c r="AL902" s="183"/>
      <c r="AM902" s="186" t="str">
        <f>IF(AF902="","","Q"&amp;INT((MONTH(AF902)-1)/3)+1&amp;YEAR(AF902)&amp;#REF!&amp;T902)</f>
        <v/>
      </c>
      <c r="AN902" s="186" t="str">
        <f>IF(K902="","","Q"&amp;INT((MONTH(K902)-1)/3)+1&amp;YEAR(K902)&amp;#REF!)</f>
        <v/>
      </c>
    </row>
    <row r="903" spans="1:40" ht="20.100000000000001" customHeight="1" x14ac:dyDescent="0.25">
      <c r="A903" s="8">
        <v>901</v>
      </c>
      <c r="B903" s="8" t="s">
        <v>399</v>
      </c>
      <c r="C903" s="8" t="s">
        <v>1997</v>
      </c>
      <c r="D903" s="8" t="s">
        <v>2416</v>
      </c>
      <c r="E903" s="182" t="s">
        <v>1998</v>
      </c>
      <c r="F903" s="183"/>
      <c r="G903" s="183"/>
      <c r="H903" s="183"/>
      <c r="I903" s="183"/>
      <c r="J903" s="183"/>
      <c r="K903" s="184"/>
      <c r="L903" s="183"/>
      <c r="M903" s="185" t="str">
        <f>IF(phc_8[[#This Row],[Register No.]]="","",C903&amp;"-"&amp;D903&amp;"-"&amp;"BHA-PHC-"&amp;phc_8[[#This Row],[Register No.]])</f>
        <v/>
      </c>
      <c r="N903" s="9" t="s">
        <v>401</v>
      </c>
      <c r="O903" s="183"/>
      <c r="P903" s="183"/>
      <c r="Q903" s="183"/>
      <c r="R903" s="183"/>
      <c r="S903" s="186" t="str">
        <f t="shared" si="35"/>
        <v xml:space="preserve"> </v>
      </c>
      <c r="T903" s="183"/>
      <c r="U903" s="183"/>
      <c r="V903" s="183"/>
      <c r="W903" s="183"/>
      <c r="X903" s="183"/>
      <c r="Y903" s="186" t="e">
        <f>INDEX(info!$Y$2:$Y$192,MATCH(phc_8[[#This Row],[Sub_Category]],info!$X$2:$X$192,0))</f>
        <v>#N/A</v>
      </c>
      <c r="Z903" s="186" t="e">
        <f t="array" ref="Z903">INDEX(info!$AA$2:$AA$192,MATCH(PHC!$X903&amp;PHC!$Y903,info!$X$2:$X$192&amp;info!$Y$2:$Y$192,0))</f>
        <v>#N/A</v>
      </c>
      <c r="AA903" s="183"/>
      <c r="AB903" s="9" t="s">
        <v>654</v>
      </c>
      <c r="AC903" s="9" t="s">
        <v>654</v>
      </c>
      <c r="AD903" s="9" t="s">
        <v>654</v>
      </c>
      <c r="AE903" s="9" t="s">
        <v>654</v>
      </c>
      <c r="AF903" s="184"/>
      <c r="AG903" s="183"/>
      <c r="AH903" s="183"/>
      <c r="AI903" s="183"/>
      <c r="AJ903" s="183"/>
      <c r="AK903" s="183"/>
      <c r="AL903" s="183"/>
      <c r="AM903" s="186" t="str">
        <f>IF(AF903="","","Q"&amp;INT((MONTH(AF903)-1)/3)+1&amp;YEAR(AF903)&amp;#REF!&amp;T903)</f>
        <v/>
      </c>
      <c r="AN903" s="186" t="str">
        <f>IF(K903="","","Q"&amp;INT((MONTH(K903)-1)/3)+1&amp;YEAR(K903)&amp;#REF!)</f>
        <v/>
      </c>
    </row>
    <row r="904" spans="1:40" ht="20.100000000000001" customHeight="1" x14ac:dyDescent="0.25">
      <c r="A904" s="8">
        <v>902</v>
      </c>
      <c r="B904" s="8" t="s">
        <v>399</v>
      </c>
      <c r="C904" s="8" t="s">
        <v>1997</v>
      </c>
      <c r="D904" s="8" t="s">
        <v>2416</v>
      </c>
      <c r="E904" s="182" t="s">
        <v>1998</v>
      </c>
      <c r="F904" s="183"/>
      <c r="G904" s="183"/>
      <c r="H904" s="183"/>
      <c r="I904" s="183"/>
      <c r="J904" s="183"/>
      <c r="K904" s="184"/>
      <c r="L904" s="183"/>
      <c r="M904" s="185" t="str">
        <f>IF(phc_8[[#This Row],[Register No.]]="","",C904&amp;"-"&amp;D904&amp;"-"&amp;"BHA-PHC-"&amp;phc_8[[#This Row],[Register No.]])</f>
        <v/>
      </c>
      <c r="N904" s="9" t="s">
        <v>401</v>
      </c>
      <c r="O904" s="183"/>
      <c r="P904" s="183"/>
      <c r="Q904" s="183"/>
      <c r="R904" s="183"/>
      <c r="S904" s="186" t="str">
        <f t="shared" si="35"/>
        <v xml:space="preserve"> </v>
      </c>
      <c r="T904" s="183"/>
      <c r="U904" s="183"/>
      <c r="V904" s="183"/>
      <c r="W904" s="183"/>
      <c r="X904" s="183"/>
      <c r="Y904" s="186" t="e">
        <f>INDEX(info!$Y$2:$Y$192,MATCH(phc_8[[#This Row],[Sub_Category]],info!$X$2:$X$192,0))</f>
        <v>#N/A</v>
      </c>
      <c r="Z904" s="186" t="e">
        <f t="array" ref="Z904">INDEX(info!$AA$2:$AA$192,MATCH(PHC!$X904&amp;PHC!$Y904,info!$X$2:$X$192&amp;info!$Y$2:$Y$192,0))</f>
        <v>#N/A</v>
      </c>
      <c r="AA904" s="183"/>
      <c r="AB904" s="9" t="s">
        <v>654</v>
      </c>
      <c r="AC904" s="9" t="s">
        <v>654</v>
      </c>
      <c r="AD904" s="9" t="s">
        <v>654</v>
      </c>
      <c r="AE904" s="9" t="s">
        <v>654</v>
      </c>
      <c r="AF904" s="184"/>
      <c r="AG904" s="183"/>
      <c r="AH904" s="183"/>
      <c r="AI904" s="183"/>
      <c r="AJ904" s="183"/>
      <c r="AK904" s="183"/>
      <c r="AL904" s="183"/>
      <c r="AM904" s="186" t="str">
        <f>IF(AF904="","","Q"&amp;INT((MONTH(AF904)-1)/3)+1&amp;YEAR(AF904)&amp;#REF!&amp;T904)</f>
        <v/>
      </c>
      <c r="AN904" s="186" t="str">
        <f>IF(K904="","","Q"&amp;INT((MONTH(K904)-1)/3)+1&amp;YEAR(K904)&amp;#REF!)</f>
        <v/>
      </c>
    </row>
    <row r="905" spans="1:40" ht="20.100000000000001" customHeight="1" x14ac:dyDescent="0.25">
      <c r="A905" s="8">
        <v>903</v>
      </c>
      <c r="B905" s="8" t="s">
        <v>399</v>
      </c>
      <c r="C905" s="8" t="s">
        <v>1997</v>
      </c>
      <c r="D905" s="8" t="s">
        <v>2416</v>
      </c>
      <c r="E905" s="182" t="s">
        <v>1998</v>
      </c>
      <c r="F905" s="183"/>
      <c r="G905" s="183"/>
      <c r="H905" s="183"/>
      <c r="I905" s="183"/>
      <c r="J905" s="183"/>
      <c r="K905" s="184"/>
      <c r="L905" s="183"/>
      <c r="M905" s="185" t="str">
        <f>IF(phc_8[[#This Row],[Register No.]]="","",C905&amp;"-"&amp;D905&amp;"-"&amp;"BHA-PHC-"&amp;phc_8[[#This Row],[Register No.]])</f>
        <v/>
      </c>
      <c r="N905" s="9" t="s">
        <v>401</v>
      </c>
      <c r="O905" s="183"/>
      <c r="P905" s="183"/>
      <c r="Q905" s="183"/>
      <c r="R905" s="183"/>
      <c r="S905" s="186" t="str">
        <f t="shared" si="35"/>
        <v xml:space="preserve"> </v>
      </c>
      <c r="T905" s="183"/>
      <c r="U905" s="183"/>
      <c r="V905" s="183"/>
      <c r="W905" s="183"/>
      <c r="X905" s="183"/>
      <c r="Y905" s="186" t="e">
        <f>INDEX(info!$Y$2:$Y$192,MATCH(phc_8[[#This Row],[Sub_Category]],info!$X$2:$X$192,0))</f>
        <v>#N/A</v>
      </c>
      <c r="Z905" s="186" t="e">
        <f t="array" ref="Z905">INDEX(info!$AA$2:$AA$192,MATCH(PHC!$X905&amp;PHC!$Y905,info!$X$2:$X$192&amp;info!$Y$2:$Y$192,0))</f>
        <v>#N/A</v>
      </c>
      <c r="AA905" s="183"/>
      <c r="AB905" s="9" t="s">
        <v>654</v>
      </c>
      <c r="AC905" s="9" t="s">
        <v>654</v>
      </c>
      <c r="AD905" s="9" t="s">
        <v>654</v>
      </c>
      <c r="AE905" s="9" t="s">
        <v>654</v>
      </c>
      <c r="AF905" s="184"/>
      <c r="AG905" s="183"/>
      <c r="AH905" s="183"/>
      <c r="AI905" s="183"/>
      <c r="AJ905" s="183"/>
      <c r="AK905" s="183"/>
      <c r="AL905" s="183"/>
      <c r="AM905" s="186" t="str">
        <f>IF(AF905="","","Q"&amp;INT((MONTH(AF905)-1)/3)+1&amp;YEAR(AF905)&amp;#REF!&amp;T905)</f>
        <v/>
      </c>
      <c r="AN905" s="186" t="str">
        <f>IF(K905="","","Q"&amp;INT((MONTH(K905)-1)/3)+1&amp;YEAR(K905)&amp;#REF!)</f>
        <v/>
      </c>
    </row>
    <row r="906" spans="1:40" ht="20.100000000000001" customHeight="1" x14ac:dyDescent="0.25">
      <c r="A906" s="8">
        <v>904</v>
      </c>
      <c r="B906" s="8" t="s">
        <v>399</v>
      </c>
      <c r="C906" s="8" t="s">
        <v>1997</v>
      </c>
      <c r="D906" s="8" t="s">
        <v>2416</v>
      </c>
      <c r="E906" s="182" t="s">
        <v>1998</v>
      </c>
      <c r="F906" s="183"/>
      <c r="G906" s="183"/>
      <c r="H906" s="183"/>
      <c r="I906" s="183"/>
      <c r="J906" s="183"/>
      <c r="K906" s="184"/>
      <c r="L906" s="183"/>
      <c r="M906" s="185" t="str">
        <f>IF(phc_8[[#This Row],[Register No.]]="","",C906&amp;"-"&amp;D906&amp;"-"&amp;"BHA-PHC-"&amp;phc_8[[#This Row],[Register No.]])</f>
        <v/>
      </c>
      <c r="N906" s="9" t="s">
        <v>401</v>
      </c>
      <c r="O906" s="183"/>
      <c r="P906" s="183"/>
      <c r="Q906" s="183"/>
      <c r="R906" s="183"/>
      <c r="S906" s="186" t="str">
        <f t="shared" si="35"/>
        <v xml:space="preserve"> </v>
      </c>
      <c r="T906" s="183"/>
      <c r="U906" s="183"/>
      <c r="V906" s="183"/>
      <c r="W906" s="183"/>
      <c r="X906" s="183"/>
      <c r="Y906" s="186" t="e">
        <f>INDEX(info!$Y$2:$Y$192,MATCH(phc_8[[#This Row],[Sub_Category]],info!$X$2:$X$192,0))</f>
        <v>#N/A</v>
      </c>
      <c r="Z906" s="186" t="e">
        <f t="array" ref="Z906">INDEX(info!$AA$2:$AA$192,MATCH(PHC!$X906&amp;PHC!$Y906,info!$X$2:$X$192&amp;info!$Y$2:$Y$192,0))</f>
        <v>#N/A</v>
      </c>
      <c r="AA906" s="183"/>
      <c r="AB906" s="9" t="s">
        <v>654</v>
      </c>
      <c r="AC906" s="9" t="s">
        <v>654</v>
      </c>
      <c r="AD906" s="9" t="s">
        <v>654</v>
      </c>
      <c r="AE906" s="9" t="s">
        <v>654</v>
      </c>
      <c r="AF906" s="184"/>
      <c r="AG906" s="183"/>
      <c r="AH906" s="183"/>
      <c r="AI906" s="183"/>
      <c r="AJ906" s="183"/>
      <c r="AK906" s="183"/>
      <c r="AL906" s="183"/>
      <c r="AM906" s="186" t="str">
        <f>IF(AF906="","","Q"&amp;INT((MONTH(AF906)-1)/3)+1&amp;YEAR(AF906)&amp;#REF!&amp;T906)</f>
        <v/>
      </c>
      <c r="AN906" s="186" t="str">
        <f>IF(K906="","","Q"&amp;INT((MONTH(K906)-1)/3)+1&amp;YEAR(K906)&amp;#REF!)</f>
        <v/>
      </c>
    </row>
    <row r="907" spans="1:40" ht="20.100000000000001" customHeight="1" x14ac:dyDescent="0.25">
      <c r="A907" s="8">
        <v>905</v>
      </c>
      <c r="B907" s="8" t="s">
        <v>399</v>
      </c>
      <c r="C907" s="8" t="s">
        <v>1997</v>
      </c>
      <c r="D907" s="8" t="s">
        <v>2416</v>
      </c>
      <c r="E907" s="182" t="s">
        <v>1998</v>
      </c>
      <c r="F907" s="183"/>
      <c r="G907" s="183"/>
      <c r="H907" s="183"/>
      <c r="I907" s="183"/>
      <c r="J907" s="183"/>
      <c r="K907" s="184"/>
      <c r="L907" s="183"/>
      <c r="M907" s="185" t="str">
        <f>IF(phc_8[[#This Row],[Register No.]]="","",C907&amp;"-"&amp;D907&amp;"-"&amp;"BHA-PHC-"&amp;phc_8[[#This Row],[Register No.]])</f>
        <v/>
      </c>
      <c r="N907" s="9" t="s">
        <v>401</v>
      </c>
      <c r="O907" s="183"/>
      <c r="P907" s="183"/>
      <c r="Q907" s="183"/>
      <c r="R907" s="183"/>
      <c r="S907" s="186" t="str">
        <f t="shared" si="35"/>
        <v xml:space="preserve"> </v>
      </c>
      <c r="T907" s="183"/>
      <c r="U907" s="183"/>
      <c r="V907" s="183"/>
      <c r="W907" s="183"/>
      <c r="X907" s="183"/>
      <c r="Y907" s="186" t="e">
        <f>INDEX(info!$Y$2:$Y$192,MATCH(phc_8[[#This Row],[Sub_Category]],info!$X$2:$X$192,0))</f>
        <v>#N/A</v>
      </c>
      <c r="Z907" s="186" t="e">
        <f t="array" ref="Z907">INDEX(info!$AA$2:$AA$192,MATCH(PHC!$X907&amp;PHC!$Y907,info!$X$2:$X$192&amp;info!$Y$2:$Y$192,0))</f>
        <v>#N/A</v>
      </c>
      <c r="AA907" s="183"/>
      <c r="AB907" s="9" t="s">
        <v>654</v>
      </c>
      <c r="AC907" s="9" t="s">
        <v>654</v>
      </c>
      <c r="AD907" s="9" t="s">
        <v>654</v>
      </c>
      <c r="AE907" s="9" t="s">
        <v>654</v>
      </c>
      <c r="AF907" s="184"/>
      <c r="AG907" s="183"/>
      <c r="AH907" s="183"/>
      <c r="AI907" s="183"/>
      <c r="AJ907" s="183"/>
      <c r="AK907" s="183"/>
      <c r="AL907" s="183"/>
      <c r="AM907" s="186" t="str">
        <f>IF(AF907="","","Q"&amp;INT((MONTH(AF907)-1)/3)+1&amp;YEAR(AF907)&amp;#REF!&amp;T907)</f>
        <v/>
      </c>
      <c r="AN907" s="186" t="str">
        <f>IF(K907="","","Q"&amp;INT((MONTH(K907)-1)/3)+1&amp;YEAR(K907)&amp;#REF!)</f>
        <v/>
      </c>
    </row>
    <row r="908" spans="1:40" ht="20.100000000000001" customHeight="1" x14ac:dyDescent="0.25">
      <c r="A908" s="8">
        <v>906</v>
      </c>
      <c r="B908" s="8" t="s">
        <v>399</v>
      </c>
      <c r="C908" s="8" t="s">
        <v>1997</v>
      </c>
      <c r="D908" s="8" t="s">
        <v>2416</v>
      </c>
      <c r="E908" s="182" t="s">
        <v>1998</v>
      </c>
      <c r="F908" s="183"/>
      <c r="G908" s="183"/>
      <c r="H908" s="183"/>
      <c r="I908" s="183"/>
      <c r="J908" s="183"/>
      <c r="K908" s="184"/>
      <c r="L908" s="183"/>
      <c r="M908" s="185" t="str">
        <f>IF(phc_8[[#This Row],[Register No.]]="","",C908&amp;"-"&amp;D908&amp;"-"&amp;"BHA-PHC-"&amp;phc_8[[#This Row],[Register No.]])</f>
        <v/>
      </c>
      <c r="N908" s="9" t="s">
        <v>401</v>
      </c>
      <c r="O908" s="183"/>
      <c r="P908" s="183"/>
      <c r="Q908" s="183"/>
      <c r="R908" s="183"/>
      <c r="S908" s="186" t="str">
        <f t="shared" si="35"/>
        <v xml:space="preserve"> </v>
      </c>
      <c r="T908" s="183"/>
      <c r="U908" s="183"/>
      <c r="V908" s="183"/>
      <c r="W908" s="183"/>
      <c r="X908" s="183"/>
      <c r="Y908" s="186" t="e">
        <f>INDEX(info!$Y$2:$Y$192,MATCH(phc_8[[#This Row],[Sub_Category]],info!$X$2:$X$192,0))</f>
        <v>#N/A</v>
      </c>
      <c r="Z908" s="186" t="e">
        <f t="array" ref="Z908">INDEX(info!$AA$2:$AA$192,MATCH(PHC!$X908&amp;PHC!$Y908,info!$X$2:$X$192&amp;info!$Y$2:$Y$192,0))</f>
        <v>#N/A</v>
      </c>
      <c r="AA908" s="183"/>
      <c r="AB908" s="9" t="s">
        <v>654</v>
      </c>
      <c r="AC908" s="9" t="s">
        <v>654</v>
      </c>
      <c r="AD908" s="9" t="s">
        <v>654</v>
      </c>
      <c r="AE908" s="9" t="s">
        <v>654</v>
      </c>
      <c r="AF908" s="184"/>
      <c r="AG908" s="183"/>
      <c r="AH908" s="183"/>
      <c r="AI908" s="183"/>
      <c r="AJ908" s="183"/>
      <c r="AK908" s="183"/>
      <c r="AL908" s="183"/>
      <c r="AM908" s="186" t="str">
        <f>IF(AF908="","","Q"&amp;INT((MONTH(AF908)-1)/3)+1&amp;YEAR(AF908)&amp;#REF!&amp;T908)</f>
        <v/>
      </c>
      <c r="AN908" s="186" t="str">
        <f>IF(K908="","","Q"&amp;INT((MONTH(K908)-1)/3)+1&amp;YEAR(K908)&amp;#REF!)</f>
        <v/>
      </c>
    </row>
    <row r="909" spans="1:40" ht="20.100000000000001" customHeight="1" x14ac:dyDescent="0.25">
      <c r="A909" s="8">
        <v>907</v>
      </c>
      <c r="B909" s="8" t="s">
        <v>399</v>
      </c>
      <c r="C909" s="8" t="s">
        <v>1997</v>
      </c>
      <c r="D909" s="8" t="s">
        <v>2416</v>
      </c>
      <c r="E909" s="182" t="s">
        <v>1998</v>
      </c>
      <c r="F909" s="183"/>
      <c r="G909" s="183"/>
      <c r="H909" s="183"/>
      <c r="I909" s="183"/>
      <c r="J909" s="183"/>
      <c r="K909" s="184"/>
      <c r="L909" s="183"/>
      <c r="M909" s="185" t="str">
        <f>IF(phc_8[[#This Row],[Register No.]]="","",C909&amp;"-"&amp;D909&amp;"-"&amp;"BHA-PHC-"&amp;phc_8[[#This Row],[Register No.]])</f>
        <v/>
      </c>
      <c r="N909" s="9" t="s">
        <v>401</v>
      </c>
      <c r="O909" s="183"/>
      <c r="P909" s="183"/>
      <c r="Q909" s="183"/>
      <c r="R909" s="183"/>
      <c r="S909" s="186" t="str">
        <f t="shared" si="35"/>
        <v xml:space="preserve"> </v>
      </c>
      <c r="T909" s="183"/>
      <c r="U909" s="183"/>
      <c r="V909" s="183"/>
      <c r="W909" s="183"/>
      <c r="X909" s="183"/>
      <c r="Y909" s="186" t="e">
        <f>INDEX(info!$Y$2:$Y$192,MATCH(phc_8[[#This Row],[Sub_Category]],info!$X$2:$X$192,0))</f>
        <v>#N/A</v>
      </c>
      <c r="Z909" s="186" t="e">
        <f t="array" ref="Z909">INDEX(info!$AA$2:$AA$192,MATCH(PHC!$X909&amp;PHC!$Y909,info!$X$2:$X$192&amp;info!$Y$2:$Y$192,0))</f>
        <v>#N/A</v>
      </c>
      <c r="AA909" s="183"/>
      <c r="AB909" s="9" t="s">
        <v>654</v>
      </c>
      <c r="AC909" s="9" t="s">
        <v>654</v>
      </c>
      <c r="AD909" s="9" t="s">
        <v>654</v>
      </c>
      <c r="AE909" s="9" t="s">
        <v>654</v>
      </c>
      <c r="AF909" s="184"/>
      <c r="AG909" s="183"/>
      <c r="AH909" s="183"/>
      <c r="AI909" s="183"/>
      <c r="AJ909" s="183"/>
      <c r="AK909" s="183"/>
      <c r="AL909" s="183"/>
      <c r="AM909" s="186" t="str">
        <f>IF(AF909="","","Q"&amp;INT((MONTH(AF909)-1)/3)+1&amp;YEAR(AF909)&amp;#REF!&amp;T909)</f>
        <v/>
      </c>
      <c r="AN909" s="186" t="str">
        <f>IF(K909="","","Q"&amp;INT((MONTH(K909)-1)/3)+1&amp;YEAR(K909)&amp;#REF!)</f>
        <v/>
      </c>
    </row>
    <row r="910" spans="1:40" ht="20.100000000000001" customHeight="1" x14ac:dyDescent="0.25">
      <c r="A910" s="8">
        <v>908</v>
      </c>
      <c r="B910" s="8" t="s">
        <v>399</v>
      </c>
      <c r="C910" s="8" t="s">
        <v>1997</v>
      </c>
      <c r="D910" s="8" t="s">
        <v>2416</v>
      </c>
      <c r="E910" s="182" t="s">
        <v>1998</v>
      </c>
      <c r="F910" s="183"/>
      <c r="G910" s="183"/>
      <c r="H910" s="183"/>
      <c r="I910" s="183"/>
      <c r="J910" s="183"/>
      <c r="K910" s="184"/>
      <c r="L910" s="183"/>
      <c r="M910" s="185" t="str">
        <f>IF(phc_8[[#This Row],[Register No.]]="","",C910&amp;"-"&amp;D910&amp;"-"&amp;"BHA-PHC-"&amp;phc_8[[#This Row],[Register No.]])</f>
        <v/>
      </c>
      <c r="N910" s="9" t="s">
        <v>401</v>
      </c>
      <c r="O910" s="183"/>
      <c r="P910" s="183"/>
      <c r="Q910" s="183"/>
      <c r="R910" s="183"/>
      <c r="S910" s="186" t="str">
        <f t="shared" si="35"/>
        <v xml:space="preserve"> </v>
      </c>
      <c r="T910" s="183"/>
      <c r="U910" s="183"/>
      <c r="V910" s="183"/>
      <c r="W910" s="183"/>
      <c r="X910" s="183"/>
      <c r="Y910" s="186" t="e">
        <f>INDEX(info!$Y$2:$Y$192,MATCH(phc_8[[#This Row],[Sub_Category]],info!$X$2:$X$192,0))</f>
        <v>#N/A</v>
      </c>
      <c r="Z910" s="186" t="e">
        <f t="array" ref="Z910">INDEX(info!$AA$2:$AA$192,MATCH(PHC!$X910&amp;PHC!$Y910,info!$X$2:$X$192&amp;info!$Y$2:$Y$192,0))</f>
        <v>#N/A</v>
      </c>
      <c r="AA910" s="183"/>
      <c r="AB910" s="9" t="s">
        <v>654</v>
      </c>
      <c r="AC910" s="9" t="s">
        <v>654</v>
      </c>
      <c r="AD910" s="9" t="s">
        <v>654</v>
      </c>
      <c r="AE910" s="9" t="s">
        <v>654</v>
      </c>
      <c r="AF910" s="184"/>
      <c r="AG910" s="183"/>
      <c r="AH910" s="183"/>
      <c r="AI910" s="183"/>
      <c r="AJ910" s="183"/>
      <c r="AK910" s="183"/>
      <c r="AL910" s="183"/>
      <c r="AM910" s="186" t="str">
        <f>IF(AF910="","","Q"&amp;INT((MONTH(AF910)-1)/3)+1&amp;YEAR(AF910)&amp;#REF!&amp;T910)</f>
        <v/>
      </c>
      <c r="AN910" s="186" t="str">
        <f>IF(K910="","","Q"&amp;INT((MONTH(K910)-1)/3)+1&amp;YEAR(K910)&amp;#REF!)</f>
        <v/>
      </c>
    </row>
    <row r="911" spans="1:40" ht="20.100000000000001" customHeight="1" x14ac:dyDescent="0.25">
      <c r="A911" s="182"/>
      <c r="B911" s="182"/>
      <c r="C911" s="182"/>
      <c r="D911" s="182"/>
      <c r="E911" s="182"/>
      <c r="F911" s="183"/>
      <c r="G911" s="183"/>
      <c r="H911" s="183"/>
      <c r="I911" s="183"/>
      <c r="J911" s="183"/>
      <c r="K911" s="184"/>
      <c r="L911" s="183"/>
      <c r="M911" s="185" t="str">
        <f>IF(phc_8[[#This Row],[Register No.]]="","",C911&amp;"-"&amp;D911&amp;"-"&amp;"BHA-PHC-"&amp;phc_8[[#This Row],[Register No.]])</f>
        <v/>
      </c>
      <c r="N911" s="183"/>
      <c r="O911" s="183"/>
      <c r="P911" s="183"/>
      <c r="Q911" s="183"/>
      <c r="R911" s="183"/>
      <c r="S911" s="186" t="str">
        <f t="shared" ref="S911:S912" si="36">IF(AND(ISBLANK(P911),ISBLANK(Q911),ISBLANK(R911))," ",
IF(OR(P911&lt;5,AND(P911=" ",Q911&lt;&gt;" ",R911&lt;&gt;" ")),"&lt;5 yrs",
IF(AND(P911&gt;=5,P911&lt;=14),"5 - 14 yrs",
IF(AND(P911&gt;=15,P911&lt;=18),"15 - 18 yrs",
IF(AND(P911&gt;=19,P911&lt;=49),"19 - 49 yrs","50 yrs +")))))</f>
        <v xml:space="preserve"> </v>
      </c>
      <c r="T911" s="183"/>
      <c r="U911" s="183"/>
      <c r="V911" s="183"/>
      <c r="W911" s="183"/>
      <c r="X911" s="183"/>
      <c r="Y911" s="186" t="e">
        <f>INDEX(info!$Y$2:$Y$192,MATCH(phc_8[[#This Row],[Sub_Category]],info!$X$2:$X$192,0))</f>
        <v>#N/A</v>
      </c>
      <c r="Z911" s="186" t="e">
        <f t="array" ref="Z911">INDEX(info!$AA$2:$AA$192,MATCH(PHC!$X911&amp;PHC!$Y911,info!$X$2:$X$192&amp;info!$Y$2:$Y$192,0))</f>
        <v>#N/A</v>
      </c>
      <c r="AA911" s="183"/>
      <c r="AB911" s="183"/>
      <c r="AC911" s="183"/>
      <c r="AD911" s="183"/>
      <c r="AE911" s="183"/>
      <c r="AF911" s="184"/>
      <c r="AG911" s="183"/>
      <c r="AH911" s="183"/>
      <c r="AI911" s="183"/>
      <c r="AJ911" s="183"/>
      <c r="AK911" s="183"/>
      <c r="AL911" s="183"/>
      <c r="AM911" s="186" t="str">
        <f>IF(AF911="","","Q"&amp;INT((MONTH(AF911)-1)/3)+1&amp;YEAR(AF911)&amp;#REF!&amp;T911)</f>
        <v/>
      </c>
      <c r="AN911" s="186" t="str">
        <f>IF(K911="","","Q"&amp;INT((MONTH(K911)-1)/3)+1&amp;YEAR(K911)&amp;#REF!)</f>
        <v/>
      </c>
    </row>
    <row r="912" spans="1:40" ht="20.100000000000001" customHeight="1" x14ac:dyDescent="0.25">
      <c r="A912" s="182"/>
      <c r="B912" s="182"/>
      <c r="C912" s="182"/>
      <c r="D912" s="182"/>
      <c r="E912" s="182"/>
      <c r="F912" s="183"/>
      <c r="G912" s="183"/>
      <c r="H912" s="183"/>
      <c r="I912" s="183"/>
      <c r="J912" s="183"/>
      <c r="K912" s="184"/>
      <c r="L912" s="183"/>
      <c r="M912" s="185" t="str">
        <f>IF(phc_8[[#This Row],[Register No.]]="","",C912&amp;"-"&amp;D912&amp;"-"&amp;"BHA-PHC-"&amp;phc_8[[#This Row],[Register No.]])</f>
        <v/>
      </c>
      <c r="N912" s="183"/>
      <c r="O912" s="183"/>
      <c r="P912" s="183"/>
      <c r="Q912" s="183"/>
      <c r="R912" s="183"/>
      <c r="S912" s="186" t="str">
        <f t="shared" si="36"/>
        <v xml:space="preserve"> </v>
      </c>
      <c r="T912" s="183"/>
      <c r="U912" s="183"/>
      <c r="V912" s="183"/>
      <c r="W912" s="183"/>
      <c r="X912" s="183"/>
      <c r="Y912" s="186" t="e">
        <f>INDEX(info!$Y$2:$Y$192,MATCH(phc_8[[#This Row],[Sub_Category]],info!$X$2:$X$192,0))</f>
        <v>#N/A</v>
      </c>
      <c r="Z912" s="186" t="e">
        <f t="array" ref="Z912">INDEX(info!$AA$2:$AA$192,MATCH(PHC!$X912&amp;PHC!$Y912,info!$X$2:$X$192&amp;info!$Y$2:$Y$192,0))</f>
        <v>#N/A</v>
      </c>
      <c r="AA912" s="183"/>
      <c r="AB912" s="183"/>
      <c r="AC912" s="183"/>
      <c r="AD912" s="183"/>
      <c r="AE912" s="183"/>
      <c r="AF912" s="184"/>
      <c r="AG912" s="183"/>
      <c r="AH912" s="183"/>
      <c r="AI912" s="183"/>
      <c r="AJ912" s="183"/>
      <c r="AK912" s="183"/>
      <c r="AL912" s="183"/>
      <c r="AM912" s="186" t="str">
        <f>IF(AF912="","","Q"&amp;INT((MONTH(AF912)-1)/3)+1&amp;YEAR(AF912)&amp;#REF!&amp;T912)</f>
        <v/>
      </c>
      <c r="AN912" s="186" t="str">
        <f>IF(K912="","","Q"&amp;INT((MONTH(K912)-1)/3)+1&amp;YEAR(K912)&amp;#REF!)</f>
        <v/>
      </c>
    </row>
    <row r="913" spans="1:40" ht="20.100000000000001" customHeight="1" x14ac:dyDescent="0.25">
      <c r="A913" s="182"/>
      <c r="B913" s="182"/>
      <c r="C913" s="182"/>
      <c r="D913" s="182"/>
      <c r="E913" s="182"/>
      <c r="F913" s="183"/>
      <c r="G913" s="183"/>
      <c r="H913" s="183"/>
      <c r="I913" s="183"/>
      <c r="J913" s="183"/>
      <c r="K913" s="184"/>
      <c r="L913" s="183"/>
      <c r="M913" s="185" t="str">
        <f>IF(phc_8[[#This Row],[Register No.]]="","",C913&amp;"-"&amp;D913&amp;"-"&amp;"BHA-PHC-"&amp;phc_8[[#This Row],[Register No.]])</f>
        <v/>
      </c>
      <c r="N913" s="183"/>
      <c r="O913" s="183"/>
      <c r="P913" s="183"/>
      <c r="Q913" s="183"/>
      <c r="R913" s="183"/>
      <c r="S913" s="186" t="str">
        <f t="shared" ref="S913:S918" si="37">IF(AND(ISBLANK(P913),ISBLANK(Q913),ISBLANK(R913))," ",
IF(OR(P913&lt;5,AND(P913=" ",Q913&lt;&gt;" ",R913&lt;&gt;" ")),"&lt;5 yrs",
IF(AND(P913&gt;=5,P913&lt;=14),"5 - 14 yrs",
IF(AND(P913&gt;=15,P913&lt;=18),"15 - 18 yrs",
IF(AND(P913&gt;=19,P913&lt;=49),"19 - 49 yrs","50 yrs +")))))</f>
        <v xml:space="preserve"> </v>
      </c>
      <c r="T913" s="183"/>
      <c r="U913" s="183"/>
      <c r="V913" s="183"/>
      <c r="W913" s="183"/>
      <c r="X913" s="183"/>
      <c r="Y913" s="186" t="e">
        <f>INDEX(info!$Y$2:$Y$192,MATCH(phc_8[[#This Row],[Sub_Category]],info!$X$2:$X$192,0))</f>
        <v>#N/A</v>
      </c>
      <c r="Z913" s="186" t="e">
        <f t="array" ref="Z913">INDEX(info!$AA$2:$AA$192,MATCH(PHC!$X913&amp;PHC!$Y913,info!$X$2:$X$192&amp;info!$Y$2:$Y$192,0))</f>
        <v>#N/A</v>
      </c>
      <c r="AA913" s="183"/>
      <c r="AB913" s="183"/>
      <c r="AC913" s="183"/>
      <c r="AD913" s="183"/>
      <c r="AE913" s="183"/>
      <c r="AF913" s="184"/>
      <c r="AG913" s="183"/>
      <c r="AH913" s="183"/>
      <c r="AI913" s="183"/>
      <c r="AJ913" s="183"/>
      <c r="AK913" s="183"/>
      <c r="AL913" s="183"/>
      <c r="AM913" s="186" t="str">
        <f>IF(AF913="","","Q"&amp;INT((MONTH(AF913)-1)/3)+1&amp;YEAR(AF913)&amp;#REF!&amp;T913)</f>
        <v/>
      </c>
      <c r="AN913" s="186" t="str">
        <f>IF(K913="","","Q"&amp;INT((MONTH(K913)-1)/3)+1&amp;YEAR(K913)&amp;#REF!)</f>
        <v/>
      </c>
    </row>
    <row r="914" spans="1:40" ht="20.100000000000001" customHeight="1" x14ac:dyDescent="0.25">
      <c r="A914" s="182"/>
      <c r="B914" s="182"/>
      <c r="C914" s="182"/>
      <c r="D914" s="182"/>
      <c r="E914" s="182"/>
      <c r="F914" s="183"/>
      <c r="G914" s="183"/>
      <c r="H914" s="183"/>
      <c r="I914" s="183"/>
      <c r="J914" s="183"/>
      <c r="K914" s="184"/>
      <c r="L914" s="183"/>
      <c r="M914" s="185" t="str">
        <f>IF(phc_8[[#This Row],[Register No.]]="","",C914&amp;"-"&amp;D914&amp;"-"&amp;"BHA-PHC-"&amp;phc_8[[#This Row],[Register No.]])</f>
        <v/>
      </c>
      <c r="N914" s="183"/>
      <c r="O914" s="183"/>
      <c r="P914" s="183"/>
      <c r="Q914" s="183"/>
      <c r="R914" s="183"/>
      <c r="S914" s="186" t="str">
        <f t="shared" si="37"/>
        <v xml:space="preserve"> </v>
      </c>
      <c r="T914" s="183"/>
      <c r="U914" s="183"/>
      <c r="V914" s="183"/>
      <c r="W914" s="183"/>
      <c r="X914" s="183"/>
      <c r="Y914" s="186" t="e">
        <f>INDEX(info!$Y$2:$Y$192,MATCH(phc_8[[#This Row],[Sub_Category]],info!$X$2:$X$192,0))</f>
        <v>#N/A</v>
      </c>
      <c r="Z914" s="186" t="e">
        <f t="array" ref="Z914">INDEX(info!$AA$2:$AA$192,MATCH(PHC!$X914&amp;PHC!$Y914,info!$X$2:$X$192&amp;info!$Y$2:$Y$192,0))</f>
        <v>#N/A</v>
      </c>
      <c r="AA914" s="183"/>
      <c r="AB914" s="183"/>
      <c r="AC914" s="183"/>
      <c r="AD914" s="183"/>
      <c r="AE914" s="183"/>
      <c r="AF914" s="184"/>
      <c r="AG914" s="183"/>
      <c r="AH914" s="183"/>
      <c r="AI914" s="183"/>
      <c r="AJ914" s="183"/>
      <c r="AK914" s="183"/>
      <c r="AL914" s="183"/>
      <c r="AM914" s="186" t="str">
        <f>IF(AF914="","","Q"&amp;INT((MONTH(AF914)-1)/3)+1&amp;YEAR(AF914)&amp;#REF!&amp;T914)</f>
        <v/>
      </c>
      <c r="AN914" s="186" t="str">
        <f>IF(K914="","","Q"&amp;INT((MONTH(K914)-1)/3)+1&amp;YEAR(K914)&amp;#REF!)</f>
        <v/>
      </c>
    </row>
    <row r="915" spans="1:40" ht="20.100000000000001" customHeight="1" x14ac:dyDescent="0.25">
      <c r="A915" s="182"/>
      <c r="B915" s="182"/>
      <c r="C915" s="182"/>
      <c r="D915" s="182"/>
      <c r="E915" s="182"/>
      <c r="F915" s="183"/>
      <c r="G915" s="183"/>
      <c r="H915" s="183"/>
      <c r="I915" s="183"/>
      <c r="J915" s="183"/>
      <c r="K915" s="184"/>
      <c r="L915" s="183"/>
      <c r="M915" s="185" t="str">
        <f>IF(phc_8[[#This Row],[Register No.]]="","",C915&amp;"-"&amp;D915&amp;"-"&amp;"BHA-PHC-"&amp;phc_8[[#This Row],[Register No.]])</f>
        <v/>
      </c>
      <c r="N915" s="183"/>
      <c r="O915" s="183"/>
      <c r="P915" s="183"/>
      <c r="Q915" s="183"/>
      <c r="R915" s="183"/>
      <c r="S915" s="186" t="str">
        <f t="shared" si="37"/>
        <v xml:space="preserve"> </v>
      </c>
      <c r="T915" s="183"/>
      <c r="U915" s="183"/>
      <c r="V915" s="183"/>
      <c r="W915" s="183"/>
      <c r="X915" s="183"/>
      <c r="Y915" s="186" t="e">
        <f>INDEX(info!$Y$2:$Y$192,MATCH(phc_8[[#This Row],[Sub_Category]],info!$X$2:$X$192,0))</f>
        <v>#N/A</v>
      </c>
      <c r="Z915" s="186" t="e">
        <f t="array" ref="Z915">INDEX(info!$AA$2:$AA$192,MATCH(PHC!$X915&amp;PHC!$Y915,info!$X$2:$X$192&amp;info!$Y$2:$Y$192,0))</f>
        <v>#N/A</v>
      </c>
      <c r="AA915" s="183"/>
      <c r="AB915" s="183"/>
      <c r="AC915" s="183"/>
      <c r="AD915" s="183"/>
      <c r="AE915" s="183"/>
      <c r="AF915" s="184"/>
      <c r="AG915" s="183"/>
      <c r="AH915" s="183"/>
      <c r="AI915" s="183"/>
      <c r="AJ915" s="183"/>
      <c r="AK915" s="183"/>
      <c r="AL915" s="183"/>
      <c r="AM915" s="186" t="str">
        <f>IF(AF915="","","Q"&amp;INT((MONTH(AF915)-1)/3)+1&amp;YEAR(AF915)&amp;#REF!&amp;T915)</f>
        <v/>
      </c>
      <c r="AN915" s="186" t="str">
        <f>IF(K915="","","Q"&amp;INT((MONTH(K915)-1)/3)+1&amp;YEAR(K915)&amp;#REF!)</f>
        <v/>
      </c>
    </row>
    <row r="916" spans="1:40" ht="20.100000000000001" customHeight="1" x14ac:dyDescent="0.25">
      <c r="A916" s="182"/>
      <c r="B916" s="182"/>
      <c r="C916" s="182"/>
      <c r="D916" s="182"/>
      <c r="E916" s="182"/>
      <c r="F916" s="183"/>
      <c r="G916" s="183"/>
      <c r="H916" s="183"/>
      <c r="I916" s="183"/>
      <c r="J916" s="183"/>
      <c r="K916" s="184"/>
      <c r="L916" s="183"/>
      <c r="M916" s="185" t="str">
        <f>IF(phc_8[[#This Row],[Register No.]]="","",C916&amp;"-"&amp;D916&amp;"-"&amp;"BHA-PHC-"&amp;phc_8[[#This Row],[Register No.]])</f>
        <v/>
      </c>
      <c r="N916" s="183"/>
      <c r="O916" s="183"/>
      <c r="P916" s="183"/>
      <c r="Q916" s="183"/>
      <c r="R916" s="183"/>
      <c r="S916" s="186" t="str">
        <f t="shared" si="37"/>
        <v xml:space="preserve"> </v>
      </c>
      <c r="T916" s="183"/>
      <c r="U916" s="183"/>
      <c r="V916" s="183"/>
      <c r="W916" s="183"/>
      <c r="X916" s="183"/>
      <c r="Y916" s="186" t="e">
        <f>INDEX(info!$Y$2:$Y$192,MATCH(phc_8[[#This Row],[Sub_Category]],info!$X$2:$X$192,0))</f>
        <v>#N/A</v>
      </c>
      <c r="Z916" s="186" t="e">
        <f t="array" ref="Z916">INDEX(info!$AA$2:$AA$192,MATCH(PHC!$X916&amp;PHC!$Y916,info!$X$2:$X$192&amp;info!$Y$2:$Y$192,0))</f>
        <v>#N/A</v>
      </c>
      <c r="AA916" s="183"/>
      <c r="AB916" s="183"/>
      <c r="AC916" s="183"/>
      <c r="AD916" s="183"/>
      <c r="AE916" s="183"/>
      <c r="AF916" s="184"/>
      <c r="AG916" s="183"/>
      <c r="AH916" s="183"/>
      <c r="AI916" s="183"/>
      <c r="AJ916" s="183"/>
      <c r="AK916" s="183"/>
      <c r="AL916" s="183"/>
      <c r="AM916" s="186" t="str">
        <f>IF(AF916="","","Q"&amp;INT((MONTH(AF916)-1)/3)+1&amp;YEAR(AF916)&amp;#REF!&amp;T916)</f>
        <v/>
      </c>
      <c r="AN916" s="186" t="str">
        <f>IF(K916="","","Q"&amp;INT((MONTH(K916)-1)/3)+1&amp;YEAR(K916)&amp;#REF!)</f>
        <v/>
      </c>
    </row>
    <row r="917" spans="1:40" ht="20.100000000000001" customHeight="1" x14ac:dyDescent="0.25">
      <c r="A917" s="182"/>
      <c r="B917" s="182"/>
      <c r="C917" s="182"/>
      <c r="D917" s="182"/>
      <c r="E917" s="182"/>
      <c r="F917" s="183"/>
      <c r="G917" s="183"/>
      <c r="H917" s="183"/>
      <c r="I917" s="183"/>
      <c r="J917" s="183"/>
      <c r="K917" s="184"/>
      <c r="L917" s="183"/>
      <c r="M917" s="185" t="str">
        <f>IF(phc_8[[#This Row],[Register No.]]="","",C917&amp;"-"&amp;D917&amp;"-"&amp;"BHA-PHC-"&amp;phc_8[[#This Row],[Register No.]])</f>
        <v/>
      </c>
      <c r="N917" s="183"/>
      <c r="O917" s="183"/>
      <c r="P917" s="183"/>
      <c r="Q917" s="183"/>
      <c r="R917" s="183"/>
      <c r="S917" s="186" t="str">
        <f t="shared" si="37"/>
        <v xml:space="preserve"> </v>
      </c>
      <c r="T917" s="183"/>
      <c r="U917" s="183"/>
      <c r="V917" s="183"/>
      <c r="W917" s="183"/>
      <c r="X917" s="183"/>
      <c r="Y917" s="186" t="e">
        <f>INDEX(info!$Y$2:$Y$192,MATCH(phc_8[[#This Row],[Sub_Category]],info!$X$2:$X$192,0))</f>
        <v>#N/A</v>
      </c>
      <c r="Z917" s="186" t="e">
        <f t="array" ref="Z917">INDEX(info!$AA$2:$AA$192,MATCH(PHC!$X917&amp;PHC!$Y917,info!$X$2:$X$192&amp;info!$Y$2:$Y$192,0))</f>
        <v>#N/A</v>
      </c>
      <c r="AA917" s="183"/>
      <c r="AB917" s="183"/>
      <c r="AC917" s="183"/>
      <c r="AD917" s="183"/>
      <c r="AE917" s="183"/>
      <c r="AF917" s="184"/>
      <c r="AG917" s="183"/>
      <c r="AH917" s="183"/>
      <c r="AI917" s="183"/>
      <c r="AJ917" s="183"/>
      <c r="AK917" s="183"/>
      <c r="AL917" s="183"/>
      <c r="AM917" s="186" t="str">
        <f>IF(AF917="","","Q"&amp;INT((MONTH(AF917)-1)/3)+1&amp;YEAR(AF917)&amp;#REF!&amp;T917)</f>
        <v/>
      </c>
      <c r="AN917" s="186" t="str">
        <f>IF(K917="","","Q"&amp;INT((MONTH(K917)-1)/3)+1&amp;YEAR(K917)&amp;#REF!)</f>
        <v/>
      </c>
    </row>
    <row r="918" spans="1:40" ht="20.100000000000001" customHeight="1" x14ac:dyDescent="0.25">
      <c r="A918" s="182"/>
      <c r="B918" s="182"/>
      <c r="C918" s="182"/>
      <c r="D918" s="182"/>
      <c r="E918" s="182"/>
      <c r="F918" s="183"/>
      <c r="G918" s="183"/>
      <c r="H918" s="183"/>
      <c r="I918" s="183"/>
      <c r="J918" s="183"/>
      <c r="K918" s="184"/>
      <c r="L918" s="183"/>
      <c r="M918" s="185" t="str">
        <f>IF(phc_8[[#This Row],[Register No.]]="","",C918&amp;"-"&amp;D918&amp;"-"&amp;"BHA-PHC-"&amp;phc_8[[#This Row],[Register No.]])</f>
        <v/>
      </c>
      <c r="N918" s="183"/>
      <c r="O918" s="183"/>
      <c r="P918" s="183"/>
      <c r="Q918" s="183"/>
      <c r="R918" s="183"/>
      <c r="S918" s="186" t="str">
        <f t="shared" si="37"/>
        <v xml:space="preserve"> </v>
      </c>
      <c r="T918" s="183"/>
      <c r="U918" s="183"/>
      <c r="V918" s="183"/>
      <c r="W918" s="183"/>
      <c r="X918" s="183"/>
      <c r="Y918" s="186" t="e">
        <f>INDEX(info!$Y$2:$Y$192,MATCH(phc_8[[#This Row],[Sub_Category]],info!$X$2:$X$192,0))</f>
        <v>#N/A</v>
      </c>
      <c r="Z918" s="186" t="e">
        <f t="array" ref="Z918">INDEX(info!$AA$2:$AA$192,MATCH(PHC!$X918&amp;PHC!$Y918,info!$X$2:$X$192&amp;info!$Y$2:$Y$192,0))</f>
        <v>#N/A</v>
      </c>
      <c r="AA918" s="183"/>
      <c r="AB918" s="183"/>
      <c r="AC918" s="183"/>
      <c r="AD918" s="183"/>
      <c r="AE918" s="183"/>
      <c r="AF918" s="184"/>
      <c r="AG918" s="183"/>
      <c r="AH918" s="183"/>
      <c r="AI918" s="183"/>
      <c r="AJ918" s="183"/>
      <c r="AK918" s="183"/>
      <c r="AL918" s="183"/>
      <c r="AM918" s="186" t="str">
        <f>IF(AF918="","","Q"&amp;INT((MONTH(AF918)-1)/3)+1&amp;YEAR(AF918)&amp;#REF!&amp;T918)</f>
        <v/>
      </c>
      <c r="AN918" s="186" t="str">
        <f>IF(K918="","","Q"&amp;INT((MONTH(K918)-1)/3)+1&amp;YEAR(K918)&amp;#REF!)</f>
        <v/>
      </c>
    </row>
  </sheetData>
  <phoneticPr fontId="44" type="noConversion"/>
  <conditionalFormatting sqref="AD3:AD918">
    <cfRule type="expression" dxfId="17" priority="1">
      <formula>AD3="Yes"</formula>
    </cfRule>
  </conditionalFormatting>
  <conditionalFormatting sqref="AC3:AC918">
    <cfRule type="expression" dxfId="16" priority="2">
      <formula>AB3="No"</formula>
    </cfRule>
  </conditionalFormatting>
  <dataValidations count="10">
    <dataValidation type="list" allowBlank="1" showInputMessage="1" showErrorMessage="1" sqref="N3:N918" xr:uid="{00000000-0002-0000-0200-000001000000}">
      <formula1>"New, Follow-Up"</formula1>
    </dataValidation>
    <dataValidation type="list" allowBlank="1" showInputMessage="1" showErrorMessage="1" sqref="AK3:AK918 AB3:AE918" xr:uid="{00000000-0002-0000-0200-000002000000}">
      <formula1>"Yes, No"</formula1>
    </dataValidation>
    <dataValidation type="whole" operator="greaterThan" allowBlank="1" showInputMessage="1" showErrorMessage="1" sqref="L1 L196:L1048576" xr:uid="{00000000-0002-0000-0200-000003000000}">
      <formula1>0</formula1>
    </dataValidation>
    <dataValidation operator="greaterThan" allowBlank="1" showInputMessage="1" showErrorMessage="1" sqref="L2" xr:uid="{00000000-0002-0000-0200-000004000000}"/>
    <dataValidation type="list" allowBlank="1" showInputMessage="1" showErrorMessage="1" sqref="T3:T918" xr:uid="{00000000-0002-0000-0200-000005000000}">
      <formula1>"Male, Female, Other"</formula1>
    </dataValidation>
    <dataValidation type="whole" operator="greaterThan" allowBlank="1" showInputMessage="1" showErrorMessage="1" error="Please enter only number" sqref="L3:L195" xr:uid="{00000000-0002-0000-0200-000006000000}">
      <formula1>0</formula1>
    </dataValidation>
    <dataValidation type="list" allowBlank="1" showInputMessage="1" showErrorMessage="1" sqref="X3:X87 X90:X918" xr:uid="{00000000-0002-0000-0200-000008000000}">
      <formula1>sub</formula1>
    </dataValidation>
    <dataValidation type="list" allowBlank="1" showInputMessage="1" showErrorMessage="1" sqref="I3:I918" xr:uid="{00000000-0002-0000-0200-00000A000000}">
      <formula1>place_type</formula1>
    </dataValidation>
    <dataValidation type="list" allowBlank="1" showInputMessage="1" showErrorMessage="1" sqref="AI3:AI918" xr:uid="{00000000-0002-0000-0200-00000B000000}">
      <formula1>facility_type</formula1>
    </dataValidation>
    <dataValidation type="list" allowBlank="1" showInputMessage="1" showErrorMessage="1" sqref="B3:B918" xr:uid="{00000000-0002-0000-0200-00000C000000}">
      <formula1>"BHA"</formula1>
    </dataValidation>
  </dataValidations>
  <pageMargins left="0.7" right="0.7" top="0.75" bottom="0.75" header="0.3" footer="0.3"/>
  <pageSetup paperSize="9" orientation="portrait"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FW27"/>
  <sheetViews>
    <sheetView topLeftCell="L7" zoomScale="124" zoomScaleNormal="124" workbookViewId="0">
      <selection activeCell="AE3" sqref="AE3"/>
    </sheetView>
  </sheetViews>
  <sheetFormatPr defaultRowHeight="20.100000000000001" customHeight="1" x14ac:dyDescent="0.25"/>
  <cols>
    <col min="3" max="4" width="16.140625" customWidth="1"/>
    <col min="5" max="5" width="14.42578125" customWidth="1"/>
    <col min="6" max="6" width="21.140625" customWidth="1"/>
    <col min="7" max="7" width="16.42578125" customWidth="1"/>
    <col min="8" max="10" width="20.5703125" customWidth="1"/>
    <col min="11" max="11" width="5.85546875" customWidth="1"/>
    <col min="12" max="12" width="9" customWidth="1"/>
    <col min="13" max="13" width="19.42578125" customWidth="1"/>
    <col min="14" max="14" width="13.42578125" customWidth="1"/>
    <col min="15" max="16" width="9.5703125" customWidth="1"/>
    <col min="17" max="17" width="15" customWidth="1"/>
    <col min="18" max="18" width="24.140625" customWidth="1"/>
    <col min="19" max="19" width="29.42578125" customWidth="1"/>
    <col min="20" max="20" width="11.5703125" customWidth="1"/>
    <col min="21" max="21" width="14.5703125" customWidth="1"/>
    <col min="22" max="22" width="21.42578125" hidden="1" customWidth="1"/>
    <col min="23" max="23" width="13" customWidth="1"/>
    <col min="24" max="24" width="14.5703125" customWidth="1"/>
    <col min="25" max="25" width="16.5703125" customWidth="1"/>
    <col min="26" max="26" width="23.5703125" customWidth="1"/>
    <col min="27" max="27" width="11.42578125" customWidth="1"/>
    <col min="28" max="28" width="14.5703125" bestFit="1" customWidth="1"/>
    <col min="29" max="29" width="40.5703125" customWidth="1"/>
    <col min="30" max="30" width="13.85546875" customWidth="1"/>
    <col min="31" max="31" width="15.140625" customWidth="1"/>
    <col min="34" max="34" width="15.5703125" customWidth="1"/>
    <col min="35" max="35" width="12.42578125" customWidth="1"/>
    <col min="36" max="36" width="14.42578125" customWidth="1"/>
    <col min="37" max="37" width="10.85546875" customWidth="1"/>
    <col min="38" max="38" width="9.5703125" bestFit="1" customWidth="1"/>
    <col min="39" max="39" width="13.85546875" bestFit="1" customWidth="1"/>
    <col min="40" max="40" width="12.5703125" bestFit="1" customWidth="1"/>
    <col min="42" max="42" width="14" bestFit="1" customWidth="1"/>
    <col min="43" max="44" width="9.5703125" bestFit="1" customWidth="1"/>
    <col min="47" max="47" width="13.5703125" bestFit="1" customWidth="1"/>
    <col min="48" max="48" width="14.140625" bestFit="1" customWidth="1"/>
    <col min="49" max="49" width="13.5703125" bestFit="1" customWidth="1"/>
    <col min="50" max="50" width="11.85546875" customWidth="1"/>
    <col min="52" max="52" width="12.5703125" bestFit="1" customWidth="1"/>
    <col min="53" max="53" width="12.85546875" bestFit="1" customWidth="1"/>
    <col min="54" max="55" width="9.5703125" bestFit="1" customWidth="1"/>
    <col min="57" max="57" width="11.42578125" customWidth="1"/>
    <col min="58" max="58" width="16.42578125" customWidth="1"/>
    <col min="59" max="61" width="10.85546875" hidden="1" customWidth="1"/>
    <col min="62" max="62" width="18" hidden="1" customWidth="1"/>
    <col min="63" max="63" width="16.42578125" customWidth="1"/>
    <col min="64" max="64" width="9.5703125" bestFit="1" customWidth="1"/>
    <col min="65" max="65" width="12.42578125" customWidth="1"/>
    <col min="66" max="66" width="12.5703125" customWidth="1"/>
    <col min="67" max="67" width="13.42578125" customWidth="1"/>
    <col min="68" max="68" width="24.85546875" customWidth="1"/>
    <col min="69" max="69" width="23.42578125" bestFit="1" customWidth="1"/>
    <col min="70" max="70" width="14.5703125" customWidth="1"/>
    <col min="71" max="71" width="16.42578125" customWidth="1"/>
    <col min="72" max="72" width="16.5703125" customWidth="1"/>
    <col min="73" max="73" width="17.5703125" customWidth="1"/>
    <col min="74" max="74" width="13.5703125" bestFit="1" customWidth="1"/>
    <col min="75" max="75" width="14.5703125" bestFit="1" customWidth="1"/>
    <col min="76" max="79" width="9.42578125" customWidth="1"/>
    <col min="80" max="80" width="11.5703125" customWidth="1"/>
    <col min="81" max="84" width="15.5703125" customWidth="1"/>
    <col min="85" max="85" width="22.42578125" customWidth="1"/>
    <col min="86" max="86" width="14.85546875" bestFit="1" customWidth="1"/>
    <col min="87" max="87" width="15.42578125" customWidth="1"/>
    <col min="88" max="88" width="13" hidden="1" customWidth="1"/>
    <col min="89" max="89" width="8.85546875" hidden="1" customWidth="1"/>
    <col min="90" max="90" width="9.5703125" hidden="1" customWidth="1"/>
    <col min="91" max="107" width="8.85546875" hidden="1" customWidth="1"/>
    <col min="108" max="113" width="7.42578125" hidden="1" customWidth="1"/>
    <col min="114" max="115" width="11.5703125" hidden="1" customWidth="1"/>
    <col min="116" max="116" width="16" hidden="1" customWidth="1"/>
    <col min="117" max="117" width="8.5703125" hidden="1" customWidth="1"/>
    <col min="118" max="118" width="9.5703125" hidden="1" customWidth="1"/>
    <col min="119" max="119" width="7" hidden="1" customWidth="1"/>
    <col min="120" max="139" width="2.5703125" hidden="1" customWidth="1"/>
    <col min="140" max="159" width="4" hidden="1" customWidth="1"/>
    <col min="160" max="179" width="0" hidden="1" customWidth="1"/>
  </cols>
  <sheetData>
    <row r="1" spans="1:179" s="50" customFormat="1" ht="32.450000000000003" customHeight="1" x14ac:dyDescent="0.25">
      <c r="A1" s="294" t="s">
        <v>403</v>
      </c>
      <c r="B1" s="294"/>
      <c r="C1" s="294"/>
      <c r="D1" s="294"/>
      <c r="E1" s="294"/>
      <c r="F1" s="294"/>
      <c r="G1" s="294"/>
      <c r="H1" s="294"/>
      <c r="I1" s="4"/>
      <c r="J1" s="4"/>
      <c r="K1" s="46"/>
      <c r="L1" s="46"/>
      <c r="M1" s="47"/>
      <c r="N1" s="47"/>
      <c r="O1" s="47"/>
      <c r="P1" s="47"/>
      <c r="Q1" s="47"/>
      <c r="R1" s="47"/>
      <c r="S1" s="47"/>
      <c r="T1" s="47"/>
      <c r="U1" s="47"/>
      <c r="V1" s="47"/>
      <c r="W1" s="47"/>
      <c r="X1" s="47"/>
      <c r="Y1" s="47"/>
      <c r="Z1" s="47"/>
      <c r="AA1" s="47"/>
      <c r="AB1" s="47"/>
      <c r="AC1" s="47"/>
      <c r="AD1" s="47"/>
      <c r="AE1" s="47"/>
      <c r="AF1" s="47"/>
      <c r="AG1" s="47"/>
      <c r="AH1" s="292" t="s">
        <v>404</v>
      </c>
      <c r="AI1" s="292"/>
      <c r="AJ1" s="292"/>
      <c r="AK1" s="295" t="s">
        <v>405</v>
      </c>
      <c r="AL1" s="295"/>
      <c r="AM1" s="295"/>
      <c r="AN1" s="295"/>
      <c r="AO1" s="295"/>
      <c r="AP1" s="296" t="s">
        <v>406</v>
      </c>
      <c r="AQ1" s="296"/>
      <c r="AR1" s="296"/>
      <c r="AS1" s="296"/>
      <c r="AT1" s="296"/>
      <c r="AU1" s="59" t="s">
        <v>407</v>
      </c>
      <c r="AV1" s="59"/>
      <c r="AW1" s="59"/>
      <c r="AX1" s="59"/>
      <c r="AY1" s="59"/>
      <c r="AZ1" s="297" t="s">
        <v>408</v>
      </c>
      <c r="BA1" s="297"/>
      <c r="BB1" s="297"/>
      <c r="BC1" s="297"/>
      <c r="BD1" s="297"/>
      <c r="BE1" s="47"/>
      <c r="BF1" s="47"/>
      <c r="BG1" s="293" t="s">
        <v>409</v>
      </c>
      <c r="BH1" s="293"/>
      <c r="BI1" s="293"/>
      <c r="BJ1" s="293"/>
      <c r="BK1" s="291" t="s">
        <v>410</v>
      </c>
      <c r="BL1" s="291"/>
      <c r="BM1" s="291"/>
      <c r="BN1" s="291"/>
      <c r="BO1" s="291"/>
      <c r="BP1" s="291"/>
      <c r="BQ1" s="291"/>
      <c r="BR1" s="291"/>
      <c r="BS1" s="291"/>
      <c r="BT1" s="291"/>
      <c r="BU1" s="291"/>
      <c r="BV1" s="49" t="s">
        <v>411</v>
      </c>
      <c r="BW1" s="292" t="s">
        <v>412</v>
      </c>
      <c r="BX1" s="292"/>
      <c r="BY1" s="292"/>
      <c r="BZ1" s="292"/>
      <c r="CA1" s="292"/>
      <c r="CB1" s="47"/>
      <c r="CC1" s="47"/>
      <c r="CD1" s="47"/>
      <c r="CE1" s="47"/>
      <c r="CF1" s="47"/>
      <c r="CG1" s="47"/>
      <c r="CH1" s="47"/>
      <c r="CI1" s="47"/>
    </row>
    <row r="2" spans="1:179" s="51" customFormat="1" ht="105" x14ac:dyDescent="0.25">
      <c r="A2" s="55" t="s">
        <v>362</v>
      </c>
      <c r="B2" s="55" t="s">
        <v>363</v>
      </c>
      <c r="C2" s="56" t="s">
        <v>364</v>
      </c>
      <c r="D2" s="56" t="s">
        <v>413</v>
      </c>
      <c r="E2" s="55" t="s">
        <v>366</v>
      </c>
      <c r="F2" s="55" t="s">
        <v>0</v>
      </c>
      <c r="G2" s="55" t="s">
        <v>367</v>
      </c>
      <c r="H2" s="56" t="s">
        <v>414</v>
      </c>
      <c r="I2" s="56" t="s">
        <v>415</v>
      </c>
      <c r="J2" s="56" t="s">
        <v>416</v>
      </c>
      <c r="K2" s="56" t="s">
        <v>417</v>
      </c>
      <c r="L2" s="56" t="s">
        <v>418</v>
      </c>
      <c r="M2" s="56" t="s">
        <v>1988</v>
      </c>
      <c r="N2" s="55" t="s">
        <v>419</v>
      </c>
      <c r="O2" s="55" t="s">
        <v>420</v>
      </c>
      <c r="P2" s="55" t="s">
        <v>421</v>
      </c>
      <c r="Q2" s="55" t="s">
        <v>422</v>
      </c>
      <c r="R2" s="55" t="s">
        <v>423</v>
      </c>
      <c r="S2" s="55" t="s">
        <v>424</v>
      </c>
      <c r="T2" s="55" t="s">
        <v>305</v>
      </c>
      <c r="U2" s="55" t="s">
        <v>425</v>
      </c>
      <c r="V2" s="55" t="s">
        <v>426</v>
      </c>
      <c r="W2" s="55" t="s">
        <v>427</v>
      </c>
      <c r="X2" s="55" t="s">
        <v>428</v>
      </c>
      <c r="Y2" s="55" t="s">
        <v>429</v>
      </c>
      <c r="Z2" s="56" t="s">
        <v>380</v>
      </c>
      <c r="AA2" s="55" t="s">
        <v>430</v>
      </c>
      <c r="AB2" s="55" t="s">
        <v>431</v>
      </c>
      <c r="AC2" s="55" t="s">
        <v>432</v>
      </c>
      <c r="AD2" s="56" t="s">
        <v>433</v>
      </c>
      <c r="AE2" s="55" t="s">
        <v>434</v>
      </c>
      <c r="AF2" s="55" t="s">
        <v>435</v>
      </c>
      <c r="AG2" s="55" t="s">
        <v>436</v>
      </c>
      <c r="AH2" s="55" t="s">
        <v>437</v>
      </c>
      <c r="AI2" s="55" t="s">
        <v>438</v>
      </c>
      <c r="AJ2" s="55" t="s">
        <v>439</v>
      </c>
      <c r="AK2" s="166" t="s">
        <v>1989</v>
      </c>
      <c r="AL2" s="57" t="s">
        <v>440</v>
      </c>
      <c r="AM2" s="57" t="s">
        <v>441</v>
      </c>
      <c r="AN2" s="57" t="s">
        <v>442</v>
      </c>
      <c r="AO2" s="57" t="s">
        <v>443</v>
      </c>
      <c r="AP2" s="58" t="s">
        <v>444</v>
      </c>
      <c r="AQ2" s="58" t="s">
        <v>445</v>
      </c>
      <c r="AR2" s="58" t="s">
        <v>446</v>
      </c>
      <c r="AS2" s="58" t="s">
        <v>447</v>
      </c>
      <c r="AT2" s="58" t="s">
        <v>448</v>
      </c>
      <c r="AU2" s="59" t="s">
        <v>449</v>
      </c>
      <c r="AV2" s="59" t="s">
        <v>450</v>
      </c>
      <c r="AW2" s="59" t="s">
        <v>451</v>
      </c>
      <c r="AX2" s="59" t="s">
        <v>452</v>
      </c>
      <c r="AY2" s="59" t="s">
        <v>453</v>
      </c>
      <c r="AZ2" s="60" t="s">
        <v>454</v>
      </c>
      <c r="BA2" s="60" t="s">
        <v>455</v>
      </c>
      <c r="BB2" s="60" t="s">
        <v>456</v>
      </c>
      <c r="BC2" s="60" t="s">
        <v>457</v>
      </c>
      <c r="BD2" s="60" t="s">
        <v>458</v>
      </c>
      <c r="BE2" s="55" t="s">
        <v>459</v>
      </c>
      <c r="BF2" s="56" t="s">
        <v>1980</v>
      </c>
      <c r="BG2" s="61" t="s">
        <v>460</v>
      </c>
      <c r="BH2" s="61" t="s">
        <v>461</v>
      </c>
      <c r="BI2" s="61" t="s">
        <v>462</v>
      </c>
      <c r="BJ2" s="48" t="s">
        <v>463</v>
      </c>
      <c r="BK2" s="62" t="s">
        <v>464</v>
      </c>
      <c r="BL2" s="62" t="s">
        <v>465</v>
      </c>
      <c r="BM2" s="62" t="s">
        <v>466</v>
      </c>
      <c r="BN2" s="62" t="s">
        <v>467</v>
      </c>
      <c r="BO2" s="62" t="s">
        <v>468</v>
      </c>
      <c r="BP2" s="62" t="s">
        <v>469</v>
      </c>
      <c r="BQ2" s="62" t="s">
        <v>470</v>
      </c>
      <c r="BR2" s="62" t="s">
        <v>471</v>
      </c>
      <c r="BS2" s="62" t="s">
        <v>472</v>
      </c>
      <c r="BT2" s="62" t="s">
        <v>473</v>
      </c>
      <c r="BU2" s="62" t="s">
        <v>474</v>
      </c>
      <c r="BV2" s="49" t="s">
        <v>411</v>
      </c>
      <c r="BW2" s="59" t="s">
        <v>475</v>
      </c>
      <c r="BX2" s="59" t="s">
        <v>476</v>
      </c>
      <c r="BY2" s="59" t="s">
        <v>477</v>
      </c>
      <c r="BZ2" s="59" t="s">
        <v>478</v>
      </c>
      <c r="CA2" s="59" t="s">
        <v>479</v>
      </c>
      <c r="CB2" s="55" t="s">
        <v>480</v>
      </c>
      <c r="CC2" s="55" t="s">
        <v>481</v>
      </c>
      <c r="CD2" s="55" t="s">
        <v>482</v>
      </c>
      <c r="CE2" s="55" t="s">
        <v>390</v>
      </c>
      <c r="CF2" s="56" t="s">
        <v>483</v>
      </c>
      <c r="CG2" s="55" t="s">
        <v>391</v>
      </c>
      <c r="CH2" s="55" t="s">
        <v>395</v>
      </c>
      <c r="CI2" s="55" t="s">
        <v>396</v>
      </c>
      <c r="CJ2" s="50" t="s">
        <v>484</v>
      </c>
      <c r="CK2" s="50" t="s">
        <v>485</v>
      </c>
      <c r="CL2" s="50" t="s">
        <v>486</v>
      </c>
      <c r="CM2" s="50" t="s">
        <v>487</v>
      </c>
      <c r="CN2" s="50" t="s">
        <v>488</v>
      </c>
      <c r="CO2" s="50" t="s">
        <v>489</v>
      </c>
      <c r="CP2" s="50" t="s">
        <v>490</v>
      </c>
      <c r="CQ2" s="50" t="s">
        <v>491</v>
      </c>
      <c r="CR2" s="50" t="s">
        <v>492</v>
      </c>
      <c r="CS2" s="50" t="s">
        <v>493</v>
      </c>
      <c r="CT2" s="50" t="s">
        <v>494</v>
      </c>
      <c r="CU2" s="50" t="s">
        <v>495</v>
      </c>
      <c r="CV2" s="50" t="s">
        <v>496</v>
      </c>
      <c r="CW2" s="50" t="s">
        <v>497</v>
      </c>
      <c r="CX2" s="50" t="s">
        <v>498</v>
      </c>
      <c r="CY2" s="50" t="s">
        <v>499</v>
      </c>
      <c r="CZ2" s="50" t="s">
        <v>500</v>
      </c>
      <c r="DA2" s="50" t="s">
        <v>501</v>
      </c>
      <c r="DB2" s="50" t="s">
        <v>502</v>
      </c>
      <c r="DC2" s="50" t="s">
        <v>503</v>
      </c>
      <c r="DD2" s="50" t="s">
        <v>504</v>
      </c>
      <c r="DE2" s="50" t="s">
        <v>505</v>
      </c>
      <c r="DF2" s="50" t="s">
        <v>506</v>
      </c>
      <c r="DG2" s="50" t="s">
        <v>507</v>
      </c>
      <c r="DH2" s="50" t="s">
        <v>508</v>
      </c>
      <c r="DI2" s="50" t="s">
        <v>509</v>
      </c>
      <c r="DJ2" s="50" t="s">
        <v>510</v>
      </c>
      <c r="DK2" s="50" t="s">
        <v>511</v>
      </c>
      <c r="DL2" s="50" t="s">
        <v>512</v>
      </c>
      <c r="DM2" s="50" t="s">
        <v>513</v>
      </c>
      <c r="DN2" s="50" t="s">
        <v>514</v>
      </c>
      <c r="DO2" s="50" t="s">
        <v>515</v>
      </c>
      <c r="DP2" s="50" t="s">
        <v>516</v>
      </c>
      <c r="DQ2" s="50" t="s">
        <v>517</v>
      </c>
      <c r="DR2" s="50" t="s">
        <v>518</v>
      </c>
      <c r="DS2" s="50" t="s">
        <v>519</v>
      </c>
      <c r="DT2" s="50" t="s">
        <v>520</v>
      </c>
      <c r="DU2" s="50" t="s">
        <v>521</v>
      </c>
      <c r="DV2" s="50" t="s">
        <v>522</v>
      </c>
      <c r="DW2" s="50" t="s">
        <v>523</v>
      </c>
      <c r="DX2" s="50" t="s">
        <v>524</v>
      </c>
      <c r="DY2" s="50" t="s">
        <v>525</v>
      </c>
      <c r="DZ2" s="50" t="s">
        <v>526</v>
      </c>
      <c r="EA2" s="50" t="s">
        <v>527</v>
      </c>
      <c r="EB2" s="50" t="s">
        <v>528</v>
      </c>
      <c r="EC2" s="50" t="s">
        <v>529</v>
      </c>
      <c r="ED2" s="50" t="s">
        <v>530</v>
      </c>
      <c r="EE2" s="50" t="s">
        <v>531</v>
      </c>
      <c r="EF2" s="50" t="s">
        <v>532</v>
      </c>
      <c r="EG2" s="50" t="s">
        <v>533</v>
      </c>
      <c r="EH2" s="50" t="s">
        <v>534</v>
      </c>
      <c r="EI2" s="50" t="s">
        <v>535</v>
      </c>
      <c r="EJ2" s="50" t="s">
        <v>536</v>
      </c>
      <c r="EK2" s="50" t="s">
        <v>537</v>
      </c>
      <c r="EL2" s="50" t="s">
        <v>538</v>
      </c>
      <c r="EM2" s="50" t="s">
        <v>539</v>
      </c>
      <c r="EN2" s="50" t="s">
        <v>540</v>
      </c>
      <c r="EO2" s="50" t="s">
        <v>541</v>
      </c>
      <c r="EP2" s="50" t="s">
        <v>542</v>
      </c>
      <c r="EQ2" s="50" t="s">
        <v>543</v>
      </c>
      <c r="ER2" s="50" t="s">
        <v>544</v>
      </c>
      <c r="ES2" s="50" t="s">
        <v>545</v>
      </c>
      <c r="ET2" s="50" t="s">
        <v>546</v>
      </c>
      <c r="EU2" s="50" t="s">
        <v>547</v>
      </c>
      <c r="EV2" s="50" t="s">
        <v>548</v>
      </c>
      <c r="EW2" s="50" t="s">
        <v>549</v>
      </c>
      <c r="EX2" s="50" t="s">
        <v>550</v>
      </c>
      <c r="EY2" s="50" t="s">
        <v>551</v>
      </c>
      <c r="EZ2" s="50" t="s">
        <v>552</v>
      </c>
      <c r="FA2" s="50" t="s">
        <v>553</v>
      </c>
      <c r="FB2" s="50" t="s">
        <v>554</v>
      </c>
      <c r="FC2" s="50" t="s">
        <v>555</v>
      </c>
      <c r="FD2" s="50" t="s">
        <v>556</v>
      </c>
      <c r="FE2" s="50" t="s">
        <v>557</v>
      </c>
      <c r="FF2" s="50" t="s">
        <v>558</v>
      </c>
      <c r="FG2" s="50" t="s">
        <v>559</v>
      </c>
      <c r="FH2" s="50" t="s">
        <v>560</v>
      </c>
      <c r="FI2" s="50" t="s">
        <v>561</v>
      </c>
      <c r="FJ2" s="50" t="s">
        <v>562</v>
      </c>
      <c r="FK2" s="50" t="s">
        <v>563</v>
      </c>
      <c r="FL2" s="50" t="s">
        <v>564</v>
      </c>
      <c r="FM2" s="50" t="s">
        <v>565</v>
      </c>
      <c r="FN2" s="50" t="s">
        <v>566</v>
      </c>
      <c r="FO2" s="50" t="s">
        <v>567</v>
      </c>
      <c r="FP2" s="50" t="s">
        <v>568</v>
      </c>
      <c r="FQ2" s="50" t="s">
        <v>569</v>
      </c>
      <c r="FR2" s="50" t="s">
        <v>570</v>
      </c>
      <c r="FS2" s="50" t="s">
        <v>571</v>
      </c>
      <c r="FT2" s="50" t="s">
        <v>572</v>
      </c>
      <c r="FU2" s="50" t="s">
        <v>573</v>
      </c>
      <c r="FV2" s="50" t="s">
        <v>574</v>
      </c>
      <c r="FW2" s="50" t="s">
        <v>575</v>
      </c>
    </row>
    <row r="3" spans="1:179" ht="20.100000000000001" customHeight="1" x14ac:dyDescent="0.25">
      <c r="A3" s="8">
        <v>1</v>
      </c>
      <c r="B3" s="8" t="s">
        <v>399</v>
      </c>
      <c r="C3" s="8" t="s">
        <v>1997</v>
      </c>
      <c r="D3" s="8"/>
      <c r="E3" s="8" t="s">
        <v>1998</v>
      </c>
      <c r="F3" s="9" t="s">
        <v>2222</v>
      </c>
      <c r="G3" s="9" t="s">
        <v>2377</v>
      </c>
      <c r="H3" s="9" t="s">
        <v>579</v>
      </c>
      <c r="I3" s="9"/>
      <c r="J3" s="9"/>
      <c r="K3" s="9"/>
      <c r="L3" s="9" t="str">
        <f>IFERROR(VLOOKUP([10]!family_planning[[#This Row],[Helper]],[10]datavalidation!E:G,3,FALSE),"")</f>
        <v/>
      </c>
      <c r="M3" s="10"/>
      <c r="N3" s="52" t="str">
        <f>IF(mshn_database[[#This Row],[Date of Registration '[mm/dd/yy']]]="","",TEXT(mshn_database[[#This Row],[Date of Registration '[mm/dd/yy']]],"mmmm"))</f>
        <v/>
      </c>
      <c r="O3" s="52" t="str">
        <f>IF(mshn_database[[#This Row],[Date of Registration '[mm/dd/yy']]]="","","Q"&amp;INT((MONTH(mshn_database[[#This Row],[Date of Registration '[mm/dd/yy']]])-1)/3)+1)</f>
        <v/>
      </c>
      <c r="P3" s="52" t="str">
        <f>IF(mshn_database[[#This Row],[Date of Registration '[mm/dd/yy']]]="","",TEXT(mshn_database[[#This Row],[Date of Registration '[mm/dd/yy']]],"yyyy"))</f>
        <v/>
      </c>
      <c r="Q3" s="63">
        <v>1</v>
      </c>
      <c r="R3" s="9" t="str">
        <f t="shared" ref="R3:R5" si="0">IF(Q3="","",C3&amp;"-"&amp;D3&amp;"-"&amp;"BHA-MCH-"&amp;Q3)</f>
        <v>Shining Star--BHA-MCH-1</v>
      </c>
      <c r="S3" s="9" t="s">
        <v>2113</v>
      </c>
      <c r="T3" s="9">
        <v>26</v>
      </c>
      <c r="U3" s="52" t="str">
        <f t="shared" ref="U3:U4" si="1">IF(ISBLANK(T3),"",
IF(T3&lt;5,"&lt;5 yrs",
IF(AND(T3&gt;=5,T3&lt;=14),"5 - 14 yrs",
IF(AND(T3&gt;=15,T3&lt;=18),"15 - 18 yrs",
IF(AND(T3&gt;=19,T3&lt;=49),"19 - 49 yrs",
IF(T3&gt;=50,"50 yrs +",""))))))</f>
        <v>19 - 49 yrs</v>
      </c>
      <c r="V3" s="9" t="e">
        <f>IF(mshn_database[[#This Row],[Age_Category]]="","",VLOOKUP(mshn_database[[#This Row],[Age_Category]],[10]info!$H$2:$I$6,2,FALSE))</f>
        <v>#N/A</v>
      </c>
      <c r="W3" s="9" t="s">
        <v>741</v>
      </c>
      <c r="X3" s="9" t="s">
        <v>654</v>
      </c>
      <c r="Y3" s="9"/>
      <c r="Z3" s="9"/>
      <c r="AA3" s="10"/>
      <c r="AB3" s="10"/>
      <c r="AC3" s="53" t="str">
        <f ca="1">IF(AB3="","",IF(AND(TODAY()&gt;=AB3,BU3=""),"Need LB info","No need info yet/LB info aldy included"))</f>
        <v/>
      </c>
      <c r="AD3" s="9"/>
      <c r="AE3" s="9"/>
      <c r="AF3" s="9" t="s">
        <v>2420</v>
      </c>
      <c r="AG3" s="9" t="s">
        <v>2420</v>
      </c>
      <c r="AH3" s="9"/>
      <c r="AI3" s="9"/>
      <c r="AJ3" s="9"/>
      <c r="AK3" s="10"/>
      <c r="AL3" s="10"/>
      <c r="AM3" s="10"/>
      <c r="AN3" s="10"/>
      <c r="AO3" s="10"/>
      <c r="AP3" s="10"/>
      <c r="AQ3" s="10"/>
      <c r="AR3" s="10"/>
      <c r="AS3" s="10"/>
      <c r="AT3" s="10"/>
      <c r="AU3" s="10"/>
      <c r="AV3" s="10"/>
      <c r="AW3" s="10"/>
      <c r="AX3" s="10"/>
      <c r="AY3" s="10"/>
      <c r="AZ3" s="10"/>
      <c r="BA3" s="10"/>
      <c r="BB3" s="10"/>
      <c r="BC3" s="10"/>
      <c r="BD3" s="10"/>
      <c r="BE3" s="52">
        <f>COUNT(AK3:BD3)</f>
        <v>0</v>
      </c>
      <c r="BF3" s="52" t="str">
        <f>IF((OR(AND(COUNT(AK3:AO3)&gt;=1,COUNT(AP3:AT3)&gt;=1),AND(COUNT(AK3:AO3)&gt;=1,COUNT(AU3:AY3)&gt;=1),AND(COUNT(AK3:AO3)&gt;=1,COUNT(AZ3:BD3)&gt;=1),AND(COUNT(AP3:AT3)&gt;=1,COUNT(AU3:AY3)&gt;=1),AND(COUNT(AP3:AT3)&gt;=1,COUNT(AZ3:BD3)&gt;=1),AND(COUNT(AU3:AY3)&gt;=1,COUNT(AZ3:BD3)&gt;=1))), "Yes", "No")</f>
        <v>No</v>
      </c>
      <c r="BG3" s="54"/>
      <c r="BH3" s="54"/>
      <c r="BI3" s="54"/>
      <c r="BJ3" s="10"/>
      <c r="BK3" s="10"/>
      <c r="BL3" s="9"/>
      <c r="BM3" s="9"/>
      <c r="BN3" s="9"/>
      <c r="BO3" s="9"/>
      <c r="BP3" s="9"/>
      <c r="BQ3" s="9"/>
      <c r="BR3" s="9"/>
      <c r="BS3" s="9"/>
      <c r="BT3" s="9"/>
      <c r="BU3" s="9"/>
      <c r="BV3" s="10"/>
      <c r="BW3" s="10"/>
      <c r="BX3" s="10"/>
      <c r="BY3" s="10"/>
      <c r="BZ3" s="10">
        <v>46037</v>
      </c>
      <c r="CA3" s="10"/>
      <c r="CB3" s="52">
        <f>IF(AND(BV3="",BW3="",BX3="",BY3="",BZ3="",CA3=""),"",COUNT(BV3:CA3))</f>
        <v>1</v>
      </c>
      <c r="CC3" s="9"/>
      <c r="CD3" s="9" t="s">
        <v>654</v>
      </c>
      <c r="CE3" s="10"/>
      <c r="CF3" s="9"/>
      <c r="CG3" s="9"/>
      <c r="CH3" s="9"/>
      <c r="CI3" s="9"/>
      <c r="CJ3" s="9" t="str">
        <f t="shared" ref="CJ3:CY4" si="2">IF(AK3="","","Q"&amp;INT((MONTH(AK3)-1)/3)+1&amp;YEAR(AK3)&amp;$V3)</f>
        <v/>
      </c>
      <c r="CK3" s="9" t="str">
        <f t="shared" si="2"/>
        <v/>
      </c>
      <c r="CL3" s="9" t="str">
        <f t="shared" si="2"/>
        <v/>
      </c>
      <c r="CM3" s="9" t="str">
        <f t="shared" si="2"/>
        <v/>
      </c>
      <c r="CN3" s="9" t="str">
        <f t="shared" si="2"/>
        <v/>
      </c>
      <c r="CO3" s="9" t="str">
        <f t="shared" si="2"/>
        <v/>
      </c>
      <c r="CP3" s="9" t="str">
        <f t="shared" si="2"/>
        <v/>
      </c>
      <c r="CQ3" s="9" t="str">
        <f t="shared" si="2"/>
        <v/>
      </c>
      <c r="CR3" s="9" t="str">
        <f t="shared" si="2"/>
        <v/>
      </c>
      <c r="CS3" s="9" t="str">
        <f t="shared" si="2"/>
        <v/>
      </c>
      <c r="CT3" s="9" t="str">
        <f t="shared" si="2"/>
        <v/>
      </c>
      <c r="CU3" s="9" t="str">
        <f t="shared" si="2"/>
        <v/>
      </c>
      <c r="CV3" s="9" t="str">
        <f t="shared" si="2"/>
        <v/>
      </c>
      <c r="CW3" s="9" t="str">
        <f t="shared" si="2"/>
        <v/>
      </c>
      <c r="CX3" s="9" t="str">
        <f t="shared" si="2"/>
        <v/>
      </c>
      <c r="CY3" s="9" t="str">
        <f t="shared" si="2"/>
        <v/>
      </c>
      <c r="CZ3" s="9" t="str">
        <f t="shared" ref="CT3:DC4" si="3">IF(BA3="","","Q"&amp;INT((MONTH(BA3)-1)/3)+1&amp;YEAR(BA3)&amp;$V3)</f>
        <v/>
      </c>
      <c r="DA3" s="9" t="str">
        <f t="shared" si="3"/>
        <v/>
      </c>
      <c r="DB3" s="9" t="str">
        <f t="shared" si="3"/>
        <v/>
      </c>
      <c r="DC3" s="9" t="str">
        <f t="shared" si="3"/>
        <v/>
      </c>
      <c r="DD3" s="9" t="str">
        <f t="shared" ref="DD3:DI4" si="4">IF(BV3="","","Q"&amp;INT((MONTH(BV3)-1)/3)+1&amp;YEAR(BV3)&amp;$V3)</f>
        <v/>
      </c>
      <c r="DE3" s="9" t="str">
        <f t="shared" si="4"/>
        <v/>
      </c>
      <c r="DF3" s="9" t="str">
        <f t="shared" si="4"/>
        <v/>
      </c>
      <c r="DG3" s="9" t="str">
        <f t="shared" si="4"/>
        <v/>
      </c>
      <c r="DH3" s="9" t="e">
        <f t="shared" si="4"/>
        <v>#N/A</v>
      </c>
      <c r="DI3" s="9" t="str">
        <f t="shared" si="4"/>
        <v/>
      </c>
      <c r="DJ3" s="9" t="str">
        <f>IF(BR3="","",IF(BR3="Yes","Q"&amp;INT((MONTH(BK3)-1)/3)+1&amp;YEAR(BK3)&amp;$V3,"na"))</f>
        <v/>
      </c>
      <c r="DK3" s="9" t="str">
        <f>IF(BU3="","",IF(BU3="Alive","Q"&amp;INT((MONTH(BK3)-1)/3)+1&amp;YEAR(BK3)&amp;$V3,"na"))</f>
        <v/>
      </c>
      <c r="DL3" s="9" t="str">
        <f>IF(BJ3="","","Q"&amp;INT((MONTH(BJ3)-1)/3)+1&amp;YEAR(BJ3)&amp;$V3)</f>
        <v/>
      </c>
      <c r="DM3" s="9" t="str">
        <f>IF(M3="","",TEXT(M3,"mmmm")&amp;YEAR(M3))</f>
        <v/>
      </c>
      <c r="DN3" s="9" t="str">
        <f>IF(BE3&gt;=4,N3&amp;P3,"")</f>
        <v/>
      </c>
      <c r="DO3" s="9" t="str">
        <f>IF(BK3="","",TEXT(BK3,"mmmm")&amp;YEAR(BK3))</f>
        <v/>
      </c>
      <c r="DP3" s="9" t="str">
        <f t="shared" ref="DP3:EE4" si="5">IF(AK3="","",1)</f>
        <v/>
      </c>
      <c r="DQ3" s="9" t="str">
        <f t="shared" si="5"/>
        <v/>
      </c>
      <c r="DR3" s="9" t="str">
        <f t="shared" si="5"/>
        <v/>
      </c>
      <c r="DS3" s="9" t="str">
        <f t="shared" si="5"/>
        <v/>
      </c>
      <c r="DT3" s="9" t="str">
        <f t="shared" si="5"/>
        <v/>
      </c>
      <c r="DU3" s="9" t="str">
        <f t="shared" si="5"/>
        <v/>
      </c>
      <c r="DV3" s="9" t="str">
        <f t="shared" si="5"/>
        <v/>
      </c>
      <c r="DW3" s="9" t="str">
        <f t="shared" si="5"/>
        <v/>
      </c>
      <c r="DX3" s="9" t="str">
        <f t="shared" si="5"/>
        <v/>
      </c>
      <c r="DY3" s="9" t="str">
        <f t="shared" si="5"/>
        <v/>
      </c>
      <c r="DZ3" s="9" t="str">
        <f t="shared" si="5"/>
        <v/>
      </c>
      <c r="EA3" s="9" t="str">
        <f t="shared" si="5"/>
        <v/>
      </c>
      <c r="EB3" s="9" t="str">
        <f t="shared" si="5"/>
        <v/>
      </c>
      <c r="EC3" s="9" t="str">
        <f t="shared" si="5"/>
        <v/>
      </c>
      <c r="ED3" s="9" t="str">
        <f t="shared" si="5"/>
        <v/>
      </c>
      <c r="EE3" s="9" t="str">
        <f t="shared" si="5"/>
        <v/>
      </c>
      <c r="EF3" s="9" t="str">
        <f t="shared" ref="EF3:EI3" si="6">IF(BA3="","",1)</f>
        <v/>
      </c>
      <c r="EG3" s="9" t="str">
        <f t="shared" si="6"/>
        <v/>
      </c>
      <c r="EH3" s="9" t="str">
        <f t="shared" si="6"/>
        <v/>
      </c>
      <c r="EI3" s="9" t="str">
        <f t="shared" si="6"/>
        <v/>
      </c>
      <c r="EJ3" s="9">
        <f>SUM($DP$3:DP3)</f>
        <v>0</v>
      </c>
      <c r="EK3" s="9">
        <f>SUM($DP$3:DQ3)</f>
        <v>0</v>
      </c>
      <c r="EL3" s="9">
        <f>SUM($DP$3:DR3)</f>
        <v>0</v>
      </c>
      <c r="EM3" s="9">
        <f>SUM($DP$3:DS3)</f>
        <v>0</v>
      </c>
      <c r="EN3" s="9">
        <f>SUM($DP$3:DT3)</f>
        <v>0</v>
      </c>
      <c r="EO3" s="9">
        <f>SUM($DP$3:DU3)</f>
        <v>0</v>
      </c>
      <c r="EP3" s="9">
        <f>SUM($DP$3:DV3)</f>
        <v>0</v>
      </c>
      <c r="EQ3" s="9">
        <f>SUM($DP$3:DW3)</f>
        <v>0</v>
      </c>
      <c r="ER3" s="9">
        <f>SUM($DP$3:DX3)</f>
        <v>0</v>
      </c>
      <c r="ES3" s="9">
        <f>SUM($DP$3:DY3)</f>
        <v>0</v>
      </c>
      <c r="ET3" s="9">
        <f>SUM($DP$3:DZ3)</f>
        <v>0</v>
      </c>
      <c r="EU3" s="9">
        <f>SUM($DP$3:EA3)</f>
        <v>0</v>
      </c>
      <c r="EV3" s="9">
        <f>SUM($DP$3:EB3)</f>
        <v>0</v>
      </c>
      <c r="EW3" s="9">
        <f>SUM($DP$3:EC3)</f>
        <v>0</v>
      </c>
      <c r="EX3" s="9">
        <f>SUM($DP$3:ED3)</f>
        <v>0</v>
      </c>
      <c r="EY3" s="9">
        <f>SUM($DP$3:EE3)</f>
        <v>0</v>
      </c>
      <c r="EZ3" s="9">
        <f>SUM($DP$3:EF3)</f>
        <v>0</v>
      </c>
      <c r="FA3" s="9">
        <f>SUM($DP$3:EG3)</f>
        <v>0</v>
      </c>
      <c r="FB3" s="9">
        <f>SUM($DP$3:EH3)</f>
        <v>0</v>
      </c>
      <c r="FC3" s="9">
        <f>SUM($DP$3:EI3)</f>
        <v>0</v>
      </c>
      <c r="FD3" s="9"/>
      <c r="FE3" s="9"/>
      <c r="FF3" s="9"/>
      <c r="FG3" s="9" t="s">
        <v>577</v>
      </c>
      <c r="FH3" s="9"/>
      <c r="FI3" s="9"/>
      <c r="FJ3" s="9"/>
      <c r="FK3" s="9"/>
      <c r="FL3" s="9"/>
      <c r="FM3" s="9"/>
      <c r="FN3" s="9"/>
      <c r="FO3" s="9"/>
      <c r="FP3" s="9"/>
      <c r="FQ3" s="9"/>
      <c r="FR3" s="9"/>
      <c r="FS3" s="9"/>
      <c r="FT3" s="9"/>
      <c r="FU3" s="9"/>
      <c r="FV3" s="9"/>
      <c r="FW3" s="9"/>
    </row>
    <row r="4" spans="1:179" ht="20.100000000000001" customHeight="1" x14ac:dyDescent="0.25">
      <c r="A4" s="8">
        <v>2</v>
      </c>
      <c r="B4" s="8" t="s">
        <v>399</v>
      </c>
      <c r="C4" s="8" t="s">
        <v>1997</v>
      </c>
      <c r="D4" s="8"/>
      <c r="E4" s="8" t="s">
        <v>1998</v>
      </c>
      <c r="F4" s="9" t="s">
        <v>2222</v>
      </c>
      <c r="G4" s="9" t="s">
        <v>2377</v>
      </c>
      <c r="H4" s="9" t="s">
        <v>579</v>
      </c>
      <c r="I4" s="9"/>
      <c r="J4" s="9"/>
      <c r="K4" s="9"/>
      <c r="L4" s="9" t="str">
        <f>IFERROR(VLOOKUP([10]!family_planning[[#This Row],[Helper]],[10]datavalidation!E:G,3,FALSE),"")</f>
        <v/>
      </c>
      <c r="M4" s="10"/>
      <c r="N4" s="52" t="str">
        <f>IF(mshn_database[[#This Row],[Date of Registration '[mm/dd/yy']]]="","",TEXT(mshn_database[[#This Row],[Date of Registration '[mm/dd/yy']]],"mmmm"))</f>
        <v/>
      </c>
      <c r="O4" s="52" t="str">
        <f>IF(mshn_database[[#This Row],[Date of Registration '[mm/dd/yy']]]="","","Q"&amp;INT((MONTH(mshn_database[[#This Row],[Date of Registration '[mm/dd/yy']]])-1)/3)+1)</f>
        <v/>
      </c>
      <c r="P4" s="52" t="str">
        <f>IF(mshn_database[[#This Row],[Date of Registration '[mm/dd/yy']]]="","",TEXT(mshn_database[[#This Row],[Date of Registration '[mm/dd/yy']]],"yyyy"))</f>
        <v/>
      </c>
      <c r="Q4" s="63">
        <v>2</v>
      </c>
      <c r="R4" s="9" t="str">
        <f t="shared" si="0"/>
        <v>Shining Star--BHA-MCH-2</v>
      </c>
      <c r="S4" s="9" t="s">
        <v>2124</v>
      </c>
      <c r="T4" s="9">
        <v>27</v>
      </c>
      <c r="U4" s="52" t="str">
        <f t="shared" si="1"/>
        <v>19 - 49 yrs</v>
      </c>
      <c r="V4" s="9" t="e">
        <f>IF(mshn_database[[#This Row],[Age_Category]]="","",VLOOKUP(mshn_database[[#This Row],[Age_Category]],[10]info!$H$2:$I$6,2,FALSE))</f>
        <v>#N/A</v>
      </c>
      <c r="W4" s="9" t="s">
        <v>741</v>
      </c>
      <c r="X4" s="9" t="s">
        <v>654</v>
      </c>
      <c r="Y4" s="9"/>
      <c r="Z4" s="9"/>
      <c r="AA4" s="10"/>
      <c r="AB4" s="10"/>
      <c r="AC4" s="53" t="str">
        <f ca="1">IF(AB4="","",IF(AND(TODAY()&gt;=AB4,BU4=""),"Need LB info","No need info yet/LB info aldy included"))</f>
        <v/>
      </c>
      <c r="AD4" s="9"/>
      <c r="AE4" s="9"/>
      <c r="AF4" s="9" t="s">
        <v>2420</v>
      </c>
      <c r="AG4" s="9" t="s">
        <v>2420</v>
      </c>
      <c r="AH4" s="9"/>
      <c r="AI4" s="9"/>
      <c r="AJ4" s="9"/>
      <c r="AK4" s="10"/>
      <c r="AL4" s="10"/>
      <c r="AM4" s="10"/>
      <c r="AN4" s="10"/>
      <c r="AO4" s="10"/>
      <c r="AP4" s="10"/>
      <c r="AQ4" s="10"/>
      <c r="AR4" s="10"/>
      <c r="AS4" s="10"/>
      <c r="AT4" s="10"/>
      <c r="AU4" s="10"/>
      <c r="AV4" s="10"/>
      <c r="AW4" s="10"/>
      <c r="AX4" s="10"/>
      <c r="AY4" s="10"/>
      <c r="AZ4" s="10"/>
      <c r="BA4" s="10"/>
      <c r="BB4" s="10"/>
      <c r="BC4" s="10"/>
      <c r="BD4" s="10"/>
      <c r="BE4" s="52">
        <f>COUNT(AK4:BD4)</f>
        <v>0</v>
      </c>
      <c r="BF4" s="52" t="str">
        <f t="shared" ref="BF4:BF5" si="7">IF((OR(AND(COUNT(AK4:AO4)&gt;=1,COUNT(AP4:AT4)&gt;=1),AND(COUNT(AK4:AO4)&gt;=1,COUNT(AU4:AY4)&gt;=1),AND(COUNT(AK4:AO4)&gt;=1,COUNT(AZ4:BD4)&gt;=1),AND(COUNT(AP4:AT4)&gt;=1,COUNT(AU4:AY4)&gt;=1),AND(COUNT(AP4:AT4)&gt;=1,COUNT(AZ4:BD4)&gt;=1),AND(COUNT(AU4:AY4)&gt;=1,COUNT(AZ4:BD4)&gt;=1))), "Yes", "No")</f>
        <v>No</v>
      </c>
      <c r="BG4" s="54"/>
      <c r="BH4" s="54"/>
      <c r="BI4" s="54"/>
      <c r="BJ4" s="10"/>
      <c r="BK4" s="10"/>
      <c r="BL4" s="9"/>
      <c r="BM4" s="9"/>
      <c r="BN4" s="9"/>
      <c r="BO4" s="9"/>
      <c r="BP4" s="9"/>
      <c r="BQ4" s="9"/>
      <c r="BR4" s="9"/>
      <c r="BS4" s="9"/>
      <c r="BT4" s="9"/>
      <c r="BU4" s="9"/>
      <c r="BV4" s="10"/>
      <c r="BW4" s="10"/>
      <c r="BX4" s="10"/>
      <c r="BY4" s="10"/>
      <c r="BZ4" s="10">
        <v>46037</v>
      </c>
      <c r="CA4" s="10"/>
      <c r="CB4" s="52">
        <f>IF(AND(BV4="",BW4="",BX4="",BY4="",BZ4="",CA4=""),"",COUNT(BV4:CA4))</f>
        <v>1</v>
      </c>
      <c r="CC4" s="9"/>
      <c r="CD4" s="9" t="s">
        <v>654</v>
      </c>
      <c r="CE4" s="10"/>
      <c r="CF4" s="9"/>
      <c r="CG4" s="9"/>
      <c r="CH4" s="9"/>
      <c r="CI4" s="9"/>
      <c r="CJ4" s="9" t="str">
        <f t="shared" si="2"/>
        <v/>
      </c>
      <c r="CK4" s="9" t="str">
        <f t="shared" si="2"/>
        <v/>
      </c>
      <c r="CL4" s="9" t="str">
        <f t="shared" si="2"/>
        <v/>
      </c>
      <c r="CM4" s="9" t="str">
        <f t="shared" si="2"/>
        <v/>
      </c>
      <c r="CN4" s="9" t="str">
        <f t="shared" si="2"/>
        <v/>
      </c>
      <c r="CO4" s="9" t="str">
        <f t="shared" si="2"/>
        <v/>
      </c>
      <c r="CP4" s="9" t="str">
        <f t="shared" si="2"/>
        <v/>
      </c>
      <c r="CQ4" s="9" t="str">
        <f t="shared" si="2"/>
        <v/>
      </c>
      <c r="CR4" s="9" t="str">
        <f t="shared" si="2"/>
        <v/>
      </c>
      <c r="CS4" s="9" t="str">
        <f t="shared" si="2"/>
        <v/>
      </c>
      <c r="CT4" s="9" t="str">
        <f t="shared" si="3"/>
        <v/>
      </c>
      <c r="CU4" s="9" t="str">
        <f t="shared" si="3"/>
        <v/>
      </c>
      <c r="CV4" s="9" t="str">
        <f t="shared" si="3"/>
        <v/>
      </c>
      <c r="CW4" s="9" t="str">
        <f t="shared" si="3"/>
        <v/>
      </c>
      <c r="CX4" s="9" t="str">
        <f t="shared" si="3"/>
        <v/>
      </c>
      <c r="CY4" s="9" t="str">
        <f t="shared" si="3"/>
        <v/>
      </c>
      <c r="CZ4" s="9" t="str">
        <f t="shared" si="3"/>
        <v/>
      </c>
      <c r="DA4" s="9" t="str">
        <f t="shared" si="3"/>
        <v/>
      </c>
      <c r="DB4" s="9" t="str">
        <f t="shared" si="3"/>
        <v/>
      </c>
      <c r="DC4" s="9" t="str">
        <f t="shared" si="3"/>
        <v/>
      </c>
      <c r="DD4" s="9" t="str">
        <f t="shared" si="4"/>
        <v/>
      </c>
      <c r="DE4" s="9" t="str">
        <f t="shared" si="4"/>
        <v/>
      </c>
      <c r="DF4" s="9" t="str">
        <f t="shared" si="4"/>
        <v/>
      </c>
      <c r="DG4" s="9" t="str">
        <f t="shared" si="4"/>
        <v/>
      </c>
      <c r="DH4" s="9" t="e">
        <f t="shared" si="4"/>
        <v>#N/A</v>
      </c>
      <c r="DI4" s="9" t="str">
        <f t="shared" si="4"/>
        <v/>
      </c>
      <c r="DJ4" s="9" t="str">
        <f>IF(BR4="","",IF(BR4="Yes","Q"&amp;INT((MONTH(BK4)-1)/3)+1&amp;YEAR(BK4)&amp;$V4,"na"))</f>
        <v/>
      </c>
      <c r="DK4" s="9" t="str">
        <f>IF(BU4="","",IF(BU4="Alive","Q"&amp;INT((MONTH(BK4)-1)/3)+1&amp;YEAR(BK4)&amp;$V4,"na"))</f>
        <v/>
      </c>
      <c r="DL4" s="9" t="str">
        <f>IF(BJ4="","","Q"&amp;INT((MONTH(BJ4)-1)/3)+1&amp;YEAR(BJ4)&amp;$V4)</f>
        <v/>
      </c>
      <c r="DM4" s="9" t="str">
        <f>IF(M4="","",TEXT(M4,"mmmm")&amp;YEAR(M4))</f>
        <v/>
      </c>
      <c r="DN4" s="9" t="str">
        <f>IF(BE4&gt;=4,N4&amp;P4,"")</f>
        <v/>
      </c>
      <c r="DO4" s="9" t="str">
        <f>IF(BK4="","",TEXT(BK4,"mmmm")&amp;YEAR(BK4))</f>
        <v/>
      </c>
      <c r="DP4" s="9" t="str">
        <f t="shared" si="5"/>
        <v/>
      </c>
      <c r="DQ4" s="9"/>
      <c r="DR4" s="9"/>
      <c r="DS4" s="9"/>
      <c r="DT4" s="9"/>
      <c r="DU4" s="9"/>
      <c r="DV4" s="9"/>
      <c r="DW4" s="9"/>
      <c r="DX4" s="9"/>
      <c r="DY4" s="9"/>
      <c r="DZ4" s="9"/>
      <c r="EA4" s="9"/>
      <c r="EB4" s="9"/>
      <c r="EC4" s="9"/>
      <c r="ED4" s="9"/>
      <c r="EE4" s="9"/>
      <c r="EF4" s="9"/>
      <c r="EG4" s="9"/>
      <c r="EH4" s="9"/>
      <c r="EI4" s="9"/>
      <c r="EJ4" s="9">
        <f>SUM($DP$3:DP27)</f>
        <v>0</v>
      </c>
      <c r="EK4" s="9">
        <f>SUM($DP$3:DQ27)</f>
        <v>0</v>
      </c>
      <c r="EL4" s="9">
        <f>SUM($DP$3:DR27)</f>
        <v>0</v>
      </c>
      <c r="EM4" s="9">
        <f>SUM($DP$3:DS27)</f>
        <v>0</v>
      </c>
      <c r="EN4" s="9">
        <f>SUM($DP$3:DT27)</f>
        <v>0</v>
      </c>
      <c r="EO4" s="9">
        <f>SUM($DP$3:DU27)</f>
        <v>0</v>
      </c>
      <c r="EP4" s="9">
        <f>SUM($DP$3:DV27)</f>
        <v>0</v>
      </c>
      <c r="EQ4" s="9">
        <f>SUM($DP$3:DW27)</f>
        <v>0</v>
      </c>
      <c r="ER4" s="9">
        <f>SUM($DP$3:DX27)</f>
        <v>0</v>
      </c>
      <c r="ES4" s="9">
        <f>SUM($DP$3:DY27)</f>
        <v>0</v>
      </c>
      <c r="ET4" s="9">
        <f>SUM($DP$3:DZ27)</f>
        <v>0</v>
      </c>
      <c r="EU4" s="9">
        <f>SUM($DP$3:EA27)</f>
        <v>0</v>
      </c>
      <c r="EV4" s="9">
        <f>SUM($DP$3:EB27)</f>
        <v>0</v>
      </c>
      <c r="EW4" s="9">
        <f>SUM($DP$3:EC27)</f>
        <v>0</v>
      </c>
      <c r="EX4" s="9">
        <f>SUM($DP$3:ED27)</f>
        <v>0</v>
      </c>
      <c r="EY4" s="9">
        <f>SUM($DP$3:EE27)</f>
        <v>0</v>
      </c>
      <c r="EZ4" s="9">
        <f>SUM($DP$3:EF27)</f>
        <v>0</v>
      </c>
      <c r="FA4" s="9">
        <f>SUM($DP$3:EG27)</f>
        <v>0</v>
      </c>
      <c r="FB4" s="9">
        <f>SUM($DP$3:EH27)</f>
        <v>0</v>
      </c>
      <c r="FC4" s="9">
        <f>SUM($DP$3:EI27)</f>
        <v>0</v>
      </c>
      <c r="FD4" s="9"/>
      <c r="FE4" s="9"/>
      <c r="FF4" s="9"/>
      <c r="FG4" s="9"/>
      <c r="FH4" s="9"/>
      <c r="FI4" s="9"/>
      <c r="FJ4" s="9"/>
      <c r="FK4" s="9"/>
      <c r="FL4" s="9"/>
      <c r="FM4" s="9"/>
      <c r="FN4" s="9"/>
      <c r="FO4" s="9"/>
      <c r="FP4" s="9"/>
      <c r="FQ4" s="9"/>
      <c r="FR4" s="9"/>
      <c r="FS4" s="9"/>
      <c r="FT4" s="9"/>
      <c r="FU4" s="9"/>
      <c r="FV4" s="9"/>
      <c r="FW4" s="9"/>
    </row>
    <row r="5" spans="1:179" ht="20.100000000000001" customHeight="1" x14ac:dyDescent="0.25">
      <c r="A5" s="8">
        <v>3</v>
      </c>
      <c r="B5" s="8" t="s">
        <v>399</v>
      </c>
      <c r="C5" s="8" t="s">
        <v>1997</v>
      </c>
      <c r="D5" s="8"/>
      <c r="E5" s="8" t="s">
        <v>1998</v>
      </c>
      <c r="F5" s="9" t="s">
        <v>2222</v>
      </c>
      <c r="G5" s="9" t="s">
        <v>2228</v>
      </c>
      <c r="H5" s="9" t="s">
        <v>579</v>
      </c>
      <c r="I5" s="9"/>
      <c r="J5" s="9"/>
      <c r="K5" s="9"/>
      <c r="L5" s="9" t="str">
        <f>IFERROR(VLOOKUP([10]!family_planning[[#This Row],[Helper]],[10]datavalidation!E:G,3,FALSE),"")</f>
        <v/>
      </c>
      <c r="M5" s="10"/>
      <c r="N5" s="52" t="str">
        <f>IF(mshn_database[[#This Row],[Date of Registration '[mm/dd/yy']]]="","",TEXT(mshn_database[[#This Row],[Date of Registration '[mm/dd/yy']]],"mmmm"))</f>
        <v/>
      </c>
      <c r="O5" s="52" t="str">
        <f>IF(mshn_database[[#This Row],[Date of Registration '[mm/dd/yy']]]="","","Q"&amp;INT((MONTH(mshn_database[[#This Row],[Date of Registration '[mm/dd/yy']]])-1)/3)+1)</f>
        <v/>
      </c>
      <c r="P5" s="52" t="str">
        <f>IF(mshn_database[[#This Row],[Date of Registration '[mm/dd/yy']]]="","",TEXT(mshn_database[[#This Row],[Date of Registration '[mm/dd/yy']]],"yyyy"))</f>
        <v/>
      </c>
      <c r="Q5" s="63">
        <v>3</v>
      </c>
      <c r="R5" s="9" t="str">
        <f t="shared" si="0"/>
        <v>Shining Star--BHA-MCH-3</v>
      </c>
      <c r="S5" s="9" t="s">
        <v>2229</v>
      </c>
      <c r="T5" s="9">
        <v>36</v>
      </c>
      <c r="U5" s="52" t="str">
        <f>IF(ISBLANK(T5),"",
IF(T5&lt;5,"&lt;5 yrs",
IF(AND(T5&gt;=5,T5&lt;=14),"5 - 14 yrs",
IF(AND(T5&gt;=15,T5&lt;=18),"15 - 18 yrs",
IF(AND(T5&gt;=19,T5&lt;=49),"19 - 49 yrs",
IF(T5&gt;=50,"50 yrs +",""))))))</f>
        <v>19 - 49 yrs</v>
      </c>
      <c r="V5" s="9" t="e">
        <f>IF(mshn_database[[#This Row],[Age_Category]]="","",VLOOKUP(mshn_database[[#This Row],[Age_Category]],[10]info!$H$2:$I$6,2,FALSE))</f>
        <v>#N/A</v>
      </c>
      <c r="W5" s="9" t="s">
        <v>741</v>
      </c>
      <c r="X5" s="9" t="s">
        <v>654</v>
      </c>
      <c r="Y5" s="9"/>
      <c r="Z5" s="9"/>
      <c r="AA5" s="10"/>
      <c r="AB5" s="10"/>
      <c r="AC5" s="53" t="str">
        <f ca="1">IF(AB5="","",IF(AND(TODAY()&gt;=AB5,BU5=""),"Need LB info","No need info yet/LB info aldy included"))</f>
        <v/>
      </c>
      <c r="AD5" s="9"/>
      <c r="AE5" s="9"/>
      <c r="AF5" s="9" t="s">
        <v>2420</v>
      </c>
      <c r="AG5" s="9" t="s">
        <v>2420</v>
      </c>
      <c r="AH5" s="9"/>
      <c r="AI5" s="9"/>
      <c r="AJ5" s="9"/>
      <c r="AK5" s="10"/>
      <c r="AL5" s="10"/>
      <c r="AM5" s="10"/>
      <c r="AN5" s="10"/>
      <c r="AO5" s="10"/>
      <c r="AP5" s="10"/>
      <c r="AQ5" s="10"/>
      <c r="AR5" s="10"/>
      <c r="AS5" s="10"/>
      <c r="AT5" s="10"/>
      <c r="AU5" s="10"/>
      <c r="AV5" s="10"/>
      <c r="AW5" s="10"/>
      <c r="AX5" s="10"/>
      <c r="AY5" s="10"/>
      <c r="AZ5" s="10"/>
      <c r="BA5" s="10"/>
      <c r="BB5" s="10"/>
      <c r="BC5" s="10"/>
      <c r="BD5" s="10"/>
      <c r="BE5" s="52">
        <f>COUNT(AK5:BD5)</f>
        <v>0</v>
      </c>
      <c r="BF5" s="52" t="str">
        <f t="shared" si="7"/>
        <v>No</v>
      </c>
      <c r="BG5" s="54"/>
      <c r="BH5" s="54"/>
      <c r="BI5" s="54"/>
      <c r="BJ5" s="10"/>
      <c r="BK5" s="10"/>
      <c r="BL5" s="9"/>
      <c r="BM5" s="9"/>
      <c r="BN5" s="9"/>
      <c r="BO5" s="9"/>
      <c r="BP5" s="9"/>
      <c r="BQ5" s="9"/>
      <c r="BR5" s="9"/>
      <c r="BS5" s="9"/>
      <c r="BT5" s="9"/>
      <c r="BU5" s="9"/>
      <c r="BV5" s="10"/>
      <c r="BW5" s="10"/>
      <c r="BX5" s="10"/>
      <c r="BY5" s="10"/>
      <c r="BZ5" s="10"/>
      <c r="CA5" s="10">
        <v>46038</v>
      </c>
      <c r="CB5" s="52">
        <f>IF(AND(BV5="",BW5="",BX5="",BY5="",BZ5="",CA5=""),"",COUNT(BV5:CA5))</f>
        <v>1</v>
      </c>
      <c r="CC5" s="9"/>
      <c r="CD5" s="9" t="s">
        <v>654</v>
      </c>
      <c r="CE5" s="10"/>
      <c r="CF5" s="9"/>
      <c r="CG5" s="9"/>
      <c r="CH5" s="9"/>
      <c r="CI5" s="9"/>
      <c r="CJ5" s="9" t="str">
        <f t="shared" ref="CJ5:CS5" si="8">IF(AK5="","","Q"&amp;INT((MONTH(AK5)-1)/3)+1&amp;YEAR(AK5)&amp;$V5)</f>
        <v/>
      </c>
      <c r="CK5" s="9" t="str">
        <f t="shared" si="8"/>
        <v/>
      </c>
      <c r="CL5" s="9" t="str">
        <f t="shared" si="8"/>
        <v/>
      </c>
      <c r="CM5" s="9" t="str">
        <f t="shared" si="8"/>
        <v/>
      </c>
      <c r="CN5" s="9" t="str">
        <f t="shared" si="8"/>
        <v/>
      </c>
      <c r="CO5" s="9" t="str">
        <f t="shared" si="8"/>
        <v/>
      </c>
      <c r="CP5" s="9" t="str">
        <f t="shared" si="8"/>
        <v/>
      </c>
      <c r="CQ5" s="9" t="str">
        <f t="shared" si="8"/>
        <v/>
      </c>
      <c r="CR5" s="9" t="str">
        <f t="shared" si="8"/>
        <v/>
      </c>
      <c r="CS5" s="9" t="str">
        <f t="shared" si="8"/>
        <v/>
      </c>
      <c r="CT5" s="9" t="str">
        <f t="shared" ref="CT5:DC5" si="9">IF(AU5="","","Q"&amp;INT((MONTH(AU5)-1)/3)+1&amp;YEAR(AU5)&amp;$V5)</f>
        <v/>
      </c>
      <c r="CU5" s="9" t="str">
        <f t="shared" si="9"/>
        <v/>
      </c>
      <c r="CV5" s="9" t="str">
        <f t="shared" si="9"/>
        <v/>
      </c>
      <c r="CW5" s="9" t="str">
        <f t="shared" si="9"/>
        <v/>
      </c>
      <c r="CX5" s="9" t="str">
        <f t="shared" si="9"/>
        <v/>
      </c>
      <c r="CY5" s="9" t="str">
        <f t="shared" si="9"/>
        <v/>
      </c>
      <c r="CZ5" s="9" t="str">
        <f t="shared" si="9"/>
        <v/>
      </c>
      <c r="DA5" s="9" t="str">
        <f t="shared" si="9"/>
        <v/>
      </c>
      <c r="DB5" s="9" t="str">
        <f t="shared" si="9"/>
        <v/>
      </c>
      <c r="DC5" s="9" t="str">
        <f t="shared" si="9"/>
        <v/>
      </c>
      <c r="DD5" s="9" t="str">
        <f t="shared" ref="DD5:DI5" si="10">IF(BV5="","","Q"&amp;INT((MONTH(BV5)-1)/3)+1&amp;YEAR(BV5)&amp;$V5)</f>
        <v/>
      </c>
      <c r="DE5" s="9" t="str">
        <f t="shared" si="10"/>
        <v/>
      </c>
      <c r="DF5" s="9" t="str">
        <f t="shared" si="10"/>
        <v/>
      </c>
      <c r="DG5" s="9" t="str">
        <f t="shared" si="10"/>
        <v/>
      </c>
      <c r="DH5" s="9" t="str">
        <f t="shared" si="10"/>
        <v/>
      </c>
      <c r="DI5" s="9" t="e">
        <f t="shared" si="10"/>
        <v>#N/A</v>
      </c>
      <c r="DJ5" s="9" t="str">
        <f>IF(BR5="","",IF(BR5="Yes","Q"&amp;INT((MONTH(BK5)-1)/3)+1&amp;YEAR(BK5)&amp;$V5,"na"))</f>
        <v/>
      </c>
      <c r="DK5" t="str">
        <f>IF(BU5="","",IF(BU5="Alive","Q"&amp;INT((MONTH(BK5)-1)/3)+1&amp;YEAR(BK5)&amp;$V5,"na"))</f>
        <v/>
      </c>
      <c r="DL5" s="9" t="str">
        <f>IF(BJ5="","","Q"&amp;INT((MONTH(BJ5)-1)/3)+1&amp;YEAR(BJ5)&amp;$V5)</f>
        <v/>
      </c>
      <c r="DM5" s="9" t="str">
        <f>IF(M5="","",TEXT(M5,"mmmm")&amp;YEAR(M5))</f>
        <v/>
      </c>
      <c r="DN5" s="9" t="str">
        <f>IF(BE5&gt;=4,N5&amp;P5,"")</f>
        <v/>
      </c>
      <c r="DO5" s="9" t="str">
        <f>IF(BK5="","",TEXT(BK5,"mmmm")&amp;YEAR(BK5))</f>
        <v/>
      </c>
      <c r="DP5" s="9" t="str">
        <f>IF(AK5="","",1)</f>
        <v/>
      </c>
      <c r="DQ5" s="9"/>
      <c r="DR5" s="9"/>
      <c r="DS5" s="9"/>
      <c r="DT5" s="9"/>
      <c r="DU5" s="9"/>
      <c r="DV5" s="9"/>
      <c r="DW5" s="9"/>
      <c r="DX5" s="9"/>
      <c r="DY5" s="9"/>
      <c r="DZ5" s="9"/>
      <c r="EA5" s="9"/>
      <c r="EB5" s="9"/>
      <c r="EC5" s="9"/>
      <c r="ED5" s="9"/>
      <c r="EE5" s="9"/>
      <c r="EF5" s="9"/>
      <c r="EG5" s="9"/>
      <c r="EH5" s="9"/>
      <c r="EI5" s="9"/>
      <c r="EJ5" s="9">
        <f>SUM($DP$3:DP27)</f>
        <v>0</v>
      </c>
      <c r="EK5" s="9">
        <f>SUM($DP$3:DQ27)</f>
        <v>0</v>
      </c>
      <c r="EL5" s="9">
        <f>SUM($DP$3:DR27)</f>
        <v>0</v>
      </c>
      <c r="EM5" s="9">
        <f>SUM($DP$3:DS27)</f>
        <v>0</v>
      </c>
      <c r="EN5" s="9">
        <f>SUM($DP$3:DT27)</f>
        <v>0</v>
      </c>
      <c r="EO5" s="9">
        <f>SUM($DP$3:DU27)</f>
        <v>0</v>
      </c>
      <c r="EP5" s="9">
        <f>SUM($DP$3:DV27)</f>
        <v>0</v>
      </c>
      <c r="EQ5" s="9">
        <f>SUM($DP$3:DW27)</f>
        <v>0</v>
      </c>
      <c r="ER5" s="9">
        <f>SUM($DP$3:DX27)</f>
        <v>0</v>
      </c>
      <c r="ES5" s="9">
        <f>SUM($DP$3:DY27)</f>
        <v>0</v>
      </c>
      <c r="ET5" s="9">
        <f>SUM($DP$3:DZ27)</f>
        <v>0</v>
      </c>
      <c r="EU5" s="9">
        <f>SUM($DP$3:EA27)</f>
        <v>0</v>
      </c>
      <c r="EV5" s="9">
        <f>SUM($DP$3:EB27)</f>
        <v>0</v>
      </c>
      <c r="EW5" s="9">
        <f>SUM($DP$3:EC27)</f>
        <v>0</v>
      </c>
      <c r="EX5" s="9">
        <f>SUM($DP$3:ED27)</f>
        <v>0</v>
      </c>
      <c r="EY5" s="9">
        <f>SUM($DP$3:EE27)</f>
        <v>0</v>
      </c>
      <c r="EZ5" s="9">
        <f>SUM($DP$3:EF27)</f>
        <v>0</v>
      </c>
      <c r="FA5" s="9">
        <f>SUM($DP$3:EG27)</f>
        <v>0</v>
      </c>
      <c r="FB5" s="9">
        <f>SUM($DP$3:EH27)</f>
        <v>0</v>
      </c>
      <c r="FC5" s="9">
        <f>SUM($DP$3:EI27)</f>
        <v>0</v>
      </c>
      <c r="FD5" s="9"/>
      <c r="FE5" s="9"/>
      <c r="FF5" s="9"/>
      <c r="FG5" s="9"/>
      <c r="FH5" s="9"/>
      <c r="FI5" s="9"/>
      <c r="FJ5" s="9"/>
      <c r="FK5" s="9"/>
      <c r="FL5" s="9"/>
      <c r="FM5" s="9"/>
      <c r="FN5" s="9"/>
      <c r="FO5" s="9"/>
      <c r="FP5" s="9"/>
      <c r="FQ5" s="9"/>
      <c r="FR5" s="9"/>
      <c r="FS5" s="9"/>
      <c r="FT5" s="9"/>
      <c r="FU5" s="9"/>
      <c r="FV5" s="9"/>
      <c r="FW5" s="9"/>
    </row>
    <row r="6" spans="1:179" ht="20.100000000000001" customHeight="1" x14ac:dyDescent="0.25">
      <c r="A6" s="8"/>
      <c r="B6" s="8"/>
      <c r="C6" s="8"/>
      <c r="D6" s="8"/>
      <c r="E6" s="8"/>
      <c r="F6" s="9"/>
      <c r="G6" s="9"/>
      <c r="H6" s="9"/>
      <c r="I6" s="9"/>
      <c r="J6" s="9"/>
      <c r="K6" s="9"/>
      <c r="L6" s="9"/>
      <c r="M6" s="10"/>
      <c r="N6" s="52"/>
      <c r="O6" s="52"/>
      <c r="P6" s="52"/>
      <c r="Q6" s="63">
        <v>4</v>
      </c>
      <c r="R6" s="9"/>
      <c r="S6" s="9" t="s">
        <v>5123</v>
      </c>
      <c r="T6" s="9">
        <v>28</v>
      </c>
      <c r="U6" s="52" t="str">
        <f>IF(ISBLANK(T6),"",
IF(T6&lt;5,"&lt;5 yrs",
IF(AND(T6&gt;=5,T6&lt;=14),"5 - 14 yrs",
IF(AND(T6&gt;=15,T6&lt;=18),"15 - 18 yrs",
IF(AND(T6&gt;=19,T6&lt;=49),"19 - 49 yrs",
IF(T6&gt;=50,"50 yrs +",""))))))</f>
        <v>19 - 49 yrs</v>
      </c>
      <c r="V6" s="9"/>
      <c r="W6" s="9" t="s">
        <v>741</v>
      </c>
      <c r="X6" t="s">
        <v>654</v>
      </c>
      <c r="Y6" s="9"/>
      <c r="Z6" s="9"/>
      <c r="AA6" s="10"/>
      <c r="AB6" s="10"/>
      <c r="AC6" s="53"/>
      <c r="AD6" s="9"/>
      <c r="AE6" s="9"/>
      <c r="AF6" s="9"/>
      <c r="AG6" s="9"/>
      <c r="AH6" s="9"/>
      <c r="AI6" s="9"/>
      <c r="AJ6" s="9"/>
      <c r="AK6" s="10"/>
      <c r="AL6" s="10"/>
      <c r="AM6" s="10"/>
      <c r="AN6" s="10"/>
      <c r="AO6" s="10"/>
      <c r="AP6" s="10"/>
      <c r="AQ6" s="10"/>
      <c r="AR6" s="10"/>
      <c r="AS6" s="10"/>
      <c r="AT6" s="10"/>
      <c r="AU6" s="10"/>
      <c r="AV6" s="10"/>
      <c r="AW6" s="10"/>
      <c r="AX6" s="10"/>
      <c r="AY6" s="10"/>
      <c r="AZ6" s="10"/>
      <c r="BA6" s="10"/>
      <c r="BB6" s="10"/>
      <c r="BC6" s="10"/>
      <c r="BD6" s="10"/>
      <c r="BE6" s="52"/>
      <c r="BF6" s="52"/>
      <c r="BG6" s="54"/>
      <c r="BH6" s="54"/>
      <c r="BI6" s="54"/>
      <c r="BJ6" s="10"/>
      <c r="BK6" s="10"/>
      <c r="BL6" s="9"/>
      <c r="BM6" s="9"/>
      <c r="BN6" s="9"/>
      <c r="BO6" s="9"/>
      <c r="BP6" s="9"/>
      <c r="BQ6" s="9"/>
      <c r="BR6" s="9"/>
      <c r="BS6" s="9"/>
      <c r="BT6" s="9"/>
      <c r="BU6" s="9"/>
      <c r="BV6" s="10"/>
      <c r="BW6" s="10"/>
      <c r="BX6" s="10"/>
      <c r="BY6" s="10"/>
      <c r="BZ6" s="10"/>
      <c r="CA6" s="10"/>
      <c r="CB6" s="52"/>
      <c r="CC6" s="9"/>
      <c r="CD6" s="9"/>
      <c r="CE6" s="10"/>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row>
    <row r="7" spans="1:179" ht="20.100000000000001" customHeight="1" x14ac:dyDescent="0.25">
      <c r="A7" s="8"/>
      <c r="B7" s="8" t="s">
        <v>399</v>
      </c>
      <c r="C7" s="8"/>
      <c r="D7" s="8"/>
      <c r="E7" s="8"/>
      <c r="F7" s="9"/>
      <c r="G7" s="9"/>
      <c r="H7" s="9"/>
      <c r="I7" s="9"/>
      <c r="J7" s="9"/>
      <c r="K7" s="234"/>
      <c r="L7" s="234" t="str">
        <f>IFERROR(VLOOKUP([10]!family_planning[[#This Row],[Helper]],[10]datavalidation!E:G,3,FALSE),"")</f>
        <v/>
      </c>
      <c r="M7" s="10"/>
      <c r="N7" s="52" t="str">
        <f>IF(mshn_database[[#This Row],[Date of Registration '[mm/dd/yy']]]="","",TEXT(mshn_database[[#This Row],[Date of Registration '[mm/dd/yy']]],"mmmm"))</f>
        <v/>
      </c>
      <c r="O7" s="52" t="str">
        <f>IF(mshn_database[[#This Row],[Date of Registration '[mm/dd/yy']]]="","","Q"&amp;INT((MONTH(mshn_database[[#This Row],[Date of Registration '[mm/dd/yy']]])-1)/3)+1)</f>
        <v/>
      </c>
      <c r="P7" s="52" t="str">
        <f>IF(mshn_database[[#This Row],[Date of Registration '[mm/dd/yy']]]="","",TEXT(mshn_database[[#This Row],[Date of Registration '[mm/dd/yy']]],"yyyy"))</f>
        <v/>
      </c>
      <c r="Q7" s="63"/>
      <c r="R7" s="186" t="str">
        <f>IF(Q7="","",C7&amp;"-"&amp;D7&amp;"-"&amp;"BHA-MCH-"&amp;Q7)</f>
        <v/>
      </c>
      <c r="S7" s="9"/>
      <c r="T7" s="9"/>
      <c r="U7" s="235" t="str">
        <f>IF(ISBLANK(T7),"",
IF(T7&lt;5,"&lt;5 yrs",
IF(AND(T7&gt;=5,T7&lt;=14),"5 - 14 yrs",
IF(AND(T7&gt;=15,T7&lt;=18),"15 - 18 yrs",
IF(AND(T7&gt;=19,T7&lt;=49),"19 - 49 yrs",
IF(T7&gt;=50,"50 yrs +",""))))))</f>
        <v/>
      </c>
      <c r="V7" s="234" t="str">
        <f>IF(mshn_database[[#This Row],[Age_Category]]="","",VLOOKUP(mshn_database[[#This Row],[Age_Category]],[10]info!$H$2:$I$6,2,FALSE))</f>
        <v/>
      </c>
      <c r="Y7" s="9"/>
      <c r="Z7" s="9"/>
      <c r="AA7" s="10"/>
      <c r="AB7" s="10"/>
      <c r="AC7" s="53" t="str">
        <f ca="1">IF(AB7="","",IF(AND(TODAY()&gt;=AB7,BU7=""),"Need LB info","No need info yet/LB info aldy included"))</f>
        <v/>
      </c>
      <c r="AD7" s="9"/>
      <c r="AE7" s="9"/>
      <c r="AF7" s="183"/>
      <c r="AG7" s="183"/>
      <c r="AH7" s="183"/>
      <c r="AI7" s="183"/>
      <c r="AJ7" s="183"/>
      <c r="AK7" s="10"/>
      <c r="AL7" s="10"/>
      <c r="AM7" s="10"/>
      <c r="AN7" s="10"/>
      <c r="AO7" s="10"/>
      <c r="AP7" s="10"/>
      <c r="AQ7" s="10"/>
      <c r="AR7" s="10"/>
      <c r="AS7" s="10"/>
      <c r="AT7" s="10"/>
      <c r="AU7" s="10"/>
      <c r="AV7" s="10"/>
      <c r="AW7" s="10"/>
      <c r="AX7" s="10"/>
      <c r="AY7" s="10"/>
      <c r="AZ7" s="10"/>
      <c r="BA7" s="10"/>
      <c r="BB7" s="10"/>
      <c r="BC7" s="10"/>
      <c r="BD7" s="10"/>
      <c r="BE7" s="235">
        <f>COUNT(AK7:BD7)</f>
        <v>0</v>
      </c>
      <c r="BF7" s="235" t="str">
        <f>IF((OR(AND(COUNT(AK7:AO7)&gt;=1,COUNT(AP7:AT7)&gt;=1),AND(COUNT(AK7:AO7)&gt;=1,COUNT(AU7:AY7)&gt;=1),AND(COUNT(AK7:AO7)&gt;=1,COUNT(AZ7:BD7)&gt;=1),AND(COUNT(AP7:AT7)&gt;=1,COUNT(AU7:AY7)&gt;=1),AND(COUNT(AP7:AT7)&gt;=1,COUNT(AZ7:BD7)&gt;=1),AND(COUNT(AU7:AY7)&gt;=1,COUNT(AZ7:BD7)&gt;=1))), "Yes", "No")</f>
        <v>No</v>
      </c>
      <c r="BG7" s="236"/>
      <c r="BH7" s="236"/>
      <c r="BI7" s="236"/>
      <c r="BJ7" s="184"/>
      <c r="BK7" s="10"/>
      <c r="BL7" s="9"/>
      <c r="BM7" s="9"/>
      <c r="BN7" s="9"/>
      <c r="BO7" s="9"/>
      <c r="BP7" s="9"/>
      <c r="BQ7" s="9"/>
      <c r="BR7" s="9"/>
      <c r="BS7" s="9"/>
      <c r="BT7" s="9"/>
      <c r="BU7" s="9"/>
      <c r="BV7" s="10"/>
      <c r="BW7" s="10"/>
      <c r="BX7" s="10"/>
      <c r="BY7" s="10"/>
      <c r="BZ7" s="10"/>
      <c r="CA7" s="10"/>
      <c r="CB7" s="235" t="str">
        <f>IF(AND(BV7="",BW7="",BX7="",BY7="",BZ7="",CA7=""),"",COUNT(BV7:CA7))</f>
        <v/>
      </c>
      <c r="CC7" s="9"/>
      <c r="CD7" s="9" t="s">
        <v>654</v>
      </c>
      <c r="CE7" s="10"/>
      <c r="CF7" s="9"/>
      <c r="CG7" s="9"/>
      <c r="CH7" s="9"/>
      <c r="CI7" s="9"/>
      <c r="CJ7" s="234" t="str">
        <f t="shared" ref="CJ7:DC7" si="11">IF(AK7="","","Q"&amp;INT((MONTH(AK7)-1)/3)+1&amp;YEAR(AK7)&amp;$V7)</f>
        <v/>
      </c>
      <c r="CK7" s="9" t="str">
        <f t="shared" si="11"/>
        <v/>
      </c>
      <c r="CL7" s="9" t="str">
        <f t="shared" si="11"/>
        <v/>
      </c>
      <c r="CM7" s="9" t="str">
        <f t="shared" si="11"/>
        <v/>
      </c>
      <c r="CN7" s="9" t="str">
        <f t="shared" si="11"/>
        <v/>
      </c>
      <c r="CO7" s="9" t="str">
        <f t="shared" si="11"/>
        <v/>
      </c>
      <c r="CP7" s="9" t="str">
        <f t="shared" si="11"/>
        <v/>
      </c>
      <c r="CQ7" s="9" t="str">
        <f t="shared" si="11"/>
        <v/>
      </c>
      <c r="CR7" s="9" t="str">
        <f t="shared" si="11"/>
        <v/>
      </c>
      <c r="CS7" s="9" t="str">
        <f t="shared" si="11"/>
        <v/>
      </c>
      <c r="CT7" s="9" t="str">
        <f t="shared" si="11"/>
        <v/>
      </c>
      <c r="CU7" s="9" t="str">
        <f t="shared" si="11"/>
        <v/>
      </c>
      <c r="CV7" s="9" t="str">
        <f t="shared" si="11"/>
        <v/>
      </c>
      <c r="CW7" s="9" t="str">
        <f t="shared" si="11"/>
        <v/>
      </c>
      <c r="CX7" s="9" t="str">
        <f t="shared" si="11"/>
        <v/>
      </c>
      <c r="CY7" s="9" t="str">
        <f t="shared" si="11"/>
        <v/>
      </c>
      <c r="CZ7" s="9" t="str">
        <f t="shared" si="11"/>
        <v/>
      </c>
      <c r="DA7" s="9" t="str">
        <f t="shared" si="11"/>
        <v/>
      </c>
      <c r="DB7" s="9" t="str">
        <f t="shared" si="11"/>
        <v/>
      </c>
      <c r="DC7" s="9" t="str">
        <f t="shared" si="11"/>
        <v/>
      </c>
      <c r="DD7" s="234" t="str">
        <f t="shared" ref="DD7:DI7" si="12">IF(BV7="","","Q"&amp;INT((MONTH(BV7)-1)/3)+1&amp;YEAR(BV7)&amp;$V7)</f>
        <v/>
      </c>
      <c r="DE7" s="9" t="str">
        <f t="shared" si="12"/>
        <v/>
      </c>
      <c r="DF7" s="9" t="str">
        <f t="shared" si="12"/>
        <v/>
      </c>
      <c r="DG7" s="9" t="str">
        <f t="shared" si="12"/>
        <v/>
      </c>
      <c r="DH7" s="9" t="str">
        <f t="shared" si="12"/>
        <v/>
      </c>
      <c r="DI7" s="9" t="str">
        <f t="shared" si="12"/>
        <v/>
      </c>
      <c r="DJ7" s="234" t="str">
        <f>IF(BR7="","",IF(BR7="Yes","Q"&amp;INT((MONTH(BK7)-1)/3)+1&amp;YEAR(BK7)&amp;$V7,"na"))</f>
        <v/>
      </c>
      <c r="DK7" s="237" t="str">
        <f>IF(BU7="","",IF(BU7="Alive","Q"&amp;INT((MONTH(BK7)-1)/3)+1&amp;YEAR(BK7)&amp;$V7,"na"))</f>
        <v/>
      </c>
      <c r="DL7" s="234" t="str">
        <f>IF(BJ7="","","Q"&amp;INT((MONTH(BJ7)-1)/3)+1&amp;YEAR(BJ7)&amp;$V7)</f>
        <v/>
      </c>
      <c r="DM7" s="9" t="str">
        <f>IF(M7="","",TEXT(M7,"mmmm")&amp;YEAR(M7))</f>
        <v/>
      </c>
      <c r="DN7" s="9" t="str">
        <f>IF(BE7&gt;=4,N7&amp;P7,"")</f>
        <v/>
      </c>
      <c r="DO7" s="9" t="str">
        <f>IF(BK7="","",TEXT(BK7,"mmmm")&amp;YEAR(BK7))</f>
        <v/>
      </c>
      <c r="DP7" s="234" t="str">
        <f>IF(AK7="","",1)</f>
        <v/>
      </c>
      <c r="DQ7" s="9"/>
      <c r="DR7" s="9"/>
      <c r="DS7" s="9"/>
      <c r="DT7" s="9"/>
      <c r="DU7" s="9"/>
      <c r="DV7" s="9"/>
      <c r="DW7" s="9"/>
      <c r="DX7" s="9"/>
      <c r="DY7" s="9"/>
      <c r="DZ7" s="9"/>
      <c r="EA7" s="9"/>
      <c r="EB7" s="9"/>
      <c r="EC7" s="9"/>
      <c r="ED7" s="9"/>
      <c r="EE7" s="9"/>
      <c r="EF7" s="9"/>
      <c r="EG7" s="9"/>
      <c r="EH7" s="9"/>
      <c r="EI7" s="9"/>
      <c r="EJ7" s="234">
        <f>SUM($DP$3:DP27)</f>
        <v>0</v>
      </c>
      <c r="EK7" s="9">
        <f>SUM($DP$3:DQ27)</f>
        <v>0</v>
      </c>
      <c r="EL7" s="9">
        <f>SUM($DP$3:DR27)</f>
        <v>0</v>
      </c>
      <c r="EM7" s="9">
        <f>SUM($DP$3:DS27)</f>
        <v>0</v>
      </c>
      <c r="EN7" s="9">
        <f>SUM($DP$3:DT27)</f>
        <v>0</v>
      </c>
      <c r="EO7" s="9">
        <f>SUM($DP$3:DU27)</f>
        <v>0</v>
      </c>
      <c r="EP7" s="9">
        <f>SUM($DP$3:DV27)</f>
        <v>0</v>
      </c>
      <c r="EQ7" s="9">
        <f>SUM($DP$3:DW27)</f>
        <v>0</v>
      </c>
      <c r="ER7" s="9">
        <f>SUM($DP$3:DX27)</f>
        <v>0</v>
      </c>
      <c r="ES7" s="9">
        <f>SUM($DP$3:DY27)</f>
        <v>0</v>
      </c>
      <c r="ET7" s="9">
        <f>SUM($DP$3:DZ27)</f>
        <v>0</v>
      </c>
      <c r="EU7" s="9">
        <f>SUM($DP$3:EA27)</f>
        <v>0</v>
      </c>
      <c r="EV7" s="9">
        <f>SUM($DP$3:EB27)</f>
        <v>0</v>
      </c>
      <c r="EW7" s="9">
        <f>SUM($DP$3:EC27)</f>
        <v>0</v>
      </c>
      <c r="EX7" s="9">
        <f>SUM($DP$3:ED27)</f>
        <v>0</v>
      </c>
      <c r="EY7" s="9">
        <f>SUM($DP$3:EE27)</f>
        <v>0</v>
      </c>
      <c r="EZ7" s="9">
        <f>SUM($DP$3:EF27)</f>
        <v>0</v>
      </c>
      <c r="FA7" s="9">
        <f>SUM($DP$3:EG27)</f>
        <v>0</v>
      </c>
      <c r="FB7" s="9">
        <f>SUM($DP$3:EH27)</f>
        <v>0</v>
      </c>
      <c r="FC7" s="9">
        <f>SUM($DP$3:EI27)</f>
        <v>0</v>
      </c>
      <c r="FD7" s="9"/>
      <c r="FE7" s="9"/>
      <c r="FF7" s="9"/>
      <c r="FG7" s="9"/>
      <c r="FH7" s="9"/>
      <c r="FI7" s="9"/>
      <c r="FJ7" s="9"/>
      <c r="FK7" s="9"/>
      <c r="FL7" s="9"/>
      <c r="FM7" s="9"/>
      <c r="FN7" s="9"/>
      <c r="FO7" s="9"/>
      <c r="FP7" s="9"/>
      <c r="FQ7" s="9"/>
      <c r="FR7" s="9"/>
      <c r="FS7" s="9"/>
      <c r="FT7" s="9"/>
      <c r="FU7" s="9"/>
      <c r="FV7" s="9"/>
      <c r="FW7" s="9"/>
    </row>
    <row r="8" spans="1:179" ht="20.100000000000001" customHeight="1" x14ac:dyDescent="0.25">
      <c r="A8" s="8"/>
      <c r="B8" s="8" t="s">
        <v>399</v>
      </c>
      <c r="C8" s="8"/>
      <c r="D8" s="8"/>
      <c r="E8" s="8"/>
      <c r="F8" s="9"/>
      <c r="G8" s="9"/>
      <c r="H8" s="9"/>
      <c r="I8" s="9"/>
      <c r="J8" s="9"/>
      <c r="K8" s="234"/>
      <c r="L8" s="234" t="str">
        <f>IFERROR(VLOOKUP([10]!family_planning[[#This Row],[Helper]],[10]datavalidation!E:G,3,FALSE),"")</f>
        <v/>
      </c>
      <c r="M8" s="10"/>
      <c r="N8" s="52" t="str">
        <f>IF(mshn_database[[#This Row],[Date of Registration '[mm/dd/yy']]]="","",TEXT(mshn_database[[#This Row],[Date of Registration '[mm/dd/yy']]],"mmmm"))</f>
        <v/>
      </c>
      <c r="O8" s="52" t="str">
        <f>IF(mshn_database[[#This Row],[Date of Registration '[mm/dd/yy']]]="","","Q"&amp;INT((MONTH(mshn_database[[#This Row],[Date of Registration '[mm/dd/yy']]])-1)/3)+1)</f>
        <v/>
      </c>
      <c r="P8" s="52" t="str">
        <f>IF(mshn_database[[#This Row],[Date of Registration '[mm/dd/yy']]]="","",TEXT(mshn_database[[#This Row],[Date of Registration '[mm/dd/yy']]],"yyyy"))</f>
        <v/>
      </c>
      <c r="Q8" s="63"/>
      <c r="R8" s="186" t="str">
        <f t="shared" ref="R8:R27" si="13">IF(Q8="","",C8&amp;"-"&amp;D8&amp;"-"&amp;"BHA-MCH-"&amp;Q8)</f>
        <v/>
      </c>
      <c r="S8" s="9"/>
      <c r="T8" s="9"/>
      <c r="U8" s="235" t="str">
        <f t="shared" ref="U8:U27" si="14">IF(ISBLANK(T8),"",
IF(T8&lt;5,"&lt;5 yrs",
IF(AND(T8&gt;=5,T8&lt;=14),"5 - 14 yrs",
IF(AND(T8&gt;=15,T8&lt;=18),"15 - 18 yrs",
IF(AND(T8&gt;=19,T8&lt;=49),"19 - 49 yrs",
IF(T8&gt;=50,"50 yrs +",""))))))</f>
        <v/>
      </c>
      <c r="V8" s="234" t="str">
        <f>IF(mshn_database[[#This Row],[Age_Category]]="","",VLOOKUP(mshn_database[[#This Row],[Age_Category]],[10]info!$H$2:$I$6,2,FALSE))</f>
        <v/>
      </c>
      <c r="Y8" s="9"/>
      <c r="Z8" s="9"/>
      <c r="AA8" s="10"/>
      <c r="AB8" s="10"/>
      <c r="AC8" s="53" t="str">
        <f t="shared" ref="AC8:AC27" ca="1" si="15">IF(AB8="","",IF(AND(TODAY()&gt;=AB8,BU8=""),"Need LB info","No need info yet/LB info aldy included"))</f>
        <v/>
      </c>
      <c r="AD8" s="9"/>
      <c r="AE8" s="9"/>
      <c r="AF8" s="183"/>
      <c r="AG8" s="183"/>
      <c r="AH8" s="183"/>
      <c r="AI8" s="183"/>
      <c r="AJ8" s="183"/>
      <c r="AK8" s="10"/>
      <c r="AL8" s="10"/>
      <c r="AM8" s="10"/>
      <c r="AN8" s="10"/>
      <c r="AO8" s="10"/>
      <c r="AP8" s="10"/>
      <c r="AQ8" s="10"/>
      <c r="AR8" s="10"/>
      <c r="AS8" s="10"/>
      <c r="AT8" s="10"/>
      <c r="AU8" s="10"/>
      <c r="AV8" s="10"/>
      <c r="AW8" s="10"/>
      <c r="AX8" s="10"/>
      <c r="AY8" s="10"/>
      <c r="AZ8" s="10"/>
      <c r="BA8" s="10"/>
      <c r="BB8" s="10"/>
      <c r="BC8" s="10"/>
      <c r="BD8" s="10"/>
      <c r="BE8" s="235">
        <f t="shared" ref="BE8:BE27" si="16">COUNT(AK8:BD8)</f>
        <v>0</v>
      </c>
      <c r="BF8" s="235" t="str">
        <f t="shared" ref="BF8:BF27" si="17">IF((OR(AND(COUNT(AK8:AO8)&gt;=1,COUNT(AP8:AT8)&gt;=1),AND(COUNT(AK8:AO8)&gt;=1,COUNT(AU8:AY8)&gt;=1),AND(COUNT(AK8:AO8)&gt;=1,COUNT(AZ8:BD8)&gt;=1),AND(COUNT(AP8:AT8)&gt;=1,COUNT(AU8:AY8)&gt;=1),AND(COUNT(AP8:AT8)&gt;=1,COUNT(AZ8:BD8)&gt;=1),AND(COUNT(AU8:AY8)&gt;=1,COUNT(AZ8:BD8)&gt;=1))), "Yes", "No")</f>
        <v>No</v>
      </c>
      <c r="BG8" s="236"/>
      <c r="BH8" s="236"/>
      <c r="BI8" s="236"/>
      <c r="BJ8" s="184"/>
      <c r="BK8" s="10"/>
      <c r="BL8" s="9"/>
      <c r="BM8" s="9"/>
      <c r="BN8" s="9"/>
      <c r="BO8" s="9"/>
      <c r="BP8" s="9"/>
      <c r="BQ8" s="9"/>
      <c r="BR8" s="9"/>
      <c r="BS8" s="9"/>
      <c r="BT8" s="9"/>
      <c r="BU8" s="9"/>
      <c r="BV8" s="10"/>
      <c r="BW8" s="10"/>
      <c r="BX8" s="10"/>
      <c r="BY8" s="10"/>
      <c r="BZ8" s="10"/>
      <c r="CA8" s="10"/>
      <c r="CB8" s="235" t="str">
        <f t="shared" ref="CB8:CB27" si="18">IF(AND(BV8="",BW8="",BX8="",BY8="",BZ8="",CA8=""),"",COUNT(BV8:CA8))</f>
        <v/>
      </c>
      <c r="CC8" s="9"/>
      <c r="CD8" s="9"/>
      <c r="CE8" s="10"/>
      <c r="CF8" s="9"/>
      <c r="CG8" s="9"/>
      <c r="CH8" s="9"/>
      <c r="CI8" s="9"/>
      <c r="CJ8" s="234" t="str">
        <f t="shared" ref="CJ8:CJ27" si="19">IF(AK8="","","Q"&amp;INT((MONTH(AK8)-1)/3)+1&amp;YEAR(AK8)&amp;$V8)</f>
        <v/>
      </c>
      <c r="CK8" s="9" t="str">
        <f t="shared" ref="CK8:CK27" si="20">IF(AL8="","","Q"&amp;INT((MONTH(AL8)-1)/3)+1&amp;YEAR(AL8)&amp;$V8)</f>
        <v/>
      </c>
      <c r="CL8" s="9" t="str">
        <f t="shared" ref="CL8:CL27" si="21">IF(AM8="","","Q"&amp;INT((MONTH(AM8)-1)/3)+1&amp;YEAR(AM8)&amp;$V8)</f>
        <v/>
      </c>
      <c r="CM8" s="9" t="str">
        <f t="shared" ref="CM8:CM27" si="22">IF(AN8="","","Q"&amp;INT((MONTH(AN8)-1)/3)+1&amp;YEAR(AN8)&amp;$V8)</f>
        <v/>
      </c>
      <c r="CN8" s="9" t="str">
        <f t="shared" ref="CN8:CN27" si="23">IF(AO8="","","Q"&amp;INT((MONTH(AO8)-1)/3)+1&amp;YEAR(AO8)&amp;$V8)</f>
        <v/>
      </c>
      <c r="CO8" s="9" t="str">
        <f t="shared" ref="CO8:CO27" si="24">IF(AP8="","","Q"&amp;INT((MONTH(AP8)-1)/3)+1&amp;YEAR(AP8)&amp;$V8)</f>
        <v/>
      </c>
      <c r="CP8" s="9" t="str">
        <f t="shared" ref="CP8:CP27" si="25">IF(AQ8="","","Q"&amp;INT((MONTH(AQ8)-1)/3)+1&amp;YEAR(AQ8)&amp;$V8)</f>
        <v/>
      </c>
      <c r="CQ8" s="9" t="str">
        <f t="shared" ref="CQ8:CQ27" si="26">IF(AR8="","","Q"&amp;INT((MONTH(AR8)-1)/3)+1&amp;YEAR(AR8)&amp;$V8)</f>
        <v/>
      </c>
      <c r="CR8" s="9" t="str">
        <f t="shared" ref="CR8:CR27" si="27">IF(AS8="","","Q"&amp;INT((MONTH(AS8)-1)/3)+1&amp;YEAR(AS8)&amp;$V8)</f>
        <v/>
      </c>
      <c r="CS8" s="9" t="str">
        <f t="shared" ref="CS8:CS27" si="28">IF(AT8="","","Q"&amp;INT((MONTH(AT8)-1)/3)+1&amp;YEAR(AT8)&amp;$V8)</f>
        <v/>
      </c>
      <c r="CT8" s="9" t="str">
        <f t="shared" ref="CT8:CT27" si="29">IF(AU8="","","Q"&amp;INT((MONTH(AU8)-1)/3)+1&amp;YEAR(AU8)&amp;$V8)</f>
        <v/>
      </c>
      <c r="CU8" s="9" t="str">
        <f t="shared" ref="CU8:CU27" si="30">IF(AV8="","","Q"&amp;INT((MONTH(AV8)-1)/3)+1&amp;YEAR(AV8)&amp;$V8)</f>
        <v/>
      </c>
      <c r="CV8" s="9" t="str">
        <f t="shared" ref="CV8:CV27" si="31">IF(AW8="","","Q"&amp;INT((MONTH(AW8)-1)/3)+1&amp;YEAR(AW8)&amp;$V8)</f>
        <v/>
      </c>
      <c r="CW8" s="9" t="str">
        <f t="shared" ref="CW8:CW27" si="32">IF(AX8="","","Q"&amp;INT((MONTH(AX8)-1)/3)+1&amp;YEAR(AX8)&amp;$V8)</f>
        <v/>
      </c>
      <c r="CX8" s="9" t="str">
        <f t="shared" ref="CX8:CX27" si="33">IF(AY8="","","Q"&amp;INT((MONTH(AY8)-1)/3)+1&amp;YEAR(AY8)&amp;$V8)</f>
        <v/>
      </c>
      <c r="CY8" s="9" t="str">
        <f t="shared" ref="CY8:CY27" si="34">IF(AZ8="","","Q"&amp;INT((MONTH(AZ8)-1)/3)+1&amp;YEAR(AZ8)&amp;$V8)</f>
        <v/>
      </c>
      <c r="CZ8" s="9" t="str">
        <f t="shared" ref="CZ8:CZ27" si="35">IF(BA8="","","Q"&amp;INT((MONTH(BA8)-1)/3)+1&amp;YEAR(BA8)&amp;$V8)</f>
        <v/>
      </c>
      <c r="DA8" s="9" t="str">
        <f t="shared" ref="DA8:DA27" si="36">IF(BB8="","","Q"&amp;INT((MONTH(BB8)-1)/3)+1&amp;YEAR(BB8)&amp;$V8)</f>
        <v/>
      </c>
      <c r="DB8" s="9" t="str">
        <f t="shared" ref="DB8:DB27" si="37">IF(BC8="","","Q"&amp;INT((MONTH(BC8)-1)/3)+1&amp;YEAR(BC8)&amp;$V8)</f>
        <v/>
      </c>
      <c r="DC8" s="9" t="str">
        <f t="shared" ref="DC8:DC27" si="38">IF(BD8="","","Q"&amp;INT((MONTH(BD8)-1)/3)+1&amp;YEAR(BD8)&amp;$V8)</f>
        <v/>
      </c>
      <c r="DD8" s="234" t="str">
        <f t="shared" ref="DD8:DD27" si="39">IF(BV8="","","Q"&amp;INT((MONTH(BV8)-1)/3)+1&amp;YEAR(BV8)&amp;$V8)</f>
        <v/>
      </c>
      <c r="DE8" s="9" t="str">
        <f t="shared" ref="DE8:DE27" si="40">IF(BW8="","","Q"&amp;INT((MONTH(BW8)-1)/3)+1&amp;YEAR(BW8)&amp;$V8)</f>
        <v/>
      </c>
      <c r="DF8" s="9" t="str">
        <f t="shared" ref="DF8:DF27" si="41">IF(BX8="","","Q"&amp;INT((MONTH(BX8)-1)/3)+1&amp;YEAR(BX8)&amp;$V8)</f>
        <v/>
      </c>
      <c r="DG8" s="9" t="str">
        <f t="shared" ref="DG8:DG27" si="42">IF(BY8="","","Q"&amp;INT((MONTH(BY8)-1)/3)+1&amp;YEAR(BY8)&amp;$V8)</f>
        <v/>
      </c>
      <c r="DH8" s="9" t="str">
        <f t="shared" ref="DH8:DH27" si="43">IF(BZ8="","","Q"&amp;INT((MONTH(BZ8)-1)/3)+1&amp;YEAR(BZ8)&amp;$V8)</f>
        <v/>
      </c>
      <c r="DI8" s="9" t="str">
        <f t="shared" ref="DI8:DI27" si="44">IF(CA8="","","Q"&amp;INT((MONTH(CA8)-1)/3)+1&amp;YEAR(CA8)&amp;$V8)</f>
        <v/>
      </c>
      <c r="DJ8" s="234" t="str">
        <f t="shared" ref="DJ8:DJ27" si="45">IF(BR8="","",IF(BR8="Yes","Q"&amp;INT((MONTH(BK8)-1)/3)+1&amp;YEAR(BK8)&amp;$V8,"na"))</f>
        <v/>
      </c>
      <c r="DK8" s="237" t="str">
        <f t="shared" ref="DK8:DK27" si="46">IF(BU8="","",IF(BU8="Alive","Q"&amp;INT((MONTH(BK8)-1)/3)+1&amp;YEAR(BK8)&amp;$V8,"na"))</f>
        <v/>
      </c>
      <c r="DL8" s="234" t="str">
        <f t="shared" ref="DL8:DL27" si="47">IF(BJ8="","","Q"&amp;INT((MONTH(BJ8)-1)/3)+1&amp;YEAR(BJ8)&amp;$V8)</f>
        <v/>
      </c>
      <c r="DM8" s="9" t="str">
        <f t="shared" ref="DM8:DM27" si="48">IF(M8="","",TEXT(M8,"mmmm")&amp;YEAR(M8))</f>
        <v/>
      </c>
      <c r="DN8" s="9" t="str">
        <f t="shared" ref="DN8:DN27" si="49">IF(BE8&gt;=4,N8&amp;P8,"")</f>
        <v/>
      </c>
      <c r="DO8" s="9" t="str">
        <f t="shared" ref="DO8:DO27" si="50">IF(BK8="","",TEXT(BK8,"mmmm")&amp;YEAR(BK8))</f>
        <v/>
      </c>
      <c r="DP8" s="234" t="str">
        <f t="shared" ref="DP8:DP27" si="51">IF(AK8="","",1)</f>
        <v/>
      </c>
      <c r="DQ8" s="9"/>
      <c r="DR8" s="9"/>
      <c r="DS8" s="9"/>
      <c r="DT8" s="9"/>
      <c r="DU8" s="9"/>
      <c r="DV8" s="9"/>
      <c r="DW8" s="9"/>
      <c r="DX8" s="9"/>
      <c r="DY8" s="9"/>
      <c r="DZ8" s="9"/>
      <c r="EA8" s="9"/>
      <c r="EB8" s="9"/>
      <c r="EC8" s="9"/>
      <c r="ED8" s="9"/>
      <c r="EE8" s="9"/>
      <c r="EF8" s="9"/>
      <c r="EG8" s="9"/>
      <c r="EH8" s="9"/>
      <c r="EI8" s="9"/>
      <c r="EJ8" s="234">
        <f>SUM($DP$3:DP8)</f>
        <v>0</v>
      </c>
      <c r="EK8" s="9">
        <f>SUM($DP$3:DQ8)</f>
        <v>0</v>
      </c>
      <c r="EL8" s="9">
        <f>SUM($DP$3:DR8)</f>
        <v>0</v>
      </c>
      <c r="EM8" s="9">
        <f>SUM($DP$3:DS8)</f>
        <v>0</v>
      </c>
      <c r="EN8" s="9">
        <f>SUM($DP$3:DT8)</f>
        <v>0</v>
      </c>
      <c r="EO8" s="9">
        <f>SUM($DP$3:DU8)</f>
        <v>0</v>
      </c>
      <c r="EP8" s="9">
        <f>SUM($DP$3:DV8)</f>
        <v>0</v>
      </c>
      <c r="EQ8" s="9">
        <f>SUM($DP$3:DW8)</f>
        <v>0</v>
      </c>
      <c r="ER8" s="9">
        <f>SUM($DP$3:DX8)</f>
        <v>0</v>
      </c>
      <c r="ES8" s="9">
        <f>SUM($DP$3:DY8)</f>
        <v>0</v>
      </c>
      <c r="ET8" s="9">
        <f>SUM($DP$3:DZ8)</f>
        <v>0</v>
      </c>
      <c r="EU8" s="9">
        <f>SUM($DP$3:EA8)</f>
        <v>0</v>
      </c>
      <c r="EV8" s="9">
        <f>SUM($DP$3:EB8)</f>
        <v>0</v>
      </c>
      <c r="EW8" s="9">
        <f>SUM($DP$3:EC8)</f>
        <v>0</v>
      </c>
      <c r="EX8" s="9">
        <f>SUM($DP$3:ED8)</f>
        <v>0</v>
      </c>
      <c r="EY8" s="9">
        <f>SUM($DP$3:EE8)</f>
        <v>0</v>
      </c>
      <c r="EZ8" s="9">
        <f>SUM($DP$3:EF8)</f>
        <v>0</v>
      </c>
      <c r="FA8" s="9">
        <f>SUM($DP$3:EG8)</f>
        <v>0</v>
      </c>
      <c r="FB8" s="9">
        <f>SUM($DP$3:EH8)</f>
        <v>0</v>
      </c>
      <c r="FC8" s="9">
        <f>SUM($DP$3:EI8)</f>
        <v>0</v>
      </c>
      <c r="FD8" s="9"/>
      <c r="FE8" s="9"/>
      <c r="FF8" s="9"/>
      <c r="FG8" s="9"/>
      <c r="FH8" s="9"/>
      <c r="FI8" s="9"/>
      <c r="FJ8" s="9"/>
      <c r="FK8" s="9"/>
      <c r="FL8" s="9"/>
      <c r="FM8" s="9"/>
      <c r="FN8" s="9"/>
      <c r="FO8" s="9"/>
      <c r="FP8" s="9"/>
      <c r="FQ8" s="9"/>
      <c r="FR8" s="9"/>
      <c r="FS8" s="9"/>
      <c r="FT8" s="9"/>
      <c r="FU8" s="9"/>
      <c r="FV8" s="9"/>
      <c r="FW8" s="9"/>
    </row>
    <row r="9" spans="1:179" ht="20.100000000000001" customHeight="1" x14ac:dyDescent="0.25">
      <c r="A9" s="8"/>
      <c r="B9" s="8" t="s">
        <v>399</v>
      </c>
      <c r="C9" s="8"/>
      <c r="D9" s="8"/>
      <c r="E9" s="8"/>
      <c r="F9" s="9"/>
      <c r="G9" s="9"/>
      <c r="H9" s="9"/>
      <c r="I9" s="9"/>
      <c r="J9" s="9"/>
      <c r="K9" s="234"/>
      <c r="L9" s="234" t="str">
        <f>IFERROR(VLOOKUP([10]!family_planning[[#This Row],[Helper]],[10]datavalidation!E:G,3,FALSE),"")</f>
        <v/>
      </c>
      <c r="M9" s="10"/>
      <c r="N9" s="52" t="str">
        <f>IF(mshn_database[[#This Row],[Date of Registration '[mm/dd/yy']]]="","",TEXT(mshn_database[[#This Row],[Date of Registration '[mm/dd/yy']]],"mmmm"))</f>
        <v/>
      </c>
      <c r="O9" s="52" t="str">
        <f>IF(mshn_database[[#This Row],[Date of Registration '[mm/dd/yy']]]="","","Q"&amp;INT((MONTH(mshn_database[[#This Row],[Date of Registration '[mm/dd/yy']]])-1)/3)+1)</f>
        <v/>
      </c>
      <c r="P9" s="52" t="str">
        <f>IF(mshn_database[[#This Row],[Date of Registration '[mm/dd/yy']]]="","",TEXT(mshn_database[[#This Row],[Date of Registration '[mm/dd/yy']]],"yyyy"))</f>
        <v/>
      </c>
      <c r="Q9" s="63"/>
      <c r="R9" s="186" t="str">
        <f t="shared" si="13"/>
        <v/>
      </c>
      <c r="S9" s="9"/>
      <c r="T9" s="9"/>
      <c r="U9" s="235" t="str">
        <f t="shared" si="14"/>
        <v/>
      </c>
      <c r="V9" s="234" t="str">
        <f>IF(mshn_database[[#This Row],[Age_Category]]="","",VLOOKUP(mshn_database[[#This Row],[Age_Category]],[10]info!$H$2:$I$6,2,FALSE))</f>
        <v/>
      </c>
      <c r="Y9" s="9"/>
      <c r="Z9" s="9"/>
      <c r="AA9" s="10"/>
      <c r="AB9" s="10"/>
      <c r="AC9" s="53" t="str">
        <f t="shared" ca="1" si="15"/>
        <v/>
      </c>
      <c r="AD9" s="9"/>
      <c r="AE9" s="9"/>
      <c r="AF9" s="183"/>
      <c r="AG9" s="183"/>
      <c r="AH9" s="183"/>
      <c r="AI9" s="183"/>
      <c r="AJ9" s="183"/>
      <c r="AK9" s="10"/>
      <c r="AL9" s="10"/>
      <c r="AM9" s="10"/>
      <c r="AN9" s="10"/>
      <c r="AO9" s="10"/>
      <c r="AP9" s="10"/>
      <c r="AQ9" s="10"/>
      <c r="AR9" s="10"/>
      <c r="AS9" s="10"/>
      <c r="AT9" s="10"/>
      <c r="AU9" s="10"/>
      <c r="AV9" s="10"/>
      <c r="AW9" s="10"/>
      <c r="AX9" s="10"/>
      <c r="AY9" s="10"/>
      <c r="AZ9" s="10"/>
      <c r="BA9" s="10"/>
      <c r="BB9" s="10"/>
      <c r="BC9" s="10"/>
      <c r="BD9" s="10"/>
      <c r="BE9" s="235">
        <f t="shared" si="16"/>
        <v>0</v>
      </c>
      <c r="BF9" s="235" t="str">
        <f t="shared" si="17"/>
        <v>No</v>
      </c>
      <c r="BG9" s="236"/>
      <c r="BH9" s="236"/>
      <c r="BI9" s="236"/>
      <c r="BJ9" s="184"/>
      <c r="BK9" s="10"/>
      <c r="BL9" s="9"/>
      <c r="BM9" s="9"/>
      <c r="BN9" s="9"/>
      <c r="BO9" s="9"/>
      <c r="BP9" s="9"/>
      <c r="BQ9" s="9"/>
      <c r="BR9" s="9"/>
      <c r="BS9" s="9"/>
      <c r="BT9" s="9"/>
      <c r="BU9" s="9"/>
      <c r="BV9" s="10"/>
      <c r="BW9" s="10"/>
      <c r="BX9" s="10"/>
      <c r="BY9" s="10"/>
      <c r="BZ9" s="10"/>
      <c r="CA9" s="10"/>
      <c r="CB9" s="235" t="str">
        <f t="shared" si="18"/>
        <v/>
      </c>
      <c r="CC9" s="9"/>
      <c r="CD9" s="9"/>
      <c r="CE9" s="10"/>
      <c r="CF9" s="9"/>
      <c r="CG9" s="9"/>
      <c r="CH9" s="9"/>
      <c r="CI9" s="9"/>
      <c r="CJ9" s="234" t="str">
        <f t="shared" si="19"/>
        <v/>
      </c>
      <c r="CK9" s="9" t="str">
        <f t="shared" si="20"/>
        <v/>
      </c>
      <c r="CL9" s="9" t="str">
        <f t="shared" si="21"/>
        <v/>
      </c>
      <c r="CM9" s="9" t="str">
        <f t="shared" si="22"/>
        <v/>
      </c>
      <c r="CN9" s="9" t="str">
        <f t="shared" si="23"/>
        <v/>
      </c>
      <c r="CO9" s="9" t="str">
        <f t="shared" si="24"/>
        <v/>
      </c>
      <c r="CP9" s="9" t="str">
        <f t="shared" si="25"/>
        <v/>
      </c>
      <c r="CQ9" s="9" t="str">
        <f t="shared" si="26"/>
        <v/>
      </c>
      <c r="CR9" s="9" t="str">
        <f t="shared" si="27"/>
        <v/>
      </c>
      <c r="CS9" s="9" t="str">
        <f t="shared" si="28"/>
        <v/>
      </c>
      <c r="CT9" s="9" t="str">
        <f t="shared" si="29"/>
        <v/>
      </c>
      <c r="CU9" s="9" t="str">
        <f t="shared" si="30"/>
        <v/>
      </c>
      <c r="CV9" s="9" t="str">
        <f t="shared" si="31"/>
        <v/>
      </c>
      <c r="CW9" s="9" t="str">
        <f t="shared" si="32"/>
        <v/>
      </c>
      <c r="CX9" s="9" t="str">
        <f t="shared" si="33"/>
        <v/>
      </c>
      <c r="CY9" s="9" t="str">
        <f t="shared" si="34"/>
        <v/>
      </c>
      <c r="CZ9" s="9" t="str">
        <f t="shared" si="35"/>
        <v/>
      </c>
      <c r="DA9" s="9" t="str">
        <f t="shared" si="36"/>
        <v/>
      </c>
      <c r="DB9" s="9" t="str">
        <f t="shared" si="37"/>
        <v/>
      </c>
      <c r="DC9" s="9" t="str">
        <f t="shared" si="38"/>
        <v/>
      </c>
      <c r="DD9" s="234" t="str">
        <f t="shared" si="39"/>
        <v/>
      </c>
      <c r="DE9" s="9" t="str">
        <f t="shared" si="40"/>
        <v/>
      </c>
      <c r="DF9" s="9" t="str">
        <f t="shared" si="41"/>
        <v/>
      </c>
      <c r="DG9" s="9" t="str">
        <f t="shared" si="42"/>
        <v/>
      </c>
      <c r="DH9" s="9" t="str">
        <f t="shared" si="43"/>
        <v/>
      </c>
      <c r="DI9" s="9" t="str">
        <f t="shared" si="44"/>
        <v/>
      </c>
      <c r="DJ9" s="234" t="str">
        <f t="shared" si="45"/>
        <v/>
      </c>
      <c r="DK9" s="237" t="str">
        <f t="shared" si="46"/>
        <v/>
      </c>
      <c r="DL9" s="234" t="str">
        <f t="shared" si="47"/>
        <v/>
      </c>
      <c r="DM9" s="9" t="str">
        <f t="shared" si="48"/>
        <v/>
      </c>
      <c r="DN9" s="9" t="str">
        <f t="shared" si="49"/>
        <v/>
      </c>
      <c r="DO9" s="9" t="str">
        <f t="shared" si="50"/>
        <v/>
      </c>
      <c r="DP9" s="234" t="str">
        <f t="shared" si="51"/>
        <v/>
      </c>
      <c r="DQ9" s="9"/>
      <c r="DR9" s="9"/>
      <c r="DS9" s="9"/>
      <c r="DT9" s="9"/>
      <c r="DU9" s="9"/>
      <c r="DV9" s="9"/>
      <c r="DW9" s="9"/>
      <c r="DX9" s="9"/>
      <c r="DY9" s="9"/>
      <c r="DZ9" s="9"/>
      <c r="EA9" s="9"/>
      <c r="EB9" s="9"/>
      <c r="EC9" s="9"/>
      <c r="ED9" s="9"/>
      <c r="EE9" s="9"/>
      <c r="EF9" s="9"/>
      <c r="EG9" s="9"/>
      <c r="EH9" s="9"/>
      <c r="EI9" s="9"/>
      <c r="EJ9" s="234">
        <f>SUM($DP$3:DP9)</f>
        <v>0</v>
      </c>
      <c r="EK9" s="9">
        <f>SUM($DP$3:DQ9)</f>
        <v>0</v>
      </c>
      <c r="EL9" s="9">
        <f>SUM($DP$3:DR9)</f>
        <v>0</v>
      </c>
      <c r="EM9" s="9">
        <f>SUM($DP$3:DS9)</f>
        <v>0</v>
      </c>
      <c r="EN9" s="9">
        <f>SUM($DP$3:DT9)</f>
        <v>0</v>
      </c>
      <c r="EO9" s="9">
        <f>SUM($DP$3:DU9)</f>
        <v>0</v>
      </c>
      <c r="EP9" s="9">
        <f>SUM($DP$3:DV9)</f>
        <v>0</v>
      </c>
      <c r="EQ9" s="9">
        <f>SUM($DP$3:DW9)</f>
        <v>0</v>
      </c>
      <c r="ER9" s="9">
        <f>SUM($DP$3:DX9)</f>
        <v>0</v>
      </c>
      <c r="ES9" s="9">
        <f>SUM($DP$3:DY9)</f>
        <v>0</v>
      </c>
      <c r="ET9" s="9">
        <f>SUM($DP$3:DZ9)</f>
        <v>0</v>
      </c>
      <c r="EU9" s="9">
        <f>SUM($DP$3:EA9)</f>
        <v>0</v>
      </c>
      <c r="EV9" s="9">
        <f>SUM($DP$3:EB9)</f>
        <v>0</v>
      </c>
      <c r="EW9" s="9">
        <f>SUM($DP$3:EC9)</f>
        <v>0</v>
      </c>
      <c r="EX9" s="9">
        <f>SUM($DP$3:ED9)</f>
        <v>0</v>
      </c>
      <c r="EY9" s="9">
        <f>SUM($DP$3:EE9)</f>
        <v>0</v>
      </c>
      <c r="EZ9" s="9">
        <f>SUM($DP$3:EF9)</f>
        <v>0</v>
      </c>
      <c r="FA9" s="9">
        <f>SUM($DP$3:EG9)</f>
        <v>0</v>
      </c>
      <c r="FB9" s="9">
        <f>SUM($DP$3:EH9)</f>
        <v>0</v>
      </c>
      <c r="FC9" s="9">
        <f>SUM($DP$3:EI9)</f>
        <v>0</v>
      </c>
      <c r="FD9" s="9"/>
      <c r="FE9" s="9"/>
      <c r="FF9" s="9"/>
      <c r="FG9" s="9"/>
      <c r="FH9" s="9"/>
      <c r="FI9" s="9"/>
      <c r="FJ9" s="9"/>
      <c r="FK9" s="9"/>
      <c r="FL9" s="9"/>
      <c r="FM9" s="9"/>
      <c r="FN9" s="9"/>
      <c r="FO9" s="9"/>
      <c r="FP9" s="9"/>
      <c r="FQ9" s="9"/>
      <c r="FR9" s="9"/>
      <c r="FS9" s="9"/>
      <c r="FT9" s="9"/>
      <c r="FU9" s="9"/>
      <c r="FV9" s="9"/>
      <c r="FW9" s="9"/>
    </row>
    <row r="10" spans="1:179" ht="20.100000000000001" customHeight="1" x14ac:dyDescent="0.25">
      <c r="A10" s="8"/>
      <c r="B10" s="8" t="s">
        <v>399</v>
      </c>
      <c r="C10" s="8"/>
      <c r="D10" s="8"/>
      <c r="E10" s="8"/>
      <c r="F10" s="9"/>
      <c r="G10" s="9"/>
      <c r="H10" s="9"/>
      <c r="I10" s="9"/>
      <c r="J10" s="9"/>
      <c r="K10" s="234"/>
      <c r="L10" s="234" t="str">
        <f>IFERROR(VLOOKUP([10]!family_planning[[#This Row],[Helper]],[10]datavalidation!E:G,3,FALSE),"")</f>
        <v/>
      </c>
      <c r="M10" s="10"/>
      <c r="N10" s="52" t="str">
        <f>IF(mshn_database[[#This Row],[Date of Registration '[mm/dd/yy']]]="","",TEXT(mshn_database[[#This Row],[Date of Registration '[mm/dd/yy']]],"mmmm"))</f>
        <v/>
      </c>
      <c r="O10" s="52" t="str">
        <f>IF(mshn_database[[#This Row],[Date of Registration '[mm/dd/yy']]]="","","Q"&amp;INT((MONTH(mshn_database[[#This Row],[Date of Registration '[mm/dd/yy']]])-1)/3)+1)</f>
        <v/>
      </c>
      <c r="P10" s="52" t="str">
        <f>IF(mshn_database[[#This Row],[Date of Registration '[mm/dd/yy']]]="","",TEXT(mshn_database[[#This Row],[Date of Registration '[mm/dd/yy']]],"yyyy"))</f>
        <v/>
      </c>
      <c r="Q10" s="63"/>
      <c r="R10" s="186" t="str">
        <f t="shared" si="13"/>
        <v/>
      </c>
      <c r="S10" s="9"/>
      <c r="T10" s="9"/>
      <c r="U10" s="235" t="str">
        <f t="shared" si="14"/>
        <v/>
      </c>
      <c r="V10" s="234" t="str">
        <f>IF(mshn_database[[#This Row],[Age_Category]]="","",VLOOKUP(mshn_database[[#This Row],[Age_Category]],[10]info!$H$2:$I$6,2,FALSE))</f>
        <v/>
      </c>
      <c r="Y10" s="9"/>
      <c r="Z10" s="9"/>
      <c r="AA10" s="10"/>
      <c r="AB10" s="10"/>
      <c r="AC10" s="53" t="str">
        <f t="shared" ca="1" si="15"/>
        <v/>
      </c>
      <c r="AD10" s="9"/>
      <c r="AE10" s="9"/>
      <c r="AF10" s="183"/>
      <c r="AG10" s="183"/>
      <c r="AH10" s="183"/>
      <c r="AI10" s="183"/>
      <c r="AJ10" s="183"/>
      <c r="AK10" s="10"/>
      <c r="AL10" s="10"/>
      <c r="AM10" s="10"/>
      <c r="AN10" s="10"/>
      <c r="AO10" s="10"/>
      <c r="AP10" s="10"/>
      <c r="AQ10" s="10"/>
      <c r="AR10" s="10"/>
      <c r="AS10" s="10"/>
      <c r="AT10" s="10"/>
      <c r="AU10" s="10"/>
      <c r="AV10" s="10"/>
      <c r="AW10" s="10"/>
      <c r="AX10" s="10"/>
      <c r="AY10" s="10"/>
      <c r="AZ10" s="10"/>
      <c r="BA10" s="10"/>
      <c r="BB10" s="10"/>
      <c r="BC10" s="10"/>
      <c r="BD10" s="10"/>
      <c r="BE10" s="235">
        <f t="shared" si="16"/>
        <v>0</v>
      </c>
      <c r="BF10" s="235" t="str">
        <f t="shared" si="17"/>
        <v>No</v>
      </c>
      <c r="BG10" s="236"/>
      <c r="BH10" s="236"/>
      <c r="BI10" s="236"/>
      <c r="BJ10" s="184"/>
      <c r="BK10" s="10"/>
      <c r="BL10" s="9"/>
      <c r="BM10" s="9"/>
      <c r="BN10" s="9"/>
      <c r="BO10" s="9"/>
      <c r="BP10" s="9"/>
      <c r="BQ10" s="9"/>
      <c r="BR10" s="9"/>
      <c r="BS10" s="9"/>
      <c r="BT10" s="9"/>
      <c r="BU10" s="9"/>
      <c r="BV10" s="10"/>
      <c r="BW10" s="10"/>
      <c r="BX10" s="10"/>
      <c r="BY10" s="10"/>
      <c r="BZ10" s="10"/>
      <c r="CA10" s="10"/>
      <c r="CB10" s="235" t="str">
        <f t="shared" si="18"/>
        <v/>
      </c>
      <c r="CC10" s="9"/>
      <c r="CD10" s="9"/>
      <c r="CE10" s="10"/>
      <c r="CF10" s="9"/>
      <c r="CG10" s="9"/>
      <c r="CH10" s="9"/>
      <c r="CI10" s="9"/>
      <c r="CJ10" s="234" t="str">
        <f t="shared" si="19"/>
        <v/>
      </c>
      <c r="CK10" s="9" t="str">
        <f t="shared" si="20"/>
        <v/>
      </c>
      <c r="CL10" s="9" t="str">
        <f t="shared" si="21"/>
        <v/>
      </c>
      <c r="CM10" s="9" t="str">
        <f t="shared" si="22"/>
        <v/>
      </c>
      <c r="CN10" s="9" t="str">
        <f t="shared" si="23"/>
        <v/>
      </c>
      <c r="CO10" s="9" t="str">
        <f t="shared" si="24"/>
        <v/>
      </c>
      <c r="CP10" s="9" t="str">
        <f t="shared" si="25"/>
        <v/>
      </c>
      <c r="CQ10" s="9" t="str">
        <f t="shared" si="26"/>
        <v/>
      </c>
      <c r="CR10" s="9" t="str">
        <f t="shared" si="27"/>
        <v/>
      </c>
      <c r="CS10" s="9" t="str">
        <f t="shared" si="28"/>
        <v/>
      </c>
      <c r="CT10" s="9" t="str">
        <f t="shared" si="29"/>
        <v/>
      </c>
      <c r="CU10" s="9" t="str">
        <f t="shared" si="30"/>
        <v/>
      </c>
      <c r="CV10" s="9" t="str">
        <f t="shared" si="31"/>
        <v/>
      </c>
      <c r="CW10" s="9" t="str">
        <f t="shared" si="32"/>
        <v/>
      </c>
      <c r="CX10" s="9" t="str">
        <f t="shared" si="33"/>
        <v/>
      </c>
      <c r="CY10" s="9" t="str">
        <f t="shared" si="34"/>
        <v/>
      </c>
      <c r="CZ10" s="9" t="str">
        <f t="shared" si="35"/>
        <v/>
      </c>
      <c r="DA10" s="9" t="str">
        <f t="shared" si="36"/>
        <v/>
      </c>
      <c r="DB10" s="9" t="str">
        <f t="shared" si="37"/>
        <v/>
      </c>
      <c r="DC10" s="9" t="str">
        <f t="shared" si="38"/>
        <v/>
      </c>
      <c r="DD10" s="234" t="str">
        <f t="shared" si="39"/>
        <v/>
      </c>
      <c r="DE10" s="9" t="str">
        <f t="shared" si="40"/>
        <v/>
      </c>
      <c r="DF10" s="9" t="str">
        <f t="shared" si="41"/>
        <v/>
      </c>
      <c r="DG10" s="9" t="str">
        <f t="shared" si="42"/>
        <v/>
      </c>
      <c r="DH10" s="9" t="str">
        <f t="shared" si="43"/>
        <v/>
      </c>
      <c r="DI10" s="9" t="str">
        <f t="shared" si="44"/>
        <v/>
      </c>
      <c r="DJ10" s="234" t="str">
        <f t="shared" si="45"/>
        <v/>
      </c>
      <c r="DK10" s="237" t="str">
        <f t="shared" si="46"/>
        <v/>
      </c>
      <c r="DL10" s="234" t="str">
        <f t="shared" si="47"/>
        <v/>
      </c>
      <c r="DM10" s="9" t="str">
        <f t="shared" si="48"/>
        <v/>
      </c>
      <c r="DN10" s="9" t="str">
        <f t="shared" si="49"/>
        <v/>
      </c>
      <c r="DO10" s="9" t="str">
        <f t="shared" si="50"/>
        <v/>
      </c>
      <c r="DP10" s="234" t="str">
        <f t="shared" si="51"/>
        <v/>
      </c>
      <c r="DQ10" s="9"/>
      <c r="DR10" s="9"/>
      <c r="DS10" s="9"/>
      <c r="DT10" s="9"/>
      <c r="DU10" s="9"/>
      <c r="DV10" s="9"/>
      <c r="DW10" s="9"/>
      <c r="DX10" s="9"/>
      <c r="DY10" s="9"/>
      <c r="DZ10" s="9"/>
      <c r="EA10" s="9"/>
      <c r="EB10" s="9"/>
      <c r="EC10" s="9"/>
      <c r="ED10" s="9"/>
      <c r="EE10" s="9"/>
      <c r="EF10" s="9"/>
      <c r="EG10" s="9"/>
      <c r="EH10" s="9"/>
      <c r="EI10" s="9"/>
      <c r="EJ10" s="234">
        <f>SUM($DP$3:DP10)</f>
        <v>0</v>
      </c>
      <c r="EK10" s="9">
        <f>SUM($DP$3:DQ10)</f>
        <v>0</v>
      </c>
      <c r="EL10" s="9">
        <f>SUM($DP$3:DR10)</f>
        <v>0</v>
      </c>
      <c r="EM10" s="9">
        <f>SUM($DP$3:DS10)</f>
        <v>0</v>
      </c>
      <c r="EN10" s="9">
        <f>SUM($DP$3:DT10)</f>
        <v>0</v>
      </c>
      <c r="EO10" s="9">
        <f>SUM($DP$3:DU10)</f>
        <v>0</v>
      </c>
      <c r="EP10" s="9">
        <f>SUM($DP$3:DV10)</f>
        <v>0</v>
      </c>
      <c r="EQ10" s="9">
        <f>SUM($DP$3:DW10)</f>
        <v>0</v>
      </c>
      <c r="ER10" s="9">
        <f>SUM($DP$3:DX10)</f>
        <v>0</v>
      </c>
      <c r="ES10" s="9">
        <f>SUM($DP$3:DY10)</f>
        <v>0</v>
      </c>
      <c r="ET10" s="9">
        <f>SUM($DP$3:DZ10)</f>
        <v>0</v>
      </c>
      <c r="EU10" s="9">
        <f>SUM($DP$3:EA10)</f>
        <v>0</v>
      </c>
      <c r="EV10" s="9">
        <f>SUM($DP$3:EB10)</f>
        <v>0</v>
      </c>
      <c r="EW10" s="9">
        <f>SUM($DP$3:EC10)</f>
        <v>0</v>
      </c>
      <c r="EX10" s="9">
        <f>SUM($DP$3:ED10)</f>
        <v>0</v>
      </c>
      <c r="EY10" s="9">
        <f>SUM($DP$3:EE10)</f>
        <v>0</v>
      </c>
      <c r="EZ10" s="9">
        <f>SUM($DP$3:EF10)</f>
        <v>0</v>
      </c>
      <c r="FA10" s="9">
        <f>SUM($DP$3:EG10)</f>
        <v>0</v>
      </c>
      <c r="FB10" s="9">
        <f>SUM($DP$3:EH10)</f>
        <v>0</v>
      </c>
      <c r="FC10" s="9">
        <f>SUM($DP$3:EI10)</f>
        <v>0</v>
      </c>
      <c r="FD10" s="9"/>
      <c r="FE10" s="9"/>
      <c r="FF10" s="9"/>
      <c r="FG10" s="9"/>
      <c r="FH10" s="9"/>
      <c r="FI10" s="9"/>
      <c r="FJ10" s="9"/>
      <c r="FK10" s="9"/>
      <c r="FL10" s="9"/>
      <c r="FM10" s="9"/>
      <c r="FN10" s="9"/>
      <c r="FO10" s="9"/>
      <c r="FP10" s="9"/>
      <c r="FQ10" s="9"/>
      <c r="FR10" s="9"/>
      <c r="FS10" s="9"/>
      <c r="FT10" s="9"/>
      <c r="FU10" s="9"/>
      <c r="FV10" s="9"/>
      <c r="FW10" s="9"/>
    </row>
    <row r="11" spans="1:179" ht="20.100000000000001" customHeight="1" x14ac:dyDescent="0.25">
      <c r="A11" s="8"/>
      <c r="B11" s="8" t="s">
        <v>399</v>
      </c>
      <c r="C11" s="8"/>
      <c r="D11" s="8"/>
      <c r="E11" s="8"/>
      <c r="F11" s="9"/>
      <c r="G11" s="9"/>
      <c r="H11" s="9"/>
      <c r="I11" s="9"/>
      <c r="J11" s="9"/>
      <c r="K11" s="234"/>
      <c r="L11" s="234" t="str">
        <f>IFERROR(VLOOKUP([10]!family_planning[[#This Row],[Helper]],[10]datavalidation!E:G,3,FALSE),"")</f>
        <v/>
      </c>
      <c r="M11" s="10"/>
      <c r="N11" s="52" t="str">
        <f>IF(mshn_database[[#This Row],[Date of Registration '[mm/dd/yy']]]="","",TEXT(mshn_database[[#This Row],[Date of Registration '[mm/dd/yy']]],"mmmm"))</f>
        <v/>
      </c>
      <c r="O11" s="52" t="str">
        <f>IF(mshn_database[[#This Row],[Date of Registration '[mm/dd/yy']]]="","","Q"&amp;INT((MONTH(mshn_database[[#This Row],[Date of Registration '[mm/dd/yy']]])-1)/3)+1)</f>
        <v/>
      </c>
      <c r="P11" s="52" t="str">
        <f>IF(mshn_database[[#This Row],[Date of Registration '[mm/dd/yy']]]="","",TEXT(mshn_database[[#This Row],[Date of Registration '[mm/dd/yy']]],"yyyy"))</f>
        <v/>
      </c>
      <c r="Q11" s="63"/>
      <c r="R11" s="186" t="str">
        <f t="shared" si="13"/>
        <v/>
      </c>
      <c r="S11" s="9"/>
      <c r="T11" s="9"/>
      <c r="U11" s="235" t="str">
        <f t="shared" si="14"/>
        <v/>
      </c>
      <c r="V11" s="234" t="str">
        <f>IF(mshn_database[[#This Row],[Age_Category]]="","",VLOOKUP(mshn_database[[#This Row],[Age_Category]],[10]info!$H$2:$I$6,2,FALSE))</f>
        <v/>
      </c>
      <c r="Y11" s="9"/>
      <c r="Z11" s="9"/>
      <c r="AA11" s="10"/>
      <c r="AB11" s="10"/>
      <c r="AC11" s="53" t="str">
        <f t="shared" ca="1" si="15"/>
        <v/>
      </c>
      <c r="AD11" s="9"/>
      <c r="AE11" s="9"/>
      <c r="AF11" s="183"/>
      <c r="AG11" s="183"/>
      <c r="AH11" s="183"/>
      <c r="AI11" s="183"/>
      <c r="AJ11" s="183"/>
      <c r="AK11" s="10"/>
      <c r="AL11" s="10"/>
      <c r="AM11" s="10"/>
      <c r="AN11" s="10"/>
      <c r="AO11" s="10"/>
      <c r="AP11" s="10"/>
      <c r="AQ11" s="10"/>
      <c r="AR11" s="10"/>
      <c r="AS11" s="10"/>
      <c r="AT11" s="10"/>
      <c r="AU11" s="10"/>
      <c r="AV11" s="10"/>
      <c r="AW11" s="10"/>
      <c r="AX11" s="10"/>
      <c r="AY11" s="10"/>
      <c r="AZ11" s="10"/>
      <c r="BA11" s="10"/>
      <c r="BB11" s="10"/>
      <c r="BC11" s="10"/>
      <c r="BD11" s="10"/>
      <c r="BE11" s="235">
        <f t="shared" si="16"/>
        <v>0</v>
      </c>
      <c r="BF11" s="235" t="str">
        <f t="shared" si="17"/>
        <v>No</v>
      </c>
      <c r="BG11" s="236"/>
      <c r="BH11" s="236"/>
      <c r="BI11" s="236"/>
      <c r="BJ11" s="184"/>
      <c r="BK11" s="10"/>
      <c r="BL11" s="9"/>
      <c r="BM11" s="9"/>
      <c r="BN11" s="9"/>
      <c r="BO11" s="9"/>
      <c r="BP11" s="9"/>
      <c r="BQ11" s="9"/>
      <c r="BR11" s="9"/>
      <c r="BS11" s="9"/>
      <c r="BT11" s="9"/>
      <c r="BU11" s="9"/>
      <c r="BV11" s="10"/>
      <c r="BW11" s="10"/>
      <c r="BX11" s="10"/>
      <c r="BY11" s="10"/>
      <c r="BZ11" s="10"/>
      <c r="CA11" s="10"/>
      <c r="CB11" s="235" t="str">
        <f t="shared" si="18"/>
        <v/>
      </c>
      <c r="CC11" s="9"/>
      <c r="CD11" s="9"/>
      <c r="CE11" s="10"/>
      <c r="CF11" s="9"/>
      <c r="CG11" s="9"/>
      <c r="CH11" s="9"/>
      <c r="CI11" s="9"/>
      <c r="CJ11" s="234" t="str">
        <f t="shared" si="19"/>
        <v/>
      </c>
      <c r="CK11" s="9" t="str">
        <f t="shared" si="20"/>
        <v/>
      </c>
      <c r="CL11" s="9" t="str">
        <f t="shared" si="21"/>
        <v/>
      </c>
      <c r="CM11" s="9" t="str">
        <f t="shared" si="22"/>
        <v/>
      </c>
      <c r="CN11" s="9" t="str">
        <f t="shared" si="23"/>
        <v/>
      </c>
      <c r="CO11" s="9" t="str">
        <f t="shared" si="24"/>
        <v/>
      </c>
      <c r="CP11" s="9" t="str">
        <f t="shared" si="25"/>
        <v/>
      </c>
      <c r="CQ11" s="9" t="str">
        <f t="shared" si="26"/>
        <v/>
      </c>
      <c r="CR11" s="9" t="str">
        <f t="shared" si="27"/>
        <v/>
      </c>
      <c r="CS11" s="9" t="str">
        <f t="shared" si="28"/>
        <v/>
      </c>
      <c r="CT11" s="9" t="str">
        <f t="shared" si="29"/>
        <v/>
      </c>
      <c r="CU11" s="9" t="str">
        <f t="shared" si="30"/>
        <v/>
      </c>
      <c r="CV11" s="9" t="str">
        <f t="shared" si="31"/>
        <v/>
      </c>
      <c r="CW11" s="9" t="str">
        <f t="shared" si="32"/>
        <v/>
      </c>
      <c r="CX11" s="9" t="str">
        <f t="shared" si="33"/>
        <v/>
      </c>
      <c r="CY11" s="9" t="str">
        <f t="shared" si="34"/>
        <v/>
      </c>
      <c r="CZ11" s="9" t="str">
        <f t="shared" si="35"/>
        <v/>
      </c>
      <c r="DA11" s="9" t="str">
        <f t="shared" si="36"/>
        <v/>
      </c>
      <c r="DB11" s="9" t="str">
        <f t="shared" si="37"/>
        <v/>
      </c>
      <c r="DC11" s="9" t="str">
        <f t="shared" si="38"/>
        <v/>
      </c>
      <c r="DD11" s="234" t="str">
        <f t="shared" si="39"/>
        <v/>
      </c>
      <c r="DE11" s="9" t="str">
        <f t="shared" si="40"/>
        <v/>
      </c>
      <c r="DF11" s="9" t="str">
        <f t="shared" si="41"/>
        <v/>
      </c>
      <c r="DG11" s="9" t="str">
        <f t="shared" si="42"/>
        <v/>
      </c>
      <c r="DH11" s="9" t="str">
        <f t="shared" si="43"/>
        <v/>
      </c>
      <c r="DI11" s="9" t="str">
        <f t="shared" si="44"/>
        <v/>
      </c>
      <c r="DJ11" s="234" t="str">
        <f t="shared" si="45"/>
        <v/>
      </c>
      <c r="DK11" s="237" t="str">
        <f t="shared" si="46"/>
        <v/>
      </c>
      <c r="DL11" s="234" t="str">
        <f t="shared" si="47"/>
        <v/>
      </c>
      <c r="DM11" s="9" t="str">
        <f t="shared" si="48"/>
        <v/>
      </c>
      <c r="DN11" s="9" t="str">
        <f t="shared" si="49"/>
        <v/>
      </c>
      <c r="DO11" s="9" t="str">
        <f t="shared" si="50"/>
        <v/>
      </c>
      <c r="DP11" s="234" t="str">
        <f t="shared" si="51"/>
        <v/>
      </c>
      <c r="DQ11" s="9"/>
      <c r="DR11" s="9"/>
      <c r="DS11" s="9"/>
      <c r="DT11" s="9"/>
      <c r="DU11" s="9"/>
      <c r="DV11" s="9"/>
      <c r="DW11" s="9"/>
      <c r="DX11" s="9"/>
      <c r="DY11" s="9"/>
      <c r="DZ11" s="9"/>
      <c r="EA11" s="9"/>
      <c r="EB11" s="9"/>
      <c r="EC11" s="9"/>
      <c r="ED11" s="9"/>
      <c r="EE11" s="9"/>
      <c r="EF11" s="9"/>
      <c r="EG11" s="9"/>
      <c r="EH11" s="9"/>
      <c r="EI11" s="9"/>
      <c r="EJ11" s="234">
        <f>SUM($DP$3:DP11)</f>
        <v>0</v>
      </c>
      <c r="EK11" s="9">
        <f>SUM($DP$3:DQ11)</f>
        <v>0</v>
      </c>
      <c r="EL11" s="9">
        <f>SUM($DP$3:DR11)</f>
        <v>0</v>
      </c>
      <c r="EM11" s="9">
        <f>SUM($DP$3:DS11)</f>
        <v>0</v>
      </c>
      <c r="EN11" s="9">
        <f>SUM($DP$3:DT11)</f>
        <v>0</v>
      </c>
      <c r="EO11" s="9">
        <f>SUM($DP$3:DU11)</f>
        <v>0</v>
      </c>
      <c r="EP11" s="9">
        <f>SUM($DP$3:DV11)</f>
        <v>0</v>
      </c>
      <c r="EQ11" s="9">
        <f>SUM($DP$3:DW11)</f>
        <v>0</v>
      </c>
      <c r="ER11" s="9">
        <f>SUM($DP$3:DX11)</f>
        <v>0</v>
      </c>
      <c r="ES11" s="9">
        <f>SUM($DP$3:DY11)</f>
        <v>0</v>
      </c>
      <c r="ET11" s="9">
        <f>SUM($DP$3:DZ11)</f>
        <v>0</v>
      </c>
      <c r="EU11" s="9">
        <f>SUM($DP$3:EA11)</f>
        <v>0</v>
      </c>
      <c r="EV11" s="9">
        <f>SUM($DP$3:EB11)</f>
        <v>0</v>
      </c>
      <c r="EW11" s="9">
        <f>SUM($DP$3:EC11)</f>
        <v>0</v>
      </c>
      <c r="EX11" s="9">
        <f>SUM($DP$3:ED11)</f>
        <v>0</v>
      </c>
      <c r="EY11" s="9">
        <f>SUM($DP$3:EE11)</f>
        <v>0</v>
      </c>
      <c r="EZ11" s="9">
        <f>SUM($DP$3:EF11)</f>
        <v>0</v>
      </c>
      <c r="FA11" s="9">
        <f>SUM($DP$3:EG11)</f>
        <v>0</v>
      </c>
      <c r="FB11" s="9">
        <f>SUM($DP$3:EH11)</f>
        <v>0</v>
      </c>
      <c r="FC11" s="9">
        <f>SUM($DP$3:EI11)</f>
        <v>0</v>
      </c>
      <c r="FD11" s="9"/>
      <c r="FE11" s="9"/>
      <c r="FF11" s="9"/>
      <c r="FG11" s="9"/>
      <c r="FH11" s="9"/>
      <c r="FI11" s="9"/>
      <c r="FJ11" s="9"/>
      <c r="FK11" s="9"/>
      <c r="FL11" s="9"/>
      <c r="FM11" s="9"/>
      <c r="FN11" s="9"/>
      <c r="FO11" s="9"/>
      <c r="FP11" s="9"/>
      <c r="FQ11" s="9"/>
      <c r="FR11" s="9"/>
      <c r="FS11" s="9"/>
      <c r="FT11" s="9"/>
      <c r="FU11" s="9"/>
      <c r="FV11" s="9"/>
      <c r="FW11" s="9"/>
    </row>
    <row r="12" spans="1:179" ht="20.100000000000001" customHeight="1" x14ac:dyDescent="0.25">
      <c r="A12" s="8"/>
      <c r="B12" s="8" t="s">
        <v>399</v>
      </c>
      <c r="C12" s="8"/>
      <c r="D12" s="8"/>
      <c r="E12" s="8"/>
      <c r="F12" s="9"/>
      <c r="G12" s="9"/>
      <c r="H12" s="9"/>
      <c r="I12" s="9"/>
      <c r="J12" s="9"/>
      <c r="K12" s="234"/>
      <c r="L12" s="234" t="str">
        <f>IFERROR(VLOOKUP([10]!family_planning[[#This Row],[Helper]],[10]datavalidation!E:G,3,FALSE),"")</f>
        <v/>
      </c>
      <c r="M12" s="10"/>
      <c r="N12" s="52" t="str">
        <f>IF(mshn_database[[#This Row],[Date of Registration '[mm/dd/yy']]]="","",TEXT(mshn_database[[#This Row],[Date of Registration '[mm/dd/yy']]],"mmmm"))</f>
        <v/>
      </c>
      <c r="O12" s="52" t="str">
        <f>IF(mshn_database[[#This Row],[Date of Registration '[mm/dd/yy']]]="","","Q"&amp;INT((MONTH(mshn_database[[#This Row],[Date of Registration '[mm/dd/yy']]])-1)/3)+1)</f>
        <v/>
      </c>
      <c r="P12" s="52" t="str">
        <f>IF(mshn_database[[#This Row],[Date of Registration '[mm/dd/yy']]]="","",TEXT(mshn_database[[#This Row],[Date of Registration '[mm/dd/yy']]],"yyyy"))</f>
        <v/>
      </c>
      <c r="Q12" s="63"/>
      <c r="R12" s="186" t="str">
        <f t="shared" si="13"/>
        <v/>
      </c>
      <c r="S12" s="9"/>
      <c r="T12" s="9"/>
      <c r="U12" s="235" t="str">
        <f t="shared" si="14"/>
        <v/>
      </c>
      <c r="V12" s="234" t="str">
        <f>IF(mshn_database[[#This Row],[Age_Category]]="","",VLOOKUP(mshn_database[[#This Row],[Age_Category]],[10]info!$H$2:$I$6,2,FALSE))</f>
        <v/>
      </c>
      <c r="Y12" s="9"/>
      <c r="Z12" s="9"/>
      <c r="AA12" s="10"/>
      <c r="AB12" s="10"/>
      <c r="AC12" s="53" t="str">
        <f t="shared" ca="1" si="15"/>
        <v/>
      </c>
      <c r="AD12" s="9"/>
      <c r="AE12" s="9"/>
      <c r="AF12" s="183"/>
      <c r="AG12" s="183"/>
      <c r="AH12" s="183"/>
      <c r="AI12" s="183"/>
      <c r="AJ12" s="183"/>
      <c r="AK12" s="10"/>
      <c r="AL12" s="10"/>
      <c r="AM12" s="10"/>
      <c r="AN12" s="10"/>
      <c r="AO12" s="10"/>
      <c r="AP12" s="10"/>
      <c r="AQ12" s="10"/>
      <c r="AR12" s="10"/>
      <c r="AS12" s="10"/>
      <c r="AT12" s="10"/>
      <c r="AU12" s="10"/>
      <c r="AV12" s="10"/>
      <c r="AW12" s="10"/>
      <c r="AX12" s="10"/>
      <c r="AY12" s="10"/>
      <c r="AZ12" s="10"/>
      <c r="BA12" s="10"/>
      <c r="BB12" s="10"/>
      <c r="BC12" s="10"/>
      <c r="BD12" s="10"/>
      <c r="BE12" s="235">
        <f t="shared" si="16"/>
        <v>0</v>
      </c>
      <c r="BF12" s="235" t="str">
        <f t="shared" si="17"/>
        <v>No</v>
      </c>
      <c r="BG12" s="236"/>
      <c r="BH12" s="236"/>
      <c r="BI12" s="236"/>
      <c r="BJ12" s="184"/>
      <c r="BK12" s="10"/>
      <c r="BL12" s="9"/>
      <c r="BM12" s="9"/>
      <c r="BN12" s="9"/>
      <c r="BO12" s="9"/>
      <c r="BP12" s="9"/>
      <c r="BQ12" s="9"/>
      <c r="BR12" s="9"/>
      <c r="BS12" s="9"/>
      <c r="BT12" s="9"/>
      <c r="BU12" s="9"/>
      <c r="BV12" s="10"/>
      <c r="BW12" s="10"/>
      <c r="BX12" s="10"/>
      <c r="BY12" s="10"/>
      <c r="BZ12" s="10"/>
      <c r="CA12" s="10"/>
      <c r="CB12" s="235" t="str">
        <f t="shared" si="18"/>
        <v/>
      </c>
      <c r="CC12" s="9"/>
      <c r="CD12" s="9"/>
      <c r="CE12" s="10"/>
      <c r="CF12" s="9"/>
      <c r="CG12" s="9"/>
      <c r="CH12" s="9"/>
      <c r="CI12" s="9"/>
      <c r="CJ12" s="234" t="str">
        <f t="shared" si="19"/>
        <v/>
      </c>
      <c r="CK12" s="9" t="str">
        <f t="shared" si="20"/>
        <v/>
      </c>
      <c r="CL12" s="9" t="str">
        <f t="shared" si="21"/>
        <v/>
      </c>
      <c r="CM12" s="9" t="str">
        <f t="shared" si="22"/>
        <v/>
      </c>
      <c r="CN12" s="9" t="str">
        <f t="shared" si="23"/>
        <v/>
      </c>
      <c r="CO12" s="9" t="str">
        <f t="shared" si="24"/>
        <v/>
      </c>
      <c r="CP12" s="9" t="str">
        <f t="shared" si="25"/>
        <v/>
      </c>
      <c r="CQ12" s="9" t="str">
        <f t="shared" si="26"/>
        <v/>
      </c>
      <c r="CR12" s="9" t="str">
        <f t="shared" si="27"/>
        <v/>
      </c>
      <c r="CS12" s="9" t="str">
        <f t="shared" si="28"/>
        <v/>
      </c>
      <c r="CT12" s="9" t="str">
        <f t="shared" si="29"/>
        <v/>
      </c>
      <c r="CU12" s="9" t="str">
        <f t="shared" si="30"/>
        <v/>
      </c>
      <c r="CV12" s="9" t="str">
        <f t="shared" si="31"/>
        <v/>
      </c>
      <c r="CW12" s="9" t="str">
        <f t="shared" si="32"/>
        <v/>
      </c>
      <c r="CX12" s="9" t="str">
        <f t="shared" si="33"/>
        <v/>
      </c>
      <c r="CY12" s="9" t="str">
        <f t="shared" si="34"/>
        <v/>
      </c>
      <c r="CZ12" s="9" t="str">
        <f t="shared" si="35"/>
        <v/>
      </c>
      <c r="DA12" s="9" t="str">
        <f t="shared" si="36"/>
        <v/>
      </c>
      <c r="DB12" s="9" t="str">
        <f t="shared" si="37"/>
        <v/>
      </c>
      <c r="DC12" s="9" t="str">
        <f t="shared" si="38"/>
        <v/>
      </c>
      <c r="DD12" s="234" t="str">
        <f t="shared" si="39"/>
        <v/>
      </c>
      <c r="DE12" s="9" t="str">
        <f t="shared" si="40"/>
        <v/>
      </c>
      <c r="DF12" s="9" t="str">
        <f t="shared" si="41"/>
        <v/>
      </c>
      <c r="DG12" s="9" t="str">
        <f t="shared" si="42"/>
        <v/>
      </c>
      <c r="DH12" s="9" t="str">
        <f t="shared" si="43"/>
        <v/>
      </c>
      <c r="DI12" s="9" t="str">
        <f t="shared" si="44"/>
        <v/>
      </c>
      <c r="DJ12" s="234" t="str">
        <f t="shared" si="45"/>
        <v/>
      </c>
      <c r="DK12" s="237" t="str">
        <f t="shared" si="46"/>
        <v/>
      </c>
      <c r="DL12" s="234" t="str">
        <f t="shared" si="47"/>
        <v/>
      </c>
      <c r="DM12" s="9" t="str">
        <f t="shared" si="48"/>
        <v/>
      </c>
      <c r="DN12" s="9" t="str">
        <f t="shared" si="49"/>
        <v/>
      </c>
      <c r="DO12" s="9" t="str">
        <f t="shared" si="50"/>
        <v/>
      </c>
      <c r="DP12" s="234" t="str">
        <f t="shared" si="51"/>
        <v/>
      </c>
      <c r="DQ12" s="9"/>
      <c r="DR12" s="9"/>
      <c r="DS12" s="9"/>
      <c r="DT12" s="9"/>
      <c r="DU12" s="9"/>
      <c r="DV12" s="9"/>
      <c r="DW12" s="9"/>
      <c r="DX12" s="9"/>
      <c r="DY12" s="9"/>
      <c r="DZ12" s="9"/>
      <c r="EA12" s="9"/>
      <c r="EB12" s="9"/>
      <c r="EC12" s="9"/>
      <c r="ED12" s="9"/>
      <c r="EE12" s="9"/>
      <c r="EF12" s="9"/>
      <c r="EG12" s="9"/>
      <c r="EH12" s="9"/>
      <c r="EI12" s="9"/>
      <c r="EJ12" s="234">
        <f>SUM($DP$3:DP12)</f>
        <v>0</v>
      </c>
      <c r="EK12" s="9">
        <f>SUM($DP$3:DQ12)</f>
        <v>0</v>
      </c>
      <c r="EL12" s="9">
        <f>SUM($DP$3:DR12)</f>
        <v>0</v>
      </c>
      <c r="EM12" s="9">
        <f>SUM($DP$3:DS12)</f>
        <v>0</v>
      </c>
      <c r="EN12" s="9">
        <f>SUM($DP$3:DT12)</f>
        <v>0</v>
      </c>
      <c r="EO12" s="9">
        <f>SUM($DP$3:DU12)</f>
        <v>0</v>
      </c>
      <c r="EP12" s="9">
        <f>SUM($DP$3:DV12)</f>
        <v>0</v>
      </c>
      <c r="EQ12" s="9">
        <f>SUM($DP$3:DW12)</f>
        <v>0</v>
      </c>
      <c r="ER12" s="9">
        <f>SUM($DP$3:DX12)</f>
        <v>0</v>
      </c>
      <c r="ES12" s="9">
        <f>SUM($DP$3:DY12)</f>
        <v>0</v>
      </c>
      <c r="ET12" s="9">
        <f>SUM($DP$3:DZ12)</f>
        <v>0</v>
      </c>
      <c r="EU12" s="9">
        <f>SUM($DP$3:EA12)</f>
        <v>0</v>
      </c>
      <c r="EV12" s="9">
        <f>SUM($DP$3:EB12)</f>
        <v>0</v>
      </c>
      <c r="EW12" s="9">
        <f>SUM($DP$3:EC12)</f>
        <v>0</v>
      </c>
      <c r="EX12" s="9">
        <f>SUM($DP$3:ED12)</f>
        <v>0</v>
      </c>
      <c r="EY12" s="9">
        <f>SUM($DP$3:EE12)</f>
        <v>0</v>
      </c>
      <c r="EZ12" s="9">
        <f>SUM($DP$3:EF12)</f>
        <v>0</v>
      </c>
      <c r="FA12" s="9">
        <f>SUM($DP$3:EG12)</f>
        <v>0</v>
      </c>
      <c r="FB12" s="9">
        <f>SUM($DP$3:EH12)</f>
        <v>0</v>
      </c>
      <c r="FC12" s="9">
        <f>SUM($DP$3:EI12)</f>
        <v>0</v>
      </c>
      <c r="FD12" s="9"/>
      <c r="FE12" s="9"/>
      <c r="FF12" s="9"/>
      <c r="FG12" s="9"/>
      <c r="FH12" s="9"/>
      <c r="FI12" s="9"/>
      <c r="FJ12" s="9"/>
      <c r="FK12" s="9"/>
      <c r="FL12" s="9"/>
      <c r="FM12" s="9"/>
      <c r="FN12" s="9"/>
      <c r="FO12" s="9"/>
      <c r="FP12" s="9"/>
      <c r="FQ12" s="9"/>
      <c r="FR12" s="9"/>
      <c r="FS12" s="9"/>
      <c r="FT12" s="9"/>
      <c r="FU12" s="9"/>
      <c r="FV12" s="9"/>
      <c r="FW12" s="9"/>
    </row>
    <row r="13" spans="1:179" ht="20.100000000000001" customHeight="1" x14ac:dyDescent="0.25">
      <c r="A13" s="8"/>
      <c r="B13" s="8" t="s">
        <v>399</v>
      </c>
      <c r="C13" s="8"/>
      <c r="D13" s="8"/>
      <c r="E13" s="8"/>
      <c r="F13" s="9"/>
      <c r="G13" s="9"/>
      <c r="H13" s="9"/>
      <c r="I13" s="9"/>
      <c r="J13" s="9"/>
      <c r="K13" s="234"/>
      <c r="L13" s="234" t="str">
        <f>IFERROR(VLOOKUP([10]!family_planning[[#This Row],[Helper]],[10]datavalidation!E:G,3,FALSE),"")</f>
        <v/>
      </c>
      <c r="M13" s="10"/>
      <c r="N13" s="52" t="str">
        <f>IF(mshn_database[[#This Row],[Date of Registration '[mm/dd/yy']]]="","",TEXT(mshn_database[[#This Row],[Date of Registration '[mm/dd/yy']]],"mmmm"))</f>
        <v/>
      </c>
      <c r="O13" s="52" t="str">
        <f>IF(mshn_database[[#This Row],[Date of Registration '[mm/dd/yy']]]="","","Q"&amp;INT((MONTH(mshn_database[[#This Row],[Date of Registration '[mm/dd/yy']]])-1)/3)+1)</f>
        <v/>
      </c>
      <c r="P13" s="52" t="str">
        <f>IF(mshn_database[[#This Row],[Date of Registration '[mm/dd/yy']]]="","",TEXT(mshn_database[[#This Row],[Date of Registration '[mm/dd/yy']]],"yyyy"))</f>
        <v/>
      </c>
      <c r="Q13" s="63"/>
      <c r="R13" s="186" t="str">
        <f t="shared" si="13"/>
        <v/>
      </c>
      <c r="S13" s="9"/>
      <c r="T13" s="9"/>
      <c r="U13" s="235" t="str">
        <f t="shared" si="14"/>
        <v/>
      </c>
      <c r="V13" s="234" t="str">
        <f>IF(mshn_database[[#This Row],[Age_Category]]="","",VLOOKUP(mshn_database[[#This Row],[Age_Category]],[10]info!$H$2:$I$6,2,FALSE))</f>
        <v/>
      </c>
      <c r="Y13" s="9"/>
      <c r="Z13" s="9"/>
      <c r="AA13" s="10"/>
      <c r="AB13" s="10"/>
      <c r="AC13" s="53" t="str">
        <f t="shared" ca="1" si="15"/>
        <v/>
      </c>
      <c r="AD13" s="9"/>
      <c r="AE13" s="9"/>
      <c r="AF13" s="183"/>
      <c r="AG13" s="183"/>
      <c r="AH13" s="183"/>
      <c r="AI13" s="183"/>
      <c r="AJ13" s="183"/>
      <c r="AK13" s="10"/>
      <c r="AL13" s="10"/>
      <c r="AM13" s="10"/>
      <c r="AN13" s="10"/>
      <c r="AO13" s="10"/>
      <c r="AP13" s="10"/>
      <c r="AQ13" s="10"/>
      <c r="AR13" s="10"/>
      <c r="AS13" s="10"/>
      <c r="AT13" s="10"/>
      <c r="AU13" s="10"/>
      <c r="AV13" s="10"/>
      <c r="AW13" s="10"/>
      <c r="AX13" s="10"/>
      <c r="AY13" s="10"/>
      <c r="AZ13" s="10"/>
      <c r="BA13" s="10"/>
      <c r="BB13" s="10"/>
      <c r="BC13" s="10"/>
      <c r="BD13" s="10"/>
      <c r="BE13" s="235">
        <f t="shared" si="16"/>
        <v>0</v>
      </c>
      <c r="BF13" s="235" t="str">
        <f t="shared" si="17"/>
        <v>No</v>
      </c>
      <c r="BG13" s="236"/>
      <c r="BH13" s="236"/>
      <c r="BI13" s="236"/>
      <c r="BJ13" s="184"/>
      <c r="BK13" s="10"/>
      <c r="BL13" s="9"/>
      <c r="BM13" s="9"/>
      <c r="BN13" s="9"/>
      <c r="BO13" s="9"/>
      <c r="BP13" s="9"/>
      <c r="BQ13" s="9"/>
      <c r="BR13" s="9"/>
      <c r="BS13" s="9"/>
      <c r="BT13" s="9"/>
      <c r="BU13" s="9"/>
      <c r="BV13" s="10"/>
      <c r="BW13" s="10"/>
      <c r="BX13" s="10"/>
      <c r="BY13" s="10"/>
      <c r="BZ13" s="10"/>
      <c r="CA13" s="10"/>
      <c r="CB13" s="235" t="str">
        <f t="shared" si="18"/>
        <v/>
      </c>
      <c r="CC13" s="9"/>
      <c r="CD13" s="9"/>
      <c r="CE13" s="10"/>
      <c r="CF13" s="9"/>
      <c r="CG13" s="9"/>
      <c r="CH13" s="9"/>
      <c r="CI13" s="9"/>
      <c r="CJ13" s="234" t="str">
        <f t="shared" si="19"/>
        <v/>
      </c>
      <c r="CK13" s="9" t="str">
        <f t="shared" si="20"/>
        <v/>
      </c>
      <c r="CL13" s="9" t="str">
        <f t="shared" si="21"/>
        <v/>
      </c>
      <c r="CM13" s="9" t="str">
        <f t="shared" si="22"/>
        <v/>
      </c>
      <c r="CN13" s="9" t="str">
        <f t="shared" si="23"/>
        <v/>
      </c>
      <c r="CO13" s="9" t="str">
        <f t="shared" si="24"/>
        <v/>
      </c>
      <c r="CP13" s="9" t="str">
        <f t="shared" si="25"/>
        <v/>
      </c>
      <c r="CQ13" s="9" t="str">
        <f t="shared" si="26"/>
        <v/>
      </c>
      <c r="CR13" s="9" t="str">
        <f t="shared" si="27"/>
        <v/>
      </c>
      <c r="CS13" s="9" t="str">
        <f t="shared" si="28"/>
        <v/>
      </c>
      <c r="CT13" s="9" t="str">
        <f t="shared" si="29"/>
        <v/>
      </c>
      <c r="CU13" s="9" t="str">
        <f t="shared" si="30"/>
        <v/>
      </c>
      <c r="CV13" s="9" t="str">
        <f t="shared" si="31"/>
        <v/>
      </c>
      <c r="CW13" s="9" t="str">
        <f t="shared" si="32"/>
        <v/>
      </c>
      <c r="CX13" s="9" t="str">
        <f t="shared" si="33"/>
        <v/>
      </c>
      <c r="CY13" s="9" t="str">
        <f t="shared" si="34"/>
        <v/>
      </c>
      <c r="CZ13" s="9" t="str">
        <f t="shared" si="35"/>
        <v/>
      </c>
      <c r="DA13" s="9" t="str">
        <f t="shared" si="36"/>
        <v/>
      </c>
      <c r="DB13" s="9" t="str">
        <f t="shared" si="37"/>
        <v/>
      </c>
      <c r="DC13" s="9" t="str">
        <f t="shared" si="38"/>
        <v/>
      </c>
      <c r="DD13" s="234" t="str">
        <f t="shared" si="39"/>
        <v/>
      </c>
      <c r="DE13" s="9" t="str">
        <f t="shared" si="40"/>
        <v/>
      </c>
      <c r="DF13" s="9" t="str">
        <f t="shared" si="41"/>
        <v/>
      </c>
      <c r="DG13" s="9" t="str">
        <f t="shared" si="42"/>
        <v/>
      </c>
      <c r="DH13" s="9" t="str">
        <f t="shared" si="43"/>
        <v/>
      </c>
      <c r="DI13" s="9" t="str">
        <f t="shared" si="44"/>
        <v/>
      </c>
      <c r="DJ13" s="234" t="str">
        <f t="shared" si="45"/>
        <v/>
      </c>
      <c r="DK13" s="237" t="str">
        <f t="shared" si="46"/>
        <v/>
      </c>
      <c r="DL13" s="234" t="str">
        <f t="shared" si="47"/>
        <v/>
      </c>
      <c r="DM13" s="9" t="str">
        <f t="shared" si="48"/>
        <v/>
      </c>
      <c r="DN13" s="9" t="str">
        <f t="shared" si="49"/>
        <v/>
      </c>
      <c r="DO13" s="9" t="str">
        <f t="shared" si="50"/>
        <v/>
      </c>
      <c r="DP13" s="234" t="str">
        <f t="shared" si="51"/>
        <v/>
      </c>
      <c r="DQ13" s="9"/>
      <c r="DR13" s="9"/>
      <c r="DS13" s="9"/>
      <c r="DT13" s="9"/>
      <c r="DU13" s="9"/>
      <c r="DV13" s="9"/>
      <c r="DW13" s="9"/>
      <c r="DX13" s="9"/>
      <c r="DY13" s="9"/>
      <c r="DZ13" s="9"/>
      <c r="EA13" s="9"/>
      <c r="EB13" s="9"/>
      <c r="EC13" s="9"/>
      <c r="ED13" s="9"/>
      <c r="EE13" s="9"/>
      <c r="EF13" s="9"/>
      <c r="EG13" s="9"/>
      <c r="EH13" s="9"/>
      <c r="EI13" s="9"/>
      <c r="EJ13" s="234">
        <f>SUM($DP$3:DP13)</f>
        <v>0</v>
      </c>
      <c r="EK13" s="9">
        <f>SUM($DP$3:DQ13)</f>
        <v>0</v>
      </c>
      <c r="EL13" s="9">
        <f>SUM($DP$3:DR13)</f>
        <v>0</v>
      </c>
      <c r="EM13" s="9">
        <f>SUM($DP$3:DS13)</f>
        <v>0</v>
      </c>
      <c r="EN13" s="9">
        <f>SUM($DP$3:DT13)</f>
        <v>0</v>
      </c>
      <c r="EO13" s="9">
        <f>SUM($DP$3:DU13)</f>
        <v>0</v>
      </c>
      <c r="EP13" s="9">
        <f>SUM($DP$3:DV13)</f>
        <v>0</v>
      </c>
      <c r="EQ13" s="9">
        <f>SUM($DP$3:DW13)</f>
        <v>0</v>
      </c>
      <c r="ER13" s="9">
        <f>SUM($DP$3:DX13)</f>
        <v>0</v>
      </c>
      <c r="ES13" s="9">
        <f>SUM($DP$3:DY13)</f>
        <v>0</v>
      </c>
      <c r="ET13" s="9">
        <f>SUM($DP$3:DZ13)</f>
        <v>0</v>
      </c>
      <c r="EU13" s="9">
        <f>SUM($DP$3:EA13)</f>
        <v>0</v>
      </c>
      <c r="EV13" s="9">
        <f>SUM($DP$3:EB13)</f>
        <v>0</v>
      </c>
      <c r="EW13" s="9">
        <f>SUM($DP$3:EC13)</f>
        <v>0</v>
      </c>
      <c r="EX13" s="9">
        <f>SUM($DP$3:ED13)</f>
        <v>0</v>
      </c>
      <c r="EY13" s="9">
        <f>SUM($DP$3:EE13)</f>
        <v>0</v>
      </c>
      <c r="EZ13" s="9">
        <f>SUM($DP$3:EF13)</f>
        <v>0</v>
      </c>
      <c r="FA13" s="9">
        <f>SUM($DP$3:EG13)</f>
        <v>0</v>
      </c>
      <c r="FB13" s="9">
        <f>SUM($DP$3:EH13)</f>
        <v>0</v>
      </c>
      <c r="FC13" s="9">
        <f>SUM($DP$3:EI13)</f>
        <v>0</v>
      </c>
      <c r="FD13" s="9"/>
      <c r="FE13" s="9"/>
      <c r="FF13" s="9"/>
      <c r="FG13" s="9"/>
      <c r="FH13" s="9"/>
      <c r="FI13" s="9"/>
      <c r="FJ13" s="9"/>
      <c r="FK13" s="9"/>
      <c r="FL13" s="9"/>
      <c r="FM13" s="9"/>
      <c r="FN13" s="9"/>
      <c r="FO13" s="9"/>
      <c r="FP13" s="9"/>
      <c r="FQ13" s="9"/>
      <c r="FR13" s="9"/>
      <c r="FS13" s="9"/>
      <c r="FT13" s="9"/>
      <c r="FU13" s="9"/>
      <c r="FV13" s="9"/>
      <c r="FW13" s="9"/>
    </row>
    <row r="14" spans="1:179" ht="20.100000000000001" customHeight="1" x14ac:dyDescent="0.25">
      <c r="A14" s="8"/>
      <c r="B14" s="8" t="s">
        <v>399</v>
      </c>
      <c r="C14" s="8"/>
      <c r="D14" s="8"/>
      <c r="E14" s="8"/>
      <c r="F14" s="9"/>
      <c r="G14" s="9"/>
      <c r="H14" s="9"/>
      <c r="I14" s="9"/>
      <c r="J14" s="9"/>
      <c r="K14" s="234"/>
      <c r="L14" s="234" t="str">
        <f>IFERROR(VLOOKUP([10]!family_planning[[#This Row],[Helper]],[10]datavalidation!E:G,3,FALSE),"")</f>
        <v/>
      </c>
      <c r="M14" s="10"/>
      <c r="N14" s="52" t="str">
        <f>IF(mshn_database[[#This Row],[Date of Registration '[mm/dd/yy']]]="","",TEXT(mshn_database[[#This Row],[Date of Registration '[mm/dd/yy']]],"mmmm"))</f>
        <v/>
      </c>
      <c r="O14" s="52" t="str">
        <f>IF(mshn_database[[#This Row],[Date of Registration '[mm/dd/yy']]]="","","Q"&amp;INT((MONTH(mshn_database[[#This Row],[Date of Registration '[mm/dd/yy']]])-1)/3)+1)</f>
        <v/>
      </c>
      <c r="P14" s="52" t="str">
        <f>IF(mshn_database[[#This Row],[Date of Registration '[mm/dd/yy']]]="","",TEXT(mshn_database[[#This Row],[Date of Registration '[mm/dd/yy']]],"yyyy"))</f>
        <v/>
      </c>
      <c r="Q14" s="63"/>
      <c r="R14" s="186" t="str">
        <f t="shared" si="13"/>
        <v/>
      </c>
      <c r="S14" s="9"/>
      <c r="T14" s="9"/>
      <c r="U14" s="235" t="str">
        <f t="shared" si="14"/>
        <v/>
      </c>
      <c r="V14" s="234" t="str">
        <f>IF(mshn_database[[#This Row],[Age_Category]]="","",VLOOKUP(mshn_database[[#This Row],[Age_Category]],[10]info!$H$2:$I$6,2,FALSE))</f>
        <v/>
      </c>
      <c r="Y14" s="9"/>
      <c r="Z14" s="9"/>
      <c r="AA14" s="10"/>
      <c r="AB14" s="10"/>
      <c r="AC14" s="53" t="str">
        <f t="shared" ca="1" si="15"/>
        <v/>
      </c>
      <c r="AD14" s="9"/>
      <c r="AE14" s="9"/>
      <c r="AF14" s="183"/>
      <c r="AG14" s="183"/>
      <c r="AH14" s="183"/>
      <c r="AI14" s="183"/>
      <c r="AJ14" s="183"/>
      <c r="AK14" s="10"/>
      <c r="AL14" s="10"/>
      <c r="AM14" s="10"/>
      <c r="AN14" s="10"/>
      <c r="AO14" s="10"/>
      <c r="AP14" s="10"/>
      <c r="AQ14" s="10"/>
      <c r="AR14" s="10"/>
      <c r="AS14" s="10"/>
      <c r="AT14" s="10"/>
      <c r="AU14" s="10"/>
      <c r="AV14" s="10"/>
      <c r="AW14" s="10"/>
      <c r="AX14" s="10"/>
      <c r="AY14" s="10"/>
      <c r="AZ14" s="10"/>
      <c r="BA14" s="10"/>
      <c r="BB14" s="10"/>
      <c r="BC14" s="10"/>
      <c r="BD14" s="10"/>
      <c r="BE14" s="235">
        <f t="shared" si="16"/>
        <v>0</v>
      </c>
      <c r="BF14" s="235" t="str">
        <f t="shared" si="17"/>
        <v>No</v>
      </c>
      <c r="BG14" s="236"/>
      <c r="BH14" s="236"/>
      <c r="BI14" s="236"/>
      <c r="BJ14" s="184"/>
      <c r="BK14" s="10"/>
      <c r="BL14" s="9"/>
      <c r="BM14" s="9"/>
      <c r="BN14" s="9"/>
      <c r="BO14" s="9"/>
      <c r="BP14" s="9"/>
      <c r="BQ14" s="9"/>
      <c r="BR14" s="9"/>
      <c r="BS14" s="9"/>
      <c r="BT14" s="9"/>
      <c r="BU14" s="9"/>
      <c r="BV14" s="10"/>
      <c r="BW14" s="10"/>
      <c r="BX14" s="10"/>
      <c r="BY14" s="10"/>
      <c r="BZ14" s="10"/>
      <c r="CA14" s="10"/>
      <c r="CB14" s="235" t="str">
        <f t="shared" si="18"/>
        <v/>
      </c>
      <c r="CC14" s="9"/>
      <c r="CD14" s="9"/>
      <c r="CE14" s="10"/>
      <c r="CF14" s="9"/>
      <c r="CG14" s="9"/>
      <c r="CH14" s="9"/>
      <c r="CI14" s="9"/>
      <c r="CJ14" s="234" t="str">
        <f t="shared" si="19"/>
        <v/>
      </c>
      <c r="CK14" s="9" t="str">
        <f t="shared" si="20"/>
        <v/>
      </c>
      <c r="CL14" s="9" t="str">
        <f t="shared" si="21"/>
        <v/>
      </c>
      <c r="CM14" s="9" t="str">
        <f t="shared" si="22"/>
        <v/>
      </c>
      <c r="CN14" s="9" t="str">
        <f t="shared" si="23"/>
        <v/>
      </c>
      <c r="CO14" s="9" t="str">
        <f t="shared" si="24"/>
        <v/>
      </c>
      <c r="CP14" s="9" t="str">
        <f t="shared" si="25"/>
        <v/>
      </c>
      <c r="CQ14" s="9" t="str">
        <f t="shared" si="26"/>
        <v/>
      </c>
      <c r="CR14" s="9" t="str">
        <f t="shared" si="27"/>
        <v/>
      </c>
      <c r="CS14" s="9" t="str">
        <f t="shared" si="28"/>
        <v/>
      </c>
      <c r="CT14" s="9" t="str">
        <f t="shared" si="29"/>
        <v/>
      </c>
      <c r="CU14" s="9" t="str">
        <f t="shared" si="30"/>
        <v/>
      </c>
      <c r="CV14" s="9" t="str">
        <f t="shared" si="31"/>
        <v/>
      </c>
      <c r="CW14" s="9" t="str">
        <f t="shared" si="32"/>
        <v/>
      </c>
      <c r="CX14" s="9" t="str">
        <f t="shared" si="33"/>
        <v/>
      </c>
      <c r="CY14" s="9" t="str">
        <f t="shared" si="34"/>
        <v/>
      </c>
      <c r="CZ14" s="9" t="str">
        <f t="shared" si="35"/>
        <v/>
      </c>
      <c r="DA14" s="9" t="str">
        <f t="shared" si="36"/>
        <v/>
      </c>
      <c r="DB14" s="9" t="str">
        <f t="shared" si="37"/>
        <v/>
      </c>
      <c r="DC14" s="9" t="str">
        <f t="shared" si="38"/>
        <v/>
      </c>
      <c r="DD14" s="234" t="str">
        <f t="shared" si="39"/>
        <v/>
      </c>
      <c r="DE14" s="9" t="str">
        <f t="shared" si="40"/>
        <v/>
      </c>
      <c r="DF14" s="9" t="str">
        <f t="shared" si="41"/>
        <v/>
      </c>
      <c r="DG14" s="9" t="str">
        <f t="shared" si="42"/>
        <v/>
      </c>
      <c r="DH14" s="9" t="str">
        <f t="shared" si="43"/>
        <v/>
      </c>
      <c r="DI14" s="9" t="str">
        <f t="shared" si="44"/>
        <v/>
      </c>
      <c r="DJ14" s="234" t="str">
        <f t="shared" si="45"/>
        <v/>
      </c>
      <c r="DK14" s="237" t="str">
        <f t="shared" si="46"/>
        <v/>
      </c>
      <c r="DL14" s="234" t="str">
        <f t="shared" si="47"/>
        <v/>
      </c>
      <c r="DM14" s="9" t="str">
        <f t="shared" si="48"/>
        <v/>
      </c>
      <c r="DN14" s="9" t="str">
        <f t="shared" si="49"/>
        <v/>
      </c>
      <c r="DO14" s="9" t="str">
        <f t="shared" si="50"/>
        <v/>
      </c>
      <c r="DP14" s="234" t="str">
        <f t="shared" si="51"/>
        <v/>
      </c>
      <c r="DQ14" s="9"/>
      <c r="DR14" s="9"/>
      <c r="DS14" s="9"/>
      <c r="DT14" s="9"/>
      <c r="DU14" s="9"/>
      <c r="DV14" s="9"/>
      <c r="DW14" s="9"/>
      <c r="DX14" s="9"/>
      <c r="DY14" s="9"/>
      <c r="DZ14" s="9"/>
      <c r="EA14" s="9"/>
      <c r="EB14" s="9"/>
      <c r="EC14" s="9"/>
      <c r="ED14" s="9"/>
      <c r="EE14" s="9"/>
      <c r="EF14" s="9"/>
      <c r="EG14" s="9"/>
      <c r="EH14" s="9"/>
      <c r="EI14" s="9"/>
      <c r="EJ14" s="234">
        <f>SUM($DP$3:DP14)</f>
        <v>0</v>
      </c>
      <c r="EK14" s="9">
        <f>SUM($DP$3:DQ14)</f>
        <v>0</v>
      </c>
      <c r="EL14" s="9">
        <f>SUM($DP$3:DR14)</f>
        <v>0</v>
      </c>
      <c r="EM14" s="9">
        <f>SUM($DP$3:DS14)</f>
        <v>0</v>
      </c>
      <c r="EN14" s="9">
        <f>SUM($DP$3:DT14)</f>
        <v>0</v>
      </c>
      <c r="EO14" s="9">
        <f>SUM($DP$3:DU14)</f>
        <v>0</v>
      </c>
      <c r="EP14" s="9">
        <f>SUM($DP$3:DV14)</f>
        <v>0</v>
      </c>
      <c r="EQ14" s="9">
        <f>SUM($DP$3:DW14)</f>
        <v>0</v>
      </c>
      <c r="ER14" s="9">
        <f>SUM($DP$3:DX14)</f>
        <v>0</v>
      </c>
      <c r="ES14" s="9">
        <f>SUM($DP$3:DY14)</f>
        <v>0</v>
      </c>
      <c r="ET14" s="9">
        <f>SUM($DP$3:DZ14)</f>
        <v>0</v>
      </c>
      <c r="EU14" s="9">
        <f>SUM($DP$3:EA14)</f>
        <v>0</v>
      </c>
      <c r="EV14" s="9">
        <f>SUM($DP$3:EB14)</f>
        <v>0</v>
      </c>
      <c r="EW14" s="9">
        <f>SUM($DP$3:EC14)</f>
        <v>0</v>
      </c>
      <c r="EX14" s="9">
        <f>SUM($DP$3:ED14)</f>
        <v>0</v>
      </c>
      <c r="EY14" s="9">
        <f>SUM($DP$3:EE14)</f>
        <v>0</v>
      </c>
      <c r="EZ14" s="9">
        <f>SUM($DP$3:EF14)</f>
        <v>0</v>
      </c>
      <c r="FA14" s="9">
        <f>SUM($DP$3:EG14)</f>
        <v>0</v>
      </c>
      <c r="FB14" s="9">
        <f>SUM($DP$3:EH14)</f>
        <v>0</v>
      </c>
      <c r="FC14" s="9">
        <f>SUM($DP$3:EI14)</f>
        <v>0</v>
      </c>
      <c r="FD14" s="9"/>
      <c r="FE14" s="9"/>
      <c r="FF14" s="9"/>
      <c r="FG14" s="9"/>
      <c r="FH14" s="9"/>
      <c r="FI14" s="9"/>
      <c r="FJ14" s="9"/>
      <c r="FK14" s="9"/>
      <c r="FL14" s="9"/>
      <c r="FM14" s="9"/>
      <c r="FN14" s="9"/>
      <c r="FO14" s="9"/>
      <c r="FP14" s="9"/>
      <c r="FQ14" s="9"/>
      <c r="FR14" s="9"/>
      <c r="FS14" s="9"/>
      <c r="FT14" s="9"/>
      <c r="FU14" s="9"/>
      <c r="FV14" s="9"/>
      <c r="FW14" s="9"/>
    </row>
    <row r="15" spans="1:179" ht="20.100000000000001" customHeight="1" x14ac:dyDescent="0.25">
      <c r="A15" s="8"/>
      <c r="B15" s="8" t="s">
        <v>399</v>
      </c>
      <c r="C15" s="8"/>
      <c r="D15" s="8"/>
      <c r="E15" s="8"/>
      <c r="F15" s="9"/>
      <c r="G15" s="9"/>
      <c r="H15" s="9"/>
      <c r="I15" s="9"/>
      <c r="J15" s="9"/>
      <c r="K15" s="234"/>
      <c r="L15" s="234" t="str">
        <f>IFERROR(VLOOKUP([10]!family_planning[[#This Row],[Helper]],[10]datavalidation!E:G,3,FALSE),"")</f>
        <v/>
      </c>
      <c r="M15" s="10"/>
      <c r="N15" s="52" t="str">
        <f>IF(mshn_database[[#This Row],[Date of Registration '[mm/dd/yy']]]="","",TEXT(mshn_database[[#This Row],[Date of Registration '[mm/dd/yy']]],"mmmm"))</f>
        <v/>
      </c>
      <c r="O15" s="52" t="str">
        <f>IF(mshn_database[[#This Row],[Date of Registration '[mm/dd/yy']]]="","","Q"&amp;INT((MONTH(mshn_database[[#This Row],[Date of Registration '[mm/dd/yy']]])-1)/3)+1)</f>
        <v/>
      </c>
      <c r="P15" s="52" t="str">
        <f>IF(mshn_database[[#This Row],[Date of Registration '[mm/dd/yy']]]="","",TEXT(mshn_database[[#This Row],[Date of Registration '[mm/dd/yy']]],"yyyy"))</f>
        <v/>
      </c>
      <c r="Q15" s="63"/>
      <c r="R15" s="186" t="str">
        <f t="shared" si="13"/>
        <v/>
      </c>
      <c r="S15" s="9"/>
      <c r="T15" s="9"/>
      <c r="U15" s="235" t="str">
        <f t="shared" si="14"/>
        <v/>
      </c>
      <c r="V15" s="234" t="str">
        <f>IF(mshn_database[[#This Row],[Age_Category]]="","",VLOOKUP(mshn_database[[#This Row],[Age_Category]],[10]info!$H$2:$I$6,2,FALSE))</f>
        <v/>
      </c>
      <c r="Y15" s="9"/>
      <c r="Z15" s="9"/>
      <c r="AA15" s="10"/>
      <c r="AB15" s="10"/>
      <c r="AC15" s="53" t="str">
        <f t="shared" ca="1" si="15"/>
        <v/>
      </c>
      <c r="AD15" s="9"/>
      <c r="AE15" s="9"/>
      <c r="AF15" s="183"/>
      <c r="AG15" s="183"/>
      <c r="AH15" s="183"/>
      <c r="AI15" s="183"/>
      <c r="AJ15" s="183"/>
      <c r="AK15" s="10"/>
      <c r="AL15" s="10"/>
      <c r="AM15" s="10"/>
      <c r="AN15" s="10"/>
      <c r="AO15" s="10"/>
      <c r="AP15" s="10"/>
      <c r="AQ15" s="10"/>
      <c r="AR15" s="10"/>
      <c r="AS15" s="10"/>
      <c r="AT15" s="10"/>
      <c r="AU15" s="10"/>
      <c r="AV15" s="10"/>
      <c r="AW15" s="10"/>
      <c r="AX15" s="10"/>
      <c r="AY15" s="10"/>
      <c r="AZ15" s="10"/>
      <c r="BA15" s="10"/>
      <c r="BB15" s="10"/>
      <c r="BC15" s="10"/>
      <c r="BD15" s="10"/>
      <c r="BE15" s="235">
        <f t="shared" si="16"/>
        <v>0</v>
      </c>
      <c r="BF15" s="235" t="str">
        <f t="shared" si="17"/>
        <v>No</v>
      </c>
      <c r="BG15" s="236"/>
      <c r="BH15" s="236"/>
      <c r="BI15" s="236"/>
      <c r="BJ15" s="184"/>
      <c r="BK15" s="10"/>
      <c r="BL15" s="9"/>
      <c r="BM15" s="9"/>
      <c r="BN15" s="9"/>
      <c r="BO15" s="9"/>
      <c r="BP15" s="9"/>
      <c r="BQ15" s="9"/>
      <c r="BR15" s="9"/>
      <c r="BS15" s="9"/>
      <c r="BT15" s="9"/>
      <c r="BU15" s="9"/>
      <c r="BV15" s="10"/>
      <c r="BW15" s="10"/>
      <c r="BX15" s="10"/>
      <c r="BY15" s="10"/>
      <c r="BZ15" s="10"/>
      <c r="CA15" s="10"/>
      <c r="CB15" s="235" t="str">
        <f t="shared" si="18"/>
        <v/>
      </c>
      <c r="CC15" s="9"/>
      <c r="CD15" s="9"/>
      <c r="CE15" s="10"/>
      <c r="CF15" s="9"/>
      <c r="CG15" s="9"/>
      <c r="CH15" s="9"/>
      <c r="CI15" s="9"/>
      <c r="CJ15" s="234" t="str">
        <f t="shared" si="19"/>
        <v/>
      </c>
      <c r="CK15" s="9" t="str">
        <f t="shared" si="20"/>
        <v/>
      </c>
      <c r="CL15" s="9" t="str">
        <f t="shared" si="21"/>
        <v/>
      </c>
      <c r="CM15" s="9" t="str">
        <f t="shared" si="22"/>
        <v/>
      </c>
      <c r="CN15" s="9" t="str">
        <f t="shared" si="23"/>
        <v/>
      </c>
      <c r="CO15" s="9" t="str">
        <f t="shared" si="24"/>
        <v/>
      </c>
      <c r="CP15" s="9" t="str">
        <f t="shared" si="25"/>
        <v/>
      </c>
      <c r="CQ15" s="9" t="str">
        <f t="shared" si="26"/>
        <v/>
      </c>
      <c r="CR15" s="9" t="str">
        <f t="shared" si="27"/>
        <v/>
      </c>
      <c r="CS15" s="9" t="str">
        <f t="shared" si="28"/>
        <v/>
      </c>
      <c r="CT15" s="9" t="str">
        <f t="shared" si="29"/>
        <v/>
      </c>
      <c r="CU15" s="9" t="str">
        <f t="shared" si="30"/>
        <v/>
      </c>
      <c r="CV15" s="9" t="str">
        <f t="shared" si="31"/>
        <v/>
      </c>
      <c r="CW15" s="9" t="str">
        <f t="shared" si="32"/>
        <v/>
      </c>
      <c r="CX15" s="9" t="str">
        <f t="shared" si="33"/>
        <v/>
      </c>
      <c r="CY15" s="9" t="str">
        <f t="shared" si="34"/>
        <v/>
      </c>
      <c r="CZ15" s="9" t="str">
        <f t="shared" si="35"/>
        <v/>
      </c>
      <c r="DA15" s="9" t="str">
        <f t="shared" si="36"/>
        <v/>
      </c>
      <c r="DB15" s="9" t="str">
        <f t="shared" si="37"/>
        <v/>
      </c>
      <c r="DC15" s="9" t="str">
        <f t="shared" si="38"/>
        <v/>
      </c>
      <c r="DD15" s="234" t="str">
        <f t="shared" si="39"/>
        <v/>
      </c>
      <c r="DE15" s="9" t="str">
        <f t="shared" si="40"/>
        <v/>
      </c>
      <c r="DF15" s="9" t="str">
        <f t="shared" si="41"/>
        <v/>
      </c>
      <c r="DG15" s="9" t="str">
        <f t="shared" si="42"/>
        <v/>
      </c>
      <c r="DH15" s="9" t="str">
        <f t="shared" si="43"/>
        <v/>
      </c>
      <c r="DI15" s="9" t="str">
        <f t="shared" si="44"/>
        <v/>
      </c>
      <c r="DJ15" s="234" t="str">
        <f t="shared" si="45"/>
        <v/>
      </c>
      <c r="DK15" s="237" t="str">
        <f t="shared" si="46"/>
        <v/>
      </c>
      <c r="DL15" s="234" t="str">
        <f t="shared" si="47"/>
        <v/>
      </c>
      <c r="DM15" s="9" t="str">
        <f t="shared" si="48"/>
        <v/>
      </c>
      <c r="DN15" s="9" t="str">
        <f t="shared" si="49"/>
        <v/>
      </c>
      <c r="DO15" s="9" t="str">
        <f t="shared" si="50"/>
        <v/>
      </c>
      <c r="DP15" s="234" t="str">
        <f t="shared" si="51"/>
        <v/>
      </c>
      <c r="DQ15" s="9"/>
      <c r="DR15" s="9"/>
      <c r="DS15" s="9"/>
      <c r="DT15" s="9"/>
      <c r="DU15" s="9"/>
      <c r="DV15" s="9"/>
      <c r="DW15" s="9"/>
      <c r="DX15" s="9"/>
      <c r="DY15" s="9"/>
      <c r="DZ15" s="9"/>
      <c r="EA15" s="9"/>
      <c r="EB15" s="9"/>
      <c r="EC15" s="9"/>
      <c r="ED15" s="9"/>
      <c r="EE15" s="9"/>
      <c r="EF15" s="9"/>
      <c r="EG15" s="9"/>
      <c r="EH15" s="9"/>
      <c r="EI15" s="9"/>
      <c r="EJ15" s="234">
        <f>SUM($DP$3:DP15)</f>
        <v>0</v>
      </c>
      <c r="EK15" s="9">
        <f>SUM($DP$3:DQ15)</f>
        <v>0</v>
      </c>
      <c r="EL15" s="9">
        <f>SUM($DP$3:DR15)</f>
        <v>0</v>
      </c>
      <c r="EM15" s="9">
        <f>SUM($DP$3:DS15)</f>
        <v>0</v>
      </c>
      <c r="EN15" s="9">
        <f>SUM($DP$3:DT15)</f>
        <v>0</v>
      </c>
      <c r="EO15" s="9">
        <f>SUM($DP$3:DU15)</f>
        <v>0</v>
      </c>
      <c r="EP15" s="9">
        <f>SUM($DP$3:DV15)</f>
        <v>0</v>
      </c>
      <c r="EQ15" s="9">
        <f>SUM($DP$3:DW15)</f>
        <v>0</v>
      </c>
      <c r="ER15" s="9">
        <f>SUM($DP$3:DX15)</f>
        <v>0</v>
      </c>
      <c r="ES15" s="9">
        <f>SUM($DP$3:DY15)</f>
        <v>0</v>
      </c>
      <c r="ET15" s="9">
        <f>SUM($DP$3:DZ15)</f>
        <v>0</v>
      </c>
      <c r="EU15" s="9">
        <f>SUM($DP$3:EA15)</f>
        <v>0</v>
      </c>
      <c r="EV15" s="9">
        <f>SUM($DP$3:EB15)</f>
        <v>0</v>
      </c>
      <c r="EW15" s="9">
        <f>SUM($DP$3:EC15)</f>
        <v>0</v>
      </c>
      <c r="EX15" s="9">
        <f>SUM($DP$3:ED15)</f>
        <v>0</v>
      </c>
      <c r="EY15" s="9">
        <f>SUM($DP$3:EE15)</f>
        <v>0</v>
      </c>
      <c r="EZ15" s="9">
        <f>SUM($DP$3:EF15)</f>
        <v>0</v>
      </c>
      <c r="FA15" s="9">
        <f>SUM($DP$3:EG15)</f>
        <v>0</v>
      </c>
      <c r="FB15" s="9">
        <f>SUM($DP$3:EH15)</f>
        <v>0</v>
      </c>
      <c r="FC15" s="9">
        <f>SUM($DP$3:EI15)</f>
        <v>0</v>
      </c>
      <c r="FD15" s="9"/>
      <c r="FE15" s="9"/>
      <c r="FF15" s="9"/>
      <c r="FG15" s="9"/>
      <c r="FH15" s="9"/>
      <c r="FI15" s="9"/>
      <c r="FJ15" s="9"/>
      <c r="FK15" s="9"/>
      <c r="FL15" s="9"/>
      <c r="FM15" s="9"/>
      <c r="FN15" s="9"/>
      <c r="FO15" s="9"/>
      <c r="FP15" s="9"/>
      <c r="FQ15" s="9"/>
      <c r="FR15" s="9"/>
      <c r="FS15" s="9"/>
      <c r="FT15" s="9"/>
      <c r="FU15" s="9"/>
      <c r="FV15" s="9"/>
      <c r="FW15" s="9"/>
    </row>
    <row r="16" spans="1:179" ht="20.100000000000001" customHeight="1" x14ac:dyDescent="0.25">
      <c r="A16" s="8"/>
      <c r="B16" s="8" t="s">
        <v>399</v>
      </c>
      <c r="C16" s="8"/>
      <c r="D16" s="8"/>
      <c r="E16" s="8"/>
      <c r="F16" s="9"/>
      <c r="G16" s="9"/>
      <c r="H16" s="9"/>
      <c r="I16" s="9"/>
      <c r="J16" s="9"/>
      <c r="K16" s="234"/>
      <c r="L16" s="234" t="str">
        <f>IFERROR(VLOOKUP([10]!family_planning[[#This Row],[Helper]],[10]datavalidation!E:G,3,FALSE),"")</f>
        <v/>
      </c>
      <c r="M16" s="10"/>
      <c r="N16" s="52" t="str">
        <f>IF(mshn_database[[#This Row],[Date of Registration '[mm/dd/yy']]]="","",TEXT(mshn_database[[#This Row],[Date of Registration '[mm/dd/yy']]],"mmmm"))</f>
        <v/>
      </c>
      <c r="O16" s="52" t="str">
        <f>IF(mshn_database[[#This Row],[Date of Registration '[mm/dd/yy']]]="","","Q"&amp;INT((MONTH(mshn_database[[#This Row],[Date of Registration '[mm/dd/yy']]])-1)/3)+1)</f>
        <v/>
      </c>
      <c r="P16" s="52" t="str">
        <f>IF(mshn_database[[#This Row],[Date of Registration '[mm/dd/yy']]]="","",TEXT(mshn_database[[#This Row],[Date of Registration '[mm/dd/yy']]],"yyyy"))</f>
        <v/>
      </c>
      <c r="Q16" s="63"/>
      <c r="R16" s="186" t="str">
        <f t="shared" si="13"/>
        <v/>
      </c>
      <c r="S16" s="9"/>
      <c r="T16" s="9"/>
      <c r="U16" s="235" t="str">
        <f t="shared" si="14"/>
        <v/>
      </c>
      <c r="V16" s="234" t="str">
        <f>IF(mshn_database[[#This Row],[Age_Category]]="","",VLOOKUP(mshn_database[[#This Row],[Age_Category]],[10]info!$H$2:$I$6,2,FALSE))</f>
        <v/>
      </c>
      <c r="Y16" s="9"/>
      <c r="Z16" s="9"/>
      <c r="AA16" s="10"/>
      <c r="AB16" s="10"/>
      <c r="AC16" s="53" t="str">
        <f t="shared" ca="1" si="15"/>
        <v/>
      </c>
      <c r="AD16" s="9"/>
      <c r="AE16" s="9"/>
      <c r="AF16" s="183"/>
      <c r="AG16" s="183"/>
      <c r="AH16" s="183"/>
      <c r="AI16" s="183"/>
      <c r="AJ16" s="183"/>
      <c r="AK16" s="10"/>
      <c r="AL16" s="10"/>
      <c r="AM16" s="10"/>
      <c r="AN16" s="10"/>
      <c r="AO16" s="10"/>
      <c r="AP16" s="10"/>
      <c r="AQ16" s="10"/>
      <c r="AR16" s="10"/>
      <c r="AS16" s="10"/>
      <c r="AT16" s="10"/>
      <c r="AU16" s="10"/>
      <c r="AV16" s="10"/>
      <c r="AW16" s="10"/>
      <c r="AX16" s="10"/>
      <c r="AY16" s="10"/>
      <c r="AZ16" s="10"/>
      <c r="BA16" s="10"/>
      <c r="BB16" s="10"/>
      <c r="BC16" s="10"/>
      <c r="BD16" s="10"/>
      <c r="BE16" s="235">
        <f t="shared" si="16"/>
        <v>0</v>
      </c>
      <c r="BF16" s="235" t="str">
        <f t="shared" si="17"/>
        <v>No</v>
      </c>
      <c r="BG16" s="236"/>
      <c r="BH16" s="236"/>
      <c r="BI16" s="236"/>
      <c r="BJ16" s="184"/>
      <c r="BK16" s="10"/>
      <c r="BL16" s="9"/>
      <c r="BM16" s="9"/>
      <c r="BN16" s="9"/>
      <c r="BO16" s="9"/>
      <c r="BP16" s="9"/>
      <c r="BQ16" s="9"/>
      <c r="BR16" s="9"/>
      <c r="BS16" s="9"/>
      <c r="BT16" s="9"/>
      <c r="BU16" s="9"/>
      <c r="BV16" s="10"/>
      <c r="BW16" s="10"/>
      <c r="BX16" s="10"/>
      <c r="BY16" s="10"/>
      <c r="BZ16" s="10"/>
      <c r="CA16" s="10"/>
      <c r="CB16" s="235" t="str">
        <f t="shared" si="18"/>
        <v/>
      </c>
      <c r="CC16" s="9"/>
      <c r="CD16" s="9"/>
      <c r="CE16" s="10"/>
      <c r="CF16" s="9"/>
      <c r="CG16" s="9"/>
      <c r="CH16" s="9"/>
      <c r="CI16" s="9"/>
      <c r="CJ16" s="234" t="str">
        <f t="shared" si="19"/>
        <v/>
      </c>
      <c r="CK16" s="9" t="str">
        <f t="shared" si="20"/>
        <v/>
      </c>
      <c r="CL16" s="9" t="str">
        <f t="shared" si="21"/>
        <v/>
      </c>
      <c r="CM16" s="9" t="str">
        <f t="shared" si="22"/>
        <v/>
      </c>
      <c r="CN16" s="9" t="str">
        <f t="shared" si="23"/>
        <v/>
      </c>
      <c r="CO16" s="9" t="str">
        <f t="shared" si="24"/>
        <v/>
      </c>
      <c r="CP16" s="9" t="str">
        <f t="shared" si="25"/>
        <v/>
      </c>
      <c r="CQ16" s="9" t="str">
        <f t="shared" si="26"/>
        <v/>
      </c>
      <c r="CR16" s="9" t="str">
        <f t="shared" si="27"/>
        <v/>
      </c>
      <c r="CS16" s="9" t="str">
        <f t="shared" si="28"/>
        <v/>
      </c>
      <c r="CT16" s="9" t="str">
        <f t="shared" si="29"/>
        <v/>
      </c>
      <c r="CU16" s="9" t="str">
        <f t="shared" si="30"/>
        <v/>
      </c>
      <c r="CV16" s="9" t="str">
        <f t="shared" si="31"/>
        <v/>
      </c>
      <c r="CW16" s="9" t="str">
        <f t="shared" si="32"/>
        <v/>
      </c>
      <c r="CX16" s="9" t="str">
        <f t="shared" si="33"/>
        <v/>
      </c>
      <c r="CY16" s="9" t="str">
        <f t="shared" si="34"/>
        <v/>
      </c>
      <c r="CZ16" s="9" t="str">
        <f t="shared" si="35"/>
        <v/>
      </c>
      <c r="DA16" s="9" t="str">
        <f t="shared" si="36"/>
        <v/>
      </c>
      <c r="DB16" s="9" t="str">
        <f t="shared" si="37"/>
        <v/>
      </c>
      <c r="DC16" s="9" t="str">
        <f t="shared" si="38"/>
        <v/>
      </c>
      <c r="DD16" s="234" t="str">
        <f t="shared" si="39"/>
        <v/>
      </c>
      <c r="DE16" s="9" t="str">
        <f t="shared" si="40"/>
        <v/>
      </c>
      <c r="DF16" s="9" t="str">
        <f t="shared" si="41"/>
        <v/>
      </c>
      <c r="DG16" s="9" t="str">
        <f t="shared" si="42"/>
        <v/>
      </c>
      <c r="DH16" s="9" t="str">
        <f t="shared" si="43"/>
        <v/>
      </c>
      <c r="DI16" s="9" t="str">
        <f t="shared" si="44"/>
        <v/>
      </c>
      <c r="DJ16" s="234" t="str">
        <f t="shared" si="45"/>
        <v/>
      </c>
      <c r="DK16" s="237" t="str">
        <f t="shared" si="46"/>
        <v/>
      </c>
      <c r="DL16" s="234" t="str">
        <f t="shared" si="47"/>
        <v/>
      </c>
      <c r="DM16" s="9" t="str">
        <f t="shared" si="48"/>
        <v/>
      </c>
      <c r="DN16" s="9" t="str">
        <f t="shared" si="49"/>
        <v/>
      </c>
      <c r="DO16" s="9" t="str">
        <f t="shared" si="50"/>
        <v/>
      </c>
      <c r="DP16" s="234" t="str">
        <f t="shared" si="51"/>
        <v/>
      </c>
      <c r="DQ16" s="9"/>
      <c r="DR16" s="9"/>
      <c r="DS16" s="9"/>
      <c r="DT16" s="9"/>
      <c r="DU16" s="9"/>
      <c r="DV16" s="9"/>
      <c r="DW16" s="9"/>
      <c r="DX16" s="9"/>
      <c r="DY16" s="9"/>
      <c r="DZ16" s="9"/>
      <c r="EA16" s="9"/>
      <c r="EB16" s="9"/>
      <c r="EC16" s="9"/>
      <c r="ED16" s="9"/>
      <c r="EE16" s="9"/>
      <c r="EF16" s="9"/>
      <c r="EG16" s="9"/>
      <c r="EH16" s="9"/>
      <c r="EI16" s="9"/>
      <c r="EJ16" s="234">
        <f>SUM($DP$3:DP16)</f>
        <v>0</v>
      </c>
      <c r="EK16" s="9">
        <f>SUM($DP$3:DQ16)</f>
        <v>0</v>
      </c>
      <c r="EL16" s="9">
        <f>SUM($DP$3:DR16)</f>
        <v>0</v>
      </c>
      <c r="EM16" s="9">
        <f>SUM($DP$3:DS16)</f>
        <v>0</v>
      </c>
      <c r="EN16" s="9">
        <f>SUM($DP$3:DT16)</f>
        <v>0</v>
      </c>
      <c r="EO16" s="9">
        <f>SUM($DP$3:DU16)</f>
        <v>0</v>
      </c>
      <c r="EP16" s="9">
        <f>SUM($DP$3:DV16)</f>
        <v>0</v>
      </c>
      <c r="EQ16" s="9">
        <f>SUM($DP$3:DW16)</f>
        <v>0</v>
      </c>
      <c r="ER16" s="9">
        <f>SUM($DP$3:DX16)</f>
        <v>0</v>
      </c>
      <c r="ES16" s="9">
        <f>SUM($DP$3:DY16)</f>
        <v>0</v>
      </c>
      <c r="ET16" s="9">
        <f>SUM($DP$3:DZ16)</f>
        <v>0</v>
      </c>
      <c r="EU16" s="9">
        <f>SUM($DP$3:EA16)</f>
        <v>0</v>
      </c>
      <c r="EV16" s="9">
        <f>SUM($DP$3:EB16)</f>
        <v>0</v>
      </c>
      <c r="EW16" s="9">
        <f>SUM($DP$3:EC16)</f>
        <v>0</v>
      </c>
      <c r="EX16" s="9">
        <f>SUM($DP$3:ED16)</f>
        <v>0</v>
      </c>
      <c r="EY16" s="9">
        <f>SUM($DP$3:EE16)</f>
        <v>0</v>
      </c>
      <c r="EZ16" s="9">
        <f>SUM($DP$3:EF16)</f>
        <v>0</v>
      </c>
      <c r="FA16" s="9">
        <f>SUM($DP$3:EG16)</f>
        <v>0</v>
      </c>
      <c r="FB16" s="9">
        <f>SUM($DP$3:EH16)</f>
        <v>0</v>
      </c>
      <c r="FC16" s="9">
        <f>SUM($DP$3:EI16)</f>
        <v>0</v>
      </c>
      <c r="FD16" s="9"/>
      <c r="FE16" s="9"/>
      <c r="FF16" s="9"/>
      <c r="FG16" s="9"/>
      <c r="FH16" s="9"/>
      <c r="FI16" s="9"/>
      <c r="FJ16" s="9"/>
      <c r="FK16" s="9"/>
      <c r="FL16" s="9"/>
      <c r="FM16" s="9"/>
      <c r="FN16" s="9"/>
      <c r="FO16" s="9"/>
      <c r="FP16" s="9"/>
      <c r="FQ16" s="9"/>
      <c r="FR16" s="9"/>
      <c r="FS16" s="9"/>
      <c r="FT16" s="9"/>
      <c r="FU16" s="9"/>
      <c r="FV16" s="9"/>
      <c r="FW16" s="9"/>
    </row>
    <row r="17" spans="1:179" ht="20.100000000000001" customHeight="1" x14ac:dyDescent="0.25">
      <c r="A17" s="8"/>
      <c r="B17" s="8" t="s">
        <v>399</v>
      </c>
      <c r="C17" s="8"/>
      <c r="D17" s="8"/>
      <c r="E17" s="8"/>
      <c r="F17" s="9"/>
      <c r="G17" s="9"/>
      <c r="H17" s="9"/>
      <c r="I17" s="9"/>
      <c r="J17" s="9"/>
      <c r="K17" s="234"/>
      <c r="L17" s="234" t="str">
        <f>IFERROR(VLOOKUP([10]!family_planning[[#This Row],[Helper]],[10]datavalidation!E:G,3,FALSE),"")</f>
        <v/>
      </c>
      <c r="M17" s="10"/>
      <c r="N17" s="52" t="str">
        <f>IF(mshn_database[[#This Row],[Date of Registration '[mm/dd/yy']]]="","",TEXT(mshn_database[[#This Row],[Date of Registration '[mm/dd/yy']]],"mmmm"))</f>
        <v/>
      </c>
      <c r="O17" s="52" t="str">
        <f>IF(mshn_database[[#This Row],[Date of Registration '[mm/dd/yy']]]="","","Q"&amp;INT((MONTH(mshn_database[[#This Row],[Date of Registration '[mm/dd/yy']]])-1)/3)+1)</f>
        <v/>
      </c>
      <c r="P17" s="52" t="str">
        <f>IF(mshn_database[[#This Row],[Date of Registration '[mm/dd/yy']]]="","",TEXT(mshn_database[[#This Row],[Date of Registration '[mm/dd/yy']]],"yyyy"))</f>
        <v/>
      </c>
      <c r="Q17" s="63"/>
      <c r="R17" s="186" t="str">
        <f t="shared" si="13"/>
        <v/>
      </c>
      <c r="S17" s="9"/>
      <c r="T17" s="9"/>
      <c r="U17" s="235" t="str">
        <f t="shared" si="14"/>
        <v/>
      </c>
      <c r="V17" s="234" t="str">
        <f>IF(mshn_database[[#This Row],[Age_Category]]="","",VLOOKUP(mshn_database[[#This Row],[Age_Category]],[10]info!$H$2:$I$6,2,FALSE))</f>
        <v/>
      </c>
      <c r="Y17" s="9"/>
      <c r="Z17" s="9"/>
      <c r="AA17" s="10"/>
      <c r="AB17" s="10"/>
      <c r="AC17" s="53" t="str">
        <f t="shared" ca="1" si="15"/>
        <v/>
      </c>
      <c r="AD17" s="9"/>
      <c r="AE17" s="9"/>
      <c r="AF17" s="183"/>
      <c r="AG17" s="183"/>
      <c r="AH17" s="183"/>
      <c r="AI17" s="183"/>
      <c r="AJ17" s="183"/>
      <c r="AK17" s="10"/>
      <c r="AL17" s="10"/>
      <c r="AM17" s="10"/>
      <c r="AN17" s="10"/>
      <c r="AO17" s="10"/>
      <c r="AP17" s="10"/>
      <c r="AQ17" s="10"/>
      <c r="AR17" s="10"/>
      <c r="AS17" s="10"/>
      <c r="AT17" s="10"/>
      <c r="AU17" s="10"/>
      <c r="AV17" s="10"/>
      <c r="AW17" s="10"/>
      <c r="AX17" s="10"/>
      <c r="AY17" s="10"/>
      <c r="AZ17" s="10"/>
      <c r="BA17" s="10"/>
      <c r="BB17" s="10"/>
      <c r="BC17" s="10"/>
      <c r="BD17" s="10"/>
      <c r="BE17" s="235">
        <f t="shared" si="16"/>
        <v>0</v>
      </c>
      <c r="BF17" s="235" t="str">
        <f t="shared" si="17"/>
        <v>No</v>
      </c>
      <c r="BG17" s="236"/>
      <c r="BH17" s="236"/>
      <c r="BI17" s="236"/>
      <c r="BJ17" s="184"/>
      <c r="BK17" s="10"/>
      <c r="BL17" s="9"/>
      <c r="BM17" s="9"/>
      <c r="BN17" s="9"/>
      <c r="BO17" s="9"/>
      <c r="BP17" s="9"/>
      <c r="BQ17" s="9"/>
      <c r="BR17" s="9"/>
      <c r="BS17" s="9"/>
      <c r="BT17" s="9"/>
      <c r="BU17" s="9"/>
      <c r="BV17" s="10"/>
      <c r="BW17" s="10"/>
      <c r="BX17" s="10"/>
      <c r="BY17" s="10"/>
      <c r="BZ17" s="10"/>
      <c r="CA17" s="10"/>
      <c r="CB17" s="235" t="str">
        <f t="shared" si="18"/>
        <v/>
      </c>
      <c r="CC17" s="9"/>
      <c r="CD17" s="9"/>
      <c r="CE17" s="10"/>
      <c r="CF17" s="9"/>
      <c r="CG17" s="9"/>
      <c r="CH17" s="9"/>
      <c r="CI17" s="9"/>
      <c r="CJ17" s="234" t="str">
        <f t="shared" si="19"/>
        <v/>
      </c>
      <c r="CK17" s="9" t="str">
        <f t="shared" si="20"/>
        <v/>
      </c>
      <c r="CL17" s="9" t="str">
        <f t="shared" si="21"/>
        <v/>
      </c>
      <c r="CM17" s="9" t="str">
        <f t="shared" si="22"/>
        <v/>
      </c>
      <c r="CN17" s="9" t="str">
        <f t="shared" si="23"/>
        <v/>
      </c>
      <c r="CO17" s="9" t="str">
        <f t="shared" si="24"/>
        <v/>
      </c>
      <c r="CP17" s="9" t="str">
        <f t="shared" si="25"/>
        <v/>
      </c>
      <c r="CQ17" s="9" t="str">
        <f t="shared" si="26"/>
        <v/>
      </c>
      <c r="CR17" s="9" t="str">
        <f t="shared" si="27"/>
        <v/>
      </c>
      <c r="CS17" s="9" t="str">
        <f t="shared" si="28"/>
        <v/>
      </c>
      <c r="CT17" s="9" t="str">
        <f t="shared" si="29"/>
        <v/>
      </c>
      <c r="CU17" s="9" t="str">
        <f t="shared" si="30"/>
        <v/>
      </c>
      <c r="CV17" s="9" t="str">
        <f t="shared" si="31"/>
        <v/>
      </c>
      <c r="CW17" s="9" t="str">
        <f t="shared" si="32"/>
        <v/>
      </c>
      <c r="CX17" s="9" t="str">
        <f t="shared" si="33"/>
        <v/>
      </c>
      <c r="CY17" s="9" t="str">
        <f t="shared" si="34"/>
        <v/>
      </c>
      <c r="CZ17" s="9" t="str">
        <f t="shared" si="35"/>
        <v/>
      </c>
      <c r="DA17" s="9" t="str">
        <f t="shared" si="36"/>
        <v/>
      </c>
      <c r="DB17" s="9" t="str">
        <f t="shared" si="37"/>
        <v/>
      </c>
      <c r="DC17" s="9" t="str">
        <f t="shared" si="38"/>
        <v/>
      </c>
      <c r="DD17" s="234" t="str">
        <f t="shared" si="39"/>
        <v/>
      </c>
      <c r="DE17" s="9" t="str">
        <f t="shared" si="40"/>
        <v/>
      </c>
      <c r="DF17" s="9" t="str">
        <f t="shared" si="41"/>
        <v/>
      </c>
      <c r="DG17" s="9" t="str">
        <f t="shared" si="42"/>
        <v/>
      </c>
      <c r="DH17" s="9" t="str">
        <f t="shared" si="43"/>
        <v/>
      </c>
      <c r="DI17" s="9" t="str">
        <f t="shared" si="44"/>
        <v/>
      </c>
      <c r="DJ17" s="234" t="str">
        <f t="shared" si="45"/>
        <v/>
      </c>
      <c r="DK17" s="237" t="str">
        <f t="shared" si="46"/>
        <v/>
      </c>
      <c r="DL17" s="234" t="str">
        <f t="shared" si="47"/>
        <v/>
      </c>
      <c r="DM17" s="9" t="str">
        <f t="shared" si="48"/>
        <v/>
      </c>
      <c r="DN17" s="9" t="str">
        <f t="shared" si="49"/>
        <v/>
      </c>
      <c r="DO17" s="9" t="str">
        <f t="shared" si="50"/>
        <v/>
      </c>
      <c r="DP17" s="234" t="str">
        <f t="shared" si="51"/>
        <v/>
      </c>
      <c r="DQ17" s="9"/>
      <c r="DR17" s="9"/>
      <c r="DS17" s="9"/>
      <c r="DT17" s="9"/>
      <c r="DU17" s="9"/>
      <c r="DV17" s="9"/>
      <c r="DW17" s="9"/>
      <c r="DX17" s="9"/>
      <c r="DY17" s="9"/>
      <c r="DZ17" s="9"/>
      <c r="EA17" s="9"/>
      <c r="EB17" s="9"/>
      <c r="EC17" s="9"/>
      <c r="ED17" s="9"/>
      <c r="EE17" s="9"/>
      <c r="EF17" s="9"/>
      <c r="EG17" s="9"/>
      <c r="EH17" s="9"/>
      <c r="EI17" s="9"/>
      <c r="EJ17" s="234">
        <f>SUM($DP$3:DP17)</f>
        <v>0</v>
      </c>
      <c r="EK17" s="9">
        <f>SUM($DP$3:DQ17)</f>
        <v>0</v>
      </c>
      <c r="EL17" s="9">
        <f>SUM($DP$3:DR17)</f>
        <v>0</v>
      </c>
      <c r="EM17" s="9">
        <f>SUM($DP$3:DS17)</f>
        <v>0</v>
      </c>
      <c r="EN17" s="9">
        <f>SUM($DP$3:DT17)</f>
        <v>0</v>
      </c>
      <c r="EO17" s="9">
        <f>SUM($DP$3:DU17)</f>
        <v>0</v>
      </c>
      <c r="EP17" s="9">
        <f>SUM($DP$3:DV17)</f>
        <v>0</v>
      </c>
      <c r="EQ17" s="9">
        <f>SUM($DP$3:DW17)</f>
        <v>0</v>
      </c>
      <c r="ER17" s="9">
        <f>SUM($DP$3:DX17)</f>
        <v>0</v>
      </c>
      <c r="ES17" s="9">
        <f>SUM($DP$3:DY17)</f>
        <v>0</v>
      </c>
      <c r="ET17" s="9">
        <f>SUM($DP$3:DZ17)</f>
        <v>0</v>
      </c>
      <c r="EU17" s="9">
        <f>SUM($DP$3:EA17)</f>
        <v>0</v>
      </c>
      <c r="EV17" s="9">
        <f>SUM($DP$3:EB17)</f>
        <v>0</v>
      </c>
      <c r="EW17" s="9">
        <f>SUM($DP$3:EC17)</f>
        <v>0</v>
      </c>
      <c r="EX17" s="9">
        <f>SUM($DP$3:ED17)</f>
        <v>0</v>
      </c>
      <c r="EY17" s="9">
        <f>SUM($DP$3:EE17)</f>
        <v>0</v>
      </c>
      <c r="EZ17" s="9">
        <f>SUM($DP$3:EF17)</f>
        <v>0</v>
      </c>
      <c r="FA17" s="9">
        <f>SUM($DP$3:EG17)</f>
        <v>0</v>
      </c>
      <c r="FB17" s="9">
        <f>SUM($DP$3:EH17)</f>
        <v>0</v>
      </c>
      <c r="FC17" s="9">
        <f>SUM($DP$3:EI17)</f>
        <v>0</v>
      </c>
      <c r="FD17" s="9"/>
      <c r="FE17" s="9"/>
      <c r="FF17" s="9"/>
      <c r="FG17" s="9"/>
      <c r="FH17" s="9"/>
      <c r="FI17" s="9"/>
      <c r="FJ17" s="9"/>
      <c r="FK17" s="9"/>
      <c r="FL17" s="9"/>
      <c r="FM17" s="9"/>
      <c r="FN17" s="9"/>
      <c r="FO17" s="9"/>
      <c r="FP17" s="9"/>
      <c r="FQ17" s="9"/>
      <c r="FR17" s="9"/>
      <c r="FS17" s="9"/>
      <c r="FT17" s="9"/>
      <c r="FU17" s="9"/>
      <c r="FV17" s="9"/>
      <c r="FW17" s="9"/>
    </row>
    <row r="18" spans="1:179" ht="20.100000000000001" customHeight="1" x14ac:dyDescent="0.25">
      <c r="A18" s="8"/>
      <c r="B18" s="8" t="s">
        <v>399</v>
      </c>
      <c r="C18" s="8"/>
      <c r="D18" s="8"/>
      <c r="E18" s="8"/>
      <c r="F18" s="9"/>
      <c r="G18" s="9"/>
      <c r="H18" s="9"/>
      <c r="I18" s="9"/>
      <c r="J18" s="9"/>
      <c r="K18" s="234"/>
      <c r="L18" s="234" t="str">
        <f>IFERROR(VLOOKUP([10]!family_planning[[#This Row],[Helper]],[10]datavalidation!E:G,3,FALSE),"")</f>
        <v/>
      </c>
      <c r="M18" s="10"/>
      <c r="N18" s="52" t="str">
        <f>IF(mshn_database[[#This Row],[Date of Registration '[mm/dd/yy']]]="","",TEXT(mshn_database[[#This Row],[Date of Registration '[mm/dd/yy']]],"mmmm"))</f>
        <v/>
      </c>
      <c r="O18" s="52" t="str">
        <f>IF(mshn_database[[#This Row],[Date of Registration '[mm/dd/yy']]]="","","Q"&amp;INT((MONTH(mshn_database[[#This Row],[Date of Registration '[mm/dd/yy']]])-1)/3)+1)</f>
        <v/>
      </c>
      <c r="P18" s="52" t="str">
        <f>IF(mshn_database[[#This Row],[Date of Registration '[mm/dd/yy']]]="","",TEXT(mshn_database[[#This Row],[Date of Registration '[mm/dd/yy']]],"yyyy"))</f>
        <v/>
      </c>
      <c r="Q18" s="63"/>
      <c r="R18" s="186" t="str">
        <f t="shared" si="13"/>
        <v/>
      </c>
      <c r="S18" s="9"/>
      <c r="T18" s="9"/>
      <c r="U18" s="235" t="str">
        <f t="shared" si="14"/>
        <v/>
      </c>
      <c r="V18" s="234" t="str">
        <f>IF(mshn_database[[#This Row],[Age_Category]]="","",VLOOKUP(mshn_database[[#This Row],[Age_Category]],[10]info!$H$2:$I$6,2,FALSE))</f>
        <v/>
      </c>
      <c r="Y18" s="9"/>
      <c r="Z18" s="9"/>
      <c r="AA18" s="10"/>
      <c r="AB18" s="10"/>
      <c r="AC18" s="53" t="str">
        <f t="shared" ca="1" si="15"/>
        <v/>
      </c>
      <c r="AD18" s="9"/>
      <c r="AE18" s="9"/>
      <c r="AF18" s="183"/>
      <c r="AG18" s="183"/>
      <c r="AH18" s="183"/>
      <c r="AI18" s="183"/>
      <c r="AJ18" s="183"/>
      <c r="AK18" s="10"/>
      <c r="AL18" s="10"/>
      <c r="AM18" s="10"/>
      <c r="AN18" s="10"/>
      <c r="AO18" s="10"/>
      <c r="AP18" s="10"/>
      <c r="AQ18" s="10"/>
      <c r="AR18" s="10"/>
      <c r="AS18" s="10"/>
      <c r="AT18" s="10"/>
      <c r="AU18" s="10"/>
      <c r="AV18" s="10"/>
      <c r="AW18" s="10"/>
      <c r="AX18" s="10"/>
      <c r="AY18" s="10"/>
      <c r="AZ18" s="10"/>
      <c r="BA18" s="10"/>
      <c r="BB18" s="10"/>
      <c r="BC18" s="10"/>
      <c r="BD18" s="10"/>
      <c r="BE18" s="235">
        <f t="shared" si="16"/>
        <v>0</v>
      </c>
      <c r="BF18" s="235" t="str">
        <f t="shared" si="17"/>
        <v>No</v>
      </c>
      <c r="BG18" s="236"/>
      <c r="BH18" s="236"/>
      <c r="BI18" s="236"/>
      <c r="BJ18" s="184"/>
      <c r="BK18" s="10"/>
      <c r="BL18" s="9"/>
      <c r="BM18" s="9"/>
      <c r="BN18" s="9"/>
      <c r="BO18" s="9"/>
      <c r="BP18" s="9"/>
      <c r="BQ18" s="9"/>
      <c r="BR18" s="9"/>
      <c r="BS18" s="9"/>
      <c r="BT18" s="9"/>
      <c r="BU18" s="9"/>
      <c r="BV18" s="10"/>
      <c r="BW18" s="10"/>
      <c r="BX18" s="10"/>
      <c r="BY18" s="10"/>
      <c r="BZ18" s="10"/>
      <c r="CA18" s="10"/>
      <c r="CB18" s="235" t="str">
        <f t="shared" si="18"/>
        <v/>
      </c>
      <c r="CC18" s="9"/>
      <c r="CD18" s="9"/>
      <c r="CE18" s="10"/>
      <c r="CF18" s="9"/>
      <c r="CG18" s="9"/>
      <c r="CH18" s="9"/>
      <c r="CI18" s="9"/>
      <c r="CJ18" s="234" t="str">
        <f t="shared" si="19"/>
        <v/>
      </c>
      <c r="CK18" s="9" t="str">
        <f t="shared" si="20"/>
        <v/>
      </c>
      <c r="CL18" s="9" t="str">
        <f t="shared" si="21"/>
        <v/>
      </c>
      <c r="CM18" s="9" t="str">
        <f t="shared" si="22"/>
        <v/>
      </c>
      <c r="CN18" s="9" t="str">
        <f t="shared" si="23"/>
        <v/>
      </c>
      <c r="CO18" s="9" t="str">
        <f t="shared" si="24"/>
        <v/>
      </c>
      <c r="CP18" s="9" t="str">
        <f t="shared" si="25"/>
        <v/>
      </c>
      <c r="CQ18" s="9" t="str">
        <f t="shared" si="26"/>
        <v/>
      </c>
      <c r="CR18" s="9" t="str">
        <f t="shared" si="27"/>
        <v/>
      </c>
      <c r="CS18" s="9" t="str">
        <f t="shared" si="28"/>
        <v/>
      </c>
      <c r="CT18" s="9" t="str">
        <f t="shared" si="29"/>
        <v/>
      </c>
      <c r="CU18" s="9" t="str">
        <f t="shared" si="30"/>
        <v/>
      </c>
      <c r="CV18" s="9" t="str">
        <f t="shared" si="31"/>
        <v/>
      </c>
      <c r="CW18" s="9" t="str">
        <f t="shared" si="32"/>
        <v/>
      </c>
      <c r="CX18" s="9" t="str">
        <f t="shared" si="33"/>
        <v/>
      </c>
      <c r="CY18" s="9" t="str">
        <f t="shared" si="34"/>
        <v/>
      </c>
      <c r="CZ18" s="9" t="str">
        <f t="shared" si="35"/>
        <v/>
      </c>
      <c r="DA18" s="9" t="str">
        <f t="shared" si="36"/>
        <v/>
      </c>
      <c r="DB18" s="9" t="str">
        <f t="shared" si="37"/>
        <v/>
      </c>
      <c r="DC18" s="9" t="str">
        <f t="shared" si="38"/>
        <v/>
      </c>
      <c r="DD18" s="234" t="str">
        <f t="shared" si="39"/>
        <v/>
      </c>
      <c r="DE18" s="9" t="str">
        <f t="shared" si="40"/>
        <v/>
      </c>
      <c r="DF18" s="9" t="str">
        <f t="shared" si="41"/>
        <v/>
      </c>
      <c r="DG18" s="9" t="str">
        <f t="shared" si="42"/>
        <v/>
      </c>
      <c r="DH18" s="9" t="str">
        <f t="shared" si="43"/>
        <v/>
      </c>
      <c r="DI18" s="9" t="str">
        <f t="shared" si="44"/>
        <v/>
      </c>
      <c r="DJ18" s="234" t="str">
        <f t="shared" si="45"/>
        <v/>
      </c>
      <c r="DK18" s="237" t="str">
        <f t="shared" si="46"/>
        <v/>
      </c>
      <c r="DL18" s="234" t="str">
        <f t="shared" si="47"/>
        <v/>
      </c>
      <c r="DM18" s="9" t="str">
        <f t="shared" si="48"/>
        <v/>
      </c>
      <c r="DN18" s="9" t="str">
        <f t="shared" si="49"/>
        <v/>
      </c>
      <c r="DO18" s="9" t="str">
        <f t="shared" si="50"/>
        <v/>
      </c>
      <c r="DP18" s="234" t="str">
        <f t="shared" si="51"/>
        <v/>
      </c>
      <c r="DQ18" s="9"/>
      <c r="DR18" s="9"/>
      <c r="DS18" s="9"/>
      <c r="DT18" s="9"/>
      <c r="DU18" s="9"/>
      <c r="DV18" s="9"/>
      <c r="DW18" s="9"/>
      <c r="DX18" s="9"/>
      <c r="DY18" s="9"/>
      <c r="DZ18" s="9"/>
      <c r="EA18" s="9"/>
      <c r="EB18" s="9"/>
      <c r="EC18" s="9"/>
      <c r="ED18" s="9"/>
      <c r="EE18" s="9"/>
      <c r="EF18" s="9"/>
      <c r="EG18" s="9"/>
      <c r="EH18" s="9"/>
      <c r="EI18" s="9"/>
      <c r="EJ18" s="234">
        <f>SUM($DP$3:DP18)</f>
        <v>0</v>
      </c>
      <c r="EK18" s="9">
        <f>SUM($DP$3:DQ18)</f>
        <v>0</v>
      </c>
      <c r="EL18" s="9">
        <f>SUM($DP$3:DR18)</f>
        <v>0</v>
      </c>
      <c r="EM18" s="9">
        <f>SUM($DP$3:DS18)</f>
        <v>0</v>
      </c>
      <c r="EN18" s="9">
        <f>SUM($DP$3:DT18)</f>
        <v>0</v>
      </c>
      <c r="EO18" s="9">
        <f>SUM($DP$3:DU18)</f>
        <v>0</v>
      </c>
      <c r="EP18" s="9">
        <f>SUM($DP$3:DV18)</f>
        <v>0</v>
      </c>
      <c r="EQ18" s="9">
        <f>SUM($DP$3:DW18)</f>
        <v>0</v>
      </c>
      <c r="ER18" s="9">
        <f>SUM($DP$3:DX18)</f>
        <v>0</v>
      </c>
      <c r="ES18" s="9">
        <f>SUM($DP$3:DY18)</f>
        <v>0</v>
      </c>
      <c r="ET18" s="9">
        <f>SUM($DP$3:DZ18)</f>
        <v>0</v>
      </c>
      <c r="EU18" s="9">
        <f>SUM($DP$3:EA18)</f>
        <v>0</v>
      </c>
      <c r="EV18" s="9">
        <f>SUM($DP$3:EB18)</f>
        <v>0</v>
      </c>
      <c r="EW18" s="9">
        <f>SUM($DP$3:EC18)</f>
        <v>0</v>
      </c>
      <c r="EX18" s="9">
        <f>SUM($DP$3:ED18)</f>
        <v>0</v>
      </c>
      <c r="EY18" s="9">
        <f>SUM($DP$3:EE18)</f>
        <v>0</v>
      </c>
      <c r="EZ18" s="9">
        <f>SUM($DP$3:EF18)</f>
        <v>0</v>
      </c>
      <c r="FA18" s="9">
        <f>SUM($DP$3:EG18)</f>
        <v>0</v>
      </c>
      <c r="FB18" s="9">
        <f>SUM($DP$3:EH18)</f>
        <v>0</v>
      </c>
      <c r="FC18" s="9">
        <f>SUM($DP$3:EI18)</f>
        <v>0</v>
      </c>
      <c r="FD18" s="9"/>
      <c r="FE18" s="9"/>
      <c r="FF18" s="9"/>
      <c r="FG18" s="9"/>
      <c r="FH18" s="9"/>
      <c r="FI18" s="9"/>
      <c r="FJ18" s="9"/>
      <c r="FK18" s="9"/>
      <c r="FL18" s="9"/>
      <c r="FM18" s="9"/>
      <c r="FN18" s="9"/>
      <c r="FO18" s="9"/>
      <c r="FP18" s="9"/>
      <c r="FQ18" s="9"/>
      <c r="FR18" s="9"/>
      <c r="FS18" s="9"/>
      <c r="FT18" s="9"/>
      <c r="FU18" s="9"/>
      <c r="FV18" s="9"/>
      <c r="FW18" s="9"/>
    </row>
    <row r="19" spans="1:179" ht="20.100000000000001" customHeight="1" x14ac:dyDescent="0.25">
      <c r="A19" s="8"/>
      <c r="B19" s="8" t="s">
        <v>399</v>
      </c>
      <c r="C19" s="8"/>
      <c r="D19" s="8"/>
      <c r="E19" s="8"/>
      <c r="F19" s="9"/>
      <c r="G19" s="9"/>
      <c r="H19" s="9"/>
      <c r="I19" s="9"/>
      <c r="J19" s="9"/>
      <c r="K19" s="234"/>
      <c r="L19" s="234" t="str">
        <f>IFERROR(VLOOKUP([10]!family_planning[[#This Row],[Helper]],[10]datavalidation!E:G,3,FALSE),"")</f>
        <v/>
      </c>
      <c r="M19" s="10"/>
      <c r="N19" s="52" t="str">
        <f>IF(mshn_database[[#This Row],[Date of Registration '[mm/dd/yy']]]="","",TEXT(mshn_database[[#This Row],[Date of Registration '[mm/dd/yy']]],"mmmm"))</f>
        <v/>
      </c>
      <c r="O19" s="52" t="str">
        <f>IF(mshn_database[[#This Row],[Date of Registration '[mm/dd/yy']]]="","","Q"&amp;INT((MONTH(mshn_database[[#This Row],[Date of Registration '[mm/dd/yy']]])-1)/3)+1)</f>
        <v/>
      </c>
      <c r="P19" s="52" t="str">
        <f>IF(mshn_database[[#This Row],[Date of Registration '[mm/dd/yy']]]="","",TEXT(mshn_database[[#This Row],[Date of Registration '[mm/dd/yy']]],"yyyy"))</f>
        <v/>
      </c>
      <c r="Q19" s="63"/>
      <c r="R19" s="186" t="str">
        <f t="shared" si="13"/>
        <v/>
      </c>
      <c r="S19" s="9"/>
      <c r="T19" s="9"/>
      <c r="U19" s="235" t="str">
        <f t="shared" si="14"/>
        <v/>
      </c>
      <c r="V19" s="234" t="str">
        <f>IF(mshn_database[[#This Row],[Age_Category]]="","",VLOOKUP(mshn_database[[#This Row],[Age_Category]],[10]info!$H$2:$I$6,2,FALSE))</f>
        <v/>
      </c>
      <c r="Y19" s="9"/>
      <c r="Z19" s="9"/>
      <c r="AA19" s="10"/>
      <c r="AB19" s="10"/>
      <c r="AC19" s="53" t="str">
        <f t="shared" ca="1" si="15"/>
        <v/>
      </c>
      <c r="AD19" s="9"/>
      <c r="AE19" s="9"/>
      <c r="AF19" s="183"/>
      <c r="AG19" s="183"/>
      <c r="AH19" s="183"/>
      <c r="AI19" s="183"/>
      <c r="AJ19" s="183"/>
      <c r="AK19" s="10"/>
      <c r="AL19" s="10"/>
      <c r="AM19" s="10"/>
      <c r="AN19" s="10"/>
      <c r="AO19" s="10"/>
      <c r="AP19" s="10"/>
      <c r="AQ19" s="10"/>
      <c r="AR19" s="10"/>
      <c r="AS19" s="10"/>
      <c r="AT19" s="10"/>
      <c r="AU19" s="10"/>
      <c r="AV19" s="10"/>
      <c r="AW19" s="10"/>
      <c r="AX19" s="10"/>
      <c r="AY19" s="10"/>
      <c r="AZ19" s="10"/>
      <c r="BA19" s="10"/>
      <c r="BB19" s="10"/>
      <c r="BC19" s="10"/>
      <c r="BD19" s="10"/>
      <c r="BE19" s="235">
        <f t="shared" si="16"/>
        <v>0</v>
      </c>
      <c r="BF19" s="235" t="str">
        <f t="shared" si="17"/>
        <v>No</v>
      </c>
      <c r="BG19" s="236"/>
      <c r="BH19" s="236"/>
      <c r="BI19" s="236"/>
      <c r="BJ19" s="184"/>
      <c r="BK19" s="10"/>
      <c r="BL19" s="9"/>
      <c r="BM19" s="9"/>
      <c r="BN19" s="9"/>
      <c r="BO19" s="9"/>
      <c r="BP19" s="9"/>
      <c r="BQ19" s="9"/>
      <c r="BR19" s="9"/>
      <c r="BS19" s="9"/>
      <c r="BT19" s="9"/>
      <c r="BU19" s="9"/>
      <c r="BV19" s="10"/>
      <c r="BW19" s="10"/>
      <c r="BX19" s="10"/>
      <c r="BY19" s="10"/>
      <c r="BZ19" s="10"/>
      <c r="CA19" s="10"/>
      <c r="CB19" s="235" t="str">
        <f t="shared" si="18"/>
        <v/>
      </c>
      <c r="CC19" s="9"/>
      <c r="CD19" s="9"/>
      <c r="CE19" s="10"/>
      <c r="CF19" s="9"/>
      <c r="CG19" s="9"/>
      <c r="CH19" s="9"/>
      <c r="CI19" s="9"/>
      <c r="CJ19" s="234" t="str">
        <f t="shared" si="19"/>
        <v/>
      </c>
      <c r="CK19" s="9" t="str">
        <f t="shared" si="20"/>
        <v/>
      </c>
      <c r="CL19" s="9" t="str">
        <f t="shared" si="21"/>
        <v/>
      </c>
      <c r="CM19" s="9" t="str">
        <f t="shared" si="22"/>
        <v/>
      </c>
      <c r="CN19" s="9" t="str">
        <f t="shared" si="23"/>
        <v/>
      </c>
      <c r="CO19" s="9" t="str">
        <f t="shared" si="24"/>
        <v/>
      </c>
      <c r="CP19" s="9" t="str">
        <f t="shared" si="25"/>
        <v/>
      </c>
      <c r="CQ19" s="9" t="str">
        <f t="shared" si="26"/>
        <v/>
      </c>
      <c r="CR19" s="9" t="str">
        <f t="shared" si="27"/>
        <v/>
      </c>
      <c r="CS19" s="9" t="str">
        <f t="shared" si="28"/>
        <v/>
      </c>
      <c r="CT19" s="9" t="str">
        <f t="shared" si="29"/>
        <v/>
      </c>
      <c r="CU19" s="9" t="str">
        <f t="shared" si="30"/>
        <v/>
      </c>
      <c r="CV19" s="9" t="str">
        <f t="shared" si="31"/>
        <v/>
      </c>
      <c r="CW19" s="9" t="str">
        <f t="shared" si="32"/>
        <v/>
      </c>
      <c r="CX19" s="9" t="str">
        <f t="shared" si="33"/>
        <v/>
      </c>
      <c r="CY19" s="9" t="str">
        <f t="shared" si="34"/>
        <v/>
      </c>
      <c r="CZ19" s="9" t="str">
        <f t="shared" si="35"/>
        <v/>
      </c>
      <c r="DA19" s="9" t="str">
        <f t="shared" si="36"/>
        <v/>
      </c>
      <c r="DB19" s="9" t="str">
        <f t="shared" si="37"/>
        <v/>
      </c>
      <c r="DC19" s="9" t="str">
        <f t="shared" si="38"/>
        <v/>
      </c>
      <c r="DD19" s="234" t="str">
        <f t="shared" si="39"/>
        <v/>
      </c>
      <c r="DE19" s="9" t="str">
        <f t="shared" si="40"/>
        <v/>
      </c>
      <c r="DF19" s="9" t="str">
        <f t="shared" si="41"/>
        <v/>
      </c>
      <c r="DG19" s="9" t="str">
        <f t="shared" si="42"/>
        <v/>
      </c>
      <c r="DH19" s="9" t="str">
        <f t="shared" si="43"/>
        <v/>
      </c>
      <c r="DI19" s="9" t="str">
        <f t="shared" si="44"/>
        <v/>
      </c>
      <c r="DJ19" s="234" t="str">
        <f t="shared" si="45"/>
        <v/>
      </c>
      <c r="DK19" s="237" t="str">
        <f t="shared" si="46"/>
        <v/>
      </c>
      <c r="DL19" s="234" t="str">
        <f t="shared" si="47"/>
        <v/>
      </c>
      <c r="DM19" s="9" t="str">
        <f t="shared" si="48"/>
        <v/>
      </c>
      <c r="DN19" s="9" t="str">
        <f t="shared" si="49"/>
        <v/>
      </c>
      <c r="DO19" s="9" t="str">
        <f t="shared" si="50"/>
        <v/>
      </c>
      <c r="DP19" s="234" t="str">
        <f t="shared" si="51"/>
        <v/>
      </c>
      <c r="DQ19" s="9"/>
      <c r="DR19" s="9"/>
      <c r="DS19" s="9"/>
      <c r="DT19" s="9"/>
      <c r="DU19" s="9"/>
      <c r="DV19" s="9"/>
      <c r="DW19" s="9"/>
      <c r="DX19" s="9"/>
      <c r="DY19" s="9"/>
      <c r="DZ19" s="9"/>
      <c r="EA19" s="9"/>
      <c r="EB19" s="9"/>
      <c r="EC19" s="9"/>
      <c r="ED19" s="9"/>
      <c r="EE19" s="9"/>
      <c r="EF19" s="9"/>
      <c r="EG19" s="9"/>
      <c r="EH19" s="9"/>
      <c r="EI19" s="9"/>
      <c r="EJ19" s="234">
        <f>SUM($DP$3:DP19)</f>
        <v>0</v>
      </c>
      <c r="EK19" s="9">
        <f>SUM($DP$3:DQ19)</f>
        <v>0</v>
      </c>
      <c r="EL19" s="9">
        <f>SUM($DP$3:DR19)</f>
        <v>0</v>
      </c>
      <c r="EM19" s="9">
        <f>SUM($DP$3:DS19)</f>
        <v>0</v>
      </c>
      <c r="EN19" s="9">
        <f>SUM($DP$3:DT19)</f>
        <v>0</v>
      </c>
      <c r="EO19" s="9">
        <f>SUM($DP$3:DU19)</f>
        <v>0</v>
      </c>
      <c r="EP19" s="9">
        <f>SUM($DP$3:DV19)</f>
        <v>0</v>
      </c>
      <c r="EQ19" s="9">
        <f>SUM($DP$3:DW19)</f>
        <v>0</v>
      </c>
      <c r="ER19" s="9">
        <f>SUM($DP$3:DX19)</f>
        <v>0</v>
      </c>
      <c r="ES19" s="9">
        <f>SUM($DP$3:DY19)</f>
        <v>0</v>
      </c>
      <c r="ET19" s="9">
        <f>SUM($DP$3:DZ19)</f>
        <v>0</v>
      </c>
      <c r="EU19" s="9">
        <f>SUM($DP$3:EA19)</f>
        <v>0</v>
      </c>
      <c r="EV19" s="9">
        <f>SUM($DP$3:EB19)</f>
        <v>0</v>
      </c>
      <c r="EW19" s="9">
        <f>SUM($DP$3:EC19)</f>
        <v>0</v>
      </c>
      <c r="EX19" s="9">
        <f>SUM($DP$3:ED19)</f>
        <v>0</v>
      </c>
      <c r="EY19" s="9">
        <f>SUM($DP$3:EE19)</f>
        <v>0</v>
      </c>
      <c r="EZ19" s="9">
        <f>SUM($DP$3:EF19)</f>
        <v>0</v>
      </c>
      <c r="FA19" s="9">
        <f>SUM($DP$3:EG19)</f>
        <v>0</v>
      </c>
      <c r="FB19" s="9">
        <f>SUM($DP$3:EH19)</f>
        <v>0</v>
      </c>
      <c r="FC19" s="9">
        <f>SUM($DP$3:EI19)</f>
        <v>0</v>
      </c>
      <c r="FD19" s="9"/>
      <c r="FE19" s="9"/>
      <c r="FF19" s="9"/>
      <c r="FG19" s="9"/>
      <c r="FH19" s="9"/>
      <c r="FI19" s="9"/>
      <c r="FJ19" s="9"/>
      <c r="FK19" s="9"/>
      <c r="FL19" s="9"/>
      <c r="FM19" s="9"/>
      <c r="FN19" s="9"/>
      <c r="FO19" s="9"/>
      <c r="FP19" s="9"/>
      <c r="FQ19" s="9"/>
      <c r="FR19" s="9"/>
      <c r="FS19" s="9"/>
      <c r="FT19" s="9"/>
      <c r="FU19" s="9"/>
      <c r="FV19" s="9"/>
      <c r="FW19" s="9"/>
    </row>
    <row r="20" spans="1:179" ht="20.100000000000001" customHeight="1" x14ac:dyDescent="0.25">
      <c r="A20" s="8"/>
      <c r="B20" s="8" t="s">
        <v>399</v>
      </c>
      <c r="C20" s="8"/>
      <c r="D20" s="8"/>
      <c r="E20" s="8"/>
      <c r="F20" s="9"/>
      <c r="G20" s="9"/>
      <c r="H20" s="9"/>
      <c r="I20" s="9"/>
      <c r="J20" s="9"/>
      <c r="K20" s="234"/>
      <c r="L20" s="234" t="str">
        <f>IFERROR(VLOOKUP([10]!family_planning[[#This Row],[Helper]],[10]datavalidation!E:G,3,FALSE),"")</f>
        <v/>
      </c>
      <c r="M20" s="10"/>
      <c r="N20" s="52" t="str">
        <f>IF(mshn_database[[#This Row],[Date of Registration '[mm/dd/yy']]]="","",TEXT(mshn_database[[#This Row],[Date of Registration '[mm/dd/yy']]],"mmmm"))</f>
        <v/>
      </c>
      <c r="O20" s="52" t="str">
        <f>IF(mshn_database[[#This Row],[Date of Registration '[mm/dd/yy']]]="","","Q"&amp;INT((MONTH(mshn_database[[#This Row],[Date of Registration '[mm/dd/yy']]])-1)/3)+1)</f>
        <v/>
      </c>
      <c r="P20" s="52" t="str">
        <f>IF(mshn_database[[#This Row],[Date of Registration '[mm/dd/yy']]]="","",TEXT(mshn_database[[#This Row],[Date of Registration '[mm/dd/yy']]],"yyyy"))</f>
        <v/>
      </c>
      <c r="Q20" s="63"/>
      <c r="R20" s="186" t="str">
        <f t="shared" si="13"/>
        <v/>
      </c>
      <c r="S20" s="9"/>
      <c r="T20" s="9"/>
      <c r="U20" s="235" t="str">
        <f t="shared" si="14"/>
        <v/>
      </c>
      <c r="V20" s="234" t="str">
        <f>IF(mshn_database[[#This Row],[Age_Category]]="","",VLOOKUP(mshn_database[[#This Row],[Age_Category]],[10]info!$H$2:$I$6,2,FALSE))</f>
        <v/>
      </c>
      <c r="Y20" s="9"/>
      <c r="Z20" s="9"/>
      <c r="AA20" s="10"/>
      <c r="AB20" s="10"/>
      <c r="AC20" s="53" t="str">
        <f t="shared" ca="1" si="15"/>
        <v/>
      </c>
      <c r="AD20" s="9"/>
      <c r="AE20" s="9"/>
      <c r="AF20" s="183"/>
      <c r="AG20" s="183"/>
      <c r="AH20" s="183"/>
      <c r="AI20" s="183"/>
      <c r="AJ20" s="183"/>
      <c r="AK20" s="10"/>
      <c r="AL20" s="10"/>
      <c r="AM20" s="10"/>
      <c r="AN20" s="10"/>
      <c r="AO20" s="10"/>
      <c r="AP20" s="10"/>
      <c r="AQ20" s="10"/>
      <c r="AR20" s="10"/>
      <c r="AS20" s="10"/>
      <c r="AT20" s="10"/>
      <c r="AU20" s="10"/>
      <c r="AV20" s="10"/>
      <c r="AW20" s="10"/>
      <c r="AX20" s="10"/>
      <c r="AY20" s="10"/>
      <c r="AZ20" s="10"/>
      <c r="BA20" s="10"/>
      <c r="BB20" s="10"/>
      <c r="BC20" s="10"/>
      <c r="BD20" s="10"/>
      <c r="BE20" s="235">
        <f t="shared" si="16"/>
        <v>0</v>
      </c>
      <c r="BF20" s="235" t="str">
        <f t="shared" si="17"/>
        <v>No</v>
      </c>
      <c r="BG20" s="236"/>
      <c r="BH20" s="236"/>
      <c r="BI20" s="236"/>
      <c r="BJ20" s="184"/>
      <c r="BK20" s="10"/>
      <c r="BL20" s="9"/>
      <c r="BM20" s="9"/>
      <c r="BN20" s="9"/>
      <c r="BO20" s="9"/>
      <c r="BP20" s="9"/>
      <c r="BQ20" s="9"/>
      <c r="BR20" s="9"/>
      <c r="BS20" s="9"/>
      <c r="BT20" s="9"/>
      <c r="BU20" s="9"/>
      <c r="BV20" s="10"/>
      <c r="BW20" s="10"/>
      <c r="BX20" s="10"/>
      <c r="BY20" s="10"/>
      <c r="BZ20" s="10"/>
      <c r="CA20" s="10"/>
      <c r="CB20" s="235" t="str">
        <f t="shared" si="18"/>
        <v/>
      </c>
      <c r="CC20" s="9"/>
      <c r="CD20" s="9"/>
      <c r="CE20" s="10"/>
      <c r="CF20" s="9"/>
      <c r="CG20" s="9"/>
      <c r="CH20" s="9"/>
      <c r="CI20" s="9"/>
      <c r="CJ20" s="234" t="str">
        <f t="shared" si="19"/>
        <v/>
      </c>
      <c r="CK20" s="9" t="str">
        <f t="shared" si="20"/>
        <v/>
      </c>
      <c r="CL20" s="9" t="str">
        <f t="shared" si="21"/>
        <v/>
      </c>
      <c r="CM20" s="9" t="str">
        <f t="shared" si="22"/>
        <v/>
      </c>
      <c r="CN20" s="9" t="str">
        <f t="shared" si="23"/>
        <v/>
      </c>
      <c r="CO20" s="9" t="str">
        <f t="shared" si="24"/>
        <v/>
      </c>
      <c r="CP20" s="9" t="str">
        <f t="shared" si="25"/>
        <v/>
      </c>
      <c r="CQ20" s="9" t="str">
        <f t="shared" si="26"/>
        <v/>
      </c>
      <c r="CR20" s="9" t="str">
        <f t="shared" si="27"/>
        <v/>
      </c>
      <c r="CS20" s="9" t="str">
        <f t="shared" si="28"/>
        <v/>
      </c>
      <c r="CT20" s="9" t="str">
        <f t="shared" si="29"/>
        <v/>
      </c>
      <c r="CU20" s="9" t="str">
        <f t="shared" si="30"/>
        <v/>
      </c>
      <c r="CV20" s="9" t="str">
        <f t="shared" si="31"/>
        <v/>
      </c>
      <c r="CW20" s="9" t="str">
        <f t="shared" si="32"/>
        <v/>
      </c>
      <c r="CX20" s="9" t="str">
        <f t="shared" si="33"/>
        <v/>
      </c>
      <c r="CY20" s="9" t="str">
        <f t="shared" si="34"/>
        <v/>
      </c>
      <c r="CZ20" s="9" t="str">
        <f t="shared" si="35"/>
        <v/>
      </c>
      <c r="DA20" s="9" t="str">
        <f t="shared" si="36"/>
        <v/>
      </c>
      <c r="DB20" s="9" t="str">
        <f t="shared" si="37"/>
        <v/>
      </c>
      <c r="DC20" s="9" t="str">
        <f t="shared" si="38"/>
        <v/>
      </c>
      <c r="DD20" s="234" t="str">
        <f t="shared" si="39"/>
        <v/>
      </c>
      <c r="DE20" s="9" t="str">
        <f t="shared" si="40"/>
        <v/>
      </c>
      <c r="DF20" s="9" t="str">
        <f t="shared" si="41"/>
        <v/>
      </c>
      <c r="DG20" s="9" t="str">
        <f t="shared" si="42"/>
        <v/>
      </c>
      <c r="DH20" s="9" t="str">
        <f t="shared" si="43"/>
        <v/>
      </c>
      <c r="DI20" s="9" t="str">
        <f t="shared" si="44"/>
        <v/>
      </c>
      <c r="DJ20" s="234" t="str">
        <f t="shared" si="45"/>
        <v/>
      </c>
      <c r="DK20" s="237" t="str">
        <f t="shared" si="46"/>
        <v/>
      </c>
      <c r="DL20" s="234" t="str">
        <f t="shared" si="47"/>
        <v/>
      </c>
      <c r="DM20" s="9" t="str">
        <f t="shared" si="48"/>
        <v/>
      </c>
      <c r="DN20" s="9" t="str">
        <f t="shared" si="49"/>
        <v/>
      </c>
      <c r="DO20" s="9" t="str">
        <f t="shared" si="50"/>
        <v/>
      </c>
      <c r="DP20" s="234" t="str">
        <f t="shared" si="51"/>
        <v/>
      </c>
      <c r="DQ20" s="9"/>
      <c r="DR20" s="9"/>
      <c r="DS20" s="9"/>
      <c r="DT20" s="9"/>
      <c r="DU20" s="9"/>
      <c r="DV20" s="9"/>
      <c r="DW20" s="9"/>
      <c r="DX20" s="9"/>
      <c r="DY20" s="9"/>
      <c r="DZ20" s="9"/>
      <c r="EA20" s="9"/>
      <c r="EB20" s="9"/>
      <c r="EC20" s="9"/>
      <c r="ED20" s="9"/>
      <c r="EE20" s="9"/>
      <c r="EF20" s="9"/>
      <c r="EG20" s="9"/>
      <c r="EH20" s="9"/>
      <c r="EI20" s="9"/>
      <c r="EJ20" s="234">
        <f>SUM($DP$3:DP20)</f>
        <v>0</v>
      </c>
      <c r="EK20" s="9">
        <f>SUM($DP$3:DQ20)</f>
        <v>0</v>
      </c>
      <c r="EL20" s="9">
        <f>SUM($DP$3:DR20)</f>
        <v>0</v>
      </c>
      <c r="EM20" s="9">
        <f>SUM($DP$3:DS20)</f>
        <v>0</v>
      </c>
      <c r="EN20" s="9">
        <f>SUM($DP$3:DT20)</f>
        <v>0</v>
      </c>
      <c r="EO20" s="9">
        <f>SUM($DP$3:DU20)</f>
        <v>0</v>
      </c>
      <c r="EP20" s="9">
        <f>SUM($DP$3:DV20)</f>
        <v>0</v>
      </c>
      <c r="EQ20" s="9">
        <f>SUM($DP$3:DW20)</f>
        <v>0</v>
      </c>
      <c r="ER20" s="9">
        <f>SUM($DP$3:DX20)</f>
        <v>0</v>
      </c>
      <c r="ES20" s="9">
        <f>SUM($DP$3:DY20)</f>
        <v>0</v>
      </c>
      <c r="ET20" s="9">
        <f>SUM($DP$3:DZ20)</f>
        <v>0</v>
      </c>
      <c r="EU20" s="9">
        <f>SUM($DP$3:EA20)</f>
        <v>0</v>
      </c>
      <c r="EV20" s="9">
        <f>SUM($DP$3:EB20)</f>
        <v>0</v>
      </c>
      <c r="EW20" s="9">
        <f>SUM($DP$3:EC20)</f>
        <v>0</v>
      </c>
      <c r="EX20" s="9">
        <f>SUM($DP$3:ED20)</f>
        <v>0</v>
      </c>
      <c r="EY20" s="9">
        <f>SUM($DP$3:EE20)</f>
        <v>0</v>
      </c>
      <c r="EZ20" s="9">
        <f>SUM($DP$3:EF20)</f>
        <v>0</v>
      </c>
      <c r="FA20" s="9">
        <f>SUM($DP$3:EG20)</f>
        <v>0</v>
      </c>
      <c r="FB20" s="9">
        <f>SUM($DP$3:EH20)</f>
        <v>0</v>
      </c>
      <c r="FC20" s="9">
        <f>SUM($DP$3:EI20)</f>
        <v>0</v>
      </c>
      <c r="FD20" s="9"/>
      <c r="FE20" s="9"/>
      <c r="FF20" s="9"/>
      <c r="FG20" s="9"/>
      <c r="FH20" s="9"/>
      <c r="FI20" s="9"/>
      <c r="FJ20" s="9"/>
      <c r="FK20" s="9"/>
      <c r="FL20" s="9"/>
      <c r="FM20" s="9"/>
      <c r="FN20" s="9"/>
      <c r="FO20" s="9"/>
      <c r="FP20" s="9"/>
      <c r="FQ20" s="9"/>
      <c r="FR20" s="9"/>
      <c r="FS20" s="9"/>
      <c r="FT20" s="9"/>
      <c r="FU20" s="9"/>
      <c r="FV20" s="9"/>
      <c r="FW20" s="9"/>
    </row>
    <row r="21" spans="1:179" ht="20.100000000000001" customHeight="1" x14ac:dyDescent="0.25">
      <c r="A21" s="8"/>
      <c r="B21" s="8"/>
      <c r="C21" s="8"/>
      <c r="D21" s="8"/>
      <c r="E21" s="8"/>
      <c r="F21" s="9"/>
      <c r="G21" s="9"/>
      <c r="H21" s="9"/>
      <c r="I21" s="9"/>
      <c r="J21" s="9"/>
      <c r="K21" s="234"/>
      <c r="L21" s="234" t="str">
        <f>IFERROR(VLOOKUP([10]!family_planning[[#This Row],[Helper]],[10]datavalidation!E:G,3,FALSE),"")</f>
        <v/>
      </c>
      <c r="M21" s="10"/>
      <c r="N21" s="52" t="str">
        <f>IF(mshn_database[[#This Row],[Date of Registration '[mm/dd/yy']]]="","",TEXT(mshn_database[[#This Row],[Date of Registration '[mm/dd/yy']]],"mmmm"))</f>
        <v/>
      </c>
      <c r="O21" s="52" t="str">
        <f>IF(mshn_database[[#This Row],[Date of Registration '[mm/dd/yy']]]="","","Q"&amp;INT((MONTH(mshn_database[[#This Row],[Date of Registration '[mm/dd/yy']]])-1)/3)+1)</f>
        <v/>
      </c>
      <c r="P21" s="52" t="str">
        <f>IF(mshn_database[[#This Row],[Date of Registration '[mm/dd/yy']]]="","",TEXT(mshn_database[[#This Row],[Date of Registration '[mm/dd/yy']]],"yyyy"))</f>
        <v/>
      </c>
      <c r="Q21" s="63"/>
      <c r="R21" s="186" t="str">
        <f t="shared" si="13"/>
        <v/>
      </c>
      <c r="S21" s="9"/>
      <c r="T21" s="9"/>
      <c r="U21" s="235" t="str">
        <f t="shared" si="14"/>
        <v/>
      </c>
      <c r="V21" s="234" t="str">
        <f>IF(mshn_database[[#This Row],[Age_Category]]="","",VLOOKUP(mshn_database[[#This Row],[Age_Category]],[10]info!$H$2:$I$6,2,FALSE))</f>
        <v/>
      </c>
      <c r="Y21" s="9"/>
      <c r="Z21" s="9"/>
      <c r="AA21" s="10"/>
      <c r="AB21" s="10"/>
      <c r="AC21" s="53" t="str">
        <f t="shared" ca="1" si="15"/>
        <v/>
      </c>
      <c r="AD21" s="9"/>
      <c r="AE21" s="9"/>
      <c r="AF21" s="183"/>
      <c r="AG21" s="183"/>
      <c r="AH21" s="183"/>
      <c r="AI21" s="183"/>
      <c r="AJ21" s="183"/>
      <c r="AK21" s="10"/>
      <c r="AL21" s="10"/>
      <c r="AM21" s="10"/>
      <c r="AN21" s="10"/>
      <c r="AO21" s="10"/>
      <c r="AP21" s="10"/>
      <c r="AQ21" s="10"/>
      <c r="AR21" s="10"/>
      <c r="AS21" s="10"/>
      <c r="AT21" s="10"/>
      <c r="AU21" s="10"/>
      <c r="AV21" s="10"/>
      <c r="AW21" s="10"/>
      <c r="AX21" s="10"/>
      <c r="AY21" s="10"/>
      <c r="AZ21" s="10"/>
      <c r="BA21" s="10"/>
      <c r="BB21" s="10"/>
      <c r="BC21" s="10"/>
      <c r="BD21" s="10"/>
      <c r="BE21" s="235">
        <f t="shared" si="16"/>
        <v>0</v>
      </c>
      <c r="BF21" s="235" t="str">
        <f t="shared" si="17"/>
        <v>No</v>
      </c>
      <c r="BG21" s="236"/>
      <c r="BH21" s="236"/>
      <c r="BI21" s="236"/>
      <c r="BJ21" s="184"/>
      <c r="BK21" s="10"/>
      <c r="BL21" s="9"/>
      <c r="BM21" s="9"/>
      <c r="BN21" s="9"/>
      <c r="BO21" s="9"/>
      <c r="BP21" s="9"/>
      <c r="BQ21" s="9"/>
      <c r="BR21" s="9"/>
      <c r="BS21" s="9"/>
      <c r="BT21" s="9"/>
      <c r="BU21" s="9"/>
      <c r="BV21" s="10"/>
      <c r="BW21" s="10"/>
      <c r="BX21" s="10"/>
      <c r="BY21" s="10"/>
      <c r="BZ21" s="10"/>
      <c r="CA21" s="10"/>
      <c r="CB21" s="235" t="str">
        <f t="shared" si="18"/>
        <v/>
      </c>
      <c r="CC21" s="9"/>
      <c r="CD21" s="9"/>
      <c r="CE21" s="10"/>
      <c r="CF21" s="9"/>
      <c r="CG21" s="9"/>
      <c r="CH21" s="9"/>
      <c r="CI21" s="9"/>
      <c r="CJ21" s="234" t="str">
        <f t="shared" si="19"/>
        <v/>
      </c>
      <c r="CK21" s="9" t="str">
        <f t="shared" si="20"/>
        <v/>
      </c>
      <c r="CL21" s="9" t="str">
        <f t="shared" si="21"/>
        <v/>
      </c>
      <c r="CM21" s="9" t="str">
        <f t="shared" si="22"/>
        <v/>
      </c>
      <c r="CN21" s="9" t="str">
        <f t="shared" si="23"/>
        <v/>
      </c>
      <c r="CO21" s="9" t="str">
        <f t="shared" si="24"/>
        <v/>
      </c>
      <c r="CP21" s="9" t="str">
        <f t="shared" si="25"/>
        <v/>
      </c>
      <c r="CQ21" s="9" t="str">
        <f t="shared" si="26"/>
        <v/>
      </c>
      <c r="CR21" s="9" t="str">
        <f t="shared" si="27"/>
        <v/>
      </c>
      <c r="CS21" s="9" t="str">
        <f t="shared" si="28"/>
        <v/>
      </c>
      <c r="CT21" s="9" t="str">
        <f t="shared" si="29"/>
        <v/>
      </c>
      <c r="CU21" s="9" t="str">
        <f t="shared" si="30"/>
        <v/>
      </c>
      <c r="CV21" s="9" t="str">
        <f t="shared" si="31"/>
        <v/>
      </c>
      <c r="CW21" s="9" t="str">
        <f t="shared" si="32"/>
        <v/>
      </c>
      <c r="CX21" s="9" t="str">
        <f t="shared" si="33"/>
        <v/>
      </c>
      <c r="CY21" s="9" t="str">
        <f t="shared" si="34"/>
        <v/>
      </c>
      <c r="CZ21" s="9" t="str">
        <f t="shared" si="35"/>
        <v/>
      </c>
      <c r="DA21" s="9" t="str">
        <f t="shared" si="36"/>
        <v/>
      </c>
      <c r="DB21" s="9" t="str">
        <f t="shared" si="37"/>
        <v/>
      </c>
      <c r="DC21" s="9" t="str">
        <f t="shared" si="38"/>
        <v/>
      </c>
      <c r="DD21" s="234" t="str">
        <f t="shared" si="39"/>
        <v/>
      </c>
      <c r="DE21" s="9" t="str">
        <f t="shared" si="40"/>
        <v/>
      </c>
      <c r="DF21" s="9" t="str">
        <f t="shared" si="41"/>
        <v/>
      </c>
      <c r="DG21" s="9" t="str">
        <f t="shared" si="42"/>
        <v/>
      </c>
      <c r="DH21" s="9" t="str">
        <f t="shared" si="43"/>
        <v/>
      </c>
      <c r="DI21" s="9" t="str">
        <f t="shared" si="44"/>
        <v/>
      </c>
      <c r="DJ21" s="234" t="str">
        <f t="shared" si="45"/>
        <v/>
      </c>
      <c r="DK21" s="237" t="str">
        <f t="shared" si="46"/>
        <v/>
      </c>
      <c r="DL21" s="234" t="str">
        <f t="shared" si="47"/>
        <v/>
      </c>
      <c r="DM21" s="9" t="str">
        <f t="shared" si="48"/>
        <v/>
      </c>
      <c r="DN21" s="9" t="str">
        <f t="shared" si="49"/>
        <v/>
      </c>
      <c r="DO21" s="9" t="str">
        <f t="shared" si="50"/>
        <v/>
      </c>
      <c r="DP21" s="234" t="str">
        <f t="shared" si="51"/>
        <v/>
      </c>
      <c r="DQ21" s="9"/>
      <c r="DR21" s="9"/>
      <c r="DS21" s="9"/>
      <c r="DT21" s="9"/>
      <c r="DU21" s="9"/>
      <c r="DV21" s="9"/>
      <c r="DW21" s="9"/>
      <c r="DX21" s="9"/>
      <c r="DY21" s="9"/>
      <c r="DZ21" s="9"/>
      <c r="EA21" s="9"/>
      <c r="EB21" s="9"/>
      <c r="EC21" s="9"/>
      <c r="ED21" s="9"/>
      <c r="EE21" s="9"/>
      <c r="EF21" s="9"/>
      <c r="EG21" s="9"/>
      <c r="EH21" s="9"/>
      <c r="EI21" s="9"/>
      <c r="EJ21" s="234">
        <f>SUM($DP$3:DP21)</f>
        <v>0</v>
      </c>
      <c r="EK21" s="9">
        <f>SUM($DP$3:DQ21)</f>
        <v>0</v>
      </c>
      <c r="EL21" s="9">
        <f>SUM($DP$3:DR21)</f>
        <v>0</v>
      </c>
      <c r="EM21" s="9">
        <f>SUM($DP$3:DS21)</f>
        <v>0</v>
      </c>
      <c r="EN21" s="9">
        <f>SUM($DP$3:DT21)</f>
        <v>0</v>
      </c>
      <c r="EO21" s="9">
        <f>SUM($DP$3:DU21)</f>
        <v>0</v>
      </c>
      <c r="EP21" s="9">
        <f>SUM($DP$3:DV21)</f>
        <v>0</v>
      </c>
      <c r="EQ21" s="9">
        <f>SUM($DP$3:DW21)</f>
        <v>0</v>
      </c>
      <c r="ER21" s="9">
        <f>SUM($DP$3:DX21)</f>
        <v>0</v>
      </c>
      <c r="ES21" s="9">
        <f>SUM($DP$3:DY21)</f>
        <v>0</v>
      </c>
      <c r="ET21" s="9">
        <f>SUM($DP$3:DZ21)</f>
        <v>0</v>
      </c>
      <c r="EU21" s="9">
        <f>SUM($DP$3:EA21)</f>
        <v>0</v>
      </c>
      <c r="EV21" s="9">
        <f>SUM($DP$3:EB21)</f>
        <v>0</v>
      </c>
      <c r="EW21" s="9">
        <f>SUM($DP$3:EC21)</f>
        <v>0</v>
      </c>
      <c r="EX21" s="9">
        <f>SUM($DP$3:ED21)</f>
        <v>0</v>
      </c>
      <c r="EY21" s="9">
        <f>SUM($DP$3:EE21)</f>
        <v>0</v>
      </c>
      <c r="EZ21" s="9">
        <f>SUM($DP$3:EF21)</f>
        <v>0</v>
      </c>
      <c r="FA21" s="9">
        <f>SUM($DP$3:EG21)</f>
        <v>0</v>
      </c>
      <c r="FB21" s="9">
        <f>SUM($DP$3:EH21)</f>
        <v>0</v>
      </c>
      <c r="FC21" s="9">
        <f>SUM($DP$3:EI21)</f>
        <v>0</v>
      </c>
      <c r="FD21" s="9"/>
      <c r="FE21" s="9"/>
      <c r="FF21" s="9"/>
      <c r="FG21" s="9"/>
      <c r="FH21" s="9"/>
      <c r="FI21" s="9"/>
      <c r="FJ21" s="9"/>
      <c r="FK21" s="9"/>
      <c r="FL21" s="9"/>
      <c r="FM21" s="9"/>
      <c r="FN21" s="9"/>
      <c r="FO21" s="9"/>
      <c r="FP21" s="9"/>
      <c r="FQ21" s="9"/>
      <c r="FR21" s="9"/>
      <c r="FS21" s="9"/>
      <c r="FT21" s="9"/>
      <c r="FU21" s="9"/>
      <c r="FV21" s="9"/>
      <c r="FW21" s="9"/>
    </row>
    <row r="22" spans="1:179" ht="20.100000000000001" customHeight="1" x14ac:dyDescent="0.25">
      <c r="A22" s="8"/>
      <c r="B22" s="8"/>
      <c r="C22" s="8"/>
      <c r="D22" s="8"/>
      <c r="E22" s="8"/>
      <c r="F22" s="9"/>
      <c r="G22" s="9"/>
      <c r="H22" s="9"/>
      <c r="I22" s="9"/>
      <c r="J22" s="9"/>
      <c r="K22" s="234"/>
      <c r="L22" s="234" t="str">
        <f>IFERROR(VLOOKUP([10]!family_planning[[#This Row],[Helper]],[10]datavalidation!E:G,3,FALSE),"")</f>
        <v/>
      </c>
      <c r="M22" s="10"/>
      <c r="N22" s="52" t="str">
        <f>IF(mshn_database[[#This Row],[Date of Registration '[mm/dd/yy']]]="","",TEXT(mshn_database[[#This Row],[Date of Registration '[mm/dd/yy']]],"mmmm"))</f>
        <v/>
      </c>
      <c r="O22" s="52" t="str">
        <f>IF(mshn_database[[#This Row],[Date of Registration '[mm/dd/yy']]]="","","Q"&amp;INT((MONTH(mshn_database[[#This Row],[Date of Registration '[mm/dd/yy']]])-1)/3)+1)</f>
        <v/>
      </c>
      <c r="P22" s="52" t="str">
        <f>IF(mshn_database[[#This Row],[Date of Registration '[mm/dd/yy']]]="","",TEXT(mshn_database[[#This Row],[Date of Registration '[mm/dd/yy']]],"yyyy"))</f>
        <v/>
      </c>
      <c r="Q22" s="63"/>
      <c r="R22" s="186" t="str">
        <f t="shared" si="13"/>
        <v/>
      </c>
      <c r="S22" s="9"/>
      <c r="T22" s="9"/>
      <c r="U22" s="235" t="str">
        <f t="shared" si="14"/>
        <v/>
      </c>
      <c r="V22" s="234" t="str">
        <f>IF(mshn_database[[#This Row],[Age_Category]]="","",VLOOKUP(mshn_database[[#This Row],[Age_Category]],[10]info!$H$2:$I$6,2,FALSE))</f>
        <v/>
      </c>
      <c r="Y22" s="9"/>
      <c r="Z22" s="9"/>
      <c r="AA22" s="10"/>
      <c r="AB22" s="10"/>
      <c r="AC22" s="53" t="str">
        <f t="shared" ca="1" si="15"/>
        <v/>
      </c>
      <c r="AD22" s="9"/>
      <c r="AE22" s="9"/>
      <c r="AF22" s="183"/>
      <c r="AG22" s="183"/>
      <c r="AH22" s="183"/>
      <c r="AI22" s="183"/>
      <c r="AJ22" s="183"/>
      <c r="AK22" s="10"/>
      <c r="AL22" s="10"/>
      <c r="AM22" s="10"/>
      <c r="AN22" s="10"/>
      <c r="AO22" s="10"/>
      <c r="AP22" s="10"/>
      <c r="AQ22" s="10"/>
      <c r="AR22" s="10"/>
      <c r="AS22" s="10"/>
      <c r="AT22" s="10"/>
      <c r="AU22" s="10"/>
      <c r="AV22" s="10"/>
      <c r="AW22" s="10"/>
      <c r="AX22" s="10"/>
      <c r="AY22" s="10"/>
      <c r="AZ22" s="10"/>
      <c r="BA22" s="10"/>
      <c r="BB22" s="10"/>
      <c r="BC22" s="10"/>
      <c r="BD22" s="10"/>
      <c r="BE22" s="235">
        <f t="shared" si="16"/>
        <v>0</v>
      </c>
      <c r="BF22" s="235" t="str">
        <f t="shared" si="17"/>
        <v>No</v>
      </c>
      <c r="BG22" s="236"/>
      <c r="BH22" s="236"/>
      <c r="BI22" s="236"/>
      <c r="BJ22" s="184"/>
      <c r="BK22" s="10"/>
      <c r="BL22" s="9"/>
      <c r="BM22" s="9"/>
      <c r="BN22" s="9"/>
      <c r="BO22" s="9"/>
      <c r="BP22" s="9"/>
      <c r="BQ22" s="9"/>
      <c r="BR22" s="9"/>
      <c r="BS22" s="9"/>
      <c r="BT22" s="9"/>
      <c r="BU22" s="9"/>
      <c r="BV22" s="10"/>
      <c r="BW22" s="10"/>
      <c r="BX22" s="10"/>
      <c r="BY22" s="10"/>
      <c r="BZ22" s="10"/>
      <c r="CA22" s="10"/>
      <c r="CB22" s="235" t="str">
        <f t="shared" si="18"/>
        <v/>
      </c>
      <c r="CC22" s="9"/>
      <c r="CD22" s="9"/>
      <c r="CE22" s="10"/>
      <c r="CF22" s="9"/>
      <c r="CG22" s="9"/>
      <c r="CH22" s="9"/>
      <c r="CI22" s="9"/>
      <c r="CJ22" s="234" t="str">
        <f t="shared" si="19"/>
        <v/>
      </c>
      <c r="CK22" s="9" t="str">
        <f t="shared" si="20"/>
        <v/>
      </c>
      <c r="CL22" s="9" t="str">
        <f t="shared" si="21"/>
        <v/>
      </c>
      <c r="CM22" s="9" t="str">
        <f t="shared" si="22"/>
        <v/>
      </c>
      <c r="CN22" s="9" t="str">
        <f t="shared" si="23"/>
        <v/>
      </c>
      <c r="CO22" s="9" t="str">
        <f t="shared" si="24"/>
        <v/>
      </c>
      <c r="CP22" s="9" t="str">
        <f t="shared" si="25"/>
        <v/>
      </c>
      <c r="CQ22" s="9" t="str">
        <f t="shared" si="26"/>
        <v/>
      </c>
      <c r="CR22" s="9" t="str">
        <f t="shared" si="27"/>
        <v/>
      </c>
      <c r="CS22" s="9" t="str">
        <f t="shared" si="28"/>
        <v/>
      </c>
      <c r="CT22" s="9" t="str">
        <f t="shared" si="29"/>
        <v/>
      </c>
      <c r="CU22" s="9" t="str">
        <f t="shared" si="30"/>
        <v/>
      </c>
      <c r="CV22" s="9" t="str">
        <f t="shared" si="31"/>
        <v/>
      </c>
      <c r="CW22" s="9" t="str">
        <f t="shared" si="32"/>
        <v/>
      </c>
      <c r="CX22" s="9" t="str">
        <f t="shared" si="33"/>
        <v/>
      </c>
      <c r="CY22" s="9" t="str">
        <f t="shared" si="34"/>
        <v/>
      </c>
      <c r="CZ22" s="9" t="str">
        <f t="shared" si="35"/>
        <v/>
      </c>
      <c r="DA22" s="9" t="str">
        <f t="shared" si="36"/>
        <v/>
      </c>
      <c r="DB22" s="9" t="str">
        <f t="shared" si="37"/>
        <v/>
      </c>
      <c r="DC22" s="9" t="str">
        <f t="shared" si="38"/>
        <v/>
      </c>
      <c r="DD22" s="234" t="str">
        <f t="shared" si="39"/>
        <v/>
      </c>
      <c r="DE22" s="9" t="str">
        <f t="shared" si="40"/>
        <v/>
      </c>
      <c r="DF22" s="9" t="str">
        <f t="shared" si="41"/>
        <v/>
      </c>
      <c r="DG22" s="9" t="str">
        <f t="shared" si="42"/>
        <v/>
      </c>
      <c r="DH22" s="9" t="str">
        <f t="shared" si="43"/>
        <v/>
      </c>
      <c r="DI22" s="9" t="str">
        <f t="shared" si="44"/>
        <v/>
      </c>
      <c r="DJ22" s="234" t="str">
        <f t="shared" si="45"/>
        <v/>
      </c>
      <c r="DK22" s="237" t="str">
        <f t="shared" si="46"/>
        <v/>
      </c>
      <c r="DL22" s="234" t="str">
        <f t="shared" si="47"/>
        <v/>
      </c>
      <c r="DM22" s="9" t="str">
        <f t="shared" si="48"/>
        <v/>
      </c>
      <c r="DN22" s="9" t="str">
        <f t="shared" si="49"/>
        <v/>
      </c>
      <c r="DO22" s="9" t="str">
        <f t="shared" si="50"/>
        <v/>
      </c>
      <c r="DP22" s="234" t="str">
        <f t="shared" si="51"/>
        <v/>
      </c>
      <c r="DQ22" s="9"/>
      <c r="DR22" s="9"/>
      <c r="DS22" s="9"/>
      <c r="DT22" s="9"/>
      <c r="DU22" s="9"/>
      <c r="DV22" s="9"/>
      <c r="DW22" s="9"/>
      <c r="DX22" s="9"/>
      <c r="DY22" s="9"/>
      <c r="DZ22" s="9"/>
      <c r="EA22" s="9"/>
      <c r="EB22" s="9"/>
      <c r="EC22" s="9"/>
      <c r="ED22" s="9"/>
      <c r="EE22" s="9"/>
      <c r="EF22" s="9"/>
      <c r="EG22" s="9"/>
      <c r="EH22" s="9"/>
      <c r="EI22" s="9"/>
      <c r="EJ22" s="234">
        <f>SUM($DP$3:DP22)</f>
        <v>0</v>
      </c>
      <c r="EK22" s="9">
        <f>SUM($DP$3:DQ22)</f>
        <v>0</v>
      </c>
      <c r="EL22" s="9">
        <f>SUM($DP$3:DR22)</f>
        <v>0</v>
      </c>
      <c r="EM22" s="9">
        <f>SUM($DP$3:DS22)</f>
        <v>0</v>
      </c>
      <c r="EN22" s="9">
        <f>SUM($DP$3:DT22)</f>
        <v>0</v>
      </c>
      <c r="EO22" s="9">
        <f>SUM($DP$3:DU22)</f>
        <v>0</v>
      </c>
      <c r="EP22" s="9">
        <f>SUM($DP$3:DV22)</f>
        <v>0</v>
      </c>
      <c r="EQ22" s="9">
        <f>SUM($DP$3:DW22)</f>
        <v>0</v>
      </c>
      <c r="ER22" s="9">
        <f>SUM($DP$3:DX22)</f>
        <v>0</v>
      </c>
      <c r="ES22" s="9">
        <f>SUM($DP$3:DY22)</f>
        <v>0</v>
      </c>
      <c r="ET22" s="9">
        <f>SUM($DP$3:DZ22)</f>
        <v>0</v>
      </c>
      <c r="EU22" s="9">
        <f>SUM($DP$3:EA22)</f>
        <v>0</v>
      </c>
      <c r="EV22" s="9">
        <f>SUM($DP$3:EB22)</f>
        <v>0</v>
      </c>
      <c r="EW22" s="9">
        <f>SUM($DP$3:EC22)</f>
        <v>0</v>
      </c>
      <c r="EX22" s="9">
        <f>SUM($DP$3:ED22)</f>
        <v>0</v>
      </c>
      <c r="EY22" s="9">
        <f>SUM($DP$3:EE22)</f>
        <v>0</v>
      </c>
      <c r="EZ22" s="9">
        <f>SUM($DP$3:EF22)</f>
        <v>0</v>
      </c>
      <c r="FA22" s="9">
        <f>SUM($DP$3:EG22)</f>
        <v>0</v>
      </c>
      <c r="FB22" s="9">
        <f>SUM($DP$3:EH22)</f>
        <v>0</v>
      </c>
      <c r="FC22" s="9">
        <f>SUM($DP$3:EI22)</f>
        <v>0</v>
      </c>
      <c r="FD22" s="9"/>
      <c r="FE22" s="9"/>
      <c r="FF22" s="9"/>
      <c r="FG22" s="9"/>
      <c r="FH22" s="9"/>
      <c r="FI22" s="9"/>
      <c r="FJ22" s="9"/>
      <c r="FK22" s="9"/>
      <c r="FL22" s="9"/>
      <c r="FM22" s="9"/>
      <c r="FN22" s="9"/>
      <c r="FO22" s="9"/>
      <c r="FP22" s="9"/>
      <c r="FQ22" s="9"/>
      <c r="FR22" s="9"/>
      <c r="FS22" s="9"/>
      <c r="FT22" s="9"/>
      <c r="FU22" s="9"/>
      <c r="FV22" s="9"/>
      <c r="FW22" s="9"/>
    </row>
    <row r="23" spans="1:179" ht="20.100000000000001" customHeight="1" x14ac:dyDescent="0.25">
      <c r="A23" s="8"/>
      <c r="B23" s="8"/>
      <c r="C23" s="8"/>
      <c r="D23" s="8"/>
      <c r="E23" s="8"/>
      <c r="F23" s="9"/>
      <c r="G23" s="9"/>
      <c r="H23" s="9"/>
      <c r="I23" s="9"/>
      <c r="J23" s="9"/>
      <c r="K23" s="234"/>
      <c r="L23" s="234" t="str">
        <f>IFERROR(VLOOKUP([10]!family_planning[[#This Row],[Helper]],[10]datavalidation!E:G,3,FALSE),"")</f>
        <v/>
      </c>
      <c r="M23" s="10"/>
      <c r="N23" s="52" t="str">
        <f>IF(mshn_database[[#This Row],[Date of Registration '[mm/dd/yy']]]="","",TEXT(mshn_database[[#This Row],[Date of Registration '[mm/dd/yy']]],"mmmm"))</f>
        <v/>
      </c>
      <c r="O23" s="52" t="str">
        <f>IF(mshn_database[[#This Row],[Date of Registration '[mm/dd/yy']]]="","","Q"&amp;INT((MONTH(mshn_database[[#This Row],[Date of Registration '[mm/dd/yy']]])-1)/3)+1)</f>
        <v/>
      </c>
      <c r="P23" s="52" t="str">
        <f>IF(mshn_database[[#This Row],[Date of Registration '[mm/dd/yy']]]="","",TEXT(mshn_database[[#This Row],[Date of Registration '[mm/dd/yy']]],"yyyy"))</f>
        <v/>
      </c>
      <c r="Q23" s="63"/>
      <c r="R23" s="186" t="str">
        <f t="shared" si="13"/>
        <v/>
      </c>
      <c r="S23" s="9"/>
      <c r="T23" s="9"/>
      <c r="U23" s="235" t="str">
        <f t="shared" si="14"/>
        <v/>
      </c>
      <c r="V23" s="234" t="str">
        <f>IF(mshn_database[[#This Row],[Age_Category]]="","",VLOOKUP(mshn_database[[#This Row],[Age_Category]],[10]info!$H$2:$I$6,2,FALSE))</f>
        <v/>
      </c>
      <c r="Y23" s="9"/>
      <c r="Z23" s="9"/>
      <c r="AA23" s="10"/>
      <c r="AB23" s="10"/>
      <c r="AC23" s="53" t="str">
        <f t="shared" ca="1" si="15"/>
        <v/>
      </c>
      <c r="AD23" s="9"/>
      <c r="AE23" s="9"/>
      <c r="AF23" s="183"/>
      <c r="AG23" s="183"/>
      <c r="AH23" s="183"/>
      <c r="AI23" s="183"/>
      <c r="AJ23" s="183"/>
      <c r="AK23" s="10"/>
      <c r="AL23" s="10"/>
      <c r="AM23" s="10"/>
      <c r="AN23" s="10"/>
      <c r="AO23" s="10"/>
      <c r="AP23" s="10"/>
      <c r="AQ23" s="10"/>
      <c r="AR23" s="10"/>
      <c r="AS23" s="10"/>
      <c r="AT23" s="10"/>
      <c r="AU23" s="10"/>
      <c r="AV23" s="10"/>
      <c r="AW23" s="10"/>
      <c r="AX23" s="10"/>
      <c r="AY23" s="10"/>
      <c r="AZ23" s="10"/>
      <c r="BA23" s="10"/>
      <c r="BB23" s="10"/>
      <c r="BC23" s="10"/>
      <c r="BD23" s="10"/>
      <c r="BE23" s="235">
        <f t="shared" si="16"/>
        <v>0</v>
      </c>
      <c r="BF23" s="235" t="str">
        <f t="shared" si="17"/>
        <v>No</v>
      </c>
      <c r="BG23" s="236"/>
      <c r="BH23" s="236"/>
      <c r="BI23" s="236"/>
      <c r="BJ23" s="184"/>
      <c r="BK23" s="10"/>
      <c r="BL23" s="9"/>
      <c r="BM23" s="9"/>
      <c r="BN23" s="9"/>
      <c r="BO23" s="9"/>
      <c r="BP23" s="9"/>
      <c r="BQ23" s="9"/>
      <c r="BR23" s="9"/>
      <c r="BS23" s="9"/>
      <c r="BT23" s="9"/>
      <c r="BU23" s="9"/>
      <c r="BV23" s="10"/>
      <c r="BW23" s="10"/>
      <c r="BX23" s="10"/>
      <c r="BY23" s="10"/>
      <c r="BZ23" s="10"/>
      <c r="CA23" s="10"/>
      <c r="CB23" s="235" t="str">
        <f t="shared" si="18"/>
        <v/>
      </c>
      <c r="CC23" s="9"/>
      <c r="CD23" s="9"/>
      <c r="CE23" s="10"/>
      <c r="CF23" s="9"/>
      <c r="CG23" s="9"/>
      <c r="CH23" s="9"/>
      <c r="CI23" s="9"/>
      <c r="CJ23" s="234" t="str">
        <f t="shared" si="19"/>
        <v/>
      </c>
      <c r="CK23" s="9" t="str">
        <f t="shared" si="20"/>
        <v/>
      </c>
      <c r="CL23" s="9" t="str">
        <f t="shared" si="21"/>
        <v/>
      </c>
      <c r="CM23" s="9" t="str">
        <f t="shared" si="22"/>
        <v/>
      </c>
      <c r="CN23" s="9" t="str">
        <f t="shared" si="23"/>
        <v/>
      </c>
      <c r="CO23" s="9" t="str">
        <f t="shared" si="24"/>
        <v/>
      </c>
      <c r="CP23" s="9" t="str">
        <f t="shared" si="25"/>
        <v/>
      </c>
      <c r="CQ23" s="9" t="str">
        <f t="shared" si="26"/>
        <v/>
      </c>
      <c r="CR23" s="9" t="str">
        <f t="shared" si="27"/>
        <v/>
      </c>
      <c r="CS23" s="9" t="str">
        <f t="shared" si="28"/>
        <v/>
      </c>
      <c r="CT23" s="9" t="str">
        <f t="shared" si="29"/>
        <v/>
      </c>
      <c r="CU23" s="9" t="str">
        <f t="shared" si="30"/>
        <v/>
      </c>
      <c r="CV23" s="9" t="str">
        <f t="shared" si="31"/>
        <v/>
      </c>
      <c r="CW23" s="9" t="str">
        <f t="shared" si="32"/>
        <v/>
      </c>
      <c r="CX23" s="9" t="str">
        <f t="shared" si="33"/>
        <v/>
      </c>
      <c r="CY23" s="9" t="str">
        <f t="shared" si="34"/>
        <v/>
      </c>
      <c r="CZ23" s="9" t="str">
        <f t="shared" si="35"/>
        <v/>
      </c>
      <c r="DA23" s="9" t="str">
        <f t="shared" si="36"/>
        <v/>
      </c>
      <c r="DB23" s="9" t="str">
        <f t="shared" si="37"/>
        <v/>
      </c>
      <c r="DC23" s="9" t="str">
        <f t="shared" si="38"/>
        <v/>
      </c>
      <c r="DD23" s="234" t="str">
        <f t="shared" si="39"/>
        <v/>
      </c>
      <c r="DE23" s="9" t="str">
        <f t="shared" si="40"/>
        <v/>
      </c>
      <c r="DF23" s="9" t="str">
        <f t="shared" si="41"/>
        <v/>
      </c>
      <c r="DG23" s="9" t="str">
        <f t="shared" si="42"/>
        <v/>
      </c>
      <c r="DH23" s="9" t="str">
        <f t="shared" si="43"/>
        <v/>
      </c>
      <c r="DI23" s="9" t="str">
        <f t="shared" si="44"/>
        <v/>
      </c>
      <c r="DJ23" s="234" t="str">
        <f t="shared" si="45"/>
        <v/>
      </c>
      <c r="DK23" s="237" t="str">
        <f t="shared" si="46"/>
        <v/>
      </c>
      <c r="DL23" s="234" t="str">
        <f t="shared" si="47"/>
        <v/>
      </c>
      <c r="DM23" s="9" t="str">
        <f t="shared" si="48"/>
        <v/>
      </c>
      <c r="DN23" s="9" t="str">
        <f t="shared" si="49"/>
        <v/>
      </c>
      <c r="DO23" s="9" t="str">
        <f t="shared" si="50"/>
        <v/>
      </c>
      <c r="DP23" s="234" t="str">
        <f t="shared" si="51"/>
        <v/>
      </c>
      <c r="DQ23" s="9"/>
      <c r="DR23" s="9"/>
      <c r="DS23" s="9"/>
      <c r="DT23" s="9"/>
      <c r="DU23" s="9"/>
      <c r="DV23" s="9"/>
      <c r="DW23" s="9"/>
      <c r="DX23" s="9"/>
      <c r="DY23" s="9"/>
      <c r="DZ23" s="9"/>
      <c r="EA23" s="9"/>
      <c r="EB23" s="9"/>
      <c r="EC23" s="9"/>
      <c r="ED23" s="9"/>
      <c r="EE23" s="9"/>
      <c r="EF23" s="9"/>
      <c r="EG23" s="9"/>
      <c r="EH23" s="9"/>
      <c r="EI23" s="9"/>
      <c r="EJ23" s="234">
        <f>SUM($DP$3:DP23)</f>
        <v>0</v>
      </c>
      <c r="EK23" s="9">
        <f>SUM($DP$3:DQ23)</f>
        <v>0</v>
      </c>
      <c r="EL23" s="9">
        <f>SUM($DP$3:DR23)</f>
        <v>0</v>
      </c>
      <c r="EM23" s="9">
        <f>SUM($DP$3:DS23)</f>
        <v>0</v>
      </c>
      <c r="EN23" s="9">
        <f>SUM($DP$3:DT23)</f>
        <v>0</v>
      </c>
      <c r="EO23" s="9">
        <f>SUM($DP$3:DU23)</f>
        <v>0</v>
      </c>
      <c r="EP23" s="9">
        <f>SUM($DP$3:DV23)</f>
        <v>0</v>
      </c>
      <c r="EQ23" s="9">
        <f>SUM($DP$3:DW23)</f>
        <v>0</v>
      </c>
      <c r="ER23" s="9">
        <f>SUM($DP$3:DX23)</f>
        <v>0</v>
      </c>
      <c r="ES23" s="9">
        <f>SUM($DP$3:DY23)</f>
        <v>0</v>
      </c>
      <c r="ET23" s="9">
        <f>SUM($DP$3:DZ23)</f>
        <v>0</v>
      </c>
      <c r="EU23" s="9">
        <f>SUM($DP$3:EA23)</f>
        <v>0</v>
      </c>
      <c r="EV23" s="9">
        <f>SUM($DP$3:EB23)</f>
        <v>0</v>
      </c>
      <c r="EW23" s="9">
        <f>SUM($DP$3:EC23)</f>
        <v>0</v>
      </c>
      <c r="EX23" s="9">
        <f>SUM($DP$3:ED23)</f>
        <v>0</v>
      </c>
      <c r="EY23" s="9">
        <f>SUM($DP$3:EE23)</f>
        <v>0</v>
      </c>
      <c r="EZ23" s="9">
        <f>SUM($DP$3:EF23)</f>
        <v>0</v>
      </c>
      <c r="FA23" s="9">
        <f>SUM($DP$3:EG23)</f>
        <v>0</v>
      </c>
      <c r="FB23" s="9">
        <f>SUM($DP$3:EH23)</f>
        <v>0</v>
      </c>
      <c r="FC23" s="9">
        <f>SUM($DP$3:EI23)</f>
        <v>0</v>
      </c>
      <c r="FD23" s="9"/>
      <c r="FE23" s="9"/>
      <c r="FF23" s="9"/>
      <c r="FG23" s="9"/>
      <c r="FH23" s="9"/>
      <c r="FI23" s="9"/>
      <c r="FJ23" s="9"/>
      <c r="FK23" s="9"/>
      <c r="FL23" s="9"/>
      <c r="FM23" s="9"/>
      <c r="FN23" s="9"/>
      <c r="FO23" s="9"/>
      <c r="FP23" s="9"/>
      <c r="FQ23" s="9"/>
      <c r="FR23" s="9"/>
      <c r="FS23" s="9"/>
      <c r="FT23" s="9"/>
      <c r="FU23" s="9"/>
      <c r="FV23" s="9"/>
      <c r="FW23" s="9"/>
    </row>
    <row r="24" spans="1:179" ht="20.100000000000001" customHeight="1" x14ac:dyDescent="0.25">
      <c r="A24" s="8"/>
      <c r="B24" s="8"/>
      <c r="C24" s="8"/>
      <c r="D24" s="8"/>
      <c r="E24" s="8"/>
      <c r="F24" s="9"/>
      <c r="G24" s="9"/>
      <c r="H24" s="9"/>
      <c r="I24" s="9"/>
      <c r="J24" s="9"/>
      <c r="K24" s="234"/>
      <c r="L24" s="234" t="str">
        <f>IFERROR(VLOOKUP([10]!family_planning[[#This Row],[Helper]],[10]datavalidation!E:G,3,FALSE),"")</f>
        <v/>
      </c>
      <c r="M24" s="10"/>
      <c r="N24" s="52" t="str">
        <f>IF(mshn_database[[#This Row],[Date of Registration '[mm/dd/yy']]]="","",TEXT(mshn_database[[#This Row],[Date of Registration '[mm/dd/yy']]],"mmmm"))</f>
        <v/>
      </c>
      <c r="O24" s="52" t="str">
        <f>IF(mshn_database[[#This Row],[Date of Registration '[mm/dd/yy']]]="","","Q"&amp;INT((MONTH(mshn_database[[#This Row],[Date of Registration '[mm/dd/yy']]])-1)/3)+1)</f>
        <v/>
      </c>
      <c r="P24" s="52" t="str">
        <f>IF(mshn_database[[#This Row],[Date of Registration '[mm/dd/yy']]]="","",TEXT(mshn_database[[#This Row],[Date of Registration '[mm/dd/yy']]],"yyyy"))</f>
        <v/>
      </c>
      <c r="Q24" s="63"/>
      <c r="R24" s="186" t="str">
        <f t="shared" si="13"/>
        <v/>
      </c>
      <c r="S24" s="9"/>
      <c r="T24" s="9"/>
      <c r="U24" s="235" t="str">
        <f t="shared" si="14"/>
        <v/>
      </c>
      <c r="V24" s="234" t="str">
        <f>IF(mshn_database[[#This Row],[Age_Category]]="","",VLOOKUP(mshn_database[[#This Row],[Age_Category]],[10]info!$H$2:$I$6,2,FALSE))</f>
        <v/>
      </c>
      <c r="Y24" s="9"/>
      <c r="Z24" s="9"/>
      <c r="AA24" s="10"/>
      <c r="AB24" s="10"/>
      <c r="AC24" s="53" t="str">
        <f t="shared" ca="1" si="15"/>
        <v/>
      </c>
      <c r="AD24" s="9"/>
      <c r="AE24" s="9"/>
      <c r="AF24" s="183"/>
      <c r="AG24" s="183"/>
      <c r="AH24" s="183"/>
      <c r="AI24" s="183"/>
      <c r="AJ24" s="183"/>
      <c r="AK24" s="10"/>
      <c r="AL24" s="10"/>
      <c r="AM24" s="10"/>
      <c r="AN24" s="10"/>
      <c r="AO24" s="10"/>
      <c r="AP24" s="10"/>
      <c r="AQ24" s="10"/>
      <c r="AR24" s="10"/>
      <c r="AS24" s="10"/>
      <c r="AT24" s="10"/>
      <c r="AU24" s="10"/>
      <c r="AV24" s="10"/>
      <c r="AW24" s="10"/>
      <c r="AX24" s="10"/>
      <c r="AY24" s="10"/>
      <c r="AZ24" s="10"/>
      <c r="BA24" s="10"/>
      <c r="BB24" s="10"/>
      <c r="BC24" s="10"/>
      <c r="BD24" s="10"/>
      <c r="BE24" s="235">
        <f t="shared" si="16"/>
        <v>0</v>
      </c>
      <c r="BF24" s="235" t="str">
        <f t="shared" si="17"/>
        <v>No</v>
      </c>
      <c r="BG24" s="236"/>
      <c r="BH24" s="236"/>
      <c r="BI24" s="236"/>
      <c r="BJ24" s="184"/>
      <c r="BK24" s="10"/>
      <c r="BL24" s="9"/>
      <c r="BM24" s="9"/>
      <c r="BN24" s="9"/>
      <c r="BO24" s="9"/>
      <c r="BP24" s="9"/>
      <c r="BQ24" s="9"/>
      <c r="BR24" s="9"/>
      <c r="BS24" s="9"/>
      <c r="BT24" s="9"/>
      <c r="BU24" s="9"/>
      <c r="BV24" s="10"/>
      <c r="BW24" s="10"/>
      <c r="BX24" s="10"/>
      <c r="BY24" s="10"/>
      <c r="BZ24" s="10"/>
      <c r="CA24" s="10"/>
      <c r="CB24" s="235" t="str">
        <f t="shared" si="18"/>
        <v/>
      </c>
      <c r="CC24" s="9"/>
      <c r="CD24" s="9"/>
      <c r="CE24" s="10"/>
      <c r="CF24" s="9"/>
      <c r="CG24" s="9"/>
      <c r="CH24" s="9"/>
      <c r="CI24" s="9"/>
      <c r="CJ24" s="234" t="str">
        <f t="shared" si="19"/>
        <v/>
      </c>
      <c r="CK24" s="9" t="str">
        <f t="shared" si="20"/>
        <v/>
      </c>
      <c r="CL24" s="9" t="str">
        <f t="shared" si="21"/>
        <v/>
      </c>
      <c r="CM24" s="9" t="str">
        <f t="shared" si="22"/>
        <v/>
      </c>
      <c r="CN24" s="9" t="str">
        <f t="shared" si="23"/>
        <v/>
      </c>
      <c r="CO24" s="9" t="str">
        <f t="shared" si="24"/>
        <v/>
      </c>
      <c r="CP24" s="9" t="str">
        <f t="shared" si="25"/>
        <v/>
      </c>
      <c r="CQ24" s="9" t="str">
        <f t="shared" si="26"/>
        <v/>
      </c>
      <c r="CR24" s="9" t="str">
        <f t="shared" si="27"/>
        <v/>
      </c>
      <c r="CS24" s="9" t="str">
        <f t="shared" si="28"/>
        <v/>
      </c>
      <c r="CT24" s="9" t="str">
        <f t="shared" si="29"/>
        <v/>
      </c>
      <c r="CU24" s="9" t="str">
        <f t="shared" si="30"/>
        <v/>
      </c>
      <c r="CV24" s="9" t="str">
        <f t="shared" si="31"/>
        <v/>
      </c>
      <c r="CW24" s="9" t="str">
        <f t="shared" si="32"/>
        <v/>
      </c>
      <c r="CX24" s="9" t="str">
        <f t="shared" si="33"/>
        <v/>
      </c>
      <c r="CY24" s="9" t="str">
        <f t="shared" si="34"/>
        <v/>
      </c>
      <c r="CZ24" s="9" t="str">
        <f t="shared" si="35"/>
        <v/>
      </c>
      <c r="DA24" s="9" t="str">
        <f t="shared" si="36"/>
        <v/>
      </c>
      <c r="DB24" s="9" t="str">
        <f t="shared" si="37"/>
        <v/>
      </c>
      <c r="DC24" s="9" t="str">
        <f t="shared" si="38"/>
        <v/>
      </c>
      <c r="DD24" s="234" t="str">
        <f t="shared" si="39"/>
        <v/>
      </c>
      <c r="DE24" s="9" t="str">
        <f t="shared" si="40"/>
        <v/>
      </c>
      <c r="DF24" s="9" t="str">
        <f t="shared" si="41"/>
        <v/>
      </c>
      <c r="DG24" s="9" t="str">
        <f t="shared" si="42"/>
        <v/>
      </c>
      <c r="DH24" s="9" t="str">
        <f t="shared" si="43"/>
        <v/>
      </c>
      <c r="DI24" s="9" t="str">
        <f t="shared" si="44"/>
        <v/>
      </c>
      <c r="DJ24" s="234" t="str">
        <f t="shared" si="45"/>
        <v/>
      </c>
      <c r="DK24" s="237" t="str">
        <f t="shared" si="46"/>
        <v/>
      </c>
      <c r="DL24" s="234" t="str">
        <f t="shared" si="47"/>
        <v/>
      </c>
      <c r="DM24" s="9" t="str">
        <f t="shared" si="48"/>
        <v/>
      </c>
      <c r="DN24" s="9" t="str">
        <f t="shared" si="49"/>
        <v/>
      </c>
      <c r="DO24" s="9" t="str">
        <f t="shared" si="50"/>
        <v/>
      </c>
      <c r="DP24" s="234" t="str">
        <f t="shared" si="51"/>
        <v/>
      </c>
      <c r="DQ24" s="9"/>
      <c r="DR24" s="9"/>
      <c r="DS24" s="9"/>
      <c r="DT24" s="9"/>
      <c r="DU24" s="9"/>
      <c r="DV24" s="9"/>
      <c r="DW24" s="9"/>
      <c r="DX24" s="9"/>
      <c r="DY24" s="9"/>
      <c r="DZ24" s="9"/>
      <c r="EA24" s="9"/>
      <c r="EB24" s="9"/>
      <c r="EC24" s="9"/>
      <c r="ED24" s="9"/>
      <c r="EE24" s="9"/>
      <c r="EF24" s="9"/>
      <c r="EG24" s="9"/>
      <c r="EH24" s="9"/>
      <c r="EI24" s="9"/>
      <c r="EJ24" s="234">
        <f>SUM($DP$3:DP24)</f>
        <v>0</v>
      </c>
      <c r="EK24" s="9">
        <f>SUM($DP$3:DQ24)</f>
        <v>0</v>
      </c>
      <c r="EL24" s="9">
        <f>SUM($DP$3:DR24)</f>
        <v>0</v>
      </c>
      <c r="EM24" s="9">
        <f>SUM($DP$3:DS24)</f>
        <v>0</v>
      </c>
      <c r="EN24" s="9">
        <f>SUM($DP$3:DT24)</f>
        <v>0</v>
      </c>
      <c r="EO24" s="9">
        <f>SUM($DP$3:DU24)</f>
        <v>0</v>
      </c>
      <c r="EP24" s="9">
        <f>SUM($DP$3:DV24)</f>
        <v>0</v>
      </c>
      <c r="EQ24" s="9">
        <f>SUM($DP$3:DW24)</f>
        <v>0</v>
      </c>
      <c r="ER24" s="9">
        <f>SUM($DP$3:DX24)</f>
        <v>0</v>
      </c>
      <c r="ES24" s="9">
        <f>SUM($DP$3:DY24)</f>
        <v>0</v>
      </c>
      <c r="ET24" s="9">
        <f>SUM($DP$3:DZ24)</f>
        <v>0</v>
      </c>
      <c r="EU24" s="9">
        <f>SUM($DP$3:EA24)</f>
        <v>0</v>
      </c>
      <c r="EV24" s="9">
        <f>SUM($DP$3:EB24)</f>
        <v>0</v>
      </c>
      <c r="EW24" s="9">
        <f>SUM($DP$3:EC24)</f>
        <v>0</v>
      </c>
      <c r="EX24" s="9">
        <f>SUM($DP$3:ED24)</f>
        <v>0</v>
      </c>
      <c r="EY24" s="9">
        <f>SUM($DP$3:EE24)</f>
        <v>0</v>
      </c>
      <c r="EZ24" s="9">
        <f>SUM($DP$3:EF24)</f>
        <v>0</v>
      </c>
      <c r="FA24" s="9">
        <f>SUM($DP$3:EG24)</f>
        <v>0</v>
      </c>
      <c r="FB24" s="9">
        <f>SUM($DP$3:EH24)</f>
        <v>0</v>
      </c>
      <c r="FC24" s="9">
        <f>SUM($DP$3:EI24)</f>
        <v>0</v>
      </c>
      <c r="FD24" s="9"/>
      <c r="FE24" s="9"/>
      <c r="FF24" s="9"/>
      <c r="FG24" s="9"/>
      <c r="FH24" s="9"/>
      <c r="FI24" s="9"/>
      <c r="FJ24" s="9"/>
      <c r="FK24" s="9"/>
      <c r="FL24" s="9"/>
      <c r="FM24" s="9"/>
      <c r="FN24" s="9"/>
      <c r="FO24" s="9"/>
      <c r="FP24" s="9"/>
      <c r="FQ24" s="9"/>
      <c r="FR24" s="9"/>
      <c r="FS24" s="9"/>
      <c r="FT24" s="9"/>
      <c r="FU24" s="9"/>
      <c r="FV24" s="9"/>
      <c r="FW24" s="9"/>
    </row>
    <row r="25" spans="1:179" ht="20.100000000000001" customHeight="1" x14ac:dyDescent="0.25">
      <c r="A25" s="8"/>
      <c r="B25" s="8"/>
      <c r="C25" s="8"/>
      <c r="D25" s="8"/>
      <c r="E25" s="8"/>
      <c r="F25" s="9"/>
      <c r="G25" s="9"/>
      <c r="H25" s="9"/>
      <c r="I25" s="9"/>
      <c r="J25" s="9"/>
      <c r="K25" s="234"/>
      <c r="L25" s="234" t="str">
        <f>IFERROR(VLOOKUP([10]!family_planning[[#This Row],[Helper]],[10]datavalidation!E:G,3,FALSE),"")</f>
        <v/>
      </c>
      <c r="M25" s="10"/>
      <c r="N25" s="52" t="str">
        <f>IF(mshn_database[[#This Row],[Date of Registration '[mm/dd/yy']]]="","",TEXT(mshn_database[[#This Row],[Date of Registration '[mm/dd/yy']]],"mmmm"))</f>
        <v/>
      </c>
      <c r="O25" s="52" t="str">
        <f>IF(mshn_database[[#This Row],[Date of Registration '[mm/dd/yy']]]="","","Q"&amp;INT((MONTH(mshn_database[[#This Row],[Date of Registration '[mm/dd/yy']]])-1)/3)+1)</f>
        <v/>
      </c>
      <c r="P25" s="52" t="str">
        <f>IF(mshn_database[[#This Row],[Date of Registration '[mm/dd/yy']]]="","",TEXT(mshn_database[[#This Row],[Date of Registration '[mm/dd/yy']]],"yyyy"))</f>
        <v/>
      </c>
      <c r="Q25" s="63"/>
      <c r="R25" s="186" t="str">
        <f t="shared" si="13"/>
        <v/>
      </c>
      <c r="S25" s="9"/>
      <c r="T25" s="9"/>
      <c r="U25" s="235" t="str">
        <f t="shared" si="14"/>
        <v/>
      </c>
      <c r="V25" s="234" t="str">
        <f>IF(mshn_database[[#This Row],[Age_Category]]="","",VLOOKUP(mshn_database[[#This Row],[Age_Category]],[10]info!$H$2:$I$6,2,FALSE))</f>
        <v/>
      </c>
      <c r="Y25" s="9"/>
      <c r="Z25" s="9"/>
      <c r="AA25" s="10"/>
      <c r="AB25" s="10"/>
      <c r="AC25" s="53" t="str">
        <f t="shared" ca="1" si="15"/>
        <v/>
      </c>
      <c r="AD25" s="9"/>
      <c r="AE25" s="9"/>
      <c r="AF25" s="183"/>
      <c r="AG25" s="183"/>
      <c r="AH25" s="183"/>
      <c r="AI25" s="183"/>
      <c r="AJ25" s="183"/>
      <c r="AK25" s="10"/>
      <c r="AL25" s="10"/>
      <c r="AM25" s="10"/>
      <c r="AN25" s="10"/>
      <c r="AO25" s="10"/>
      <c r="AP25" s="10"/>
      <c r="AQ25" s="10"/>
      <c r="AR25" s="10"/>
      <c r="AS25" s="10"/>
      <c r="AT25" s="10"/>
      <c r="AU25" s="10"/>
      <c r="AV25" s="10"/>
      <c r="AW25" s="10"/>
      <c r="AX25" s="10"/>
      <c r="AY25" s="10"/>
      <c r="AZ25" s="10"/>
      <c r="BA25" s="10"/>
      <c r="BB25" s="10"/>
      <c r="BC25" s="10"/>
      <c r="BD25" s="10"/>
      <c r="BE25" s="235">
        <f t="shared" si="16"/>
        <v>0</v>
      </c>
      <c r="BF25" s="235" t="str">
        <f t="shared" si="17"/>
        <v>No</v>
      </c>
      <c r="BG25" s="236"/>
      <c r="BH25" s="236"/>
      <c r="BI25" s="236"/>
      <c r="BJ25" s="184"/>
      <c r="BK25" s="10"/>
      <c r="BL25" s="9"/>
      <c r="BM25" s="9"/>
      <c r="BN25" s="9"/>
      <c r="BO25" s="9"/>
      <c r="BP25" s="9"/>
      <c r="BQ25" s="9"/>
      <c r="BR25" s="9"/>
      <c r="BS25" s="9"/>
      <c r="BT25" s="9"/>
      <c r="BU25" s="9"/>
      <c r="BV25" s="10"/>
      <c r="BW25" s="10"/>
      <c r="BX25" s="10"/>
      <c r="BY25" s="10"/>
      <c r="BZ25" s="10"/>
      <c r="CA25" s="10"/>
      <c r="CB25" s="235" t="str">
        <f t="shared" si="18"/>
        <v/>
      </c>
      <c r="CC25" s="9"/>
      <c r="CD25" s="9"/>
      <c r="CE25" s="10"/>
      <c r="CF25" s="9"/>
      <c r="CG25" s="9"/>
      <c r="CH25" s="9"/>
      <c r="CI25" s="9"/>
      <c r="CJ25" s="234" t="str">
        <f t="shared" si="19"/>
        <v/>
      </c>
      <c r="CK25" s="9" t="str">
        <f t="shared" si="20"/>
        <v/>
      </c>
      <c r="CL25" s="9" t="str">
        <f t="shared" si="21"/>
        <v/>
      </c>
      <c r="CM25" s="9" t="str">
        <f t="shared" si="22"/>
        <v/>
      </c>
      <c r="CN25" s="9" t="str">
        <f t="shared" si="23"/>
        <v/>
      </c>
      <c r="CO25" s="9" t="str">
        <f t="shared" si="24"/>
        <v/>
      </c>
      <c r="CP25" s="9" t="str">
        <f t="shared" si="25"/>
        <v/>
      </c>
      <c r="CQ25" s="9" t="str">
        <f t="shared" si="26"/>
        <v/>
      </c>
      <c r="CR25" s="9" t="str">
        <f t="shared" si="27"/>
        <v/>
      </c>
      <c r="CS25" s="9" t="str">
        <f t="shared" si="28"/>
        <v/>
      </c>
      <c r="CT25" s="9" t="str">
        <f t="shared" si="29"/>
        <v/>
      </c>
      <c r="CU25" s="9" t="str">
        <f t="shared" si="30"/>
        <v/>
      </c>
      <c r="CV25" s="9" t="str">
        <f t="shared" si="31"/>
        <v/>
      </c>
      <c r="CW25" s="9" t="str">
        <f t="shared" si="32"/>
        <v/>
      </c>
      <c r="CX25" s="9" t="str">
        <f t="shared" si="33"/>
        <v/>
      </c>
      <c r="CY25" s="9" t="str">
        <f t="shared" si="34"/>
        <v/>
      </c>
      <c r="CZ25" s="9" t="str">
        <f t="shared" si="35"/>
        <v/>
      </c>
      <c r="DA25" s="9" t="str">
        <f t="shared" si="36"/>
        <v/>
      </c>
      <c r="DB25" s="9" t="str">
        <f t="shared" si="37"/>
        <v/>
      </c>
      <c r="DC25" s="9" t="str">
        <f t="shared" si="38"/>
        <v/>
      </c>
      <c r="DD25" s="234" t="str">
        <f t="shared" si="39"/>
        <v/>
      </c>
      <c r="DE25" s="9" t="str">
        <f t="shared" si="40"/>
        <v/>
      </c>
      <c r="DF25" s="9" t="str">
        <f t="shared" si="41"/>
        <v/>
      </c>
      <c r="DG25" s="9" t="str">
        <f t="shared" si="42"/>
        <v/>
      </c>
      <c r="DH25" s="9" t="str">
        <f t="shared" si="43"/>
        <v/>
      </c>
      <c r="DI25" s="9" t="str">
        <f t="shared" si="44"/>
        <v/>
      </c>
      <c r="DJ25" s="234" t="str">
        <f t="shared" si="45"/>
        <v/>
      </c>
      <c r="DK25" s="237" t="str">
        <f t="shared" si="46"/>
        <v/>
      </c>
      <c r="DL25" s="234" t="str">
        <f t="shared" si="47"/>
        <v/>
      </c>
      <c r="DM25" s="9" t="str">
        <f t="shared" si="48"/>
        <v/>
      </c>
      <c r="DN25" s="9" t="str">
        <f t="shared" si="49"/>
        <v/>
      </c>
      <c r="DO25" s="9" t="str">
        <f t="shared" si="50"/>
        <v/>
      </c>
      <c r="DP25" s="234" t="str">
        <f t="shared" si="51"/>
        <v/>
      </c>
      <c r="DQ25" s="9"/>
      <c r="DR25" s="9"/>
      <c r="DS25" s="9"/>
      <c r="DT25" s="9"/>
      <c r="DU25" s="9"/>
      <c r="DV25" s="9"/>
      <c r="DW25" s="9"/>
      <c r="DX25" s="9"/>
      <c r="DY25" s="9"/>
      <c r="DZ25" s="9"/>
      <c r="EA25" s="9"/>
      <c r="EB25" s="9"/>
      <c r="EC25" s="9"/>
      <c r="ED25" s="9"/>
      <c r="EE25" s="9"/>
      <c r="EF25" s="9"/>
      <c r="EG25" s="9"/>
      <c r="EH25" s="9"/>
      <c r="EI25" s="9"/>
      <c r="EJ25" s="234">
        <f>SUM($DP$3:DP25)</f>
        <v>0</v>
      </c>
      <c r="EK25" s="9">
        <f>SUM($DP$3:DQ25)</f>
        <v>0</v>
      </c>
      <c r="EL25" s="9">
        <f>SUM($DP$3:DR25)</f>
        <v>0</v>
      </c>
      <c r="EM25" s="9">
        <f>SUM($DP$3:DS25)</f>
        <v>0</v>
      </c>
      <c r="EN25" s="9">
        <f>SUM($DP$3:DT25)</f>
        <v>0</v>
      </c>
      <c r="EO25" s="9">
        <f>SUM($DP$3:DU25)</f>
        <v>0</v>
      </c>
      <c r="EP25" s="9">
        <f>SUM($DP$3:DV25)</f>
        <v>0</v>
      </c>
      <c r="EQ25" s="9">
        <f>SUM($DP$3:DW25)</f>
        <v>0</v>
      </c>
      <c r="ER25" s="9">
        <f>SUM($DP$3:DX25)</f>
        <v>0</v>
      </c>
      <c r="ES25" s="9">
        <f>SUM($DP$3:DY25)</f>
        <v>0</v>
      </c>
      <c r="ET25" s="9">
        <f>SUM($DP$3:DZ25)</f>
        <v>0</v>
      </c>
      <c r="EU25" s="9">
        <f>SUM($DP$3:EA25)</f>
        <v>0</v>
      </c>
      <c r="EV25" s="9">
        <f>SUM($DP$3:EB25)</f>
        <v>0</v>
      </c>
      <c r="EW25" s="9">
        <f>SUM($DP$3:EC25)</f>
        <v>0</v>
      </c>
      <c r="EX25" s="9">
        <f>SUM($DP$3:ED25)</f>
        <v>0</v>
      </c>
      <c r="EY25" s="9">
        <f>SUM($DP$3:EE25)</f>
        <v>0</v>
      </c>
      <c r="EZ25" s="9">
        <f>SUM($DP$3:EF25)</f>
        <v>0</v>
      </c>
      <c r="FA25" s="9">
        <f>SUM($DP$3:EG25)</f>
        <v>0</v>
      </c>
      <c r="FB25" s="9">
        <f>SUM($DP$3:EH25)</f>
        <v>0</v>
      </c>
      <c r="FC25" s="9">
        <f>SUM($DP$3:EI25)</f>
        <v>0</v>
      </c>
      <c r="FD25" s="9"/>
      <c r="FE25" s="9"/>
      <c r="FF25" s="9"/>
      <c r="FG25" s="9"/>
      <c r="FH25" s="9"/>
      <c r="FI25" s="9"/>
      <c r="FJ25" s="9"/>
      <c r="FK25" s="9"/>
      <c r="FL25" s="9"/>
      <c r="FM25" s="9"/>
      <c r="FN25" s="9"/>
      <c r="FO25" s="9"/>
      <c r="FP25" s="9"/>
      <c r="FQ25" s="9"/>
      <c r="FR25" s="9"/>
      <c r="FS25" s="9"/>
      <c r="FT25" s="9"/>
      <c r="FU25" s="9"/>
      <c r="FV25" s="9"/>
      <c r="FW25" s="9"/>
    </row>
    <row r="26" spans="1:179" ht="20.100000000000001" customHeight="1" x14ac:dyDescent="0.25">
      <c r="A26" s="8"/>
      <c r="B26" s="8"/>
      <c r="C26" s="8"/>
      <c r="D26" s="8"/>
      <c r="E26" s="8"/>
      <c r="F26" s="9"/>
      <c r="G26" s="9"/>
      <c r="H26" s="9"/>
      <c r="I26" s="9"/>
      <c r="J26" s="9"/>
      <c r="K26" s="234"/>
      <c r="L26" s="234" t="str">
        <f>IFERROR(VLOOKUP([10]!family_planning[[#This Row],[Helper]],[10]datavalidation!E:G,3,FALSE),"")</f>
        <v/>
      </c>
      <c r="M26" s="10"/>
      <c r="N26" s="52" t="str">
        <f>IF(mshn_database[[#This Row],[Date of Registration '[mm/dd/yy']]]="","",TEXT(mshn_database[[#This Row],[Date of Registration '[mm/dd/yy']]],"mmmm"))</f>
        <v/>
      </c>
      <c r="O26" s="52" t="str">
        <f>IF(mshn_database[[#This Row],[Date of Registration '[mm/dd/yy']]]="","","Q"&amp;INT((MONTH(mshn_database[[#This Row],[Date of Registration '[mm/dd/yy']]])-1)/3)+1)</f>
        <v/>
      </c>
      <c r="P26" s="52" t="str">
        <f>IF(mshn_database[[#This Row],[Date of Registration '[mm/dd/yy']]]="","",TEXT(mshn_database[[#This Row],[Date of Registration '[mm/dd/yy']]],"yyyy"))</f>
        <v/>
      </c>
      <c r="Q26" s="63"/>
      <c r="R26" s="186" t="str">
        <f t="shared" si="13"/>
        <v/>
      </c>
      <c r="S26" s="9"/>
      <c r="T26" s="9"/>
      <c r="U26" s="235" t="str">
        <f t="shared" si="14"/>
        <v/>
      </c>
      <c r="V26" s="234" t="str">
        <f>IF(mshn_database[[#This Row],[Age_Category]]="","",VLOOKUP(mshn_database[[#This Row],[Age_Category]],[10]info!$H$2:$I$6,2,FALSE))</f>
        <v/>
      </c>
      <c r="Y26" s="9"/>
      <c r="Z26" s="9"/>
      <c r="AA26" s="10"/>
      <c r="AB26" s="10"/>
      <c r="AC26" s="53" t="str">
        <f t="shared" ca="1" si="15"/>
        <v/>
      </c>
      <c r="AD26" s="9"/>
      <c r="AE26" s="9"/>
      <c r="AF26" s="183"/>
      <c r="AG26" s="183"/>
      <c r="AH26" s="183"/>
      <c r="AI26" s="183"/>
      <c r="AJ26" s="183"/>
      <c r="AK26" s="10"/>
      <c r="AL26" s="10"/>
      <c r="AM26" s="10"/>
      <c r="AN26" s="10"/>
      <c r="AO26" s="10"/>
      <c r="AP26" s="10"/>
      <c r="AQ26" s="10"/>
      <c r="AR26" s="10"/>
      <c r="AS26" s="10"/>
      <c r="AT26" s="10"/>
      <c r="AU26" s="10"/>
      <c r="AV26" s="10"/>
      <c r="AW26" s="10"/>
      <c r="AX26" s="10"/>
      <c r="AY26" s="10"/>
      <c r="AZ26" s="10"/>
      <c r="BA26" s="10"/>
      <c r="BB26" s="10"/>
      <c r="BC26" s="10"/>
      <c r="BD26" s="10"/>
      <c r="BE26" s="235">
        <f t="shared" si="16"/>
        <v>0</v>
      </c>
      <c r="BF26" s="235" t="str">
        <f t="shared" si="17"/>
        <v>No</v>
      </c>
      <c r="BG26" s="236"/>
      <c r="BH26" s="236"/>
      <c r="BI26" s="236"/>
      <c r="BJ26" s="184"/>
      <c r="BK26" s="10"/>
      <c r="BL26" s="9"/>
      <c r="BM26" s="9"/>
      <c r="BN26" s="9"/>
      <c r="BO26" s="9"/>
      <c r="BP26" s="9"/>
      <c r="BQ26" s="9"/>
      <c r="BR26" s="9"/>
      <c r="BS26" s="9"/>
      <c r="BT26" s="9"/>
      <c r="BU26" s="9"/>
      <c r="BV26" s="10"/>
      <c r="BW26" s="10"/>
      <c r="BX26" s="10"/>
      <c r="BY26" s="10"/>
      <c r="BZ26" s="10"/>
      <c r="CA26" s="10"/>
      <c r="CB26" s="235" t="str">
        <f t="shared" si="18"/>
        <v/>
      </c>
      <c r="CC26" s="9"/>
      <c r="CD26" s="9"/>
      <c r="CE26" s="10"/>
      <c r="CF26" s="9"/>
      <c r="CG26" s="9"/>
      <c r="CH26" s="9"/>
      <c r="CI26" s="9"/>
      <c r="CJ26" s="234" t="str">
        <f t="shared" si="19"/>
        <v/>
      </c>
      <c r="CK26" s="9" t="str">
        <f t="shared" si="20"/>
        <v/>
      </c>
      <c r="CL26" s="9" t="str">
        <f t="shared" si="21"/>
        <v/>
      </c>
      <c r="CM26" s="9" t="str">
        <f t="shared" si="22"/>
        <v/>
      </c>
      <c r="CN26" s="9" t="str">
        <f t="shared" si="23"/>
        <v/>
      </c>
      <c r="CO26" s="9" t="str">
        <f t="shared" si="24"/>
        <v/>
      </c>
      <c r="CP26" s="9" t="str">
        <f t="shared" si="25"/>
        <v/>
      </c>
      <c r="CQ26" s="9" t="str">
        <f t="shared" si="26"/>
        <v/>
      </c>
      <c r="CR26" s="9" t="str">
        <f t="shared" si="27"/>
        <v/>
      </c>
      <c r="CS26" s="9" t="str">
        <f t="shared" si="28"/>
        <v/>
      </c>
      <c r="CT26" s="9" t="str">
        <f t="shared" si="29"/>
        <v/>
      </c>
      <c r="CU26" s="9" t="str">
        <f t="shared" si="30"/>
        <v/>
      </c>
      <c r="CV26" s="9" t="str">
        <f t="shared" si="31"/>
        <v/>
      </c>
      <c r="CW26" s="9" t="str">
        <f t="shared" si="32"/>
        <v/>
      </c>
      <c r="CX26" s="9" t="str">
        <f t="shared" si="33"/>
        <v/>
      </c>
      <c r="CY26" s="9" t="str">
        <f t="shared" si="34"/>
        <v/>
      </c>
      <c r="CZ26" s="9" t="str">
        <f t="shared" si="35"/>
        <v/>
      </c>
      <c r="DA26" s="9" t="str">
        <f t="shared" si="36"/>
        <v/>
      </c>
      <c r="DB26" s="9" t="str">
        <f t="shared" si="37"/>
        <v/>
      </c>
      <c r="DC26" s="9" t="str">
        <f t="shared" si="38"/>
        <v/>
      </c>
      <c r="DD26" s="234" t="str">
        <f t="shared" si="39"/>
        <v/>
      </c>
      <c r="DE26" s="9" t="str">
        <f t="shared" si="40"/>
        <v/>
      </c>
      <c r="DF26" s="9" t="str">
        <f t="shared" si="41"/>
        <v/>
      </c>
      <c r="DG26" s="9" t="str">
        <f t="shared" si="42"/>
        <v/>
      </c>
      <c r="DH26" s="9" t="str">
        <f t="shared" si="43"/>
        <v/>
      </c>
      <c r="DI26" s="9" t="str">
        <f t="shared" si="44"/>
        <v/>
      </c>
      <c r="DJ26" s="234" t="str">
        <f t="shared" si="45"/>
        <v/>
      </c>
      <c r="DK26" s="237" t="str">
        <f t="shared" si="46"/>
        <v/>
      </c>
      <c r="DL26" s="234" t="str">
        <f t="shared" si="47"/>
        <v/>
      </c>
      <c r="DM26" s="9" t="str">
        <f t="shared" si="48"/>
        <v/>
      </c>
      <c r="DN26" s="9" t="str">
        <f t="shared" si="49"/>
        <v/>
      </c>
      <c r="DO26" s="9" t="str">
        <f t="shared" si="50"/>
        <v/>
      </c>
      <c r="DP26" s="234" t="str">
        <f t="shared" si="51"/>
        <v/>
      </c>
      <c r="DQ26" s="9"/>
      <c r="DR26" s="9"/>
      <c r="DS26" s="9"/>
      <c r="DT26" s="9"/>
      <c r="DU26" s="9"/>
      <c r="DV26" s="9"/>
      <c r="DW26" s="9"/>
      <c r="DX26" s="9"/>
      <c r="DY26" s="9"/>
      <c r="DZ26" s="9"/>
      <c r="EA26" s="9"/>
      <c r="EB26" s="9"/>
      <c r="EC26" s="9"/>
      <c r="ED26" s="9"/>
      <c r="EE26" s="9"/>
      <c r="EF26" s="9"/>
      <c r="EG26" s="9"/>
      <c r="EH26" s="9"/>
      <c r="EI26" s="9"/>
      <c r="EJ26" s="234">
        <f>SUM($DP$3:DP26)</f>
        <v>0</v>
      </c>
      <c r="EK26" s="9">
        <f>SUM($DP$3:DQ26)</f>
        <v>0</v>
      </c>
      <c r="EL26" s="9">
        <f>SUM($DP$3:DR26)</f>
        <v>0</v>
      </c>
      <c r="EM26" s="9">
        <f>SUM($DP$3:DS26)</f>
        <v>0</v>
      </c>
      <c r="EN26" s="9">
        <f>SUM($DP$3:DT26)</f>
        <v>0</v>
      </c>
      <c r="EO26" s="9">
        <f>SUM($DP$3:DU26)</f>
        <v>0</v>
      </c>
      <c r="EP26" s="9">
        <f>SUM($DP$3:DV26)</f>
        <v>0</v>
      </c>
      <c r="EQ26" s="9">
        <f>SUM($DP$3:DW26)</f>
        <v>0</v>
      </c>
      <c r="ER26" s="9">
        <f>SUM($DP$3:DX26)</f>
        <v>0</v>
      </c>
      <c r="ES26" s="9">
        <f>SUM($DP$3:DY26)</f>
        <v>0</v>
      </c>
      <c r="ET26" s="9">
        <f>SUM($DP$3:DZ26)</f>
        <v>0</v>
      </c>
      <c r="EU26" s="9">
        <f>SUM($DP$3:EA26)</f>
        <v>0</v>
      </c>
      <c r="EV26" s="9">
        <f>SUM($DP$3:EB26)</f>
        <v>0</v>
      </c>
      <c r="EW26" s="9">
        <f>SUM($DP$3:EC26)</f>
        <v>0</v>
      </c>
      <c r="EX26" s="9">
        <f>SUM($DP$3:ED26)</f>
        <v>0</v>
      </c>
      <c r="EY26" s="9">
        <f>SUM($DP$3:EE26)</f>
        <v>0</v>
      </c>
      <c r="EZ26" s="9">
        <f>SUM($DP$3:EF26)</f>
        <v>0</v>
      </c>
      <c r="FA26" s="9">
        <f>SUM($DP$3:EG26)</f>
        <v>0</v>
      </c>
      <c r="FB26" s="9">
        <f>SUM($DP$3:EH26)</f>
        <v>0</v>
      </c>
      <c r="FC26" s="9">
        <f>SUM($DP$3:EI26)</f>
        <v>0</v>
      </c>
      <c r="FD26" s="9"/>
      <c r="FE26" s="9"/>
      <c r="FF26" s="9"/>
      <c r="FG26" s="9"/>
      <c r="FH26" s="9"/>
      <c r="FI26" s="9"/>
      <c r="FJ26" s="9"/>
      <c r="FK26" s="9"/>
      <c r="FL26" s="9"/>
      <c r="FM26" s="9"/>
      <c r="FN26" s="9"/>
      <c r="FO26" s="9"/>
      <c r="FP26" s="9"/>
      <c r="FQ26" s="9"/>
      <c r="FR26" s="9"/>
      <c r="FS26" s="9"/>
      <c r="FT26" s="9"/>
      <c r="FU26" s="9"/>
      <c r="FV26" s="9"/>
      <c r="FW26" s="9"/>
    </row>
    <row r="27" spans="1:179" ht="20.100000000000001" customHeight="1" x14ac:dyDescent="0.25">
      <c r="A27" s="8"/>
      <c r="B27" s="8"/>
      <c r="C27" s="8"/>
      <c r="D27" s="8"/>
      <c r="E27" s="8"/>
      <c r="F27" s="9"/>
      <c r="G27" s="9"/>
      <c r="H27" s="9"/>
      <c r="I27" s="9"/>
      <c r="J27" s="9"/>
      <c r="K27" s="234"/>
      <c r="L27" s="234" t="str">
        <f>IFERROR(VLOOKUP([10]!family_planning[[#This Row],[Helper]],[10]datavalidation!E:G,3,FALSE),"")</f>
        <v/>
      </c>
      <c r="M27" s="10"/>
      <c r="N27" s="52" t="str">
        <f>IF(mshn_database[[#This Row],[Date of Registration '[mm/dd/yy']]]="","",TEXT(mshn_database[[#This Row],[Date of Registration '[mm/dd/yy']]],"mmmm"))</f>
        <v/>
      </c>
      <c r="O27" s="52" t="str">
        <f>IF(mshn_database[[#This Row],[Date of Registration '[mm/dd/yy']]]="","","Q"&amp;INT((MONTH(mshn_database[[#This Row],[Date of Registration '[mm/dd/yy']]])-1)/3)+1)</f>
        <v/>
      </c>
      <c r="P27" s="52" t="str">
        <f>IF(mshn_database[[#This Row],[Date of Registration '[mm/dd/yy']]]="","",TEXT(mshn_database[[#This Row],[Date of Registration '[mm/dd/yy']]],"yyyy"))</f>
        <v/>
      </c>
      <c r="Q27" s="63"/>
      <c r="R27" s="186" t="str">
        <f t="shared" si="13"/>
        <v/>
      </c>
      <c r="S27" s="9"/>
      <c r="T27" s="9"/>
      <c r="U27" s="235" t="str">
        <f t="shared" si="14"/>
        <v/>
      </c>
      <c r="V27" s="234" t="str">
        <f>IF(mshn_database[[#This Row],[Age_Category]]="","",VLOOKUP(mshn_database[[#This Row],[Age_Category]],[10]info!$H$2:$I$6,2,FALSE))</f>
        <v/>
      </c>
      <c r="Y27" s="9"/>
      <c r="Z27" s="9"/>
      <c r="AA27" s="10"/>
      <c r="AB27" s="10"/>
      <c r="AC27" s="53" t="str">
        <f t="shared" ca="1" si="15"/>
        <v/>
      </c>
      <c r="AD27" s="9"/>
      <c r="AE27" s="9"/>
      <c r="AF27" s="183"/>
      <c r="AG27" s="183"/>
      <c r="AH27" s="183"/>
      <c r="AI27" s="183"/>
      <c r="AJ27" s="183"/>
      <c r="AK27" s="10"/>
      <c r="AL27" s="10"/>
      <c r="AM27" s="10"/>
      <c r="AN27" s="10"/>
      <c r="AO27" s="10"/>
      <c r="AP27" s="10"/>
      <c r="AQ27" s="10"/>
      <c r="AR27" s="10"/>
      <c r="AS27" s="10"/>
      <c r="AT27" s="10"/>
      <c r="AU27" s="10"/>
      <c r="AV27" s="10"/>
      <c r="AW27" s="10"/>
      <c r="AX27" s="10"/>
      <c r="AY27" s="10"/>
      <c r="AZ27" s="10"/>
      <c r="BA27" s="10"/>
      <c r="BB27" s="10"/>
      <c r="BC27" s="10"/>
      <c r="BD27" s="10"/>
      <c r="BE27" s="235">
        <f t="shared" si="16"/>
        <v>0</v>
      </c>
      <c r="BF27" s="235" t="str">
        <f t="shared" si="17"/>
        <v>No</v>
      </c>
      <c r="BG27" s="236"/>
      <c r="BH27" s="236"/>
      <c r="BI27" s="236"/>
      <c r="BJ27" s="184"/>
      <c r="BK27" s="10"/>
      <c r="BL27" s="9"/>
      <c r="BM27" s="9"/>
      <c r="BN27" s="9"/>
      <c r="BO27" s="9"/>
      <c r="BP27" s="9"/>
      <c r="BQ27" s="9"/>
      <c r="BR27" s="9"/>
      <c r="BS27" s="9"/>
      <c r="BT27" s="9"/>
      <c r="BU27" s="9"/>
      <c r="BV27" s="10"/>
      <c r="BW27" s="10"/>
      <c r="BX27" s="10"/>
      <c r="BY27" s="10"/>
      <c r="BZ27" s="10"/>
      <c r="CA27" s="10"/>
      <c r="CB27" s="235" t="str">
        <f t="shared" si="18"/>
        <v/>
      </c>
      <c r="CC27" s="9"/>
      <c r="CD27" s="9"/>
      <c r="CE27" s="10"/>
      <c r="CF27" s="9"/>
      <c r="CG27" s="9"/>
      <c r="CH27" s="9"/>
      <c r="CI27" s="9"/>
      <c r="CJ27" s="234" t="str">
        <f t="shared" si="19"/>
        <v/>
      </c>
      <c r="CK27" s="9" t="str">
        <f t="shared" si="20"/>
        <v/>
      </c>
      <c r="CL27" s="9" t="str">
        <f t="shared" si="21"/>
        <v/>
      </c>
      <c r="CM27" s="9" t="str">
        <f t="shared" si="22"/>
        <v/>
      </c>
      <c r="CN27" s="9" t="str">
        <f t="shared" si="23"/>
        <v/>
      </c>
      <c r="CO27" s="9" t="str">
        <f t="shared" si="24"/>
        <v/>
      </c>
      <c r="CP27" s="9" t="str">
        <f t="shared" si="25"/>
        <v/>
      </c>
      <c r="CQ27" s="9" t="str">
        <f t="shared" si="26"/>
        <v/>
      </c>
      <c r="CR27" s="9" t="str">
        <f t="shared" si="27"/>
        <v/>
      </c>
      <c r="CS27" s="9" t="str">
        <f t="shared" si="28"/>
        <v/>
      </c>
      <c r="CT27" s="9" t="str">
        <f t="shared" si="29"/>
        <v/>
      </c>
      <c r="CU27" s="9" t="str">
        <f t="shared" si="30"/>
        <v/>
      </c>
      <c r="CV27" s="9" t="str">
        <f t="shared" si="31"/>
        <v/>
      </c>
      <c r="CW27" s="9" t="str">
        <f t="shared" si="32"/>
        <v/>
      </c>
      <c r="CX27" s="9" t="str">
        <f t="shared" si="33"/>
        <v/>
      </c>
      <c r="CY27" s="9" t="str">
        <f t="shared" si="34"/>
        <v/>
      </c>
      <c r="CZ27" s="9" t="str">
        <f t="shared" si="35"/>
        <v/>
      </c>
      <c r="DA27" s="9" t="str">
        <f t="shared" si="36"/>
        <v/>
      </c>
      <c r="DB27" s="9" t="str">
        <f t="shared" si="37"/>
        <v/>
      </c>
      <c r="DC27" s="9" t="str">
        <f t="shared" si="38"/>
        <v/>
      </c>
      <c r="DD27" s="234" t="str">
        <f t="shared" si="39"/>
        <v/>
      </c>
      <c r="DE27" s="9" t="str">
        <f t="shared" si="40"/>
        <v/>
      </c>
      <c r="DF27" s="9" t="str">
        <f t="shared" si="41"/>
        <v/>
      </c>
      <c r="DG27" s="9" t="str">
        <f t="shared" si="42"/>
        <v/>
      </c>
      <c r="DH27" s="9" t="str">
        <f t="shared" si="43"/>
        <v/>
      </c>
      <c r="DI27" s="9" t="str">
        <f t="shared" si="44"/>
        <v/>
      </c>
      <c r="DJ27" s="234" t="str">
        <f t="shared" si="45"/>
        <v/>
      </c>
      <c r="DK27" s="237" t="str">
        <f t="shared" si="46"/>
        <v/>
      </c>
      <c r="DL27" s="234" t="str">
        <f t="shared" si="47"/>
        <v/>
      </c>
      <c r="DM27" s="9" t="str">
        <f t="shared" si="48"/>
        <v/>
      </c>
      <c r="DN27" s="9" t="str">
        <f t="shared" si="49"/>
        <v/>
      </c>
      <c r="DO27" s="9" t="str">
        <f t="shared" si="50"/>
        <v/>
      </c>
      <c r="DP27" s="234" t="str">
        <f t="shared" si="51"/>
        <v/>
      </c>
      <c r="DQ27" s="9"/>
      <c r="DR27" s="9"/>
      <c r="DS27" s="9"/>
      <c r="DT27" s="9"/>
      <c r="DU27" s="9"/>
      <c r="DV27" s="9"/>
      <c r="DW27" s="9"/>
      <c r="DX27" s="9"/>
      <c r="DY27" s="9"/>
      <c r="DZ27" s="9"/>
      <c r="EA27" s="9"/>
      <c r="EB27" s="9"/>
      <c r="EC27" s="9"/>
      <c r="ED27" s="9"/>
      <c r="EE27" s="9"/>
      <c r="EF27" s="9"/>
      <c r="EG27" s="9"/>
      <c r="EH27" s="9"/>
      <c r="EI27" s="9"/>
      <c r="EJ27" s="234">
        <f>SUM($DP$3:DP27)</f>
        <v>0</v>
      </c>
      <c r="EK27" s="9">
        <f>SUM($DP$3:DQ27)</f>
        <v>0</v>
      </c>
      <c r="EL27" s="9">
        <f>SUM($DP$3:DR27)</f>
        <v>0</v>
      </c>
      <c r="EM27" s="9">
        <f>SUM($DP$3:DS27)</f>
        <v>0</v>
      </c>
      <c r="EN27" s="9">
        <f>SUM($DP$3:DT27)</f>
        <v>0</v>
      </c>
      <c r="EO27" s="9">
        <f>SUM($DP$3:DU27)</f>
        <v>0</v>
      </c>
      <c r="EP27" s="9">
        <f>SUM($DP$3:DV27)</f>
        <v>0</v>
      </c>
      <c r="EQ27" s="9">
        <f>SUM($DP$3:DW27)</f>
        <v>0</v>
      </c>
      <c r="ER27" s="9">
        <f>SUM($DP$3:DX27)</f>
        <v>0</v>
      </c>
      <c r="ES27" s="9">
        <f>SUM($DP$3:DY27)</f>
        <v>0</v>
      </c>
      <c r="ET27" s="9">
        <f>SUM($DP$3:DZ27)</f>
        <v>0</v>
      </c>
      <c r="EU27" s="9">
        <f>SUM($DP$3:EA27)</f>
        <v>0</v>
      </c>
      <c r="EV27" s="9">
        <f>SUM($DP$3:EB27)</f>
        <v>0</v>
      </c>
      <c r="EW27" s="9">
        <f>SUM($DP$3:EC27)</f>
        <v>0</v>
      </c>
      <c r="EX27" s="9">
        <f>SUM($DP$3:ED27)</f>
        <v>0</v>
      </c>
      <c r="EY27" s="9">
        <f>SUM($DP$3:EE27)</f>
        <v>0</v>
      </c>
      <c r="EZ27" s="9">
        <f>SUM($DP$3:EF27)</f>
        <v>0</v>
      </c>
      <c r="FA27" s="9">
        <f>SUM($DP$3:EG27)</f>
        <v>0</v>
      </c>
      <c r="FB27" s="9">
        <f>SUM($DP$3:EH27)</f>
        <v>0</v>
      </c>
      <c r="FC27" s="9">
        <f>SUM($DP$3:EI27)</f>
        <v>0</v>
      </c>
      <c r="FD27" s="9"/>
      <c r="FE27" s="9"/>
      <c r="FF27" s="9"/>
      <c r="FG27" s="9"/>
      <c r="FH27" s="9"/>
      <c r="FI27" s="9"/>
      <c r="FJ27" s="9"/>
      <c r="FK27" s="9"/>
      <c r="FL27" s="9"/>
      <c r="FM27" s="9"/>
      <c r="FN27" s="9"/>
      <c r="FO27" s="9"/>
      <c r="FP27" s="9"/>
      <c r="FQ27" s="9"/>
      <c r="FR27" s="9"/>
      <c r="FS27" s="9"/>
      <c r="FT27" s="9"/>
      <c r="FU27" s="9"/>
      <c r="FV27" s="9"/>
      <c r="FW27" s="9"/>
    </row>
  </sheetData>
  <mergeCells count="8">
    <mergeCell ref="BK1:BU1"/>
    <mergeCell ref="BW1:CA1"/>
    <mergeCell ref="BG1:BJ1"/>
    <mergeCell ref="A1:H1"/>
    <mergeCell ref="AH1:AJ1"/>
    <mergeCell ref="AK1:AO1"/>
    <mergeCell ref="AP1:AT1"/>
    <mergeCell ref="AZ1:BD1"/>
  </mergeCells>
  <conditionalFormatting sqref="BV4">
    <cfRule type="expression" dxfId="15" priority="3">
      <formula>AND(BK4="",BV4&lt;&gt;"")</formula>
    </cfRule>
  </conditionalFormatting>
  <conditionalFormatting sqref="AC3:AC27">
    <cfRule type="expression" dxfId="14" priority="2">
      <formula>AC3="Need LB info"</formula>
    </cfRule>
  </conditionalFormatting>
  <conditionalFormatting sqref="X3:X27">
    <cfRule type="expression" dxfId="13" priority="1">
      <formula>X3="Yes"</formula>
    </cfRule>
  </conditionalFormatting>
  <dataValidations count="13">
    <dataValidation type="list" allowBlank="1" showInputMessage="1" showErrorMessage="1" sqref="X1 AD3:AD27" xr:uid="{00000000-0002-0000-0300-000000000000}">
      <formula1>hrp</formula1>
    </dataValidation>
    <dataValidation type="list" allowBlank="1" showInputMessage="1" showErrorMessage="1" sqref="X3:X27 BR3:BR27 CH3:CH27 CD3:CD27 AF3:AG27" xr:uid="{00000000-0002-0000-0300-000001000000}">
      <formula1>"Yes, No"</formula1>
    </dataValidation>
    <dataValidation type="list" allowBlank="1" showInputMessage="1" showErrorMessage="1" sqref="BN3:BN27" xr:uid="{00000000-0002-0000-0300-000002000000}">
      <formula1>"Male, Female"</formula1>
    </dataValidation>
    <dataValidation type="list" allowBlank="1" showInputMessage="1" showErrorMessage="1" sqref="BO3:BO27" xr:uid="{00000000-0002-0000-0300-000003000000}">
      <formula1>"RI, Other"</formula1>
    </dataValidation>
    <dataValidation type="list" allowBlank="1" showInputMessage="1" showErrorMessage="1" sqref="BU3:BU27" xr:uid="{00000000-0002-0000-0300-000004000000}">
      <formula1>"Alive, Death"</formula1>
    </dataValidation>
    <dataValidation type="list" allowBlank="1" showInputMessage="1" showErrorMessage="1" sqref="AH3:AJ27" xr:uid="{00000000-0002-0000-0300-000005000000}">
      <formula1>"Positive, Negative"</formula1>
    </dataValidation>
    <dataValidation type="whole" operator="greaterThan" allowBlank="1" showInputMessage="1" showErrorMessage="1" sqref="Q1" xr:uid="{00000000-0002-0000-0300-000006000000}">
      <formula1>0</formula1>
    </dataValidation>
    <dataValidation operator="greaterThan" allowBlank="1" showInputMessage="1" showErrorMessage="1" sqref="Q2" xr:uid="{00000000-0002-0000-0300-000007000000}"/>
    <dataValidation type="list" allowBlank="1" showInputMessage="1" showErrorMessage="1" sqref="BQ3:BQ27" xr:uid="{00000000-0002-0000-0300-000008000000}">
      <formula1>"Specialist, MO, Nurse, MW, AMW, LHV, TTBA, Other"</formula1>
    </dataValidation>
    <dataValidation type="list" allowBlank="1" showInputMessage="1" showErrorMessage="1" sqref="BS3:BS27" xr:uid="{00000000-0002-0000-0300-000009000000}">
      <formula1>"NSVD, Instrumental, LSCS, Abortion, Other"</formula1>
    </dataValidation>
    <dataValidation type="list" allowBlank="1" showInputMessage="1" showErrorMessage="1" sqref="J3:J27" xr:uid="{00000000-0002-0000-0300-00000A000000}">
      <formula1>place_type</formula1>
    </dataValidation>
    <dataValidation type="list" allowBlank="1" showInputMessage="1" showErrorMessage="1" sqref="W3:W27" xr:uid="{00000000-0002-0000-0300-00000E000000}">
      <formula1>ethnicity</formula1>
    </dataValidation>
    <dataValidation type="list" allowBlank="1" showInputMessage="1" showErrorMessage="1" sqref="B3:B27" xr:uid="{00000000-0002-0000-0300-00000F000000}">
      <formula1>"BHA"</formula1>
    </dataValidation>
  </dataValidations>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H7"/>
  <sheetViews>
    <sheetView topLeftCell="G1" workbookViewId="0">
      <selection activeCell="D2" sqref="D2"/>
    </sheetView>
  </sheetViews>
  <sheetFormatPr defaultRowHeight="15" x14ac:dyDescent="0.25"/>
  <cols>
    <col min="1" max="4" width="14.5703125" customWidth="1"/>
    <col min="5" max="5" width="13" customWidth="1"/>
    <col min="6" max="7" width="11" customWidth="1"/>
    <col min="12" max="12" width="19.42578125" customWidth="1"/>
    <col min="14" max="14" width="9.42578125" customWidth="1"/>
    <col min="16" max="16" width="9" customWidth="1"/>
    <col min="17" max="17" width="14.140625" bestFit="1" customWidth="1"/>
    <col min="18" max="18" width="16.5703125" customWidth="1"/>
    <col min="20" max="20" width="14.140625" customWidth="1"/>
    <col min="22" max="22" width="10.42578125" customWidth="1"/>
    <col min="23" max="23" width="14.42578125" customWidth="1"/>
    <col min="24" max="24" width="36.42578125" customWidth="1"/>
    <col min="25" max="25" width="12.85546875" customWidth="1"/>
    <col min="26" max="26" width="9.85546875" customWidth="1"/>
    <col min="27" max="27" width="12.5703125" customWidth="1"/>
    <col min="28" max="28" width="10.42578125" customWidth="1"/>
    <col min="29" max="29" width="15.85546875" customWidth="1"/>
    <col min="30" max="30" width="11.85546875" customWidth="1"/>
    <col min="31" max="31" width="14.140625" customWidth="1"/>
    <col min="32" max="32" width="22.85546875" customWidth="1"/>
    <col min="33" max="33" width="16.85546875" customWidth="1"/>
    <col min="34" max="34" width="10.140625" customWidth="1"/>
  </cols>
  <sheetData>
    <row r="1" spans="1:34" ht="44.45" customHeight="1" x14ac:dyDescent="0.25">
      <c r="A1" s="72" t="s">
        <v>578</v>
      </c>
      <c r="B1" s="72"/>
      <c r="C1" s="71"/>
      <c r="D1" s="71"/>
    </row>
    <row r="2" spans="1:34" ht="67.7" customHeight="1" thickBot="1" x14ac:dyDescent="0.3">
      <c r="A2" s="65" t="s">
        <v>362</v>
      </c>
      <c r="B2" s="65" t="s">
        <v>363</v>
      </c>
      <c r="C2" s="126" t="s">
        <v>364</v>
      </c>
      <c r="D2" s="65" t="s">
        <v>413</v>
      </c>
      <c r="E2" s="66" t="s">
        <v>366</v>
      </c>
      <c r="F2" s="66" t="s">
        <v>0</v>
      </c>
      <c r="G2" s="66" t="s">
        <v>367</v>
      </c>
      <c r="H2" s="64" t="s">
        <v>579</v>
      </c>
      <c r="I2" s="64" t="s">
        <v>415</v>
      </c>
      <c r="J2" s="64" t="s">
        <v>417</v>
      </c>
      <c r="K2" s="64" t="s">
        <v>418</v>
      </c>
      <c r="L2" s="67" t="s">
        <v>580</v>
      </c>
      <c r="M2" s="66" t="s">
        <v>419</v>
      </c>
      <c r="N2" s="66" t="s">
        <v>420</v>
      </c>
      <c r="O2" s="66" t="s">
        <v>421</v>
      </c>
      <c r="P2" s="66" t="s">
        <v>422</v>
      </c>
      <c r="Q2" s="66" t="s">
        <v>423</v>
      </c>
      <c r="R2" s="67" t="s">
        <v>581</v>
      </c>
      <c r="S2" s="66" t="s">
        <v>305</v>
      </c>
      <c r="T2" s="66" t="s">
        <v>582</v>
      </c>
      <c r="U2" s="66" t="s">
        <v>379</v>
      </c>
      <c r="V2" s="66" t="s">
        <v>388</v>
      </c>
      <c r="W2" s="66" t="s">
        <v>583</v>
      </c>
      <c r="X2" s="67" t="s">
        <v>380</v>
      </c>
      <c r="Y2" s="66" t="s">
        <v>584</v>
      </c>
      <c r="Z2" s="66" t="s">
        <v>585</v>
      </c>
      <c r="AA2" s="66" t="s">
        <v>586</v>
      </c>
      <c r="AB2" s="66" t="s">
        <v>587</v>
      </c>
      <c r="AC2" s="67" t="s">
        <v>588</v>
      </c>
      <c r="AD2" s="66" t="s">
        <v>589</v>
      </c>
      <c r="AE2" s="67" t="s">
        <v>590</v>
      </c>
      <c r="AF2" s="66" t="s">
        <v>591</v>
      </c>
      <c r="AG2" s="66" t="s">
        <v>395</v>
      </c>
      <c r="AH2" s="68" t="s">
        <v>396</v>
      </c>
    </row>
    <row r="3" spans="1:34" ht="15.75" thickTop="1" x14ac:dyDescent="0.25">
      <c r="E3" s="8"/>
      <c r="F3" s="9"/>
      <c r="G3" s="9"/>
      <c r="H3" s="9"/>
      <c r="L3" s="69"/>
      <c r="S3">
        <v>1</v>
      </c>
      <c r="T3" t="str">
        <f t="shared" ref="T3:T7" si="0">IF(ISBLANK(S3),"",
IF(S3&lt;5,"&lt;5 yrs",
IF(AND(S3&gt;=5,S3&lt;=14),"5 - 14 yrs",
IF(AND(S3&gt;=15,S3&lt;=18),"15 - 18 yrs",
IF(AND(S3&gt;=19,S3&lt;=49),"19 - 49 yrs",
IF(S3&gt;=50,"50 yrs +",""))))))</f>
        <v>&lt;5 yrs</v>
      </c>
      <c r="Y3" t="s">
        <v>592</v>
      </c>
      <c r="AC3" t="s">
        <v>593</v>
      </c>
      <c r="AF3" t="str">
        <f>IF(OR(AD3&gt;0,AE3&gt;0),"Yes","No")</f>
        <v>No</v>
      </c>
    </row>
    <row r="4" spans="1:34" x14ac:dyDescent="0.25">
      <c r="E4" s="8"/>
      <c r="F4" s="9"/>
      <c r="G4" s="9"/>
      <c r="H4" s="9"/>
      <c r="T4" t="str">
        <f t="shared" si="0"/>
        <v/>
      </c>
      <c r="AF4" t="str">
        <f t="shared" ref="AF4:AF7" si="1">IF(OR(AD4&gt;0,AE4&gt;0),"Yes","No")</f>
        <v>No</v>
      </c>
    </row>
    <row r="5" spans="1:34" x14ac:dyDescent="0.25">
      <c r="E5" s="8"/>
      <c r="F5" s="9"/>
      <c r="G5" s="9"/>
      <c r="H5" s="9"/>
      <c r="M5" t="str">
        <f t="shared" ref="M5:M7" si="2">IF(L5="","",TEXT(L5,"mmmm"))</f>
        <v/>
      </c>
      <c r="N5" t="str">
        <f t="shared" ref="N5:N7" si="3">IF(L5="","","Q"&amp;INT((MONTH(L5)-1)/3)+1)</f>
        <v/>
      </c>
      <c r="O5" t="str">
        <f t="shared" ref="O5:O7" si="4">IF(L5="","",TEXT(L5,"yyyy"))</f>
        <v/>
      </c>
      <c r="Q5" t="str">
        <f t="shared" ref="Q5:Q7" si="5">IF(O5="","",C5&amp;"-"&amp;D5&amp;"-"&amp;"BHA-FP-"&amp;P5)</f>
        <v/>
      </c>
      <c r="T5" t="str">
        <f t="shared" si="0"/>
        <v/>
      </c>
      <c r="AF5" t="str">
        <f t="shared" si="1"/>
        <v>No</v>
      </c>
    </row>
    <row r="6" spans="1:34" x14ac:dyDescent="0.25">
      <c r="E6" s="8"/>
      <c r="F6" s="9"/>
      <c r="G6" s="9"/>
      <c r="H6" s="9"/>
      <c r="M6" t="str">
        <f t="shared" si="2"/>
        <v/>
      </c>
      <c r="N6" t="str">
        <f t="shared" si="3"/>
        <v/>
      </c>
      <c r="O6" t="str">
        <f t="shared" si="4"/>
        <v/>
      </c>
      <c r="Q6" t="str">
        <f t="shared" si="5"/>
        <v/>
      </c>
      <c r="T6" t="str">
        <f t="shared" si="0"/>
        <v/>
      </c>
      <c r="AF6" t="str">
        <f t="shared" si="1"/>
        <v>No</v>
      </c>
    </row>
    <row r="7" spans="1:34" x14ac:dyDescent="0.25">
      <c r="E7" s="8"/>
      <c r="F7" s="9"/>
      <c r="G7" s="9"/>
      <c r="H7" s="9"/>
      <c r="M7" t="str">
        <f t="shared" si="2"/>
        <v/>
      </c>
      <c r="N7" t="str">
        <f t="shared" si="3"/>
        <v/>
      </c>
      <c r="O7" t="str">
        <f t="shared" si="4"/>
        <v/>
      </c>
      <c r="Q7" t="str">
        <f t="shared" si="5"/>
        <v/>
      </c>
      <c r="T7" t="str">
        <f t="shared" si="0"/>
        <v/>
      </c>
      <c r="AF7" t="str">
        <f t="shared" si="1"/>
        <v>No</v>
      </c>
    </row>
  </sheetData>
  <dataValidations count="10">
    <dataValidation operator="greaterThan" allowBlank="1" showInputMessage="1" showErrorMessage="1" sqref="P2" xr:uid="{00000000-0002-0000-0400-000000000000}"/>
    <dataValidation type="list" allowBlank="1" showInputMessage="1" showErrorMessage="1" sqref="E3:E7" xr:uid="{00000000-0002-0000-0400-000001000000}">
      <formula1>state_name</formula1>
    </dataValidation>
    <dataValidation type="list" allowBlank="1" showInputMessage="1" showErrorMessage="1" sqref="C3:C7" xr:uid="{00000000-0002-0000-0400-000002000000}">
      <formula1>health_org</formula1>
    </dataValidation>
    <dataValidation type="list" allowBlank="1" showInputMessage="1" showErrorMessage="1" sqref="U3:U7" xr:uid="{00000000-0002-0000-0400-000003000000}">
      <formula1>"Male, Female, Others"</formula1>
    </dataValidation>
    <dataValidation type="list" allowBlank="1" showInputMessage="1" showErrorMessage="1" sqref="V3:V7" xr:uid="{00000000-0002-0000-0400-000004000000}">
      <formula1>"Yes, No"</formula1>
    </dataValidation>
    <dataValidation type="list" allowBlank="1" showInputMessage="1" showErrorMessage="1" sqref="Y3:Y7" xr:uid="{00000000-0002-0000-0400-000005000000}">
      <formula1>"New receptor, Current receptor"</formula1>
    </dataValidation>
    <dataValidation type="list" allowBlank="1" showInputMessage="1" showErrorMessage="1" sqref="Z3:AA7 AG3:AG7" xr:uid="{00000000-0002-0000-0400-000006000000}">
      <formula1>"Yes,No"</formula1>
    </dataValidation>
    <dataValidation type="list" allowBlank="1" showInputMessage="1" showErrorMessage="1" sqref="AB3:AB7" xr:uid="{00000000-0002-0000-0400-000007000000}">
      <formula1>"Positive, Negative"</formula1>
    </dataValidation>
    <dataValidation type="list" allowBlank="1" showInputMessage="1" showErrorMessage="1" sqref="B3:B7" xr:uid="{00000000-0002-0000-0400-000008000000}">
      <formula1>"BHA"</formula1>
    </dataValidation>
    <dataValidation type="list" allowBlank="1" showInputMessage="1" showErrorMessage="1" sqref="AC3:AC7" xr:uid="{00000000-0002-0000-0400-000009000000}">
      <formula1>fp_method</formula1>
    </dataValidation>
  </dataValidations>
  <pageMargins left="0.7" right="0.7" top="0.75" bottom="0.75" header="0.3" footer="0.3"/>
  <ignoredErrors>
    <ignoredError sqref="AF3" calculatedColum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A000000}">
          <x14:formula1>
            <xm:f>INDIRECT(VLOOKUP(F3,Location!O:P,2,FALSE))</xm:f>
          </x14:formula1>
          <xm:sqref>G3:G7</xm:sqref>
        </x14:dataValidation>
        <x14:dataValidation type="list" allowBlank="1" showInputMessage="1" showErrorMessage="1" xr:uid="{00000000-0002-0000-0400-00000B000000}">
          <x14:formula1>
            <xm:f>INDIRECT(VLOOKUP(E3,Location!L:M,2,FALSE))</xm:f>
          </x14:formula1>
          <xm:sqref>F3:F7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W5"/>
  <sheetViews>
    <sheetView topLeftCell="D1" workbookViewId="0">
      <selection activeCell="P1" sqref="P1:S2"/>
    </sheetView>
  </sheetViews>
  <sheetFormatPr defaultRowHeight="15" customHeight="1" x14ac:dyDescent="0.25"/>
  <cols>
    <col min="1" max="1" width="10.5703125" customWidth="1"/>
    <col min="2" max="3" width="14.42578125" customWidth="1"/>
    <col min="4" max="4" width="13.5703125" customWidth="1"/>
    <col min="5" max="5" width="16.140625" customWidth="1"/>
    <col min="6" max="6" width="17.42578125" customWidth="1"/>
    <col min="7" max="7" width="13.5703125" customWidth="1"/>
    <col min="8" max="8" width="23.140625" customWidth="1"/>
    <col min="9" max="9" width="16.140625" bestFit="1" customWidth="1"/>
    <col min="15" max="15" width="12.5703125" customWidth="1"/>
    <col min="20" max="20" width="15.42578125" customWidth="1"/>
    <col min="22" max="22" width="16.42578125" customWidth="1"/>
  </cols>
  <sheetData>
    <row r="1" spans="1:23" ht="27" customHeight="1" x14ac:dyDescent="0.25">
      <c r="A1" s="107"/>
      <c r="B1" s="3" t="s">
        <v>620</v>
      </c>
      <c r="C1" s="3"/>
      <c r="D1" s="9"/>
      <c r="E1" s="3"/>
      <c r="F1" s="3"/>
      <c r="G1" s="9"/>
      <c r="H1" s="9"/>
      <c r="I1" s="9"/>
      <c r="J1" s="9"/>
      <c r="K1" s="9"/>
      <c r="L1" s="9"/>
      <c r="M1" s="9"/>
      <c r="N1" s="9"/>
      <c r="O1" s="9"/>
      <c r="P1" s="298" t="s">
        <v>621</v>
      </c>
      <c r="Q1" s="299"/>
      <c r="R1" s="299"/>
      <c r="S1" s="300"/>
      <c r="T1" s="9"/>
      <c r="U1" s="9"/>
      <c r="V1" s="9"/>
      <c r="W1" s="9"/>
    </row>
    <row r="2" spans="1:23" ht="60" x14ac:dyDescent="0.25">
      <c r="A2" s="9" t="s">
        <v>622</v>
      </c>
      <c r="B2" s="9" t="s">
        <v>366</v>
      </c>
      <c r="C2" s="9" t="s">
        <v>0</v>
      </c>
      <c r="D2" s="9" t="s">
        <v>367</v>
      </c>
      <c r="E2" s="9" t="s">
        <v>623</v>
      </c>
      <c r="F2" s="9" t="s">
        <v>599</v>
      </c>
      <c r="G2" s="102" t="s">
        <v>624</v>
      </c>
      <c r="H2" s="9" t="s">
        <v>625</v>
      </c>
      <c r="I2" s="102" t="s">
        <v>626</v>
      </c>
      <c r="J2" s="9" t="s">
        <v>402</v>
      </c>
      <c r="K2" s="9" t="s">
        <v>603</v>
      </c>
      <c r="L2" s="9" t="s">
        <v>627</v>
      </c>
      <c r="M2" s="102" t="s">
        <v>628</v>
      </c>
      <c r="N2" s="102" t="s">
        <v>629</v>
      </c>
      <c r="O2" s="129" t="s">
        <v>630</v>
      </c>
      <c r="P2" s="127" t="s">
        <v>631</v>
      </c>
      <c r="Q2" s="127" t="s">
        <v>632</v>
      </c>
      <c r="R2" s="128" t="s">
        <v>633</v>
      </c>
      <c r="S2" s="128" t="s">
        <v>634</v>
      </c>
      <c r="T2" s="102" t="s">
        <v>635</v>
      </c>
      <c r="U2" s="106" t="s">
        <v>636</v>
      </c>
      <c r="V2" s="105" t="s">
        <v>364</v>
      </c>
      <c r="W2" s="9" t="s">
        <v>637</v>
      </c>
    </row>
    <row r="3" spans="1:23" ht="25.35" customHeight="1" x14ac:dyDescent="0.25">
      <c r="A3" s="8"/>
      <c r="B3" s="103"/>
      <c r="D3" s="9"/>
      <c r="H3" s="9"/>
      <c r="I3" s="10"/>
      <c r="J3" s="9"/>
      <c r="K3" s="9"/>
      <c r="L3" s="9"/>
      <c r="M3" s="9"/>
      <c r="N3" s="9"/>
      <c r="O3" s="9"/>
      <c r="P3" s="9"/>
      <c r="Q3" s="9"/>
      <c r="R3" s="9"/>
      <c r="S3" s="9"/>
      <c r="T3" s="10"/>
      <c r="U3" s="104"/>
      <c r="V3" s="104"/>
      <c r="W3" s="9"/>
    </row>
    <row r="4" spans="1:23" x14ac:dyDescent="0.25">
      <c r="A4" s="8"/>
      <c r="B4" s="103"/>
      <c r="C4" s="9"/>
      <c r="D4" s="9"/>
      <c r="E4" s="9"/>
      <c r="F4" s="9"/>
      <c r="H4" s="9"/>
      <c r="I4" s="10"/>
      <c r="J4" s="9"/>
      <c r="K4" s="9"/>
      <c r="L4" s="9"/>
      <c r="M4" s="9"/>
      <c r="N4" s="9"/>
      <c r="O4" s="9"/>
      <c r="P4" s="9"/>
      <c r="Q4" s="9"/>
      <c r="R4" s="9"/>
      <c r="S4" s="9"/>
      <c r="T4" s="9"/>
      <c r="U4" s="9"/>
      <c r="V4" s="9"/>
      <c r="W4" s="9"/>
    </row>
    <row r="5" spans="1:23" x14ac:dyDescent="0.25">
      <c r="A5" s="8"/>
      <c r="B5" s="103"/>
      <c r="C5" s="9"/>
      <c r="D5" s="9"/>
      <c r="E5" s="9"/>
      <c r="F5" s="9"/>
      <c r="H5" s="9"/>
      <c r="I5" s="10"/>
      <c r="J5" s="9"/>
      <c r="K5" s="9"/>
      <c r="L5" s="9"/>
      <c r="M5" s="9"/>
      <c r="N5" s="9"/>
      <c r="O5" s="9"/>
      <c r="P5" s="9"/>
      <c r="Q5" s="9"/>
      <c r="R5" s="9"/>
      <c r="S5" s="9"/>
      <c r="T5" s="9"/>
      <c r="U5" s="9"/>
      <c r="V5" s="9"/>
      <c r="W5" s="9"/>
    </row>
  </sheetData>
  <mergeCells count="1">
    <mergeCell ref="P1:S1"/>
  </mergeCells>
  <dataValidations count="2">
    <dataValidation type="list" allowBlank="1" showInputMessage="1" showErrorMessage="1" sqref="B3:B5" xr:uid="{00000000-0002-0000-0600-000000000000}">
      <formula1>"Shan, Kayah, Kayin"</formula1>
    </dataValidation>
    <dataValidation type="list" allowBlank="1" showInputMessage="1" showErrorMessage="1" sqref="G3:G5" xr:uid="{00000000-0002-0000-0600-000001000000}">
      <formula1>"IDP, Refugee, others"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W41"/>
  <sheetViews>
    <sheetView topLeftCell="A22" zoomScale="124" zoomScaleNormal="120" workbookViewId="0">
      <selection activeCell="B37" sqref="B37"/>
    </sheetView>
  </sheetViews>
  <sheetFormatPr defaultColWidth="8.7109375" defaultRowHeight="15" customHeight="1" x14ac:dyDescent="0.25"/>
  <cols>
    <col min="1" max="1" width="8.7109375" style="167"/>
    <col min="2" max="2" width="16.42578125" style="167" customWidth="1"/>
    <col min="3" max="3" width="11.42578125" style="167" customWidth="1"/>
    <col min="4" max="5" width="13.140625" style="167" customWidth="1"/>
    <col min="6" max="6" width="21.5703125" style="167" customWidth="1"/>
    <col min="7" max="8" width="23.42578125" style="167" customWidth="1"/>
    <col min="9" max="9" width="23" style="167" customWidth="1"/>
    <col min="10" max="10" width="18.5703125" style="167" customWidth="1"/>
    <col min="11" max="11" width="22.5703125" style="167" customWidth="1"/>
    <col min="12" max="12" width="10.42578125" style="167" customWidth="1"/>
    <col min="13" max="13" width="11.42578125" style="167" customWidth="1"/>
    <col min="14" max="14" width="16.85546875" style="167" customWidth="1"/>
    <col min="15" max="15" width="24.85546875" style="167" customWidth="1"/>
    <col min="16" max="16" width="18.140625" style="167" customWidth="1"/>
    <col min="17" max="17" width="19.140625" style="167" customWidth="1"/>
    <col min="18" max="18" width="11" style="167" customWidth="1"/>
    <col min="19" max="19" width="9" style="167" customWidth="1"/>
    <col min="20" max="20" width="7.5703125" style="167" customWidth="1"/>
    <col min="21" max="21" width="9.5703125" style="167" customWidth="1"/>
    <col min="22" max="22" width="11" style="167" customWidth="1"/>
    <col min="23" max="23" width="25.42578125" style="167" customWidth="1"/>
    <col min="24" max="24" width="11.42578125" style="167" customWidth="1"/>
    <col min="25" max="25" width="10.42578125" style="167" customWidth="1"/>
    <col min="26" max="26" width="14.140625" style="167" customWidth="1"/>
    <col min="27" max="16384" width="8.7109375" style="167"/>
  </cols>
  <sheetData>
    <row r="1" spans="1:23" ht="43.35" customHeight="1" x14ac:dyDescent="0.25">
      <c r="A1" s="164" t="s">
        <v>638</v>
      </c>
    </row>
    <row r="2" spans="1:23" s="163" customFormat="1" ht="59.1" customHeight="1" x14ac:dyDescent="0.25">
      <c r="A2" s="163" t="s">
        <v>362</v>
      </c>
      <c r="B2" s="163" t="s">
        <v>1670</v>
      </c>
      <c r="C2" s="163" t="s">
        <v>366</v>
      </c>
      <c r="D2" s="163" t="s">
        <v>0</v>
      </c>
      <c r="E2" s="163" t="s">
        <v>367</v>
      </c>
      <c r="F2" s="163" t="s">
        <v>639</v>
      </c>
      <c r="G2" s="168" t="s">
        <v>599</v>
      </c>
      <c r="H2" s="168" t="s">
        <v>624</v>
      </c>
      <c r="I2" s="168" t="s">
        <v>640</v>
      </c>
      <c r="J2" s="168" t="s">
        <v>1991</v>
      </c>
      <c r="K2" s="168" t="s">
        <v>1990</v>
      </c>
      <c r="L2" s="168" t="s">
        <v>305</v>
      </c>
      <c r="M2" s="163" t="s">
        <v>641</v>
      </c>
      <c r="N2" s="163" t="s">
        <v>642</v>
      </c>
      <c r="O2" s="169" t="s">
        <v>1992</v>
      </c>
      <c r="P2" s="169" t="s">
        <v>643</v>
      </c>
      <c r="Q2" s="170" t="s">
        <v>644</v>
      </c>
      <c r="R2" s="171" t="s">
        <v>645</v>
      </c>
      <c r="S2" s="172" t="s">
        <v>646</v>
      </c>
      <c r="T2" s="172" t="s">
        <v>647</v>
      </c>
      <c r="U2" s="172" t="s">
        <v>648</v>
      </c>
      <c r="V2" s="172" t="s">
        <v>649</v>
      </c>
      <c r="W2" s="163" t="s">
        <v>637</v>
      </c>
    </row>
    <row r="3" spans="1:23" s="163" customFormat="1" ht="17.25" customHeight="1" x14ac:dyDescent="0.25">
      <c r="A3" s="173">
        <v>1</v>
      </c>
      <c r="B3" s="173" t="s">
        <v>1997</v>
      </c>
      <c r="C3" s="174" t="s">
        <v>1998</v>
      </c>
      <c r="D3" s="167" t="s">
        <v>2417</v>
      </c>
      <c r="E3" s="167" t="s">
        <v>2001</v>
      </c>
      <c r="F3" s="167"/>
      <c r="G3" s="167" t="s">
        <v>579</v>
      </c>
      <c r="H3" s="167" t="s">
        <v>2378</v>
      </c>
      <c r="I3" s="163" t="s">
        <v>2413</v>
      </c>
      <c r="J3" s="175">
        <v>46037</v>
      </c>
      <c r="K3" s="163" t="s">
        <v>2375</v>
      </c>
      <c r="L3" s="163">
        <v>41</v>
      </c>
      <c r="N3" s="163" t="s">
        <v>603</v>
      </c>
      <c r="O3" s="163" t="s">
        <v>2376</v>
      </c>
      <c r="P3" s="176">
        <v>1</v>
      </c>
      <c r="Q3" s="163" t="s">
        <v>2409</v>
      </c>
      <c r="R3" s="163" t="s">
        <v>603</v>
      </c>
    </row>
    <row r="4" spans="1:23" x14ac:dyDescent="0.25">
      <c r="A4" s="173">
        <v>2</v>
      </c>
      <c r="B4" s="173" t="s">
        <v>1997</v>
      </c>
      <c r="C4" s="174" t="s">
        <v>1998</v>
      </c>
      <c r="D4" s="167" t="s">
        <v>2417</v>
      </c>
      <c r="E4" s="167" t="s">
        <v>2001</v>
      </c>
      <c r="G4" s="167" t="s">
        <v>579</v>
      </c>
      <c r="H4" s="167" t="s">
        <v>2378</v>
      </c>
      <c r="I4" s="163" t="s">
        <v>2413</v>
      </c>
      <c r="J4" s="175">
        <v>46037</v>
      </c>
      <c r="K4" s="163" t="s">
        <v>2392</v>
      </c>
      <c r="L4" s="163">
        <v>35</v>
      </c>
      <c r="M4" s="163"/>
      <c r="N4" s="163" t="s">
        <v>603</v>
      </c>
      <c r="O4" s="163" t="s">
        <v>2376</v>
      </c>
      <c r="P4" s="163">
        <v>2</v>
      </c>
      <c r="Q4" s="163" t="s">
        <v>2410</v>
      </c>
      <c r="R4" s="163" t="s">
        <v>603</v>
      </c>
      <c r="S4" s="163">
        <v>5</v>
      </c>
      <c r="T4" s="163" t="s">
        <v>603</v>
      </c>
      <c r="U4" s="163"/>
      <c r="V4" s="163"/>
      <c r="W4" s="163"/>
    </row>
    <row r="5" spans="1:23" x14ac:dyDescent="0.25">
      <c r="A5" s="173">
        <v>3</v>
      </c>
      <c r="B5" s="173" t="s">
        <v>1997</v>
      </c>
      <c r="C5" s="174" t="s">
        <v>1998</v>
      </c>
      <c r="D5" s="167" t="s">
        <v>2417</v>
      </c>
      <c r="E5" s="167" t="s">
        <v>2001</v>
      </c>
      <c r="G5" s="167" t="s">
        <v>579</v>
      </c>
      <c r="H5" s="167" t="s">
        <v>2378</v>
      </c>
      <c r="I5" s="163" t="s">
        <v>2413</v>
      </c>
      <c r="J5" s="175">
        <v>46037</v>
      </c>
      <c r="K5" s="163" t="s">
        <v>2394</v>
      </c>
      <c r="L5" s="163">
        <v>25</v>
      </c>
      <c r="M5" s="163"/>
      <c r="N5" s="163" t="s">
        <v>603</v>
      </c>
      <c r="O5" s="163" t="s">
        <v>2376</v>
      </c>
      <c r="P5" s="163">
        <v>1</v>
      </c>
      <c r="Q5" s="163" t="s">
        <v>2411</v>
      </c>
      <c r="R5" s="163" t="s">
        <v>603</v>
      </c>
      <c r="S5" s="163"/>
      <c r="T5" s="163"/>
      <c r="U5" s="163"/>
      <c r="V5" s="163"/>
      <c r="W5" s="163"/>
    </row>
    <row r="6" spans="1:23" ht="13.5" customHeight="1" x14ac:dyDescent="0.25">
      <c r="A6" s="173">
        <v>4</v>
      </c>
      <c r="B6" s="173" t="s">
        <v>1997</v>
      </c>
      <c r="C6" s="174" t="s">
        <v>1998</v>
      </c>
      <c r="D6" s="167" t="s">
        <v>2417</v>
      </c>
      <c r="E6" s="167" t="s">
        <v>2001</v>
      </c>
      <c r="F6" s="163"/>
      <c r="G6" s="167" t="s">
        <v>579</v>
      </c>
      <c r="H6" s="167" t="s">
        <v>2378</v>
      </c>
      <c r="I6" s="163" t="s">
        <v>2413</v>
      </c>
      <c r="J6" s="175">
        <v>46037</v>
      </c>
      <c r="K6" s="163" t="s">
        <v>2412</v>
      </c>
      <c r="L6" s="163">
        <v>33</v>
      </c>
      <c r="M6" s="163"/>
      <c r="N6" s="163" t="s">
        <v>603</v>
      </c>
      <c r="O6" s="163" t="s">
        <v>2376</v>
      </c>
      <c r="P6" s="167">
        <v>2</v>
      </c>
      <c r="Q6" s="233" t="s">
        <v>2410</v>
      </c>
      <c r="R6" s="163" t="s">
        <v>603</v>
      </c>
      <c r="S6" s="163">
        <v>4</v>
      </c>
      <c r="T6" s="163" t="s">
        <v>603</v>
      </c>
      <c r="U6" s="163"/>
      <c r="V6" s="163"/>
      <c r="W6" s="163"/>
    </row>
    <row r="7" spans="1:23" ht="15" customHeight="1" x14ac:dyDescent="0.25">
      <c r="A7" s="173">
        <v>5</v>
      </c>
      <c r="B7" s="173" t="s">
        <v>1997</v>
      </c>
      <c r="C7" s="174" t="s">
        <v>1998</v>
      </c>
      <c r="D7" s="167" t="s">
        <v>2222</v>
      </c>
      <c r="E7" s="163" t="s">
        <v>2228</v>
      </c>
      <c r="F7" s="163"/>
      <c r="G7" s="167" t="s">
        <v>579</v>
      </c>
      <c r="H7" s="167" t="s">
        <v>2378</v>
      </c>
      <c r="I7" s="163" t="s">
        <v>2413</v>
      </c>
      <c r="J7" s="175">
        <v>46038</v>
      </c>
      <c r="K7" s="163" t="s">
        <v>2229</v>
      </c>
      <c r="L7" s="163">
        <v>36</v>
      </c>
      <c r="M7" s="163"/>
      <c r="N7" s="163" t="s">
        <v>603</v>
      </c>
      <c r="O7" s="163" t="s">
        <v>2376</v>
      </c>
      <c r="P7" s="167">
        <v>1</v>
      </c>
      <c r="Q7" s="233" t="s">
        <v>4036</v>
      </c>
      <c r="R7" s="163"/>
      <c r="S7" s="163"/>
      <c r="T7" s="163"/>
      <c r="U7" s="163"/>
      <c r="V7" s="163"/>
      <c r="W7" s="163"/>
    </row>
    <row r="8" spans="1:23" ht="15" customHeight="1" x14ac:dyDescent="0.25">
      <c r="A8" s="173">
        <v>6</v>
      </c>
      <c r="B8" s="173" t="s">
        <v>1997</v>
      </c>
      <c r="C8" s="174" t="s">
        <v>1998</v>
      </c>
      <c r="D8" s="167" t="s">
        <v>2222</v>
      </c>
      <c r="E8" s="163" t="s">
        <v>2424</v>
      </c>
      <c r="F8" s="163"/>
      <c r="G8" s="167" t="s">
        <v>579</v>
      </c>
      <c r="H8" s="167" t="s">
        <v>2378</v>
      </c>
      <c r="I8" s="163" t="s">
        <v>2413</v>
      </c>
      <c r="J8" s="175">
        <v>46041</v>
      </c>
      <c r="K8" s="163" t="s">
        <v>4037</v>
      </c>
      <c r="L8" s="163">
        <v>33</v>
      </c>
      <c r="M8" s="163"/>
      <c r="N8" s="163" t="s">
        <v>603</v>
      </c>
      <c r="O8" s="163" t="s">
        <v>1981</v>
      </c>
      <c r="Q8" s="233"/>
      <c r="R8" s="163"/>
      <c r="S8" s="163"/>
      <c r="T8" s="163"/>
      <c r="U8" s="163"/>
      <c r="V8" s="163"/>
      <c r="W8" s="163"/>
    </row>
    <row r="9" spans="1:23" ht="15" customHeight="1" x14ac:dyDescent="0.25">
      <c r="A9" s="173">
        <v>7</v>
      </c>
      <c r="B9" s="173" t="s">
        <v>1997</v>
      </c>
      <c r="C9" s="174" t="s">
        <v>1998</v>
      </c>
      <c r="D9" s="163" t="s">
        <v>5124</v>
      </c>
      <c r="E9" s="163" t="s">
        <v>5002</v>
      </c>
      <c r="F9" s="163"/>
      <c r="G9" s="163" t="s">
        <v>579</v>
      </c>
      <c r="H9" s="163" t="s">
        <v>2378</v>
      </c>
      <c r="I9" s="163" t="s">
        <v>5128</v>
      </c>
      <c r="J9" s="175">
        <v>46064</v>
      </c>
      <c r="K9" s="163" t="s">
        <v>5004</v>
      </c>
      <c r="L9" s="163">
        <v>29</v>
      </c>
      <c r="M9" s="163"/>
      <c r="N9" s="163" t="s">
        <v>603</v>
      </c>
      <c r="O9" s="163" t="s">
        <v>2376</v>
      </c>
      <c r="P9" s="167">
        <v>1</v>
      </c>
      <c r="Q9" s="233" t="s">
        <v>5125</v>
      </c>
      <c r="R9" s="163" t="s">
        <v>603</v>
      </c>
      <c r="S9" s="163"/>
      <c r="T9" s="163"/>
      <c r="U9" s="163"/>
      <c r="V9" s="163"/>
      <c r="W9" s="163"/>
    </row>
    <row r="10" spans="1:23" ht="15" customHeight="1" x14ac:dyDescent="0.25">
      <c r="A10" s="173">
        <v>8</v>
      </c>
      <c r="B10" s="173" t="s">
        <v>1997</v>
      </c>
      <c r="C10" s="174" t="s">
        <v>1998</v>
      </c>
      <c r="D10" s="163" t="s">
        <v>5124</v>
      </c>
      <c r="E10" s="163" t="s">
        <v>5002</v>
      </c>
      <c r="F10" s="163"/>
      <c r="G10" s="163" t="s">
        <v>579</v>
      </c>
      <c r="H10" s="163" t="s">
        <v>2378</v>
      </c>
      <c r="I10" s="163" t="s">
        <v>5128</v>
      </c>
      <c r="J10" s="175">
        <v>46064</v>
      </c>
      <c r="K10" s="163" t="s">
        <v>5007</v>
      </c>
      <c r="L10" s="163">
        <v>27</v>
      </c>
      <c r="M10" s="163"/>
      <c r="N10" s="163" t="s">
        <v>603</v>
      </c>
      <c r="O10" s="163" t="s">
        <v>2376</v>
      </c>
      <c r="P10" s="167">
        <v>1</v>
      </c>
      <c r="Q10" s="233" t="s">
        <v>5126</v>
      </c>
      <c r="R10" s="163" t="s">
        <v>603</v>
      </c>
      <c r="S10" s="163"/>
      <c r="T10" s="163"/>
      <c r="U10" s="163"/>
      <c r="V10" s="163"/>
      <c r="W10" s="163"/>
    </row>
    <row r="11" spans="1:23" ht="15" customHeight="1" x14ac:dyDescent="0.25">
      <c r="A11" s="173">
        <v>9</v>
      </c>
      <c r="B11" s="173" t="s">
        <v>1997</v>
      </c>
      <c r="C11" s="174" t="s">
        <v>1998</v>
      </c>
      <c r="D11" s="163" t="s">
        <v>5124</v>
      </c>
      <c r="E11" s="163" t="s">
        <v>5002</v>
      </c>
      <c r="F11" s="163"/>
      <c r="G11" s="163" t="s">
        <v>579</v>
      </c>
      <c r="H11" s="163" t="s">
        <v>2378</v>
      </c>
      <c r="I11" s="163" t="s">
        <v>5128</v>
      </c>
      <c r="J11" s="175">
        <v>46064</v>
      </c>
      <c r="K11" s="163" t="s">
        <v>5008</v>
      </c>
      <c r="L11" s="163">
        <v>21</v>
      </c>
      <c r="M11" s="163"/>
      <c r="N11" s="163" t="s">
        <v>603</v>
      </c>
      <c r="O11" s="163" t="s">
        <v>2376</v>
      </c>
      <c r="P11" s="167">
        <v>1</v>
      </c>
      <c r="Q11" s="233" t="s">
        <v>5127</v>
      </c>
      <c r="R11" s="163" t="s">
        <v>603</v>
      </c>
      <c r="S11" s="163"/>
      <c r="T11" s="163"/>
      <c r="U11" s="163"/>
      <c r="V11" s="163"/>
      <c r="W11" s="163"/>
    </row>
    <row r="12" spans="1:23" ht="15" customHeight="1" x14ac:dyDescent="0.25">
      <c r="A12" s="173">
        <v>10</v>
      </c>
      <c r="B12" s="173" t="s">
        <v>1997</v>
      </c>
      <c r="C12" s="174" t="s">
        <v>1998</v>
      </c>
      <c r="D12" s="163" t="s">
        <v>5124</v>
      </c>
      <c r="E12" s="163" t="s">
        <v>5002</v>
      </c>
      <c r="F12" s="163"/>
      <c r="G12" s="163" t="s">
        <v>579</v>
      </c>
      <c r="H12" s="163" t="s">
        <v>2378</v>
      </c>
      <c r="I12" s="163" t="s">
        <v>5128</v>
      </c>
      <c r="J12" s="175">
        <v>46064</v>
      </c>
      <c r="K12" s="163" t="s">
        <v>5129</v>
      </c>
      <c r="L12" s="163">
        <v>32</v>
      </c>
      <c r="M12" s="163"/>
      <c r="N12" s="163" t="s">
        <v>603</v>
      </c>
      <c r="O12" s="163" t="s">
        <v>2376</v>
      </c>
      <c r="P12" s="167">
        <v>1</v>
      </c>
      <c r="Q12" s="233" t="s">
        <v>5126</v>
      </c>
      <c r="R12" s="163" t="s">
        <v>402</v>
      </c>
      <c r="S12" s="163"/>
      <c r="T12" s="163"/>
      <c r="U12" s="163"/>
      <c r="V12" s="163"/>
      <c r="W12" s="163"/>
    </row>
    <row r="13" spans="1:23" ht="15" customHeight="1" x14ac:dyDescent="0.25">
      <c r="A13" s="173">
        <v>11</v>
      </c>
      <c r="B13" s="173" t="s">
        <v>1997</v>
      </c>
      <c r="C13" s="174" t="s">
        <v>1998</v>
      </c>
      <c r="D13" s="163" t="s">
        <v>5124</v>
      </c>
      <c r="E13" s="163" t="s">
        <v>5002</v>
      </c>
      <c r="F13" s="163"/>
      <c r="G13" s="163" t="s">
        <v>579</v>
      </c>
      <c r="H13" s="163" t="s">
        <v>2378</v>
      </c>
      <c r="I13" s="163" t="s">
        <v>5128</v>
      </c>
      <c r="J13" s="175">
        <v>46064</v>
      </c>
      <c r="K13" s="163" t="s">
        <v>5130</v>
      </c>
      <c r="L13" s="163">
        <v>28</v>
      </c>
      <c r="M13" s="163"/>
      <c r="N13" s="163" t="s">
        <v>603</v>
      </c>
      <c r="O13" s="163" t="s">
        <v>1983</v>
      </c>
      <c r="P13" s="167">
        <v>1</v>
      </c>
      <c r="Q13" s="233" t="s">
        <v>5133</v>
      </c>
      <c r="R13" s="163" t="s">
        <v>402</v>
      </c>
      <c r="S13" s="163"/>
      <c r="T13" s="163"/>
      <c r="U13" s="163"/>
      <c r="V13" s="163"/>
      <c r="W13" s="163"/>
    </row>
    <row r="14" spans="1:23" ht="15" customHeight="1" x14ac:dyDescent="0.25">
      <c r="A14" s="173">
        <v>12</v>
      </c>
      <c r="B14" s="173" t="s">
        <v>1997</v>
      </c>
      <c r="C14" s="174" t="s">
        <v>1998</v>
      </c>
      <c r="D14" s="163" t="s">
        <v>5124</v>
      </c>
      <c r="E14" s="163" t="s">
        <v>5002</v>
      </c>
      <c r="F14" s="163"/>
      <c r="G14" s="163" t="s">
        <v>579</v>
      </c>
      <c r="H14" s="163" t="s">
        <v>2378</v>
      </c>
      <c r="I14" s="163" t="s">
        <v>5128</v>
      </c>
      <c r="J14" s="175">
        <v>46064</v>
      </c>
      <c r="K14" s="163" t="s">
        <v>5131</v>
      </c>
      <c r="L14" s="163">
        <v>42</v>
      </c>
      <c r="M14" s="163"/>
      <c r="N14" s="163" t="s">
        <v>603</v>
      </c>
      <c r="O14" s="163" t="s">
        <v>2376</v>
      </c>
      <c r="P14" s="167">
        <v>1</v>
      </c>
      <c r="Q14" s="233" t="s">
        <v>5132</v>
      </c>
      <c r="R14" s="163" t="s">
        <v>603</v>
      </c>
      <c r="S14" s="163"/>
      <c r="T14" s="163"/>
      <c r="U14" s="163"/>
      <c r="V14" s="163"/>
      <c r="W14" s="163"/>
    </row>
    <row r="15" spans="1:23" ht="15" customHeight="1" x14ac:dyDescent="0.25">
      <c r="A15" s="173">
        <v>13</v>
      </c>
      <c r="B15" s="173" t="s">
        <v>1997</v>
      </c>
      <c r="C15" s="174" t="s">
        <v>1998</v>
      </c>
      <c r="D15" s="163" t="s">
        <v>5124</v>
      </c>
      <c r="E15" s="163" t="s">
        <v>5002</v>
      </c>
      <c r="F15" s="163"/>
      <c r="G15" s="163" t="s">
        <v>579</v>
      </c>
      <c r="H15" s="163" t="s">
        <v>2378</v>
      </c>
      <c r="I15" s="163" t="s">
        <v>5128</v>
      </c>
      <c r="J15" s="175">
        <v>46064</v>
      </c>
      <c r="K15" s="163" t="s">
        <v>4235</v>
      </c>
      <c r="L15" s="163">
        <v>24</v>
      </c>
      <c r="M15" s="163"/>
      <c r="N15" s="163" t="s">
        <v>603</v>
      </c>
      <c r="O15" s="163" t="s">
        <v>2376</v>
      </c>
      <c r="P15" s="167">
        <v>1</v>
      </c>
      <c r="Q15" s="233" t="s">
        <v>5134</v>
      </c>
      <c r="R15" s="163" t="s">
        <v>603</v>
      </c>
      <c r="S15" s="163"/>
      <c r="T15" s="163"/>
      <c r="U15" s="163"/>
      <c r="V15" s="163"/>
      <c r="W15" s="163"/>
    </row>
    <row r="16" spans="1:23" ht="15" customHeight="1" x14ac:dyDescent="0.25">
      <c r="A16" s="173">
        <v>14</v>
      </c>
      <c r="B16" s="173" t="s">
        <v>1997</v>
      </c>
      <c r="C16" s="174" t="s">
        <v>1998</v>
      </c>
      <c r="D16" s="163" t="s">
        <v>5124</v>
      </c>
      <c r="E16" s="163" t="s">
        <v>5002</v>
      </c>
      <c r="F16" s="163"/>
      <c r="G16" s="163" t="s">
        <v>579</v>
      </c>
      <c r="H16" s="163" t="s">
        <v>2378</v>
      </c>
      <c r="I16" s="163" t="s">
        <v>5128</v>
      </c>
      <c r="J16" s="175">
        <v>46064</v>
      </c>
      <c r="K16" s="163" t="s">
        <v>5138</v>
      </c>
      <c r="L16" s="163">
        <v>28</v>
      </c>
      <c r="M16" s="163"/>
      <c r="N16" s="163" t="s">
        <v>603</v>
      </c>
      <c r="O16" s="163" t="s">
        <v>2376</v>
      </c>
      <c r="P16" s="167">
        <v>1</v>
      </c>
      <c r="Q16" s="233" t="s">
        <v>5139</v>
      </c>
      <c r="R16" s="163" t="s">
        <v>603</v>
      </c>
      <c r="S16" s="163"/>
      <c r="T16" s="163"/>
      <c r="U16" s="163"/>
      <c r="V16" s="163"/>
      <c r="W16" s="163"/>
    </row>
    <row r="17" spans="1:23" ht="15" customHeight="1" x14ac:dyDescent="0.25">
      <c r="A17" s="173">
        <v>15</v>
      </c>
      <c r="B17" s="173" t="s">
        <v>1997</v>
      </c>
      <c r="C17" s="174" t="s">
        <v>1998</v>
      </c>
      <c r="D17" s="163" t="s">
        <v>2222</v>
      </c>
      <c r="E17" s="163" t="s">
        <v>4392</v>
      </c>
      <c r="F17" s="163"/>
      <c r="G17" s="163" t="s">
        <v>579</v>
      </c>
      <c r="H17" s="163" t="s">
        <v>2378</v>
      </c>
      <c r="I17" s="163" t="s">
        <v>5128</v>
      </c>
      <c r="J17" s="175">
        <v>46069</v>
      </c>
      <c r="K17" s="163" t="s">
        <v>4263</v>
      </c>
      <c r="L17" s="163">
        <v>31</v>
      </c>
      <c r="M17" s="163"/>
      <c r="N17" s="163" t="s">
        <v>603</v>
      </c>
      <c r="O17" s="163" t="s">
        <v>2376</v>
      </c>
      <c r="P17" s="167">
        <v>1</v>
      </c>
      <c r="Q17" s="233" t="s">
        <v>5135</v>
      </c>
      <c r="R17" s="163" t="s">
        <v>402</v>
      </c>
      <c r="S17" s="163"/>
      <c r="T17" s="163"/>
      <c r="U17" s="163"/>
      <c r="V17" s="163"/>
      <c r="W17" s="163"/>
    </row>
    <row r="18" spans="1:23" ht="15" customHeight="1" x14ac:dyDescent="0.25">
      <c r="A18" s="173">
        <v>16</v>
      </c>
      <c r="B18" s="173" t="s">
        <v>1997</v>
      </c>
      <c r="C18" s="174" t="s">
        <v>1998</v>
      </c>
      <c r="D18" s="163" t="s">
        <v>2222</v>
      </c>
      <c r="E18" s="163" t="s">
        <v>4392</v>
      </c>
      <c r="F18" s="163"/>
      <c r="G18" s="163" t="s">
        <v>579</v>
      </c>
      <c r="H18" s="163" t="s">
        <v>2378</v>
      </c>
      <c r="I18" s="163" t="s">
        <v>5128</v>
      </c>
      <c r="J18" s="175">
        <v>46069</v>
      </c>
      <c r="K18" s="163" t="s">
        <v>5098</v>
      </c>
      <c r="L18" s="163">
        <v>29</v>
      </c>
      <c r="M18" s="163"/>
      <c r="N18" s="163" t="s">
        <v>603</v>
      </c>
      <c r="O18" s="163" t="s">
        <v>2376</v>
      </c>
      <c r="P18" s="167">
        <v>1</v>
      </c>
      <c r="Q18" s="233" t="s">
        <v>5136</v>
      </c>
      <c r="R18" s="163" t="s">
        <v>603</v>
      </c>
      <c r="S18" s="163"/>
      <c r="T18" s="163"/>
      <c r="U18" s="163"/>
      <c r="V18" s="163"/>
      <c r="W18" s="163"/>
    </row>
    <row r="19" spans="1:23" ht="15" customHeight="1" x14ac:dyDescent="0.25">
      <c r="A19" s="173">
        <v>17</v>
      </c>
      <c r="B19" s="173" t="s">
        <v>1997</v>
      </c>
      <c r="C19" s="174" t="s">
        <v>1998</v>
      </c>
      <c r="D19" s="163" t="s">
        <v>2222</v>
      </c>
      <c r="E19" s="163" t="s">
        <v>4392</v>
      </c>
      <c r="F19" s="163"/>
      <c r="G19" s="163" t="s">
        <v>579</v>
      </c>
      <c r="H19" s="163" t="s">
        <v>2378</v>
      </c>
      <c r="I19" s="163" t="s">
        <v>5128</v>
      </c>
      <c r="J19" s="175">
        <v>46069</v>
      </c>
      <c r="K19" s="163" t="s">
        <v>2196</v>
      </c>
      <c r="L19" s="163">
        <v>33</v>
      </c>
      <c r="M19" s="163"/>
      <c r="N19" s="163" t="s">
        <v>603</v>
      </c>
      <c r="O19" s="163" t="s">
        <v>2376</v>
      </c>
      <c r="P19" s="167">
        <v>2</v>
      </c>
      <c r="Q19" s="233" t="s">
        <v>5137</v>
      </c>
      <c r="R19" s="163" t="s">
        <v>603</v>
      </c>
      <c r="S19" s="163"/>
      <c r="T19" s="163"/>
      <c r="U19" s="163"/>
      <c r="V19" s="163"/>
      <c r="W19" s="163"/>
    </row>
    <row r="20" spans="1:23" ht="15" customHeight="1" x14ac:dyDescent="0.25">
      <c r="A20" s="173">
        <v>18</v>
      </c>
      <c r="B20" s="173" t="s">
        <v>1997</v>
      </c>
      <c r="C20" s="174" t="s">
        <v>1998</v>
      </c>
      <c r="D20" s="163" t="s">
        <v>2222</v>
      </c>
      <c r="E20" s="163" t="s">
        <v>4392</v>
      </c>
      <c r="F20" s="163"/>
      <c r="G20" s="163" t="s">
        <v>579</v>
      </c>
      <c r="H20" s="163" t="s">
        <v>2378</v>
      </c>
      <c r="I20" s="163" t="s">
        <v>5128</v>
      </c>
      <c r="J20" s="175">
        <v>46069</v>
      </c>
      <c r="K20" s="163" t="s">
        <v>4261</v>
      </c>
      <c r="L20" s="163">
        <v>29</v>
      </c>
      <c r="M20" s="163"/>
      <c r="N20" s="163" t="s">
        <v>603</v>
      </c>
      <c r="O20" s="163" t="s">
        <v>1981</v>
      </c>
      <c r="Q20" s="233"/>
      <c r="R20" s="163"/>
      <c r="S20" s="163"/>
      <c r="T20" s="163"/>
      <c r="U20" s="163"/>
      <c r="V20" s="163"/>
      <c r="W20" s="163"/>
    </row>
    <row r="21" spans="1:23" ht="15" customHeight="1" x14ac:dyDescent="0.25">
      <c r="A21" s="173">
        <v>19</v>
      </c>
      <c r="B21" s="173" t="s">
        <v>1997</v>
      </c>
      <c r="C21" s="174" t="s">
        <v>1998</v>
      </c>
      <c r="D21" s="163" t="s">
        <v>2222</v>
      </c>
      <c r="E21" s="163" t="s">
        <v>4392</v>
      </c>
      <c r="F21" s="163"/>
      <c r="G21" s="163" t="s">
        <v>579</v>
      </c>
      <c r="H21" s="163" t="s">
        <v>2378</v>
      </c>
      <c r="I21" s="163" t="s">
        <v>5128</v>
      </c>
      <c r="J21" s="175">
        <v>46069</v>
      </c>
      <c r="K21" s="163" t="s">
        <v>5099</v>
      </c>
      <c r="L21" s="163">
        <v>25</v>
      </c>
      <c r="M21" s="163"/>
      <c r="N21" s="163" t="s">
        <v>603</v>
      </c>
      <c r="O21" s="163" t="s">
        <v>2376</v>
      </c>
      <c r="P21" s="167">
        <v>1</v>
      </c>
      <c r="Q21" s="233" t="s">
        <v>5140</v>
      </c>
      <c r="R21" s="163" t="s">
        <v>603</v>
      </c>
      <c r="S21" s="163"/>
      <c r="T21" s="163"/>
      <c r="U21" s="163"/>
      <c r="V21" s="163"/>
      <c r="W21" s="163"/>
    </row>
    <row r="22" spans="1:23" ht="15" customHeight="1" x14ac:dyDescent="0.25">
      <c r="A22" s="173">
        <v>20</v>
      </c>
      <c r="B22" s="173" t="s">
        <v>1997</v>
      </c>
      <c r="C22" s="174" t="s">
        <v>1998</v>
      </c>
      <c r="D22" s="163" t="s">
        <v>2222</v>
      </c>
      <c r="E22" s="163" t="s">
        <v>4392</v>
      </c>
      <c r="F22" s="163"/>
      <c r="G22" s="163" t="s">
        <v>579</v>
      </c>
      <c r="H22" s="163" t="s">
        <v>2378</v>
      </c>
      <c r="I22" s="163" t="s">
        <v>5128</v>
      </c>
      <c r="J22" s="175">
        <v>46069</v>
      </c>
      <c r="K22" s="163" t="s">
        <v>5100</v>
      </c>
      <c r="L22" s="163">
        <v>32</v>
      </c>
      <c r="M22" s="163"/>
      <c r="N22" s="163" t="s">
        <v>603</v>
      </c>
      <c r="O22" s="163" t="s">
        <v>2376</v>
      </c>
      <c r="P22" s="167">
        <v>1</v>
      </c>
      <c r="Q22" s="233" t="s">
        <v>5141</v>
      </c>
      <c r="R22" s="163" t="s">
        <v>603</v>
      </c>
      <c r="S22" s="163"/>
      <c r="T22" s="163"/>
      <c r="U22" s="163"/>
      <c r="V22" s="163"/>
      <c r="W22" s="163"/>
    </row>
    <row r="23" spans="1:23" ht="15" customHeight="1" x14ac:dyDescent="0.25">
      <c r="A23" s="173">
        <v>21</v>
      </c>
      <c r="B23" s="173" t="s">
        <v>1997</v>
      </c>
      <c r="C23" s="174" t="s">
        <v>1998</v>
      </c>
      <c r="D23" s="163" t="s">
        <v>2222</v>
      </c>
      <c r="E23" s="163" t="s">
        <v>4392</v>
      </c>
      <c r="F23" s="163"/>
      <c r="G23" s="163" t="s">
        <v>579</v>
      </c>
      <c r="H23" s="163" t="s">
        <v>2378</v>
      </c>
      <c r="I23" s="163" t="s">
        <v>5128</v>
      </c>
      <c r="J23" s="175">
        <v>46069</v>
      </c>
      <c r="K23" s="163" t="s">
        <v>2196</v>
      </c>
      <c r="L23" s="163">
        <v>33</v>
      </c>
      <c r="M23" s="163"/>
      <c r="N23" s="163" t="s">
        <v>603</v>
      </c>
      <c r="O23" s="163" t="s">
        <v>2376</v>
      </c>
      <c r="P23" s="167">
        <v>1</v>
      </c>
      <c r="Q23" s="233" t="s">
        <v>5126</v>
      </c>
      <c r="R23" s="163" t="s">
        <v>603</v>
      </c>
      <c r="S23" s="163"/>
      <c r="T23" s="163"/>
      <c r="U23" s="163"/>
      <c r="V23" s="163"/>
      <c r="W23" s="163"/>
    </row>
    <row r="24" spans="1:23" ht="15" customHeight="1" x14ac:dyDescent="0.25">
      <c r="A24" s="173">
        <v>22</v>
      </c>
      <c r="B24" s="173" t="s">
        <v>1997</v>
      </c>
      <c r="C24" s="174" t="s">
        <v>1998</v>
      </c>
      <c r="D24" s="163" t="s">
        <v>2222</v>
      </c>
      <c r="E24" s="163" t="s">
        <v>4392</v>
      </c>
      <c r="F24" s="163"/>
      <c r="G24" s="163" t="s">
        <v>579</v>
      </c>
      <c r="H24" s="163" t="s">
        <v>2378</v>
      </c>
      <c r="I24" s="163" t="s">
        <v>5128</v>
      </c>
      <c r="J24" s="175">
        <v>46069</v>
      </c>
      <c r="K24" s="163" t="s">
        <v>4753</v>
      </c>
      <c r="L24" s="163">
        <v>34</v>
      </c>
      <c r="M24" s="163"/>
      <c r="N24" s="163" t="s">
        <v>603</v>
      </c>
      <c r="O24" s="163" t="s">
        <v>2376</v>
      </c>
      <c r="P24" s="167">
        <v>1</v>
      </c>
      <c r="Q24" s="233" t="s">
        <v>5125</v>
      </c>
      <c r="R24" s="163" t="s">
        <v>402</v>
      </c>
      <c r="S24" s="163"/>
      <c r="T24" s="163"/>
      <c r="U24" s="163"/>
      <c r="V24" s="163"/>
      <c r="W24" s="163"/>
    </row>
    <row r="25" spans="1:23" ht="15" customHeight="1" x14ac:dyDescent="0.25">
      <c r="A25" s="173">
        <v>23</v>
      </c>
      <c r="B25" s="173" t="s">
        <v>1997</v>
      </c>
      <c r="C25" s="174" t="s">
        <v>1998</v>
      </c>
      <c r="D25" s="163" t="s">
        <v>2222</v>
      </c>
      <c r="E25" s="163" t="s">
        <v>5121</v>
      </c>
      <c r="F25" s="163"/>
      <c r="G25" s="163" t="s">
        <v>579</v>
      </c>
      <c r="H25" s="163" t="s">
        <v>2378</v>
      </c>
      <c r="I25" s="163" t="s">
        <v>5128</v>
      </c>
      <c r="J25" s="175">
        <v>46070</v>
      </c>
      <c r="K25" s="163" t="s">
        <v>4483</v>
      </c>
      <c r="L25" s="163">
        <v>32</v>
      </c>
      <c r="M25" s="163"/>
      <c r="N25" s="163" t="s">
        <v>603</v>
      </c>
      <c r="O25" s="163" t="s">
        <v>2376</v>
      </c>
      <c r="P25" s="167">
        <v>1</v>
      </c>
      <c r="Q25" s="233" t="s">
        <v>5132</v>
      </c>
      <c r="R25" s="163" t="s">
        <v>402</v>
      </c>
      <c r="S25" s="163"/>
      <c r="T25" s="163"/>
      <c r="U25" s="163"/>
      <c r="V25" s="163"/>
      <c r="W25" s="163"/>
    </row>
    <row r="26" spans="1:23" ht="15" customHeight="1" x14ac:dyDescent="0.25">
      <c r="A26" s="173">
        <v>24</v>
      </c>
      <c r="B26" s="173" t="s">
        <v>1997</v>
      </c>
      <c r="C26" s="174" t="s">
        <v>1998</v>
      </c>
      <c r="D26" s="163" t="s">
        <v>2222</v>
      </c>
      <c r="E26" s="163" t="s">
        <v>5121</v>
      </c>
      <c r="F26" s="163"/>
      <c r="G26" s="163" t="s">
        <v>579</v>
      </c>
      <c r="H26" s="163" t="s">
        <v>2378</v>
      </c>
      <c r="I26" s="163" t="s">
        <v>5128</v>
      </c>
      <c r="J26" s="175">
        <v>46070</v>
      </c>
      <c r="K26" s="163" t="s">
        <v>5142</v>
      </c>
      <c r="L26" s="163">
        <v>43</v>
      </c>
      <c r="M26" s="163"/>
      <c r="N26" s="163" t="s">
        <v>603</v>
      </c>
      <c r="O26" s="163" t="s">
        <v>2376</v>
      </c>
      <c r="P26" s="167">
        <v>1</v>
      </c>
      <c r="Q26" s="233" t="s">
        <v>5143</v>
      </c>
      <c r="R26" s="163" t="s">
        <v>402</v>
      </c>
      <c r="S26" s="163"/>
      <c r="T26" s="163"/>
      <c r="U26" s="163"/>
      <c r="V26" s="163"/>
      <c r="W26" s="163"/>
    </row>
    <row r="27" spans="1:23" ht="15" customHeight="1" x14ac:dyDescent="0.25">
      <c r="A27" s="173">
        <v>25</v>
      </c>
      <c r="B27" s="173" t="s">
        <v>1997</v>
      </c>
      <c r="C27" s="174" t="s">
        <v>1998</v>
      </c>
      <c r="D27" s="163" t="s">
        <v>2222</v>
      </c>
      <c r="E27" s="163" t="s">
        <v>5121</v>
      </c>
      <c r="F27" s="163"/>
      <c r="G27" s="163" t="s">
        <v>579</v>
      </c>
      <c r="H27" s="163" t="s">
        <v>2378</v>
      </c>
      <c r="I27" s="163" t="s">
        <v>5128</v>
      </c>
      <c r="J27" s="175">
        <v>46070</v>
      </c>
      <c r="K27" s="163" t="s">
        <v>5113</v>
      </c>
      <c r="L27" s="163">
        <v>21</v>
      </c>
      <c r="M27" s="163"/>
      <c r="N27" s="163" t="s">
        <v>603</v>
      </c>
      <c r="O27" s="163" t="s">
        <v>2376</v>
      </c>
      <c r="P27" s="167">
        <v>1</v>
      </c>
      <c r="Q27" s="233" t="s">
        <v>5132</v>
      </c>
      <c r="R27" s="163" t="s">
        <v>603</v>
      </c>
      <c r="S27" s="163"/>
      <c r="T27" s="163"/>
      <c r="U27" s="163"/>
      <c r="V27" s="163"/>
      <c r="W27" s="163"/>
    </row>
    <row r="28" spans="1:23" ht="15" customHeight="1" x14ac:dyDescent="0.25">
      <c r="A28" s="173">
        <v>26</v>
      </c>
      <c r="B28" s="173" t="s">
        <v>1997</v>
      </c>
      <c r="C28" s="174" t="s">
        <v>1998</v>
      </c>
      <c r="D28" s="163" t="s">
        <v>2222</v>
      </c>
      <c r="E28" s="163" t="s">
        <v>5121</v>
      </c>
      <c r="F28" s="163"/>
      <c r="G28" s="163" t="s">
        <v>579</v>
      </c>
      <c r="H28" s="163" t="s">
        <v>2378</v>
      </c>
      <c r="I28" s="163" t="s">
        <v>5128</v>
      </c>
      <c r="J28" s="175">
        <v>46070</v>
      </c>
      <c r="K28" s="163" t="s">
        <v>5144</v>
      </c>
      <c r="L28" s="163">
        <v>38</v>
      </c>
      <c r="M28" s="163"/>
      <c r="N28" s="163" t="s">
        <v>603</v>
      </c>
      <c r="O28" s="163" t="s">
        <v>2376</v>
      </c>
      <c r="P28" s="167">
        <v>1</v>
      </c>
      <c r="Q28" s="233" t="s">
        <v>5145</v>
      </c>
      <c r="R28" s="163" t="s">
        <v>603</v>
      </c>
      <c r="S28" s="163"/>
      <c r="T28" s="163"/>
      <c r="U28" s="163"/>
      <c r="V28" s="163"/>
      <c r="W28" s="163"/>
    </row>
    <row r="29" spans="1:23" ht="15" customHeight="1" x14ac:dyDescent="0.25">
      <c r="A29" s="173">
        <v>27</v>
      </c>
      <c r="B29" s="173" t="s">
        <v>1997</v>
      </c>
      <c r="C29" s="174" t="s">
        <v>1998</v>
      </c>
      <c r="D29" s="163" t="s">
        <v>2222</v>
      </c>
      <c r="E29" s="163" t="s">
        <v>5121</v>
      </c>
      <c r="F29" s="163"/>
      <c r="G29" s="163" t="s">
        <v>579</v>
      </c>
      <c r="H29" s="163" t="s">
        <v>2378</v>
      </c>
      <c r="I29" s="163" t="s">
        <v>5128</v>
      </c>
      <c r="J29" s="175">
        <v>46070</v>
      </c>
      <c r="K29" s="163" t="s">
        <v>5115</v>
      </c>
      <c r="L29" s="163">
        <v>34</v>
      </c>
      <c r="M29" s="163"/>
      <c r="N29" s="163" t="s">
        <v>603</v>
      </c>
      <c r="O29" s="163" t="s">
        <v>2376</v>
      </c>
      <c r="P29" s="167">
        <v>1</v>
      </c>
      <c r="Q29" s="233" t="s">
        <v>5146</v>
      </c>
      <c r="R29" s="163" t="s">
        <v>603</v>
      </c>
      <c r="S29" s="163"/>
      <c r="T29" s="163"/>
      <c r="U29" s="163"/>
      <c r="V29" s="163"/>
      <c r="W29" s="163"/>
    </row>
    <row r="30" spans="1:23" ht="15" customHeight="1" x14ac:dyDescent="0.25">
      <c r="A30" s="173">
        <v>28</v>
      </c>
      <c r="B30" s="173" t="s">
        <v>1997</v>
      </c>
      <c r="C30" s="174" t="s">
        <v>1998</v>
      </c>
      <c r="D30" s="163" t="s">
        <v>2254</v>
      </c>
      <c r="E30" s="163" t="s">
        <v>5147</v>
      </c>
      <c r="F30" s="163"/>
      <c r="G30" s="163" t="s">
        <v>579</v>
      </c>
      <c r="H30" s="163" t="s">
        <v>2378</v>
      </c>
      <c r="I30" s="163" t="s">
        <v>5128</v>
      </c>
      <c r="J30" s="175">
        <v>46072</v>
      </c>
      <c r="K30" s="163" t="s">
        <v>5148</v>
      </c>
      <c r="L30" s="163">
        <v>39</v>
      </c>
      <c r="M30" s="163"/>
      <c r="N30" s="163" t="s">
        <v>603</v>
      </c>
      <c r="O30" s="163" t="s">
        <v>2376</v>
      </c>
      <c r="P30" s="167">
        <v>1</v>
      </c>
      <c r="Q30" s="233" t="s">
        <v>5149</v>
      </c>
      <c r="R30" s="163" t="s">
        <v>603</v>
      </c>
      <c r="S30" s="163"/>
      <c r="T30" s="163"/>
      <c r="U30" s="163"/>
      <c r="V30" s="163"/>
      <c r="W30" s="163"/>
    </row>
    <row r="31" spans="1:23" ht="15" customHeight="1" x14ac:dyDescent="0.25">
      <c r="A31" s="173">
        <v>29</v>
      </c>
      <c r="B31" s="173" t="s">
        <v>1997</v>
      </c>
      <c r="C31" s="174" t="s">
        <v>1998</v>
      </c>
      <c r="D31" s="163" t="s">
        <v>2254</v>
      </c>
      <c r="E31" s="163" t="s">
        <v>5147</v>
      </c>
      <c r="F31" s="163"/>
      <c r="G31" s="163" t="s">
        <v>579</v>
      </c>
      <c r="H31" s="163" t="s">
        <v>2378</v>
      </c>
      <c r="I31" s="163" t="s">
        <v>5128</v>
      </c>
      <c r="J31" s="175">
        <v>46072</v>
      </c>
      <c r="K31" s="163" t="s">
        <v>5117</v>
      </c>
      <c r="L31" s="163">
        <v>39</v>
      </c>
      <c r="M31" s="163"/>
      <c r="N31" s="163" t="s">
        <v>603</v>
      </c>
      <c r="O31" s="163" t="s">
        <v>2376</v>
      </c>
      <c r="P31" s="167">
        <v>1</v>
      </c>
      <c r="Q31" s="233" t="s">
        <v>5139</v>
      </c>
      <c r="R31" s="163" t="s">
        <v>402</v>
      </c>
      <c r="S31" s="163"/>
      <c r="T31" s="163"/>
      <c r="U31" s="163"/>
      <c r="V31" s="163"/>
      <c r="W31" s="163"/>
    </row>
    <row r="32" spans="1:23" ht="15" customHeight="1" x14ac:dyDescent="0.25">
      <c r="A32" s="173">
        <v>30</v>
      </c>
      <c r="B32" s="173" t="s">
        <v>1997</v>
      </c>
      <c r="C32" s="174" t="s">
        <v>1998</v>
      </c>
      <c r="D32" s="163" t="s">
        <v>2254</v>
      </c>
      <c r="E32" s="163" t="s">
        <v>5147</v>
      </c>
      <c r="F32" s="163"/>
      <c r="G32" s="163" t="s">
        <v>579</v>
      </c>
      <c r="H32" s="163" t="s">
        <v>2378</v>
      </c>
      <c r="I32" s="163" t="s">
        <v>5128</v>
      </c>
      <c r="J32" s="175">
        <v>46072</v>
      </c>
      <c r="K32" s="163" t="s">
        <v>5119</v>
      </c>
      <c r="L32" s="163">
        <v>26</v>
      </c>
      <c r="M32" s="163"/>
      <c r="N32" s="163" t="s">
        <v>603</v>
      </c>
      <c r="O32" s="163" t="s">
        <v>2376</v>
      </c>
      <c r="P32" s="167">
        <v>1</v>
      </c>
      <c r="Q32" s="233" t="s">
        <v>5150</v>
      </c>
      <c r="R32" s="163" t="s">
        <v>402</v>
      </c>
      <c r="S32" s="163"/>
      <c r="T32" s="163"/>
      <c r="U32" s="163"/>
      <c r="V32" s="163"/>
      <c r="W32" s="163"/>
    </row>
    <row r="33" spans="1:23" ht="15" customHeight="1" x14ac:dyDescent="0.25">
      <c r="A33" s="231"/>
      <c r="B33" s="173"/>
      <c r="C33" s="232"/>
      <c r="D33" s="163"/>
      <c r="E33" s="163"/>
      <c r="F33" s="163"/>
      <c r="G33" s="163"/>
      <c r="H33" s="163"/>
      <c r="I33" s="163"/>
      <c r="J33" s="175"/>
      <c r="K33" s="163"/>
      <c r="L33" s="163"/>
      <c r="M33" s="163"/>
      <c r="N33" s="163"/>
      <c r="O33" s="163"/>
      <c r="Q33" s="233"/>
      <c r="R33" s="163"/>
      <c r="S33" s="163"/>
      <c r="T33" s="163"/>
      <c r="U33" s="163"/>
      <c r="V33" s="163"/>
      <c r="W33" s="163"/>
    </row>
    <row r="34" spans="1:23" ht="15" customHeight="1" x14ac:dyDescent="0.25">
      <c r="A34" s="231"/>
      <c r="B34" s="173"/>
      <c r="C34" s="232"/>
      <c r="D34" s="163"/>
      <c r="E34" s="163"/>
      <c r="F34" s="163"/>
      <c r="G34" s="163"/>
      <c r="H34" s="163"/>
      <c r="I34" s="163"/>
      <c r="J34" s="175"/>
      <c r="K34" s="163"/>
      <c r="L34" s="163"/>
      <c r="M34" s="163"/>
      <c r="N34" s="163"/>
      <c r="O34" s="163"/>
      <c r="Q34" s="233"/>
      <c r="R34" s="163"/>
      <c r="S34" s="163"/>
      <c r="T34" s="163"/>
      <c r="U34" s="163"/>
      <c r="V34" s="163"/>
      <c r="W34" s="163"/>
    </row>
    <row r="35" spans="1:23" ht="15" customHeight="1" x14ac:dyDescent="0.25">
      <c r="A35" s="231"/>
      <c r="B35" s="173"/>
      <c r="C35" s="232"/>
      <c r="D35" s="163"/>
      <c r="E35" s="163"/>
      <c r="F35" s="163"/>
      <c r="G35" s="163"/>
      <c r="H35" s="163"/>
      <c r="I35" s="163"/>
      <c r="J35" s="175"/>
      <c r="K35" s="163"/>
      <c r="L35" s="163"/>
      <c r="M35" s="163"/>
      <c r="N35" s="163"/>
      <c r="O35" s="163"/>
      <c r="Q35" s="233"/>
      <c r="R35" s="163"/>
      <c r="S35" s="163"/>
      <c r="T35" s="163"/>
      <c r="U35" s="163"/>
      <c r="V35" s="163"/>
      <c r="W35" s="163"/>
    </row>
    <row r="36" spans="1:23" ht="15" customHeight="1" x14ac:dyDescent="0.25">
      <c r="A36" s="231"/>
      <c r="B36" s="173"/>
      <c r="C36" s="232"/>
      <c r="D36" s="163"/>
      <c r="E36" s="163"/>
      <c r="F36" s="163"/>
      <c r="G36" s="163"/>
      <c r="H36" s="163"/>
      <c r="I36" s="163"/>
      <c r="J36" s="175"/>
      <c r="K36" s="163"/>
      <c r="L36" s="163"/>
      <c r="M36" s="163"/>
      <c r="N36" s="163"/>
      <c r="O36" s="163"/>
      <c r="Q36" s="233"/>
      <c r="R36" s="163"/>
      <c r="S36" s="163"/>
      <c r="T36" s="163"/>
      <c r="U36" s="163"/>
      <c r="V36" s="163"/>
      <c r="W36" s="163"/>
    </row>
    <row r="37" spans="1:23" ht="15" customHeight="1" x14ac:dyDescent="0.25">
      <c r="A37" s="231"/>
      <c r="B37" s="173"/>
      <c r="C37" s="232"/>
      <c r="D37" s="163"/>
      <c r="E37" s="163"/>
      <c r="F37" s="163"/>
      <c r="G37" s="163"/>
      <c r="H37" s="163"/>
      <c r="I37" s="163"/>
      <c r="J37" s="175"/>
      <c r="K37" s="163"/>
      <c r="L37" s="163"/>
      <c r="M37" s="163"/>
      <c r="N37" s="163"/>
      <c r="O37" s="163"/>
      <c r="Q37" s="233"/>
      <c r="R37" s="163"/>
      <c r="S37" s="163"/>
      <c r="T37" s="163"/>
      <c r="U37" s="163"/>
      <c r="V37" s="163"/>
      <c r="W37" s="163"/>
    </row>
    <row r="38" spans="1:23" ht="15" customHeight="1" x14ac:dyDescent="0.25">
      <c r="A38" s="231"/>
      <c r="B38" s="173"/>
      <c r="C38" s="232"/>
      <c r="D38" s="163"/>
      <c r="E38" s="163"/>
      <c r="F38" s="163"/>
      <c r="G38" s="163"/>
      <c r="H38" s="163"/>
      <c r="I38" s="163"/>
      <c r="J38" s="175"/>
      <c r="K38" s="163"/>
      <c r="L38" s="163"/>
      <c r="M38" s="163"/>
      <c r="N38" s="163"/>
      <c r="O38" s="163"/>
      <c r="Q38" s="233"/>
      <c r="R38" s="163"/>
      <c r="S38" s="163"/>
      <c r="T38" s="163"/>
      <c r="U38" s="163"/>
      <c r="V38" s="163"/>
      <c r="W38" s="163"/>
    </row>
    <row r="39" spans="1:23" ht="15" customHeight="1" x14ac:dyDescent="0.25">
      <c r="A39" s="231"/>
      <c r="B39" s="173"/>
      <c r="C39" s="232"/>
      <c r="D39" s="163"/>
      <c r="E39" s="163"/>
      <c r="F39" s="163"/>
      <c r="G39" s="163"/>
      <c r="H39" s="163"/>
      <c r="I39" s="163"/>
      <c r="J39" s="175"/>
      <c r="K39" s="163"/>
      <c r="L39" s="163"/>
      <c r="M39" s="163"/>
      <c r="N39" s="163"/>
      <c r="O39" s="163"/>
      <c r="Q39" s="233"/>
      <c r="R39" s="163"/>
      <c r="S39" s="163"/>
      <c r="T39" s="163"/>
      <c r="U39" s="163"/>
      <c r="V39" s="163"/>
      <c r="W39" s="163"/>
    </row>
    <row r="40" spans="1:23" ht="15" customHeight="1" x14ac:dyDescent="0.25">
      <c r="A40" s="231"/>
      <c r="B40" s="173"/>
      <c r="C40" s="232"/>
      <c r="D40" s="163"/>
      <c r="E40" s="163"/>
      <c r="F40" s="163"/>
      <c r="G40" s="163"/>
      <c r="H40" s="163"/>
      <c r="I40" s="163"/>
      <c r="J40" s="175"/>
      <c r="K40" s="163"/>
      <c r="L40" s="163"/>
      <c r="M40" s="163"/>
      <c r="N40" s="163"/>
      <c r="O40" s="163"/>
      <c r="Q40" s="233"/>
      <c r="R40" s="163"/>
      <c r="S40" s="163"/>
      <c r="T40" s="163"/>
      <c r="U40" s="163"/>
      <c r="V40" s="163"/>
      <c r="W40" s="163"/>
    </row>
    <row r="41" spans="1:23" ht="15" customHeight="1" x14ac:dyDescent="0.25">
      <c r="A41" s="231"/>
      <c r="B41" s="173"/>
      <c r="C41" s="232"/>
      <c r="D41" s="163"/>
      <c r="E41" s="163"/>
      <c r="F41" s="163"/>
      <c r="G41" s="163"/>
      <c r="H41" s="163"/>
      <c r="I41" s="163"/>
      <c r="J41" s="175"/>
      <c r="K41" s="163"/>
      <c r="L41" s="163"/>
      <c r="M41" s="163"/>
      <c r="N41" s="163"/>
      <c r="O41" s="163"/>
      <c r="Q41" s="233"/>
      <c r="R41" s="163"/>
      <c r="S41" s="163"/>
      <c r="T41" s="163"/>
      <c r="U41" s="163"/>
      <c r="V41" s="163"/>
      <c r="W41" s="163"/>
    </row>
  </sheetData>
  <conditionalFormatting sqref="Q3:Q41">
    <cfRule type="expression" dxfId="12" priority="2">
      <formula>$Q$3="Malnourished"</formula>
    </cfRule>
  </conditionalFormatting>
  <conditionalFormatting sqref="O3:P41">
    <cfRule type="expression" dxfId="11" priority="1">
      <formula>$O$3="Yes"</formula>
    </cfRule>
  </conditionalFormatting>
  <dataValidations count="4">
    <dataValidation type="list" allowBlank="1" showInputMessage="1" showErrorMessage="1" sqref="H3:H41" xr:uid="{00000000-0002-0000-0700-000001000000}">
      <formula1>"IDP, Refugee, others"</formula1>
    </dataValidation>
    <dataValidation type="list" allowBlank="1" showInputMessage="1" showErrorMessage="1" sqref="G3:G41" xr:uid="{00000000-0002-0000-0700-000002000000}">
      <formula1>"Camp, Village, Ward"</formula1>
    </dataValidation>
    <dataValidation allowBlank="1" showInputMessage="1" showErrorMessage="1" sqref="R3:V41" xr:uid="{6FD7B911-2886-4B1A-A695-8A0A9B1DFA95}"/>
    <dataValidation type="list" allowBlank="1" showInputMessage="1" showErrorMessage="1" sqref="O3:O41" xr:uid="{C0174CB7-B907-41E8-AAAA-98FDCF8B529F}">
      <formula1>"PW, LW(U5), Caregiver, Other"</formula1>
    </dataValidation>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A42"/>
  <sheetViews>
    <sheetView topLeftCell="C4" workbookViewId="0">
      <selection activeCell="D12" sqref="D12"/>
    </sheetView>
  </sheetViews>
  <sheetFormatPr defaultColWidth="8.7109375" defaultRowHeight="15" customHeight="1" x14ac:dyDescent="0.25"/>
  <cols>
    <col min="1" max="2" width="8.7109375" style="167"/>
    <col min="3" max="3" width="31.140625" style="167" customWidth="1"/>
    <col min="4" max="4" width="25.5703125" style="167" customWidth="1"/>
    <col min="5" max="5" width="20.5703125" style="167" customWidth="1"/>
    <col min="6" max="6" width="25" style="167" customWidth="1"/>
    <col min="7" max="7" width="19.42578125" style="167" customWidth="1"/>
    <col min="8" max="10" width="27.140625" style="167" customWidth="1"/>
    <col min="11" max="11" width="18.85546875" style="167" customWidth="1"/>
    <col min="12" max="12" width="9.5703125" style="167" customWidth="1"/>
    <col min="13" max="13" width="24.42578125" style="167" customWidth="1"/>
    <col min="14" max="14" width="38" style="167" customWidth="1"/>
    <col min="15" max="15" width="13.5703125" style="167" customWidth="1"/>
    <col min="16" max="19" width="8.7109375" style="167"/>
    <col min="20" max="20" width="13.5703125" style="167" customWidth="1"/>
    <col min="21" max="25" width="15.42578125" style="167" customWidth="1"/>
    <col min="26" max="26" width="11.5703125" style="167" customWidth="1"/>
    <col min="27" max="27" width="20" style="167" customWidth="1"/>
    <col min="28" max="16384" width="8.7109375" style="167"/>
  </cols>
  <sheetData>
    <row r="1" spans="1:27" ht="34.35" customHeight="1" x14ac:dyDescent="0.25">
      <c r="A1" s="70" t="s">
        <v>650</v>
      </c>
      <c r="B1" s="70"/>
      <c r="O1" s="304" t="s">
        <v>651</v>
      </c>
      <c r="P1" s="304"/>
      <c r="Q1" s="305"/>
      <c r="R1" s="304" t="s">
        <v>652</v>
      </c>
      <c r="S1" s="304"/>
      <c r="T1" s="305"/>
      <c r="W1" s="301" t="s">
        <v>653</v>
      </c>
      <c r="X1" s="302"/>
      <c r="Y1" s="302"/>
      <c r="Z1" s="303"/>
    </row>
    <row r="2" spans="1:27" ht="88.5" customHeight="1" x14ac:dyDescent="0.25">
      <c r="A2" s="177" t="s">
        <v>654</v>
      </c>
      <c r="B2" s="177" t="s">
        <v>363</v>
      </c>
      <c r="C2" s="178" t="s">
        <v>364</v>
      </c>
      <c r="D2" s="178" t="s">
        <v>655</v>
      </c>
      <c r="E2" s="177" t="s">
        <v>366</v>
      </c>
      <c r="F2" s="177" t="s">
        <v>0</v>
      </c>
      <c r="G2" s="177" t="s">
        <v>656</v>
      </c>
      <c r="H2" s="177" t="s">
        <v>414</v>
      </c>
      <c r="I2" s="179" t="s">
        <v>657</v>
      </c>
      <c r="J2" s="177" t="s">
        <v>416</v>
      </c>
      <c r="K2" s="177" t="s">
        <v>658</v>
      </c>
      <c r="L2" s="177" t="s">
        <v>659</v>
      </c>
      <c r="M2" s="178" t="s">
        <v>1993</v>
      </c>
      <c r="N2" s="177" t="s">
        <v>660</v>
      </c>
      <c r="O2" s="177" t="s">
        <v>1981</v>
      </c>
      <c r="P2" s="177" t="s">
        <v>1982</v>
      </c>
      <c r="Q2" s="177" t="s">
        <v>1983</v>
      </c>
      <c r="R2" s="177" t="s">
        <v>1984</v>
      </c>
      <c r="S2" s="177" t="s">
        <v>1985</v>
      </c>
      <c r="T2" s="177" t="s">
        <v>1986</v>
      </c>
      <c r="U2" s="177" t="s">
        <v>627</v>
      </c>
      <c r="V2" s="177" t="s">
        <v>662</v>
      </c>
      <c r="W2" s="177" t="s">
        <v>661</v>
      </c>
      <c r="X2" s="177" t="s">
        <v>695</v>
      </c>
      <c r="Y2" s="177" t="s">
        <v>396</v>
      </c>
      <c r="Z2" s="180" t="s">
        <v>634</v>
      </c>
      <c r="AA2" s="177" t="s">
        <v>637</v>
      </c>
    </row>
    <row r="3" spans="1:27" x14ac:dyDescent="0.25">
      <c r="A3" s="167">
        <v>1</v>
      </c>
      <c r="B3" s="167" t="s">
        <v>399</v>
      </c>
      <c r="C3" s="167" t="s">
        <v>1997</v>
      </c>
      <c r="D3" s="167" t="s">
        <v>2416</v>
      </c>
      <c r="E3" s="167" t="s">
        <v>1998</v>
      </c>
      <c r="F3" s="167" t="s">
        <v>2417</v>
      </c>
      <c r="H3" s="167" t="s">
        <v>2377</v>
      </c>
      <c r="J3" s="167" t="s">
        <v>579</v>
      </c>
      <c r="K3" s="167" t="s">
        <v>2426</v>
      </c>
      <c r="L3" s="167" t="s">
        <v>2418</v>
      </c>
      <c r="M3" s="181">
        <v>46037</v>
      </c>
      <c r="N3" s="167" t="s">
        <v>2419</v>
      </c>
      <c r="O3" s="167">
        <v>4</v>
      </c>
      <c r="S3" s="167">
        <v>21</v>
      </c>
      <c r="T3" s="167">
        <v>99</v>
      </c>
      <c r="U3" s="167">
        <f t="shared" ref="U3:U11" si="0">SUM(S3,T3)</f>
        <v>120</v>
      </c>
      <c r="V3" s="167">
        <v>0</v>
      </c>
      <c r="W3" s="167">
        <v>0</v>
      </c>
      <c r="X3" s="167">
        <f t="shared" ref="X3:X11" si="1">SUM($V3,$W3)</f>
        <v>0</v>
      </c>
    </row>
    <row r="4" spans="1:27" x14ac:dyDescent="0.25">
      <c r="A4" s="167">
        <v>2</v>
      </c>
      <c r="B4" s="167" t="s">
        <v>399</v>
      </c>
      <c r="C4" s="167" t="s">
        <v>1997</v>
      </c>
      <c r="D4" s="167" t="s">
        <v>2416</v>
      </c>
      <c r="E4" s="167" t="s">
        <v>1998</v>
      </c>
      <c r="F4" s="167" t="s">
        <v>2422</v>
      </c>
      <c r="H4" s="167" t="s">
        <v>2399</v>
      </c>
      <c r="J4" s="167" t="s">
        <v>579</v>
      </c>
      <c r="K4" s="167" t="s">
        <v>2427</v>
      </c>
      <c r="L4" s="167" t="s">
        <v>2418</v>
      </c>
      <c r="M4" s="181">
        <v>46038</v>
      </c>
      <c r="N4" s="167" t="s">
        <v>2423</v>
      </c>
      <c r="S4" s="167">
        <v>16</v>
      </c>
      <c r="T4" s="167">
        <v>89</v>
      </c>
      <c r="U4" s="167">
        <f t="shared" si="0"/>
        <v>105</v>
      </c>
      <c r="V4" s="167">
        <v>0</v>
      </c>
      <c r="W4" s="167">
        <v>0</v>
      </c>
      <c r="X4" s="167">
        <f t="shared" si="1"/>
        <v>0</v>
      </c>
    </row>
    <row r="5" spans="1:27" x14ac:dyDescent="0.25">
      <c r="A5" s="167">
        <v>3</v>
      </c>
      <c r="B5" s="167" t="s">
        <v>399</v>
      </c>
      <c r="C5" s="167" t="s">
        <v>1997</v>
      </c>
      <c r="D5" s="167" t="s">
        <v>2416</v>
      </c>
      <c r="E5" s="167" t="s">
        <v>1998</v>
      </c>
      <c r="F5" s="167" t="s">
        <v>2422</v>
      </c>
      <c r="H5" s="167" t="s">
        <v>2399</v>
      </c>
      <c r="J5" s="167" t="s">
        <v>579</v>
      </c>
      <c r="K5" s="167" t="s">
        <v>2428</v>
      </c>
      <c r="L5" s="167" t="s">
        <v>2418</v>
      </c>
      <c r="M5" s="181">
        <v>46038</v>
      </c>
      <c r="N5" s="167" t="s">
        <v>2429</v>
      </c>
      <c r="P5" s="239"/>
      <c r="S5" s="167">
        <v>16</v>
      </c>
      <c r="T5" s="167">
        <v>44</v>
      </c>
      <c r="U5" s="167">
        <f>SUM(S5,T5)</f>
        <v>60</v>
      </c>
      <c r="V5" s="239"/>
      <c r="X5" s="167">
        <f>SUM($V5,$W5)</f>
        <v>0</v>
      </c>
    </row>
    <row r="6" spans="1:27" x14ac:dyDescent="0.25">
      <c r="A6" s="167">
        <v>4</v>
      </c>
      <c r="B6" s="167" t="s">
        <v>399</v>
      </c>
      <c r="C6" s="167" t="s">
        <v>1997</v>
      </c>
      <c r="D6" s="167" t="s">
        <v>2416</v>
      </c>
      <c r="E6" s="167" t="s">
        <v>1998</v>
      </c>
      <c r="F6" s="167" t="s">
        <v>2422</v>
      </c>
      <c r="H6" s="167" t="s">
        <v>2399</v>
      </c>
      <c r="J6" s="167" t="s">
        <v>579</v>
      </c>
      <c r="K6" s="167" t="s">
        <v>2426</v>
      </c>
      <c r="L6" s="167" t="s">
        <v>2418</v>
      </c>
      <c r="M6" s="181">
        <v>46038</v>
      </c>
      <c r="N6" s="167" t="s">
        <v>2431</v>
      </c>
      <c r="P6" s="239"/>
      <c r="S6" s="167">
        <v>16</v>
      </c>
      <c r="T6" s="167">
        <v>44</v>
      </c>
      <c r="U6" s="167">
        <f>SUM(S6,T6)</f>
        <v>60</v>
      </c>
      <c r="V6" s="239"/>
      <c r="X6" s="167">
        <f>SUM($V6,$W6)</f>
        <v>0</v>
      </c>
    </row>
    <row r="7" spans="1:27" x14ac:dyDescent="0.25">
      <c r="A7" s="167">
        <v>5</v>
      </c>
      <c r="B7" s="167" t="s">
        <v>399</v>
      </c>
      <c r="C7" s="167" t="s">
        <v>1997</v>
      </c>
      <c r="D7" s="167" t="s">
        <v>2416</v>
      </c>
      <c r="E7" s="167" t="s">
        <v>1998</v>
      </c>
      <c r="F7" s="167" t="s">
        <v>2422</v>
      </c>
      <c r="H7" s="167" t="s">
        <v>2424</v>
      </c>
      <c r="J7" s="167" t="s">
        <v>579</v>
      </c>
      <c r="K7" s="167" t="s">
        <v>2428</v>
      </c>
      <c r="L7" s="167" t="s">
        <v>2418</v>
      </c>
      <c r="M7" s="181">
        <v>46041</v>
      </c>
      <c r="N7" s="167" t="s">
        <v>18</v>
      </c>
      <c r="S7" s="167">
        <v>40</v>
      </c>
      <c r="T7" s="167">
        <v>80</v>
      </c>
      <c r="U7" s="167">
        <f t="shared" si="0"/>
        <v>120</v>
      </c>
      <c r="V7" s="167">
        <v>0</v>
      </c>
      <c r="W7" s="167">
        <v>0</v>
      </c>
      <c r="X7" s="167">
        <f t="shared" si="1"/>
        <v>0</v>
      </c>
    </row>
    <row r="8" spans="1:27" x14ac:dyDescent="0.25">
      <c r="A8" s="167">
        <v>6</v>
      </c>
      <c r="B8" s="167" t="s">
        <v>399</v>
      </c>
      <c r="C8" s="167" t="s">
        <v>1997</v>
      </c>
      <c r="D8" s="167" t="s">
        <v>2416</v>
      </c>
      <c r="E8" s="167" t="s">
        <v>1998</v>
      </c>
      <c r="F8" s="167" t="s">
        <v>2422</v>
      </c>
      <c r="H8" s="167" t="s">
        <v>2424</v>
      </c>
      <c r="J8" s="167" t="s">
        <v>579</v>
      </c>
      <c r="K8" s="167" t="s">
        <v>2427</v>
      </c>
      <c r="L8" s="167" t="s">
        <v>2418</v>
      </c>
      <c r="M8" s="181">
        <v>46041</v>
      </c>
      <c r="N8" s="167" t="s">
        <v>2429</v>
      </c>
      <c r="P8" s="239"/>
      <c r="S8" s="167">
        <v>19</v>
      </c>
      <c r="T8" s="167">
        <v>41</v>
      </c>
      <c r="U8" s="167">
        <f>SUM(S8,T8)</f>
        <v>60</v>
      </c>
      <c r="V8" s="239"/>
      <c r="X8" s="167">
        <f>SUM($V8,$W8)</f>
        <v>0</v>
      </c>
    </row>
    <row r="9" spans="1:27" x14ac:dyDescent="0.25">
      <c r="A9" s="167">
        <v>7</v>
      </c>
      <c r="B9" s="167" t="s">
        <v>399</v>
      </c>
      <c r="C9" s="167" t="s">
        <v>1997</v>
      </c>
      <c r="D9" s="167" t="s">
        <v>2416</v>
      </c>
      <c r="E9" s="167" t="s">
        <v>1998</v>
      </c>
      <c r="F9" s="167" t="s">
        <v>2422</v>
      </c>
      <c r="H9" s="167" t="s">
        <v>2424</v>
      </c>
      <c r="J9" s="167" t="s">
        <v>579</v>
      </c>
      <c r="K9" s="167" t="s">
        <v>2427</v>
      </c>
      <c r="L9" s="167" t="s">
        <v>2418</v>
      </c>
      <c r="M9" s="181">
        <v>46041</v>
      </c>
      <c r="N9" s="167" t="s">
        <v>2430</v>
      </c>
      <c r="P9" s="239"/>
      <c r="S9" s="167">
        <v>9</v>
      </c>
      <c r="T9" s="167">
        <v>51</v>
      </c>
      <c r="U9" s="167">
        <f>SUM(S9,T9)</f>
        <v>60</v>
      </c>
      <c r="V9" s="239"/>
      <c r="X9" s="167">
        <f>SUM($V9,$W9)</f>
        <v>0</v>
      </c>
    </row>
    <row r="10" spans="1:27" x14ac:dyDescent="0.25">
      <c r="A10" s="167">
        <v>8</v>
      </c>
      <c r="B10" s="167" t="s">
        <v>399</v>
      </c>
      <c r="C10" s="167" t="s">
        <v>1997</v>
      </c>
      <c r="D10" s="167" t="s">
        <v>2416</v>
      </c>
      <c r="E10" s="167" t="s">
        <v>1998</v>
      </c>
      <c r="F10" s="167" t="s">
        <v>2297</v>
      </c>
      <c r="H10" s="167" t="s">
        <v>2298</v>
      </c>
      <c r="J10" s="167" t="s">
        <v>579</v>
      </c>
      <c r="K10" s="167" t="s">
        <v>2426</v>
      </c>
      <c r="L10" s="167" t="s">
        <v>2418</v>
      </c>
      <c r="M10" s="181">
        <v>46042</v>
      </c>
      <c r="N10" s="167" t="s">
        <v>2425</v>
      </c>
      <c r="S10" s="167">
        <v>26</v>
      </c>
      <c r="T10" s="167">
        <v>76</v>
      </c>
      <c r="U10" s="167">
        <f t="shared" si="0"/>
        <v>102</v>
      </c>
      <c r="V10" s="167">
        <v>0</v>
      </c>
      <c r="W10" s="167">
        <v>0</v>
      </c>
      <c r="X10" s="167">
        <f t="shared" si="1"/>
        <v>0</v>
      </c>
    </row>
    <row r="11" spans="1:27" x14ac:dyDescent="0.25">
      <c r="A11" s="167">
        <v>9</v>
      </c>
      <c r="B11" s="167" t="s">
        <v>399</v>
      </c>
      <c r="C11" s="167" t="s">
        <v>1997</v>
      </c>
      <c r="D11" s="167" t="s">
        <v>2416</v>
      </c>
      <c r="E11" s="167" t="s">
        <v>1998</v>
      </c>
      <c r="F11" s="167" t="s">
        <v>2297</v>
      </c>
      <c r="H11" s="167" t="s">
        <v>2298</v>
      </c>
      <c r="J11" s="167" t="s">
        <v>579</v>
      </c>
      <c r="K11" s="167" t="s">
        <v>2427</v>
      </c>
      <c r="L11" s="167" t="s">
        <v>2418</v>
      </c>
      <c r="M11" s="181">
        <v>46042</v>
      </c>
      <c r="N11" s="167" t="s">
        <v>2431</v>
      </c>
      <c r="S11" s="167">
        <v>14</v>
      </c>
      <c r="T11" s="167">
        <v>46</v>
      </c>
      <c r="U11" s="167">
        <f t="shared" si="0"/>
        <v>60</v>
      </c>
      <c r="V11" s="167">
        <v>0</v>
      </c>
      <c r="W11" s="167">
        <v>0</v>
      </c>
      <c r="X11" s="167">
        <f t="shared" si="1"/>
        <v>0</v>
      </c>
    </row>
    <row r="12" spans="1:27" ht="15" customHeight="1" x14ac:dyDescent="0.25">
      <c r="A12" s="167">
        <v>10</v>
      </c>
      <c r="B12" s="167" t="s">
        <v>399</v>
      </c>
      <c r="C12" s="167" t="s">
        <v>1997</v>
      </c>
      <c r="D12" s="167" t="s">
        <v>2416</v>
      </c>
      <c r="E12" s="167" t="s">
        <v>1998</v>
      </c>
      <c r="F12" s="167" t="s">
        <v>2297</v>
      </c>
      <c r="H12" s="167" t="s">
        <v>2298</v>
      </c>
      <c r="J12" s="167" t="s">
        <v>579</v>
      </c>
      <c r="K12" s="167" t="s">
        <v>2428</v>
      </c>
      <c r="L12" s="167" t="s">
        <v>2418</v>
      </c>
      <c r="M12" s="181">
        <v>46042</v>
      </c>
      <c r="N12" s="167" t="s">
        <v>2430</v>
      </c>
      <c r="P12" s="239"/>
      <c r="S12" s="167">
        <v>21</v>
      </c>
      <c r="T12" s="167">
        <v>39</v>
      </c>
      <c r="U12" s="167">
        <f t="shared" ref="U12:U42" si="2">SUM(S12,T12)</f>
        <v>60</v>
      </c>
      <c r="V12" s="239"/>
      <c r="X12" s="167">
        <f t="shared" ref="X12:X42" si="3">SUM($V12,$W12)</f>
        <v>0</v>
      </c>
    </row>
    <row r="13" spans="1:27" ht="15" customHeight="1" x14ac:dyDescent="0.25">
      <c r="E13" s="167" t="s">
        <v>1998</v>
      </c>
      <c r="F13" s="167" t="s">
        <v>5124</v>
      </c>
      <c r="H13" s="167" t="s">
        <v>5163</v>
      </c>
      <c r="J13" s="167" t="s">
        <v>579</v>
      </c>
      <c r="K13" s="167" t="s">
        <v>2426</v>
      </c>
      <c r="L13" s="167" t="s">
        <v>2418</v>
      </c>
      <c r="M13" s="181">
        <v>46064</v>
      </c>
      <c r="N13" s="167" t="s">
        <v>2429</v>
      </c>
      <c r="P13" s="239"/>
      <c r="S13" s="167">
        <v>32</v>
      </c>
      <c r="T13" s="167">
        <v>88</v>
      </c>
      <c r="U13" s="167">
        <f t="shared" si="2"/>
        <v>120</v>
      </c>
      <c r="V13" s="239"/>
      <c r="X13" s="167">
        <f t="shared" si="3"/>
        <v>0</v>
      </c>
    </row>
    <row r="14" spans="1:27" ht="15" customHeight="1" x14ac:dyDescent="0.25">
      <c r="E14" s="167" t="s">
        <v>1998</v>
      </c>
      <c r="F14" s="167" t="s">
        <v>5124</v>
      </c>
      <c r="H14" s="167" t="s">
        <v>5163</v>
      </c>
      <c r="J14" s="167" t="s">
        <v>579</v>
      </c>
      <c r="K14" s="167" t="s">
        <v>2427</v>
      </c>
      <c r="L14" s="167" t="s">
        <v>2418</v>
      </c>
      <c r="M14" s="181">
        <v>46064</v>
      </c>
      <c r="N14" s="167" t="s">
        <v>5164</v>
      </c>
      <c r="P14" s="239"/>
      <c r="S14" s="167">
        <v>29</v>
      </c>
      <c r="T14" s="167">
        <v>76</v>
      </c>
      <c r="U14" s="167">
        <f>SUM(S14,T14)</f>
        <v>105</v>
      </c>
      <c r="V14" s="239"/>
      <c r="X14" s="167">
        <f>SUM($V14,$W14)</f>
        <v>0</v>
      </c>
    </row>
    <row r="15" spans="1:27" ht="15" customHeight="1" x14ac:dyDescent="0.25">
      <c r="E15" s="167" t="s">
        <v>1998</v>
      </c>
      <c r="F15" s="167" t="s">
        <v>2422</v>
      </c>
      <c r="H15" s="167" t="s">
        <v>4392</v>
      </c>
      <c r="J15" s="167" t="s">
        <v>579</v>
      </c>
      <c r="K15" s="167" t="s">
        <v>2428</v>
      </c>
      <c r="L15" s="167" t="s">
        <v>2418</v>
      </c>
      <c r="M15" s="181">
        <v>46069</v>
      </c>
      <c r="N15" s="167" t="s">
        <v>2431</v>
      </c>
      <c r="P15" s="239"/>
      <c r="S15" s="167">
        <v>33</v>
      </c>
      <c r="T15" s="167">
        <v>87</v>
      </c>
      <c r="U15" s="167">
        <f t="shared" si="2"/>
        <v>120</v>
      </c>
      <c r="V15" s="239"/>
      <c r="X15" s="167">
        <f t="shared" si="3"/>
        <v>0</v>
      </c>
    </row>
    <row r="16" spans="1:27" ht="15" customHeight="1" x14ac:dyDescent="0.25">
      <c r="E16" s="167" t="s">
        <v>1998</v>
      </c>
      <c r="F16" s="167" t="s">
        <v>2422</v>
      </c>
      <c r="H16" s="167" t="s">
        <v>4392</v>
      </c>
      <c r="J16" s="167" t="s">
        <v>579</v>
      </c>
      <c r="K16" s="167" t="s">
        <v>2426</v>
      </c>
      <c r="L16" s="167" t="s">
        <v>2418</v>
      </c>
      <c r="M16" s="181">
        <v>46069</v>
      </c>
      <c r="N16" s="167" t="s">
        <v>5166</v>
      </c>
      <c r="P16" s="239"/>
      <c r="S16" s="167">
        <v>28</v>
      </c>
      <c r="T16" s="167">
        <v>77</v>
      </c>
      <c r="U16" s="167">
        <f>SUM(S16,T16)</f>
        <v>105</v>
      </c>
      <c r="V16" s="239"/>
      <c r="X16" s="167">
        <f>SUM($V16,$W16)</f>
        <v>0</v>
      </c>
    </row>
    <row r="17" spans="5:24" ht="15" customHeight="1" x14ac:dyDescent="0.25">
      <c r="E17" s="167" t="s">
        <v>1998</v>
      </c>
      <c r="F17" s="167" t="s">
        <v>2422</v>
      </c>
      <c r="H17" s="167" t="s">
        <v>5121</v>
      </c>
      <c r="J17" s="167" t="s">
        <v>579</v>
      </c>
      <c r="K17" s="167" t="s">
        <v>2427</v>
      </c>
      <c r="L17" s="167" t="s">
        <v>2418</v>
      </c>
      <c r="M17" s="181">
        <v>46070</v>
      </c>
      <c r="N17" s="167" t="s">
        <v>2430</v>
      </c>
      <c r="P17" s="239"/>
      <c r="S17" s="167">
        <v>23</v>
      </c>
      <c r="T17" s="167">
        <v>97</v>
      </c>
      <c r="U17" s="167">
        <f t="shared" si="2"/>
        <v>120</v>
      </c>
      <c r="V17" s="239"/>
      <c r="X17" s="167">
        <f t="shared" si="3"/>
        <v>0</v>
      </c>
    </row>
    <row r="18" spans="5:24" ht="15" customHeight="1" x14ac:dyDescent="0.25">
      <c r="E18" s="167" t="s">
        <v>1998</v>
      </c>
      <c r="F18" s="167" t="s">
        <v>2422</v>
      </c>
      <c r="H18" s="167" t="s">
        <v>5121</v>
      </c>
      <c r="J18" s="167" t="s">
        <v>579</v>
      </c>
      <c r="K18" s="167" t="s">
        <v>2428</v>
      </c>
      <c r="L18" s="167" t="s">
        <v>2418</v>
      </c>
      <c r="M18" s="181">
        <v>46070</v>
      </c>
      <c r="N18" s="167" t="s">
        <v>5165</v>
      </c>
      <c r="P18" s="239"/>
      <c r="S18" s="167">
        <v>20</v>
      </c>
      <c r="T18" s="167">
        <v>85</v>
      </c>
      <c r="U18" s="167">
        <f t="shared" si="2"/>
        <v>105</v>
      </c>
      <c r="V18" s="239"/>
      <c r="X18" s="167">
        <f t="shared" si="3"/>
        <v>0</v>
      </c>
    </row>
    <row r="19" spans="5:24" ht="15" customHeight="1" x14ac:dyDescent="0.25">
      <c r="E19" s="167" t="s">
        <v>1998</v>
      </c>
      <c r="F19" s="167" t="s">
        <v>2254</v>
      </c>
      <c r="H19" s="167" t="s">
        <v>5147</v>
      </c>
      <c r="J19" s="167" t="s">
        <v>579</v>
      </c>
      <c r="K19" s="167" t="s">
        <v>2428</v>
      </c>
      <c r="L19" s="167" t="s">
        <v>2418</v>
      </c>
      <c r="M19" s="181">
        <v>46072</v>
      </c>
      <c r="N19" s="167" t="s">
        <v>5167</v>
      </c>
      <c r="P19" s="239"/>
      <c r="S19" s="167">
        <v>32</v>
      </c>
      <c r="T19" s="167">
        <v>73</v>
      </c>
      <c r="U19" s="167">
        <f t="shared" si="2"/>
        <v>105</v>
      </c>
      <c r="V19" s="239"/>
      <c r="X19" s="167">
        <f t="shared" si="3"/>
        <v>0</v>
      </c>
    </row>
    <row r="20" spans="5:24" ht="15" customHeight="1" x14ac:dyDescent="0.25">
      <c r="M20" s="181"/>
      <c r="P20" s="239"/>
      <c r="U20" s="167">
        <f t="shared" si="2"/>
        <v>0</v>
      </c>
      <c r="V20" s="239"/>
      <c r="X20" s="167">
        <f t="shared" si="3"/>
        <v>0</v>
      </c>
    </row>
    <row r="21" spans="5:24" ht="15" customHeight="1" x14ac:dyDescent="0.25">
      <c r="M21" s="181"/>
      <c r="P21" s="239"/>
      <c r="U21" s="167">
        <f t="shared" si="2"/>
        <v>0</v>
      </c>
      <c r="V21" s="239"/>
      <c r="X21" s="167">
        <f t="shared" si="3"/>
        <v>0</v>
      </c>
    </row>
    <row r="22" spans="5:24" ht="15" customHeight="1" x14ac:dyDescent="0.25">
      <c r="M22" s="181"/>
      <c r="P22" s="239"/>
      <c r="U22" s="167">
        <f t="shared" si="2"/>
        <v>0</v>
      </c>
      <c r="V22" s="239"/>
      <c r="X22" s="167">
        <f t="shared" si="3"/>
        <v>0</v>
      </c>
    </row>
    <row r="23" spans="5:24" ht="15" customHeight="1" x14ac:dyDescent="0.25">
      <c r="M23" s="181"/>
      <c r="P23" s="239"/>
      <c r="U23" s="167">
        <f t="shared" si="2"/>
        <v>0</v>
      </c>
      <c r="V23" s="239"/>
      <c r="X23" s="167">
        <f t="shared" si="3"/>
        <v>0</v>
      </c>
    </row>
    <row r="24" spans="5:24" ht="15" customHeight="1" x14ac:dyDescent="0.25">
      <c r="M24" s="181"/>
      <c r="P24" s="239"/>
      <c r="U24" s="167">
        <f t="shared" si="2"/>
        <v>0</v>
      </c>
      <c r="V24" s="239"/>
      <c r="X24" s="167">
        <f t="shared" si="3"/>
        <v>0</v>
      </c>
    </row>
    <row r="25" spans="5:24" ht="15" customHeight="1" x14ac:dyDescent="0.25">
      <c r="M25" s="181"/>
      <c r="P25" s="239"/>
      <c r="U25" s="167">
        <f t="shared" si="2"/>
        <v>0</v>
      </c>
      <c r="V25" s="239"/>
      <c r="X25" s="167">
        <f t="shared" si="3"/>
        <v>0</v>
      </c>
    </row>
    <row r="26" spans="5:24" ht="15" customHeight="1" x14ac:dyDescent="0.25">
      <c r="M26" s="181"/>
      <c r="P26" s="239"/>
      <c r="U26" s="167">
        <f t="shared" si="2"/>
        <v>0</v>
      </c>
      <c r="V26" s="239"/>
      <c r="X26" s="167">
        <f t="shared" si="3"/>
        <v>0</v>
      </c>
    </row>
    <row r="27" spans="5:24" ht="15" customHeight="1" x14ac:dyDescent="0.25">
      <c r="M27" s="181"/>
      <c r="P27" s="239"/>
      <c r="U27" s="167">
        <f t="shared" si="2"/>
        <v>0</v>
      </c>
      <c r="V27" s="239"/>
      <c r="X27" s="167">
        <f t="shared" si="3"/>
        <v>0</v>
      </c>
    </row>
    <row r="28" spans="5:24" ht="15" customHeight="1" x14ac:dyDescent="0.25">
      <c r="M28" s="181"/>
      <c r="P28" s="239"/>
      <c r="U28" s="167">
        <f t="shared" si="2"/>
        <v>0</v>
      </c>
      <c r="V28" s="239"/>
      <c r="X28" s="167">
        <f t="shared" si="3"/>
        <v>0</v>
      </c>
    </row>
    <row r="29" spans="5:24" ht="15" customHeight="1" x14ac:dyDescent="0.25">
      <c r="M29" s="181"/>
      <c r="P29" s="239"/>
      <c r="U29" s="167">
        <f t="shared" si="2"/>
        <v>0</v>
      </c>
      <c r="V29" s="239"/>
      <c r="X29" s="167">
        <f t="shared" si="3"/>
        <v>0</v>
      </c>
    </row>
    <row r="30" spans="5:24" ht="15" customHeight="1" x14ac:dyDescent="0.25">
      <c r="M30" s="181"/>
      <c r="P30" s="239"/>
      <c r="U30" s="167">
        <f t="shared" si="2"/>
        <v>0</v>
      </c>
      <c r="V30" s="239"/>
      <c r="X30" s="167">
        <f t="shared" si="3"/>
        <v>0</v>
      </c>
    </row>
    <row r="31" spans="5:24" ht="15" customHeight="1" x14ac:dyDescent="0.25">
      <c r="M31" s="181"/>
      <c r="P31" s="239"/>
      <c r="U31" s="167">
        <f t="shared" si="2"/>
        <v>0</v>
      </c>
      <c r="V31" s="239"/>
      <c r="X31" s="167">
        <f t="shared" si="3"/>
        <v>0</v>
      </c>
    </row>
    <row r="32" spans="5:24" ht="15" customHeight="1" x14ac:dyDescent="0.25">
      <c r="M32" s="181"/>
      <c r="P32" s="239"/>
      <c r="U32" s="167">
        <f t="shared" si="2"/>
        <v>0</v>
      </c>
      <c r="V32" s="239"/>
      <c r="X32" s="167">
        <f t="shared" si="3"/>
        <v>0</v>
      </c>
    </row>
    <row r="33" spans="13:24" ht="15" customHeight="1" x14ac:dyDescent="0.25">
      <c r="M33" s="181"/>
      <c r="P33" s="239"/>
      <c r="U33" s="167">
        <f t="shared" si="2"/>
        <v>0</v>
      </c>
      <c r="V33" s="239"/>
      <c r="X33" s="167">
        <f t="shared" si="3"/>
        <v>0</v>
      </c>
    </row>
    <row r="34" spans="13:24" ht="15" customHeight="1" x14ac:dyDescent="0.25">
      <c r="M34" s="181"/>
      <c r="P34" s="239"/>
      <c r="U34" s="167">
        <f t="shared" si="2"/>
        <v>0</v>
      </c>
      <c r="V34" s="239"/>
      <c r="X34" s="167">
        <f t="shared" si="3"/>
        <v>0</v>
      </c>
    </row>
    <row r="35" spans="13:24" ht="15" customHeight="1" x14ac:dyDescent="0.25">
      <c r="M35" s="181"/>
      <c r="P35" s="239"/>
      <c r="U35" s="167">
        <f t="shared" si="2"/>
        <v>0</v>
      </c>
      <c r="V35" s="239"/>
      <c r="X35" s="167">
        <f t="shared" si="3"/>
        <v>0</v>
      </c>
    </row>
    <row r="36" spans="13:24" ht="15" customHeight="1" x14ac:dyDescent="0.25">
      <c r="M36" s="181"/>
      <c r="P36" s="239"/>
      <c r="U36" s="167">
        <f t="shared" si="2"/>
        <v>0</v>
      </c>
      <c r="V36" s="239"/>
      <c r="X36" s="167">
        <f t="shared" si="3"/>
        <v>0</v>
      </c>
    </row>
    <row r="37" spans="13:24" ht="15" customHeight="1" x14ac:dyDescent="0.25">
      <c r="M37" s="181"/>
      <c r="P37" s="239"/>
      <c r="U37" s="167">
        <f t="shared" si="2"/>
        <v>0</v>
      </c>
      <c r="V37" s="239"/>
      <c r="X37" s="167">
        <f t="shared" si="3"/>
        <v>0</v>
      </c>
    </row>
    <row r="38" spans="13:24" ht="15" customHeight="1" x14ac:dyDescent="0.25">
      <c r="M38" s="181"/>
      <c r="P38" s="239"/>
      <c r="U38" s="167">
        <f t="shared" si="2"/>
        <v>0</v>
      </c>
      <c r="V38" s="239"/>
      <c r="X38" s="167">
        <f t="shared" si="3"/>
        <v>0</v>
      </c>
    </row>
    <row r="39" spans="13:24" ht="15" customHeight="1" x14ac:dyDescent="0.25">
      <c r="M39" s="181"/>
      <c r="P39" s="239"/>
      <c r="U39" s="167">
        <f t="shared" si="2"/>
        <v>0</v>
      </c>
      <c r="V39" s="239"/>
      <c r="X39" s="167">
        <f t="shared" si="3"/>
        <v>0</v>
      </c>
    </row>
    <row r="40" spans="13:24" ht="15" customHeight="1" x14ac:dyDescent="0.25">
      <c r="M40" s="181"/>
      <c r="P40" s="239"/>
      <c r="U40" s="167">
        <f t="shared" si="2"/>
        <v>0</v>
      </c>
      <c r="V40" s="239"/>
      <c r="X40" s="167">
        <f t="shared" si="3"/>
        <v>0</v>
      </c>
    </row>
    <row r="41" spans="13:24" ht="15" customHeight="1" x14ac:dyDescent="0.25">
      <c r="M41" s="181"/>
      <c r="P41" s="239"/>
      <c r="U41" s="167">
        <f t="shared" si="2"/>
        <v>0</v>
      </c>
      <c r="V41" s="239"/>
      <c r="X41" s="167">
        <f t="shared" si="3"/>
        <v>0</v>
      </c>
    </row>
    <row r="42" spans="13:24" ht="15" customHeight="1" x14ac:dyDescent="0.25">
      <c r="M42" s="181"/>
      <c r="P42" s="239"/>
      <c r="U42" s="167">
        <f t="shared" si="2"/>
        <v>0</v>
      </c>
      <c r="V42" s="239"/>
      <c r="X42" s="167">
        <f t="shared" si="3"/>
        <v>0</v>
      </c>
    </row>
  </sheetData>
  <mergeCells count="3">
    <mergeCell ref="W1:Z1"/>
    <mergeCell ref="O1:Q1"/>
    <mergeCell ref="R1:T1"/>
  </mergeCells>
  <dataValidations count="2">
    <dataValidation type="list" allowBlank="1" showInputMessage="1" showErrorMessage="1" sqref="J3:J42" xr:uid="{2316667B-A64E-4C31-BC7E-A9699C4BAFCE}">
      <formula1>place_type</formula1>
    </dataValidation>
    <dataValidation type="list" allowBlank="1" showInputMessage="1" showErrorMessage="1" sqref="B3:B42" xr:uid="{9A76A49D-0FD0-4575-B4D2-551A02CC634F}">
      <formula1>"BHA"</formula1>
    </dataValidation>
  </dataValidation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X93"/>
  <sheetViews>
    <sheetView topLeftCell="G47" zoomScaleNormal="100" workbookViewId="0">
      <selection activeCell="I85" sqref="I85"/>
    </sheetView>
  </sheetViews>
  <sheetFormatPr defaultRowHeight="15" x14ac:dyDescent="0.25"/>
  <cols>
    <col min="3" max="3" width="15.85546875" customWidth="1"/>
    <col min="5" max="6" width="11" customWidth="1"/>
    <col min="7" max="7" width="22" customWidth="1"/>
    <col min="8" max="8" width="12.85546875" customWidth="1"/>
    <col min="9" max="9" width="13.85546875" customWidth="1"/>
    <col min="11" max="11" width="9.42578125" customWidth="1"/>
    <col min="13" max="13" width="14.85546875" customWidth="1"/>
    <col min="14" max="14" width="15.140625" customWidth="1"/>
    <col min="15" max="15" width="10.85546875" customWidth="1"/>
    <col min="16" max="16" width="10.5703125" customWidth="1"/>
    <col min="18" max="18" width="16.140625" customWidth="1"/>
    <col min="19" max="19" width="15.140625" hidden="1" customWidth="1"/>
    <col min="20" max="20" width="13.42578125" customWidth="1"/>
    <col min="21" max="21" width="12.5703125" customWidth="1"/>
    <col min="22" max="22" width="20.140625" customWidth="1"/>
    <col min="23" max="23" width="15.140625" customWidth="1"/>
    <col min="24" max="24" width="10.140625" customWidth="1"/>
  </cols>
  <sheetData>
    <row r="1" spans="1:24" ht="33.6" customHeight="1" x14ac:dyDescent="0.25">
      <c r="A1" s="125" t="s">
        <v>663</v>
      </c>
      <c r="B1" s="9"/>
    </row>
    <row r="2" spans="1:24" ht="60.75" thickBot="1" x14ac:dyDescent="0.3">
      <c r="A2" s="74" t="s">
        <v>362</v>
      </c>
      <c r="B2" s="74" t="s">
        <v>363</v>
      </c>
      <c r="C2" s="75" t="s">
        <v>364</v>
      </c>
      <c r="D2" s="76" t="s">
        <v>366</v>
      </c>
      <c r="E2" s="76" t="s">
        <v>0</v>
      </c>
      <c r="F2" s="76" t="s">
        <v>656</v>
      </c>
      <c r="G2" s="77" t="s">
        <v>664</v>
      </c>
      <c r="H2" s="76" t="s">
        <v>599</v>
      </c>
      <c r="I2" s="77" t="s">
        <v>665</v>
      </c>
      <c r="J2" s="76" t="s">
        <v>419</v>
      </c>
      <c r="K2" s="76" t="s">
        <v>420</v>
      </c>
      <c r="L2" s="76" t="s">
        <v>421</v>
      </c>
      <c r="M2" s="76" t="s">
        <v>666</v>
      </c>
      <c r="N2" s="76" t="s">
        <v>667</v>
      </c>
      <c r="O2" s="76" t="s">
        <v>668</v>
      </c>
      <c r="P2" s="76" t="s">
        <v>376</v>
      </c>
      <c r="Q2" s="76" t="s">
        <v>379</v>
      </c>
      <c r="R2" s="76" t="s">
        <v>669</v>
      </c>
      <c r="S2" s="76" t="s">
        <v>670</v>
      </c>
      <c r="T2" s="76" t="s">
        <v>671</v>
      </c>
      <c r="U2" s="77" t="s">
        <v>672</v>
      </c>
      <c r="V2" s="76" t="s">
        <v>673</v>
      </c>
      <c r="W2" s="77" t="s">
        <v>674</v>
      </c>
      <c r="X2" s="78" t="s">
        <v>396</v>
      </c>
    </row>
    <row r="3" spans="1:24" ht="15.75" thickTop="1" x14ac:dyDescent="0.25">
      <c r="A3">
        <v>1</v>
      </c>
      <c r="B3" t="s">
        <v>399</v>
      </c>
      <c r="C3" t="s">
        <v>1997</v>
      </c>
      <c r="D3" t="s">
        <v>1998</v>
      </c>
      <c r="E3" t="s">
        <v>1999</v>
      </c>
      <c r="G3" t="s">
        <v>2377</v>
      </c>
      <c r="H3" t="s">
        <v>579</v>
      </c>
      <c r="I3" s="69">
        <v>46037</v>
      </c>
      <c r="J3" s="161" t="str">
        <f t="shared" ref="J3:J7" si="0">IF(I3="","",TEXT(I3,"mmm"))</f>
        <v>Jan</v>
      </c>
      <c r="K3" s="161" t="str">
        <f t="shared" ref="K3:K7" si="1">IF(I3="","","Q"&amp;ROUNDUP(MONTH(I3)/3,0))</f>
        <v>Q1</v>
      </c>
      <c r="L3" s="161" t="str">
        <f t="shared" ref="L3:L7" si="2">IF(I3="","",TEXT(I3,"yyyy"))</f>
        <v>2026</v>
      </c>
      <c r="M3" t="s">
        <v>2139</v>
      </c>
      <c r="N3" t="s">
        <v>2379</v>
      </c>
      <c r="P3">
        <v>36</v>
      </c>
      <c r="Q3" t="s">
        <v>603</v>
      </c>
      <c r="R3" t="s">
        <v>654</v>
      </c>
      <c r="T3">
        <v>130</v>
      </c>
      <c r="U3">
        <v>5.9</v>
      </c>
      <c r="W3" t="s">
        <v>654</v>
      </c>
    </row>
    <row r="4" spans="1:24" x14ac:dyDescent="0.25">
      <c r="A4">
        <v>2</v>
      </c>
      <c r="B4" t="s">
        <v>399</v>
      </c>
      <c r="C4" t="s">
        <v>1997</v>
      </c>
      <c r="D4" t="s">
        <v>1998</v>
      </c>
      <c r="E4" t="s">
        <v>1999</v>
      </c>
      <c r="G4" t="s">
        <v>2377</v>
      </c>
      <c r="H4" t="s">
        <v>579</v>
      </c>
      <c r="I4" s="69">
        <v>46037</v>
      </c>
      <c r="J4" s="161" t="str">
        <f t="shared" si="0"/>
        <v>Jan</v>
      </c>
      <c r="K4" s="161" t="str">
        <f t="shared" si="1"/>
        <v>Q1</v>
      </c>
      <c r="L4" s="161" t="str">
        <f t="shared" si="2"/>
        <v>2026</v>
      </c>
      <c r="M4" t="s">
        <v>2160</v>
      </c>
      <c r="N4" t="s">
        <v>2380</v>
      </c>
      <c r="P4">
        <v>8</v>
      </c>
      <c r="Q4" t="s">
        <v>402</v>
      </c>
      <c r="R4" t="s">
        <v>654</v>
      </c>
      <c r="T4">
        <v>150</v>
      </c>
      <c r="W4" t="s">
        <v>654</v>
      </c>
    </row>
    <row r="5" spans="1:24" x14ac:dyDescent="0.25">
      <c r="A5">
        <v>3</v>
      </c>
      <c r="B5" t="s">
        <v>399</v>
      </c>
      <c r="C5" t="s">
        <v>1997</v>
      </c>
      <c r="D5" t="s">
        <v>1998</v>
      </c>
      <c r="E5" t="s">
        <v>1999</v>
      </c>
      <c r="G5" t="s">
        <v>2377</v>
      </c>
      <c r="H5" t="s">
        <v>579</v>
      </c>
      <c r="I5" s="69">
        <v>46037</v>
      </c>
      <c r="J5" s="161" t="str">
        <f t="shared" si="0"/>
        <v>Jan</v>
      </c>
      <c r="K5" s="161" t="str">
        <f t="shared" si="1"/>
        <v>Q1</v>
      </c>
      <c r="L5" s="161" t="str">
        <f t="shared" si="2"/>
        <v>2026</v>
      </c>
      <c r="M5" t="s">
        <v>2167</v>
      </c>
      <c r="N5" t="s">
        <v>2381</v>
      </c>
      <c r="P5">
        <v>48</v>
      </c>
      <c r="Q5" t="s">
        <v>402</v>
      </c>
      <c r="R5" t="s">
        <v>654</v>
      </c>
      <c r="T5">
        <v>155</v>
      </c>
      <c r="U5">
        <v>13</v>
      </c>
      <c r="W5" t="s">
        <v>654</v>
      </c>
    </row>
    <row r="6" spans="1:24" x14ac:dyDescent="0.25">
      <c r="A6">
        <v>4</v>
      </c>
      <c r="B6" t="s">
        <v>399</v>
      </c>
      <c r="C6" t="s">
        <v>1997</v>
      </c>
      <c r="D6" t="s">
        <v>1998</v>
      </c>
      <c r="E6" t="s">
        <v>1999</v>
      </c>
      <c r="G6" t="s">
        <v>2377</v>
      </c>
      <c r="H6" t="s">
        <v>579</v>
      </c>
      <c r="I6" s="69">
        <v>46037</v>
      </c>
      <c r="J6" s="161" t="str">
        <f t="shared" si="0"/>
        <v>Jan</v>
      </c>
      <c r="K6" s="161" t="str">
        <f t="shared" si="1"/>
        <v>Q1</v>
      </c>
      <c r="L6" s="161" t="str">
        <f t="shared" si="2"/>
        <v>2026</v>
      </c>
      <c r="M6" t="s">
        <v>2193</v>
      </c>
      <c r="N6" t="s">
        <v>2382</v>
      </c>
      <c r="P6">
        <v>24</v>
      </c>
      <c r="Q6" t="s">
        <v>402</v>
      </c>
      <c r="R6" t="s">
        <v>654</v>
      </c>
      <c r="T6">
        <v>130</v>
      </c>
      <c r="U6">
        <v>14</v>
      </c>
      <c r="W6" t="s">
        <v>654</v>
      </c>
    </row>
    <row r="7" spans="1:24" x14ac:dyDescent="0.25">
      <c r="A7">
        <v>5</v>
      </c>
      <c r="B7" t="s">
        <v>399</v>
      </c>
      <c r="C7" t="s">
        <v>1997</v>
      </c>
      <c r="D7" t="s">
        <v>1998</v>
      </c>
      <c r="E7" t="s">
        <v>1999</v>
      </c>
      <c r="G7" t="s">
        <v>2377</v>
      </c>
      <c r="H7" t="s">
        <v>579</v>
      </c>
      <c r="I7" s="69">
        <v>46037</v>
      </c>
      <c r="J7" s="161" t="str">
        <f t="shared" si="0"/>
        <v>Jan</v>
      </c>
      <c r="K7" s="161" t="str">
        <f t="shared" si="1"/>
        <v>Q1</v>
      </c>
      <c r="L7" s="161" t="str">
        <f t="shared" si="2"/>
        <v>2026</v>
      </c>
      <c r="M7" t="s">
        <v>2197</v>
      </c>
      <c r="N7" t="s">
        <v>2383</v>
      </c>
      <c r="P7">
        <v>36</v>
      </c>
      <c r="Q7" t="s">
        <v>603</v>
      </c>
      <c r="R7" t="s">
        <v>654</v>
      </c>
      <c r="T7">
        <v>135</v>
      </c>
      <c r="U7">
        <v>14</v>
      </c>
      <c r="V7" t="str">
        <f t="shared" ref="V7" si="3">IF(T7="","",IF(T7&lt;115,"SAM",IF(AND(T7&gt;=115,T7&lt;125),"MAM","Normal")))</f>
        <v>Normal</v>
      </c>
      <c r="W7" t="s">
        <v>654</v>
      </c>
    </row>
    <row r="8" spans="1:24" x14ac:dyDescent="0.25">
      <c r="A8">
        <v>6</v>
      </c>
      <c r="B8" t="s">
        <v>399</v>
      </c>
      <c r="C8" t="s">
        <v>1997</v>
      </c>
      <c r="D8" t="s">
        <v>1998</v>
      </c>
      <c r="E8" t="s">
        <v>1999</v>
      </c>
      <c r="G8" t="s">
        <v>2377</v>
      </c>
      <c r="H8" t="s">
        <v>579</v>
      </c>
      <c r="I8" s="69">
        <v>46037</v>
      </c>
      <c r="J8" s="238" t="str">
        <f t="shared" ref="J8:J93" si="4">IF(I8="","",TEXT(I8,"mmm"))</f>
        <v>Jan</v>
      </c>
      <c r="K8" s="238" t="str">
        <f t="shared" ref="K8:K93" si="5">IF(I8="","","Q"&amp;ROUNDUP(MONTH(I8)/3,0))</f>
        <v>Q1</v>
      </c>
      <c r="L8" s="238" t="str">
        <f t="shared" ref="L8:L93" si="6">IF(I8="","",TEXT(I8,"yyyy"))</f>
        <v>2026</v>
      </c>
      <c r="M8" t="s">
        <v>2221</v>
      </c>
      <c r="N8" t="s">
        <v>2384</v>
      </c>
      <c r="P8">
        <v>21</v>
      </c>
      <c r="Q8" t="s">
        <v>402</v>
      </c>
      <c r="R8" t="s">
        <v>654</v>
      </c>
      <c r="T8">
        <v>140</v>
      </c>
      <c r="V8" s="237" t="str">
        <f t="shared" ref="V8:V93" si="7">IF(T8="","",IF(T8&lt;115,"SAM",IF(AND(T8&gt;=115,T8&lt;125),"MAM","Normal")))</f>
        <v>Normal</v>
      </c>
      <c r="W8" t="s">
        <v>654</v>
      </c>
    </row>
    <row r="9" spans="1:24" x14ac:dyDescent="0.25">
      <c r="A9">
        <v>7</v>
      </c>
      <c r="B9" t="s">
        <v>399</v>
      </c>
      <c r="C9" t="s">
        <v>1997</v>
      </c>
      <c r="D9" t="s">
        <v>1998</v>
      </c>
      <c r="E9" t="s">
        <v>2408</v>
      </c>
      <c r="G9" t="s">
        <v>2399</v>
      </c>
      <c r="H9" t="s">
        <v>579</v>
      </c>
      <c r="I9" s="69">
        <v>46038</v>
      </c>
      <c r="J9" s="238" t="str">
        <f t="shared" si="4"/>
        <v>Jan</v>
      </c>
      <c r="K9" s="238" t="str">
        <f t="shared" si="5"/>
        <v>Q1</v>
      </c>
      <c r="L9" s="238" t="str">
        <f t="shared" si="6"/>
        <v>2026</v>
      </c>
      <c r="M9" t="s">
        <v>2385</v>
      </c>
      <c r="N9" t="s">
        <v>2392</v>
      </c>
      <c r="P9">
        <v>18</v>
      </c>
      <c r="Q9" t="s">
        <v>603</v>
      </c>
      <c r="R9" t="s">
        <v>654</v>
      </c>
      <c r="T9">
        <v>130</v>
      </c>
      <c r="V9" s="237" t="str">
        <f t="shared" si="7"/>
        <v>Normal</v>
      </c>
      <c r="W9" t="s">
        <v>654</v>
      </c>
    </row>
    <row r="10" spans="1:24" x14ac:dyDescent="0.25">
      <c r="A10">
        <v>8</v>
      </c>
      <c r="B10" t="s">
        <v>399</v>
      </c>
      <c r="C10" t="s">
        <v>1997</v>
      </c>
      <c r="D10" t="s">
        <v>1998</v>
      </c>
      <c r="E10" t="s">
        <v>2408</v>
      </c>
      <c r="G10" t="s">
        <v>2399</v>
      </c>
      <c r="H10" t="s">
        <v>579</v>
      </c>
      <c r="I10" s="69">
        <v>46038</v>
      </c>
      <c r="J10" s="238" t="str">
        <f t="shared" si="4"/>
        <v>Jan</v>
      </c>
      <c r="K10" s="238" t="str">
        <f t="shared" si="5"/>
        <v>Q1</v>
      </c>
      <c r="L10" s="238" t="str">
        <f t="shared" si="6"/>
        <v>2026</v>
      </c>
      <c r="M10" t="s">
        <v>2386</v>
      </c>
      <c r="N10" t="s">
        <v>2375</v>
      </c>
      <c r="P10">
        <v>30</v>
      </c>
      <c r="Q10" t="s">
        <v>603</v>
      </c>
      <c r="R10" t="s">
        <v>654</v>
      </c>
      <c r="T10">
        <v>140</v>
      </c>
      <c r="U10">
        <v>7.2</v>
      </c>
      <c r="V10" s="237" t="str">
        <f t="shared" si="7"/>
        <v>Normal</v>
      </c>
      <c r="W10" t="s">
        <v>654</v>
      </c>
    </row>
    <row r="11" spans="1:24" x14ac:dyDescent="0.25">
      <c r="A11">
        <v>9</v>
      </c>
      <c r="B11" t="s">
        <v>399</v>
      </c>
      <c r="C11" t="s">
        <v>1997</v>
      </c>
      <c r="D11" t="s">
        <v>1998</v>
      </c>
      <c r="E11" t="s">
        <v>2408</v>
      </c>
      <c r="G11" t="s">
        <v>2399</v>
      </c>
      <c r="H11" t="s">
        <v>579</v>
      </c>
      <c r="I11" s="69">
        <v>46038</v>
      </c>
      <c r="J11" s="238" t="str">
        <f t="shared" si="4"/>
        <v>Jan</v>
      </c>
      <c r="K11" s="238" t="str">
        <f t="shared" si="5"/>
        <v>Q1</v>
      </c>
      <c r="L11" s="238" t="str">
        <f t="shared" si="6"/>
        <v>2026</v>
      </c>
      <c r="M11" t="s">
        <v>2387</v>
      </c>
      <c r="N11" t="s">
        <v>2393</v>
      </c>
      <c r="P11">
        <v>24</v>
      </c>
      <c r="Q11" t="s">
        <v>603</v>
      </c>
      <c r="R11" t="s">
        <v>654</v>
      </c>
      <c r="T11">
        <v>135</v>
      </c>
      <c r="V11" s="237" t="str">
        <f t="shared" si="7"/>
        <v>Normal</v>
      </c>
      <c r="W11" t="s">
        <v>654</v>
      </c>
    </row>
    <row r="12" spans="1:24" x14ac:dyDescent="0.25">
      <c r="A12">
        <v>10</v>
      </c>
      <c r="B12" t="s">
        <v>399</v>
      </c>
      <c r="C12" t="s">
        <v>1997</v>
      </c>
      <c r="D12" t="s">
        <v>1998</v>
      </c>
      <c r="E12" t="s">
        <v>2408</v>
      </c>
      <c r="G12" t="s">
        <v>2399</v>
      </c>
      <c r="H12" t="s">
        <v>579</v>
      </c>
      <c r="I12" s="69">
        <v>46038</v>
      </c>
      <c r="J12" s="238" t="str">
        <f t="shared" si="4"/>
        <v>Jan</v>
      </c>
      <c r="K12" s="238" t="str">
        <f t="shared" si="5"/>
        <v>Q1</v>
      </c>
      <c r="L12" s="238" t="str">
        <f t="shared" si="6"/>
        <v>2026</v>
      </c>
      <c r="M12" t="s">
        <v>2223</v>
      </c>
      <c r="N12" t="s">
        <v>2394</v>
      </c>
      <c r="P12">
        <v>6</v>
      </c>
      <c r="Q12" t="s">
        <v>603</v>
      </c>
      <c r="R12" t="s">
        <v>654</v>
      </c>
      <c r="T12">
        <v>140</v>
      </c>
      <c r="V12" s="237" t="str">
        <f t="shared" si="7"/>
        <v>Normal</v>
      </c>
      <c r="W12" t="s">
        <v>654</v>
      </c>
    </row>
    <row r="13" spans="1:24" x14ac:dyDescent="0.25">
      <c r="A13">
        <v>11</v>
      </c>
      <c r="B13" t="s">
        <v>399</v>
      </c>
      <c r="C13" t="s">
        <v>1997</v>
      </c>
      <c r="D13" t="s">
        <v>1998</v>
      </c>
      <c r="E13" t="s">
        <v>2408</v>
      </c>
      <c r="G13" t="s">
        <v>2399</v>
      </c>
      <c r="H13" t="s">
        <v>579</v>
      </c>
      <c r="I13" s="69">
        <v>46038</v>
      </c>
      <c r="J13" s="238" t="str">
        <f t="shared" si="4"/>
        <v>Jan</v>
      </c>
      <c r="K13" s="238" t="str">
        <f t="shared" si="5"/>
        <v>Q1</v>
      </c>
      <c r="L13" s="238" t="str">
        <f t="shared" si="6"/>
        <v>2026</v>
      </c>
      <c r="M13" t="s">
        <v>2388</v>
      </c>
      <c r="N13" t="s">
        <v>2395</v>
      </c>
      <c r="P13">
        <v>18</v>
      </c>
      <c r="Q13" t="s">
        <v>603</v>
      </c>
      <c r="R13" t="s">
        <v>654</v>
      </c>
      <c r="T13">
        <v>135</v>
      </c>
      <c r="V13" s="237" t="str">
        <f t="shared" si="7"/>
        <v>Normal</v>
      </c>
      <c r="W13" t="s">
        <v>654</v>
      </c>
    </row>
    <row r="14" spans="1:24" x14ac:dyDescent="0.25">
      <c r="A14">
        <v>12</v>
      </c>
      <c r="B14" t="s">
        <v>399</v>
      </c>
      <c r="C14" t="s">
        <v>1997</v>
      </c>
      <c r="D14" t="s">
        <v>1998</v>
      </c>
      <c r="E14" t="s">
        <v>2408</v>
      </c>
      <c r="G14" t="s">
        <v>2399</v>
      </c>
      <c r="H14" t="s">
        <v>579</v>
      </c>
      <c r="I14" s="69">
        <v>46038</v>
      </c>
      <c r="J14" s="238" t="str">
        <f t="shared" si="4"/>
        <v>Jan</v>
      </c>
      <c r="K14" s="238" t="str">
        <f t="shared" si="5"/>
        <v>Q1</v>
      </c>
      <c r="L14" s="238" t="str">
        <f t="shared" si="6"/>
        <v>2026</v>
      </c>
      <c r="M14" t="s">
        <v>2389</v>
      </c>
      <c r="N14" t="s">
        <v>2396</v>
      </c>
      <c r="P14">
        <v>36</v>
      </c>
      <c r="Q14" t="s">
        <v>603</v>
      </c>
      <c r="R14" t="s">
        <v>654</v>
      </c>
      <c r="T14">
        <v>130</v>
      </c>
      <c r="V14" s="237" t="str">
        <f t="shared" si="7"/>
        <v>Normal</v>
      </c>
      <c r="W14" t="s">
        <v>654</v>
      </c>
    </row>
    <row r="15" spans="1:24" x14ac:dyDescent="0.25">
      <c r="A15">
        <v>13</v>
      </c>
      <c r="B15" t="s">
        <v>399</v>
      </c>
      <c r="C15" t="s">
        <v>1997</v>
      </c>
      <c r="D15" t="s">
        <v>1998</v>
      </c>
      <c r="E15" t="s">
        <v>2408</v>
      </c>
      <c r="G15" t="s">
        <v>2399</v>
      </c>
      <c r="H15" t="s">
        <v>579</v>
      </c>
      <c r="I15" s="69">
        <v>46038</v>
      </c>
      <c r="J15" s="238" t="str">
        <f t="shared" si="4"/>
        <v>Jan</v>
      </c>
      <c r="K15" s="238" t="str">
        <f t="shared" si="5"/>
        <v>Q1</v>
      </c>
      <c r="L15" s="238" t="str">
        <f t="shared" si="6"/>
        <v>2026</v>
      </c>
      <c r="M15" t="s">
        <v>2390</v>
      </c>
      <c r="N15" t="s">
        <v>2397</v>
      </c>
      <c r="P15">
        <v>36</v>
      </c>
      <c r="Q15" t="s">
        <v>603</v>
      </c>
      <c r="R15" t="s">
        <v>654</v>
      </c>
      <c r="T15">
        <v>150</v>
      </c>
      <c r="V15" s="237" t="str">
        <f t="shared" si="7"/>
        <v>Normal</v>
      </c>
      <c r="W15" t="s">
        <v>654</v>
      </c>
    </row>
    <row r="16" spans="1:24" x14ac:dyDescent="0.25">
      <c r="A16">
        <v>14</v>
      </c>
      <c r="B16" t="s">
        <v>399</v>
      </c>
      <c r="C16" t="s">
        <v>1997</v>
      </c>
      <c r="D16" t="s">
        <v>1998</v>
      </c>
      <c r="E16" t="s">
        <v>2408</v>
      </c>
      <c r="G16" t="s">
        <v>2399</v>
      </c>
      <c r="H16" t="s">
        <v>579</v>
      </c>
      <c r="I16" s="69">
        <v>46038</v>
      </c>
      <c r="J16" s="238" t="str">
        <f t="shared" si="4"/>
        <v>Jan</v>
      </c>
      <c r="K16" s="238" t="str">
        <f t="shared" si="5"/>
        <v>Q1</v>
      </c>
      <c r="L16" s="238" t="str">
        <f t="shared" si="6"/>
        <v>2026</v>
      </c>
      <c r="M16" t="s">
        <v>2391</v>
      </c>
      <c r="N16" t="s">
        <v>2398</v>
      </c>
      <c r="P16">
        <v>48</v>
      </c>
      <c r="Q16" t="s">
        <v>603</v>
      </c>
      <c r="R16" t="s">
        <v>654</v>
      </c>
      <c r="T16">
        <v>155</v>
      </c>
      <c r="U16">
        <v>14.1</v>
      </c>
      <c r="V16" s="237" t="str">
        <f t="shared" si="7"/>
        <v>Normal</v>
      </c>
      <c r="W16" t="s">
        <v>654</v>
      </c>
    </row>
    <row r="17" spans="1:23" x14ac:dyDescent="0.25">
      <c r="A17">
        <v>15</v>
      </c>
      <c r="B17" t="s">
        <v>399</v>
      </c>
      <c r="C17" t="s">
        <v>1997</v>
      </c>
      <c r="D17" t="s">
        <v>1998</v>
      </c>
      <c r="E17" t="s">
        <v>2297</v>
      </c>
      <c r="G17" t="s">
        <v>2400</v>
      </c>
      <c r="H17" t="s">
        <v>579</v>
      </c>
      <c r="I17" s="69">
        <v>46042</v>
      </c>
      <c r="J17" s="238" t="str">
        <f t="shared" si="4"/>
        <v>Jan</v>
      </c>
      <c r="K17" s="238" t="str">
        <f t="shared" si="5"/>
        <v>Q1</v>
      </c>
      <c r="L17" s="238" t="str">
        <f t="shared" si="6"/>
        <v>2026</v>
      </c>
      <c r="M17" t="s">
        <v>2389</v>
      </c>
      <c r="N17" t="s">
        <v>2404</v>
      </c>
      <c r="P17">
        <v>36</v>
      </c>
      <c r="Q17" t="s">
        <v>603</v>
      </c>
      <c r="R17" t="s">
        <v>654</v>
      </c>
      <c r="T17">
        <v>140</v>
      </c>
      <c r="U17">
        <v>6.1</v>
      </c>
      <c r="V17" s="237" t="str">
        <f t="shared" si="7"/>
        <v>Normal</v>
      </c>
      <c r="W17" t="s">
        <v>654</v>
      </c>
    </row>
    <row r="18" spans="1:23" x14ac:dyDescent="0.25">
      <c r="A18">
        <v>16</v>
      </c>
      <c r="B18" t="s">
        <v>399</v>
      </c>
      <c r="C18" t="s">
        <v>1997</v>
      </c>
      <c r="D18" t="s">
        <v>1998</v>
      </c>
      <c r="E18" t="s">
        <v>2297</v>
      </c>
      <c r="G18" t="s">
        <v>2400</v>
      </c>
      <c r="H18" t="s">
        <v>579</v>
      </c>
      <c r="I18" s="69">
        <v>46042</v>
      </c>
      <c r="J18" s="238" t="str">
        <f t="shared" si="4"/>
        <v>Jan</v>
      </c>
      <c r="K18" s="238" t="str">
        <f t="shared" si="5"/>
        <v>Q1</v>
      </c>
      <c r="L18" s="238" t="str">
        <f t="shared" si="6"/>
        <v>2026</v>
      </c>
      <c r="M18" t="s">
        <v>2386</v>
      </c>
      <c r="N18" t="s">
        <v>2212</v>
      </c>
      <c r="P18">
        <v>30</v>
      </c>
      <c r="Q18" t="s">
        <v>603</v>
      </c>
      <c r="R18" t="s">
        <v>654</v>
      </c>
      <c r="T18">
        <v>150</v>
      </c>
      <c r="U18">
        <v>11.4</v>
      </c>
      <c r="V18" s="237" t="str">
        <f t="shared" si="7"/>
        <v>Normal</v>
      </c>
      <c r="W18" t="s">
        <v>654</v>
      </c>
    </row>
    <row r="19" spans="1:23" x14ac:dyDescent="0.25">
      <c r="A19">
        <v>17</v>
      </c>
      <c r="B19" t="s">
        <v>399</v>
      </c>
      <c r="C19" t="s">
        <v>1997</v>
      </c>
      <c r="D19" t="s">
        <v>1998</v>
      </c>
      <c r="E19" t="s">
        <v>2297</v>
      </c>
      <c r="G19" t="s">
        <v>2400</v>
      </c>
      <c r="H19" t="s">
        <v>579</v>
      </c>
      <c r="I19" s="69">
        <v>46042</v>
      </c>
      <c r="J19" s="238" t="str">
        <f t="shared" si="4"/>
        <v>Jan</v>
      </c>
      <c r="K19" s="238" t="str">
        <f t="shared" si="5"/>
        <v>Q1</v>
      </c>
      <c r="L19" s="238" t="str">
        <f t="shared" si="6"/>
        <v>2026</v>
      </c>
      <c r="M19" t="s">
        <v>2401</v>
      </c>
      <c r="N19" t="s">
        <v>2405</v>
      </c>
      <c r="P19">
        <v>16</v>
      </c>
      <c r="Q19" t="s">
        <v>402</v>
      </c>
      <c r="R19" t="s">
        <v>654</v>
      </c>
      <c r="T19">
        <v>155</v>
      </c>
      <c r="U19">
        <v>10.5</v>
      </c>
      <c r="V19" s="237" t="str">
        <f t="shared" si="7"/>
        <v>Normal</v>
      </c>
      <c r="W19" t="s">
        <v>654</v>
      </c>
    </row>
    <row r="20" spans="1:23" x14ac:dyDescent="0.25">
      <c r="A20">
        <v>18</v>
      </c>
      <c r="B20" t="s">
        <v>399</v>
      </c>
      <c r="C20" t="s">
        <v>1997</v>
      </c>
      <c r="D20" t="s">
        <v>1998</v>
      </c>
      <c r="E20" t="s">
        <v>2297</v>
      </c>
      <c r="G20" t="s">
        <v>2400</v>
      </c>
      <c r="H20" t="s">
        <v>579</v>
      </c>
      <c r="I20" s="69">
        <v>46042</v>
      </c>
      <c r="J20" s="238" t="str">
        <f t="shared" si="4"/>
        <v>Jan</v>
      </c>
      <c r="K20" s="238" t="str">
        <f t="shared" si="5"/>
        <v>Q1</v>
      </c>
      <c r="L20" s="238" t="str">
        <f t="shared" si="6"/>
        <v>2026</v>
      </c>
      <c r="M20" t="s">
        <v>2402</v>
      </c>
      <c r="N20" t="s">
        <v>2406</v>
      </c>
      <c r="P20">
        <v>60</v>
      </c>
      <c r="Q20" t="s">
        <v>603</v>
      </c>
      <c r="R20" t="s">
        <v>654</v>
      </c>
      <c r="T20">
        <v>160</v>
      </c>
      <c r="U20">
        <v>13.9</v>
      </c>
      <c r="V20" s="237" t="str">
        <f t="shared" si="7"/>
        <v>Normal</v>
      </c>
      <c r="W20" t="s">
        <v>654</v>
      </c>
    </row>
    <row r="21" spans="1:23" x14ac:dyDescent="0.25">
      <c r="A21">
        <v>19</v>
      </c>
      <c r="B21" t="s">
        <v>399</v>
      </c>
      <c r="C21" t="s">
        <v>1997</v>
      </c>
      <c r="D21" t="s">
        <v>1998</v>
      </c>
      <c r="E21" t="s">
        <v>2297</v>
      </c>
      <c r="G21" t="s">
        <v>2400</v>
      </c>
      <c r="H21" t="s">
        <v>579</v>
      </c>
      <c r="I21" s="69">
        <v>46042</v>
      </c>
      <c r="J21" s="238" t="str">
        <f t="shared" si="4"/>
        <v>Jan</v>
      </c>
      <c r="K21" s="238" t="str">
        <f t="shared" si="5"/>
        <v>Q1</v>
      </c>
      <c r="L21" s="238" t="str">
        <f t="shared" si="6"/>
        <v>2026</v>
      </c>
      <c r="M21" t="s">
        <v>2403</v>
      </c>
      <c r="N21" t="s">
        <v>2407</v>
      </c>
      <c r="P21">
        <v>48</v>
      </c>
      <c r="Q21" t="s">
        <v>402</v>
      </c>
      <c r="R21" t="s">
        <v>654</v>
      </c>
      <c r="T21">
        <v>150</v>
      </c>
      <c r="U21">
        <v>12</v>
      </c>
      <c r="V21" s="237" t="str">
        <f t="shared" si="7"/>
        <v>Normal</v>
      </c>
      <c r="W21" t="s">
        <v>654</v>
      </c>
    </row>
    <row r="22" spans="1:23" x14ac:dyDescent="0.25">
      <c r="A22">
        <v>20</v>
      </c>
      <c r="B22" t="s">
        <v>399</v>
      </c>
      <c r="C22" t="s">
        <v>1997</v>
      </c>
      <c r="D22" t="s">
        <v>1998</v>
      </c>
      <c r="E22" t="s">
        <v>2472</v>
      </c>
      <c r="G22" t="s">
        <v>2810</v>
      </c>
      <c r="H22" t="s">
        <v>579</v>
      </c>
      <c r="I22" s="69">
        <v>46056</v>
      </c>
      <c r="J22" s="238" t="str">
        <f t="shared" ref="J22:J61" si="8">IF(I22="","",TEXT(I22,"mmm"))</f>
        <v>Feb</v>
      </c>
      <c r="K22" s="238" t="str">
        <f t="shared" ref="K22:K61" si="9">IF(I22="","","Q"&amp;ROUNDUP(MONTH(I22)/3,0))</f>
        <v>Q1</v>
      </c>
      <c r="L22" s="238" t="str">
        <f t="shared" ref="L22:L61" si="10">IF(I22="","",TEXT(I22,"yyyy"))</f>
        <v>2026</v>
      </c>
      <c r="M22" t="s">
        <v>5009</v>
      </c>
      <c r="N22" t="s">
        <v>5019</v>
      </c>
      <c r="P22">
        <v>25</v>
      </c>
      <c r="Q22" t="s">
        <v>402</v>
      </c>
      <c r="R22" t="s">
        <v>654</v>
      </c>
      <c r="T22">
        <v>130</v>
      </c>
      <c r="U22">
        <v>12.3</v>
      </c>
      <c r="V22" s="237" t="str">
        <f t="shared" ref="V22:V61" si="11">IF(T22="","",IF(T22&lt;115,"SAM",IF(AND(T22&gt;=115,T22&lt;125),"MAM","Normal")))</f>
        <v>Normal</v>
      </c>
    </row>
    <row r="23" spans="1:23" x14ac:dyDescent="0.25">
      <c r="A23">
        <v>21</v>
      </c>
      <c r="B23" t="s">
        <v>399</v>
      </c>
      <c r="C23" t="s">
        <v>1997</v>
      </c>
      <c r="D23" t="s">
        <v>1998</v>
      </c>
      <c r="E23" t="s">
        <v>2472</v>
      </c>
      <c r="G23" t="s">
        <v>2810</v>
      </c>
      <c r="H23" t="s">
        <v>579</v>
      </c>
      <c r="I23" s="69">
        <v>46056</v>
      </c>
      <c r="J23" s="238" t="str">
        <f t="shared" ref="J23:J32" si="12">IF(I23="","",TEXT(I23,"mmm"))</f>
        <v>Feb</v>
      </c>
      <c r="K23" s="238" t="str">
        <f t="shared" ref="K23:K32" si="13">IF(I23="","","Q"&amp;ROUNDUP(MONTH(I23)/3,0))</f>
        <v>Q1</v>
      </c>
      <c r="L23" s="238" t="str">
        <f t="shared" ref="L23:L32" si="14">IF(I23="","",TEXT(I23,"yyyy"))</f>
        <v>2026</v>
      </c>
      <c r="M23" t="s">
        <v>5010</v>
      </c>
      <c r="N23" t="s">
        <v>5020</v>
      </c>
      <c r="P23">
        <v>48</v>
      </c>
      <c r="Q23" t="s">
        <v>402</v>
      </c>
      <c r="R23" t="s">
        <v>654</v>
      </c>
      <c r="T23">
        <v>150</v>
      </c>
      <c r="U23">
        <v>13</v>
      </c>
      <c r="V23" s="237" t="str">
        <f t="shared" ref="V23:V32" si="15">IF(T23="","",IF(T23&lt;115,"SAM",IF(AND(T23&gt;=115,T23&lt;125),"MAM","Normal")))</f>
        <v>Normal</v>
      </c>
    </row>
    <row r="24" spans="1:23" x14ac:dyDescent="0.25">
      <c r="A24">
        <v>22</v>
      </c>
      <c r="B24" t="s">
        <v>399</v>
      </c>
      <c r="C24" t="s">
        <v>1997</v>
      </c>
      <c r="D24" t="s">
        <v>1998</v>
      </c>
      <c r="E24" t="s">
        <v>2472</v>
      </c>
      <c r="G24" t="s">
        <v>2810</v>
      </c>
      <c r="H24" t="s">
        <v>579</v>
      </c>
      <c r="I24" s="69">
        <v>46056</v>
      </c>
      <c r="J24" s="238" t="str">
        <f t="shared" si="12"/>
        <v>Feb</v>
      </c>
      <c r="K24" s="238" t="str">
        <f t="shared" si="13"/>
        <v>Q1</v>
      </c>
      <c r="L24" s="238" t="str">
        <f t="shared" si="14"/>
        <v>2026</v>
      </c>
      <c r="M24" t="s">
        <v>5011</v>
      </c>
      <c r="N24" t="s">
        <v>5021</v>
      </c>
      <c r="P24">
        <v>59</v>
      </c>
      <c r="Q24" t="s">
        <v>402</v>
      </c>
      <c r="R24" t="s">
        <v>654</v>
      </c>
      <c r="T24">
        <v>156</v>
      </c>
      <c r="U24">
        <v>14.2</v>
      </c>
      <c r="V24" s="237" t="str">
        <f t="shared" si="15"/>
        <v>Normal</v>
      </c>
    </row>
    <row r="25" spans="1:23" x14ac:dyDescent="0.25">
      <c r="A25">
        <v>23</v>
      </c>
      <c r="B25" t="s">
        <v>399</v>
      </c>
      <c r="C25" t="s">
        <v>1997</v>
      </c>
      <c r="D25" t="s">
        <v>1998</v>
      </c>
      <c r="E25" t="s">
        <v>2472</v>
      </c>
      <c r="G25" t="s">
        <v>2810</v>
      </c>
      <c r="H25" t="s">
        <v>579</v>
      </c>
      <c r="I25" s="69">
        <v>46056</v>
      </c>
      <c r="J25" s="238" t="str">
        <f t="shared" si="12"/>
        <v>Feb</v>
      </c>
      <c r="K25" s="238" t="str">
        <f t="shared" si="13"/>
        <v>Q1</v>
      </c>
      <c r="L25" s="238" t="str">
        <f t="shared" si="14"/>
        <v>2026</v>
      </c>
      <c r="M25" t="s">
        <v>5012</v>
      </c>
      <c r="N25" t="s">
        <v>5022</v>
      </c>
      <c r="P25">
        <v>30</v>
      </c>
      <c r="Q25" t="s">
        <v>402</v>
      </c>
      <c r="R25" t="s">
        <v>654</v>
      </c>
      <c r="T25">
        <v>160</v>
      </c>
      <c r="U25">
        <v>14</v>
      </c>
      <c r="V25" s="237" t="str">
        <f t="shared" si="15"/>
        <v>Normal</v>
      </c>
    </row>
    <row r="26" spans="1:23" x14ac:dyDescent="0.25">
      <c r="A26">
        <v>24</v>
      </c>
      <c r="B26" t="s">
        <v>399</v>
      </c>
      <c r="C26" t="s">
        <v>1997</v>
      </c>
      <c r="D26" t="s">
        <v>1998</v>
      </c>
      <c r="E26" t="s">
        <v>2472</v>
      </c>
      <c r="G26" t="s">
        <v>2810</v>
      </c>
      <c r="H26" t="s">
        <v>579</v>
      </c>
      <c r="I26" s="69">
        <v>46056</v>
      </c>
      <c r="J26" s="238" t="str">
        <f t="shared" si="12"/>
        <v>Feb</v>
      </c>
      <c r="K26" s="238" t="str">
        <f t="shared" si="13"/>
        <v>Q1</v>
      </c>
      <c r="L26" s="238" t="str">
        <f t="shared" si="14"/>
        <v>2026</v>
      </c>
      <c r="M26" t="s">
        <v>5013</v>
      </c>
      <c r="N26" t="s">
        <v>5023</v>
      </c>
      <c r="P26">
        <v>28</v>
      </c>
      <c r="Q26" t="s">
        <v>603</v>
      </c>
      <c r="R26" t="s">
        <v>654</v>
      </c>
      <c r="T26">
        <v>140</v>
      </c>
      <c r="U26">
        <v>12.6</v>
      </c>
      <c r="V26" s="237" t="str">
        <f t="shared" si="15"/>
        <v>Normal</v>
      </c>
    </row>
    <row r="27" spans="1:23" x14ac:dyDescent="0.25">
      <c r="A27">
        <v>25</v>
      </c>
      <c r="B27" t="s">
        <v>399</v>
      </c>
      <c r="C27" t="s">
        <v>1997</v>
      </c>
      <c r="D27" t="s">
        <v>1998</v>
      </c>
      <c r="E27" t="s">
        <v>2472</v>
      </c>
      <c r="G27" t="s">
        <v>2810</v>
      </c>
      <c r="H27" t="s">
        <v>579</v>
      </c>
      <c r="I27" s="69">
        <v>46056</v>
      </c>
      <c r="J27" s="238" t="str">
        <f t="shared" si="12"/>
        <v>Feb</v>
      </c>
      <c r="K27" s="238" t="str">
        <f t="shared" si="13"/>
        <v>Q1</v>
      </c>
      <c r="L27" s="238" t="str">
        <f t="shared" si="14"/>
        <v>2026</v>
      </c>
      <c r="M27" t="s">
        <v>5014</v>
      </c>
      <c r="N27" t="s">
        <v>5024</v>
      </c>
      <c r="P27">
        <v>48</v>
      </c>
      <c r="Q27" t="s">
        <v>402</v>
      </c>
      <c r="R27" t="s">
        <v>654</v>
      </c>
      <c r="T27">
        <v>145</v>
      </c>
      <c r="U27">
        <v>12.4</v>
      </c>
      <c r="V27" s="237" t="str">
        <f t="shared" si="15"/>
        <v>Normal</v>
      </c>
    </row>
    <row r="28" spans="1:23" x14ac:dyDescent="0.25">
      <c r="A28">
        <v>26</v>
      </c>
      <c r="B28" t="s">
        <v>399</v>
      </c>
      <c r="C28" t="s">
        <v>1997</v>
      </c>
      <c r="D28" t="s">
        <v>1998</v>
      </c>
      <c r="E28" t="s">
        <v>2472</v>
      </c>
      <c r="G28" t="s">
        <v>2810</v>
      </c>
      <c r="H28" t="s">
        <v>579</v>
      </c>
      <c r="I28" s="69">
        <v>46056</v>
      </c>
      <c r="J28" s="238" t="str">
        <f t="shared" si="12"/>
        <v>Feb</v>
      </c>
      <c r="K28" s="238" t="str">
        <f t="shared" si="13"/>
        <v>Q1</v>
      </c>
      <c r="L28" s="238" t="str">
        <f t="shared" si="14"/>
        <v>2026</v>
      </c>
      <c r="M28" t="s">
        <v>5015</v>
      </c>
      <c r="N28" t="s">
        <v>5025</v>
      </c>
      <c r="P28">
        <v>46</v>
      </c>
      <c r="Q28" t="s">
        <v>603</v>
      </c>
      <c r="R28" t="s">
        <v>654</v>
      </c>
      <c r="T28">
        <v>150</v>
      </c>
      <c r="U28">
        <v>13.5</v>
      </c>
      <c r="V28" s="237" t="str">
        <f t="shared" si="15"/>
        <v>Normal</v>
      </c>
    </row>
    <row r="29" spans="1:23" x14ac:dyDescent="0.25">
      <c r="A29">
        <v>27</v>
      </c>
      <c r="B29" t="s">
        <v>399</v>
      </c>
      <c r="C29" t="s">
        <v>1997</v>
      </c>
      <c r="D29" t="s">
        <v>1998</v>
      </c>
      <c r="E29" t="s">
        <v>2472</v>
      </c>
      <c r="G29" t="s">
        <v>2810</v>
      </c>
      <c r="H29" t="s">
        <v>579</v>
      </c>
      <c r="I29" s="69">
        <v>46056</v>
      </c>
      <c r="J29" s="238" t="str">
        <f t="shared" si="12"/>
        <v>Feb</v>
      </c>
      <c r="K29" s="238" t="str">
        <f t="shared" si="13"/>
        <v>Q1</v>
      </c>
      <c r="L29" s="238" t="str">
        <f t="shared" si="14"/>
        <v>2026</v>
      </c>
      <c r="M29" t="s">
        <v>5016</v>
      </c>
      <c r="N29" t="s">
        <v>5026</v>
      </c>
      <c r="P29">
        <v>29</v>
      </c>
      <c r="Q29" t="s">
        <v>603</v>
      </c>
      <c r="R29" t="s">
        <v>654</v>
      </c>
      <c r="T29">
        <v>135</v>
      </c>
      <c r="U29">
        <v>11.7</v>
      </c>
      <c r="V29" s="237" t="str">
        <f t="shared" si="15"/>
        <v>Normal</v>
      </c>
    </row>
    <row r="30" spans="1:23" x14ac:dyDescent="0.25">
      <c r="A30">
        <v>28</v>
      </c>
      <c r="B30" t="s">
        <v>399</v>
      </c>
      <c r="C30" t="s">
        <v>1997</v>
      </c>
      <c r="D30" t="s">
        <v>1998</v>
      </c>
      <c r="E30" t="s">
        <v>2472</v>
      </c>
      <c r="G30" t="s">
        <v>2810</v>
      </c>
      <c r="H30" t="s">
        <v>579</v>
      </c>
      <c r="I30" s="69">
        <v>46056</v>
      </c>
      <c r="J30" s="238" t="str">
        <f t="shared" si="12"/>
        <v>Feb</v>
      </c>
      <c r="K30" s="238" t="str">
        <f t="shared" si="13"/>
        <v>Q1</v>
      </c>
      <c r="L30" s="238" t="str">
        <f t="shared" si="14"/>
        <v>2026</v>
      </c>
      <c r="M30" t="s">
        <v>5017</v>
      </c>
      <c r="N30" t="s">
        <v>5027</v>
      </c>
      <c r="P30">
        <v>40</v>
      </c>
      <c r="Q30" t="s">
        <v>402</v>
      </c>
      <c r="R30" t="s">
        <v>654</v>
      </c>
      <c r="T30">
        <v>156</v>
      </c>
      <c r="U30">
        <v>12.5</v>
      </c>
      <c r="V30" s="237" t="str">
        <f t="shared" si="15"/>
        <v>Normal</v>
      </c>
    </row>
    <row r="31" spans="1:23" x14ac:dyDescent="0.25">
      <c r="A31">
        <v>29</v>
      </c>
      <c r="B31" t="s">
        <v>399</v>
      </c>
      <c r="C31" t="s">
        <v>1997</v>
      </c>
      <c r="D31" t="s">
        <v>1998</v>
      </c>
      <c r="E31" t="s">
        <v>2472</v>
      </c>
      <c r="G31" t="s">
        <v>2810</v>
      </c>
      <c r="H31" t="s">
        <v>579</v>
      </c>
      <c r="I31" s="69">
        <v>46056</v>
      </c>
      <c r="J31" s="238" t="str">
        <f t="shared" si="12"/>
        <v>Feb</v>
      </c>
      <c r="K31" s="238" t="str">
        <f t="shared" si="13"/>
        <v>Q1</v>
      </c>
      <c r="L31" s="238" t="str">
        <f t="shared" si="14"/>
        <v>2026</v>
      </c>
      <c r="M31" t="s">
        <v>3592</v>
      </c>
      <c r="N31" t="s">
        <v>5028</v>
      </c>
      <c r="P31">
        <v>50</v>
      </c>
      <c r="Q31" t="s">
        <v>402</v>
      </c>
      <c r="R31" t="s">
        <v>654</v>
      </c>
      <c r="T31">
        <v>145</v>
      </c>
      <c r="U31">
        <v>12.8</v>
      </c>
      <c r="V31" s="237" t="str">
        <f t="shared" si="15"/>
        <v>Normal</v>
      </c>
    </row>
    <row r="32" spans="1:23" x14ac:dyDescent="0.25">
      <c r="A32">
        <v>30</v>
      </c>
      <c r="B32" t="s">
        <v>399</v>
      </c>
      <c r="C32" t="s">
        <v>1997</v>
      </c>
      <c r="D32" t="s">
        <v>1998</v>
      </c>
      <c r="E32" t="s">
        <v>2472</v>
      </c>
      <c r="G32" t="s">
        <v>2810</v>
      </c>
      <c r="H32" t="s">
        <v>579</v>
      </c>
      <c r="I32" s="69">
        <v>46056</v>
      </c>
      <c r="J32" s="238" t="str">
        <f t="shared" si="12"/>
        <v>Feb</v>
      </c>
      <c r="K32" s="238" t="str">
        <f t="shared" si="13"/>
        <v>Q1</v>
      </c>
      <c r="L32" s="238" t="str">
        <f t="shared" si="14"/>
        <v>2026</v>
      </c>
      <c r="M32" t="s">
        <v>5018</v>
      </c>
      <c r="N32" t="s">
        <v>5029</v>
      </c>
      <c r="P32">
        <v>24</v>
      </c>
      <c r="Q32" t="s">
        <v>402</v>
      </c>
      <c r="R32" t="s">
        <v>654</v>
      </c>
      <c r="T32">
        <v>135</v>
      </c>
      <c r="U32">
        <v>12.6</v>
      </c>
      <c r="V32" s="237" t="str">
        <f t="shared" si="15"/>
        <v>Normal</v>
      </c>
    </row>
    <row r="33" spans="1:22" x14ac:dyDescent="0.25">
      <c r="A33">
        <v>31</v>
      </c>
      <c r="B33" t="s">
        <v>399</v>
      </c>
      <c r="C33" t="s">
        <v>1997</v>
      </c>
      <c r="D33" t="s">
        <v>1998</v>
      </c>
      <c r="E33" t="s">
        <v>2472</v>
      </c>
      <c r="G33" t="s">
        <v>5030</v>
      </c>
      <c r="H33" t="s">
        <v>579</v>
      </c>
      <c r="I33" s="69">
        <v>46056</v>
      </c>
      <c r="J33" s="238" t="str">
        <f t="shared" ref="J33:J59" si="16">IF(I33="","",TEXT(I33,"mmm"))</f>
        <v>Feb</v>
      </c>
      <c r="K33" s="238" t="str">
        <f t="shared" ref="K33:K59" si="17">IF(I33="","","Q"&amp;ROUNDUP(MONTH(I33)/3,0))</f>
        <v>Q1</v>
      </c>
      <c r="L33" s="238" t="str">
        <f t="shared" ref="L33:L59" si="18">IF(I33="","",TEXT(I33,"yyyy"))</f>
        <v>2026</v>
      </c>
      <c r="M33" t="s">
        <v>5031</v>
      </c>
      <c r="N33" t="s">
        <v>5043</v>
      </c>
      <c r="P33">
        <v>8</v>
      </c>
      <c r="Q33" t="s">
        <v>603</v>
      </c>
      <c r="R33" t="s">
        <v>654</v>
      </c>
      <c r="T33">
        <v>130</v>
      </c>
      <c r="U33">
        <v>12.5</v>
      </c>
      <c r="V33" s="237" t="str">
        <f t="shared" ref="V33:V59" si="19">IF(T33="","",IF(T33&lt;115,"SAM",IF(AND(T33&gt;=115,T33&lt;125),"MAM","Normal")))</f>
        <v>Normal</v>
      </c>
    </row>
    <row r="34" spans="1:22" x14ac:dyDescent="0.25">
      <c r="A34">
        <v>32</v>
      </c>
      <c r="B34" t="s">
        <v>399</v>
      </c>
      <c r="C34" t="s">
        <v>1997</v>
      </c>
      <c r="D34" t="s">
        <v>1998</v>
      </c>
      <c r="E34" t="s">
        <v>2472</v>
      </c>
      <c r="G34" t="s">
        <v>5030</v>
      </c>
      <c r="H34" t="s">
        <v>579</v>
      </c>
      <c r="I34" s="69">
        <v>46056</v>
      </c>
      <c r="J34" s="238" t="str">
        <f t="shared" ref="J34:J46" si="20">IF(I34="","",TEXT(I34,"mmm"))</f>
        <v>Feb</v>
      </c>
      <c r="K34" s="238" t="str">
        <f t="shared" ref="K34:K46" si="21">IF(I34="","","Q"&amp;ROUNDUP(MONTH(I34)/3,0))</f>
        <v>Q1</v>
      </c>
      <c r="L34" s="238" t="str">
        <f t="shared" ref="L34:L46" si="22">IF(I34="","",TEXT(I34,"yyyy"))</f>
        <v>2026</v>
      </c>
      <c r="M34" t="s">
        <v>5032</v>
      </c>
      <c r="N34" t="s">
        <v>5044</v>
      </c>
      <c r="P34">
        <v>36</v>
      </c>
      <c r="Q34" t="s">
        <v>603</v>
      </c>
      <c r="R34" t="s">
        <v>654</v>
      </c>
      <c r="T34">
        <v>140</v>
      </c>
      <c r="U34">
        <v>27</v>
      </c>
      <c r="V34" s="237" t="str">
        <f t="shared" ref="V34:V46" si="23">IF(T34="","",IF(T34&lt;115,"SAM",IF(AND(T34&gt;=115,T34&lt;125),"MAM","Normal")))</f>
        <v>Normal</v>
      </c>
    </row>
    <row r="35" spans="1:22" x14ac:dyDescent="0.25">
      <c r="A35">
        <v>33</v>
      </c>
      <c r="B35" t="s">
        <v>399</v>
      </c>
      <c r="C35" t="s">
        <v>1997</v>
      </c>
      <c r="D35" t="s">
        <v>1998</v>
      </c>
      <c r="E35" t="s">
        <v>2472</v>
      </c>
      <c r="G35" t="s">
        <v>5030</v>
      </c>
      <c r="H35" t="s">
        <v>579</v>
      </c>
      <c r="I35" s="69">
        <v>46056</v>
      </c>
      <c r="J35" s="238" t="str">
        <f t="shared" si="20"/>
        <v>Feb</v>
      </c>
      <c r="K35" s="238" t="str">
        <f t="shared" si="21"/>
        <v>Q1</v>
      </c>
      <c r="L35" s="238" t="str">
        <f t="shared" si="22"/>
        <v>2026</v>
      </c>
      <c r="M35" t="s">
        <v>5033</v>
      </c>
      <c r="N35" t="s">
        <v>5045</v>
      </c>
      <c r="P35">
        <v>48</v>
      </c>
      <c r="Q35" t="s">
        <v>402</v>
      </c>
      <c r="R35" t="s">
        <v>654</v>
      </c>
      <c r="T35">
        <v>145</v>
      </c>
      <c r="U35">
        <v>28</v>
      </c>
      <c r="V35" s="237" t="str">
        <f t="shared" si="23"/>
        <v>Normal</v>
      </c>
    </row>
    <row r="36" spans="1:22" x14ac:dyDescent="0.25">
      <c r="A36">
        <v>34</v>
      </c>
      <c r="B36" t="s">
        <v>399</v>
      </c>
      <c r="C36" t="s">
        <v>1997</v>
      </c>
      <c r="D36" t="s">
        <v>1998</v>
      </c>
      <c r="E36" t="s">
        <v>2472</v>
      </c>
      <c r="G36" t="s">
        <v>5030</v>
      </c>
      <c r="H36" t="s">
        <v>579</v>
      </c>
      <c r="I36" s="69">
        <v>46056</v>
      </c>
      <c r="J36" s="238" t="str">
        <f t="shared" si="20"/>
        <v>Feb</v>
      </c>
      <c r="K36" s="238" t="str">
        <f t="shared" si="21"/>
        <v>Q1</v>
      </c>
      <c r="L36" s="238" t="str">
        <f t="shared" si="22"/>
        <v>2026</v>
      </c>
      <c r="M36" t="s">
        <v>5034</v>
      </c>
      <c r="N36" t="s">
        <v>4263</v>
      </c>
      <c r="P36">
        <v>46</v>
      </c>
      <c r="Q36" t="s">
        <v>402</v>
      </c>
      <c r="R36" t="s">
        <v>654</v>
      </c>
      <c r="T36">
        <v>140</v>
      </c>
      <c r="U36">
        <v>27</v>
      </c>
      <c r="V36" s="237" t="str">
        <f t="shared" si="23"/>
        <v>Normal</v>
      </c>
    </row>
    <row r="37" spans="1:22" x14ac:dyDescent="0.25">
      <c r="A37">
        <v>35</v>
      </c>
      <c r="B37" t="s">
        <v>399</v>
      </c>
      <c r="C37" t="s">
        <v>1997</v>
      </c>
      <c r="D37" t="s">
        <v>1998</v>
      </c>
      <c r="E37" t="s">
        <v>2472</v>
      </c>
      <c r="G37" t="s">
        <v>5030</v>
      </c>
      <c r="H37" t="s">
        <v>579</v>
      </c>
      <c r="I37" s="69">
        <v>46056</v>
      </c>
      <c r="J37" s="238" t="str">
        <f t="shared" si="20"/>
        <v>Feb</v>
      </c>
      <c r="K37" s="238" t="str">
        <f t="shared" si="21"/>
        <v>Q1</v>
      </c>
      <c r="L37" s="238" t="str">
        <f t="shared" si="22"/>
        <v>2026</v>
      </c>
      <c r="M37" t="s">
        <v>5035</v>
      </c>
      <c r="N37" t="s">
        <v>5046</v>
      </c>
      <c r="P37">
        <v>36</v>
      </c>
      <c r="Q37" t="s">
        <v>402</v>
      </c>
      <c r="R37" t="s">
        <v>654</v>
      </c>
      <c r="T37">
        <v>135</v>
      </c>
      <c r="U37">
        <v>13.5</v>
      </c>
      <c r="V37" s="237" t="str">
        <f t="shared" si="23"/>
        <v>Normal</v>
      </c>
    </row>
    <row r="38" spans="1:22" x14ac:dyDescent="0.25">
      <c r="A38">
        <v>36</v>
      </c>
      <c r="B38" t="s">
        <v>399</v>
      </c>
      <c r="C38" t="s">
        <v>1997</v>
      </c>
      <c r="D38" t="s">
        <v>1998</v>
      </c>
      <c r="E38" t="s">
        <v>2472</v>
      </c>
      <c r="G38" t="s">
        <v>5030</v>
      </c>
      <c r="H38" t="s">
        <v>579</v>
      </c>
      <c r="I38" s="69">
        <v>46056</v>
      </c>
      <c r="J38" s="238" t="str">
        <f t="shared" si="20"/>
        <v>Feb</v>
      </c>
      <c r="K38" s="238" t="str">
        <f t="shared" si="21"/>
        <v>Q1</v>
      </c>
      <c r="L38" s="238" t="str">
        <f t="shared" si="22"/>
        <v>2026</v>
      </c>
      <c r="M38" t="s">
        <v>5036</v>
      </c>
      <c r="N38" t="s">
        <v>5047</v>
      </c>
      <c r="P38">
        <v>30</v>
      </c>
      <c r="Q38" t="s">
        <v>402</v>
      </c>
      <c r="R38" t="s">
        <v>654</v>
      </c>
      <c r="T38">
        <v>145</v>
      </c>
      <c r="U38">
        <v>28</v>
      </c>
      <c r="V38" s="237" t="str">
        <f t="shared" si="23"/>
        <v>Normal</v>
      </c>
    </row>
    <row r="39" spans="1:22" x14ac:dyDescent="0.25">
      <c r="A39">
        <v>37</v>
      </c>
      <c r="B39" t="s">
        <v>399</v>
      </c>
      <c r="C39" t="s">
        <v>1997</v>
      </c>
      <c r="D39" t="s">
        <v>1998</v>
      </c>
      <c r="E39" t="s">
        <v>2472</v>
      </c>
      <c r="G39" t="s">
        <v>5030</v>
      </c>
      <c r="H39" t="s">
        <v>579</v>
      </c>
      <c r="I39" s="69">
        <v>46056</v>
      </c>
      <c r="J39" s="238" t="str">
        <f t="shared" si="20"/>
        <v>Feb</v>
      </c>
      <c r="K39" s="238" t="str">
        <f t="shared" si="21"/>
        <v>Q1</v>
      </c>
      <c r="L39" s="238" t="str">
        <f t="shared" si="22"/>
        <v>2026</v>
      </c>
      <c r="M39" t="s">
        <v>5037</v>
      </c>
      <c r="N39" t="s">
        <v>2139</v>
      </c>
      <c r="P39">
        <v>18</v>
      </c>
      <c r="Q39" t="s">
        <v>402</v>
      </c>
      <c r="R39" t="s">
        <v>654</v>
      </c>
      <c r="T39">
        <v>145</v>
      </c>
      <c r="U39">
        <v>28</v>
      </c>
      <c r="V39" s="237" t="str">
        <f t="shared" si="23"/>
        <v>Normal</v>
      </c>
    </row>
    <row r="40" spans="1:22" x14ac:dyDescent="0.25">
      <c r="A40">
        <v>38</v>
      </c>
      <c r="B40" t="s">
        <v>399</v>
      </c>
      <c r="C40" t="s">
        <v>1997</v>
      </c>
      <c r="D40" t="s">
        <v>1998</v>
      </c>
      <c r="E40" t="s">
        <v>2472</v>
      </c>
      <c r="G40" t="s">
        <v>5030</v>
      </c>
      <c r="H40" t="s">
        <v>579</v>
      </c>
      <c r="I40" s="69">
        <v>46056</v>
      </c>
      <c r="J40" s="238" t="str">
        <f t="shared" si="20"/>
        <v>Feb</v>
      </c>
      <c r="K40" s="238" t="str">
        <f t="shared" si="21"/>
        <v>Q1</v>
      </c>
      <c r="L40" s="238" t="str">
        <f t="shared" si="22"/>
        <v>2026</v>
      </c>
      <c r="M40" t="s">
        <v>5038</v>
      </c>
      <c r="N40" t="s">
        <v>5048</v>
      </c>
      <c r="P40">
        <v>22</v>
      </c>
      <c r="Q40" t="s">
        <v>402</v>
      </c>
      <c r="R40" t="s">
        <v>654</v>
      </c>
      <c r="T40">
        <v>150</v>
      </c>
      <c r="U40">
        <v>29</v>
      </c>
      <c r="V40" s="237" t="str">
        <f t="shared" si="23"/>
        <v>Normal</v>
      </c>
    </row>
    <row r="41" spans="1:22" x14ac:dyDescent="0.25">
      <c r="A41">
        <v>39</v>
      </c>
      <c r="B41" t="s">
        <v>399</v>
      </c>
      <c r="C41" t="s">
        <v>1997</v>
      </c>
      <c r="D41" t="s">
        <v>1998</v>
      </c>
      <c r="E41" t="s">
        <v>2472</v>
      </c>
      <c r="G41" t="s">
        <v>5030</v>
      </c>
      <c r="H41" t="s">
        <v>579</v>
      </c>
      <c r="I41" s="69">
        <v>46056</v>
      </c>
      <c r="J41" s="238" t="str">
        <f t="shared" si="20"/>
        <v>Feb</v>
      </c>
      <c r="K41" s="238" t="str">
        <f t="shared" si="21"/>
        <v>Q1</v>
      </c>
      <c r="L41" s="238" t="str">
        <f t="shared" si="22"/>
        <v>2026</v>
      </c>
      <c r="M41" t="s">
        <v>5039</v>
      </c>
      <c r="N41" t="s">
        <v>5049</v>
      </c>
      <c r="P41">
        <v>16</v>
      </c>
      <c r="Q41" t="s">
        <v>603</v>
      </c>
      <c r="R41" t="s">
        <v>654</v>
      </c>
      <c r="T41">
        <v>135</v>
      </c>
      <c r="U41">
        <v>24.5</v>
      </c>
      <c r="V41" s="237" t="str">
        <f t="shared" si="23"/>
        <v>Normal</v>
      </c>
    </row>
    <row r="42" spans="1:22" x14ac:dyDescent="0.25">
      <c r="A42">
        <v>40</v>
      </c>
      <c r="B42" t="s">
        <v>399</v>
      </c>
      <c r="C42" t="s">
        <v>1997</v>
      </c>
      <c r="D42" t="s">
        <v>1998</v>
      </c>
      <c r="E42" t="s">
        <v>2472</v>
      </c>
      <c r="G42" t="s">
        <v>5030</v>
      </c>
      <c r="H42" t="s">
        <v>579</v>
      </c>
      <c r="I42" s="69">
        <v>46056</v>
      </c>
      <c r="J42" s="238" t="str">
        <f t="shared" si="20"/>
        <v>Feb</v>
      </c>
      <c r="K42" s="238" t="str">
        <f t="shared" si="21"/>
        <v>Q1</v>
      </c>
      <c r="L42" s="238" t="str">
        <f t="shared" si="22"/>
        <v>2026</v>
      </c>
      <c r="M42" t="s">
        <v>5040</v>
      </c>
      <c r="N42" t="s">
        <v>5050</v>
      </c>
      <c r="P42">
        <v>8</v>
      </c>
      <c r="Q42" t="s">
        <v>603</v>
      </c>
      <c r="R42" t="s">
        <v>654</v>
      </c>
      <c r="T42">
        <v>135</v>
      </c>
      <c r="U42">
        <v>13</v>
      </c>
      <c r="V42" s="237" t="str">
        <f t="shared" si="23"/>
        <v>Normal</v>
      </c>
    </row>
    <row r="43" spans="1:22" x14ac:dyDescent="0.25">
      <c r="A43">
        <v>41</v>
      </c>
      <c r="B43" t="s">
        <v>399</v>
      </c>
      <c r="C43" t="s">
        <v>1997</v>
      </c>
      <c r="D43" t="s">
        <v>1998</v>
      </c>
      <c r="E43" t="s">
        <v>2472</v>
      </c>
      <c r="G43" t="s">
        <v>5030</v>
      </c>
      <c r="H43" t="s">
        <v>579</v>
      </c>
      <c r="I43" s="69">
        <v>46056</v>
      </c>
      <c r="J43" s="238" t="str">
        <f t="shared" si="20"/>
        <v>Feb</v>
      </c>
      <c r="K43" s="238" t="str">
        <f t="shared" si="21"/>
        <v>Q1</v>
      </c>
      <c r="L43" s="238" t="str">
        <f t="shared" si="22"/>
        <v>2026</v>
      </c>
      <c r="M43" t="s">
        <v>5041</v>
      </c>
      <c r="N43" t="s">
        <v>5052</v>
      </c>
      <c r="P43">
        <v>8</v>
      </c>
      <c r="Q43" t="s">
        <v>402</v>
      </c>
      <c r="R43" t="s">
        <v>654</v>
      </c>
      <c r="T43">
        <v>140</v>
      </c>
      <c r="U43">
        <v>27</v>
      </c>
      <c r="V43" s="237" t="str">
        <f t="shared" si="23"/>
        <v>Normal</v>
      </c>
    </row>
    <row r="44" spans="1:22" x14ac:dyDescent="0.25">
      <c r="A44">
        <v>42</v>
      </c>
      <c r="B44" t="s">
        <v>399</v>
      </c>
      <c r="C44" t="s">
        <v>1997</v>
      </c>
      <c r="D44" t="s">
        <v>1998</v>
      </c>
      <c r="E44" t="s">
        <v>2472</v>
      </c>
      <c r="G44" t="s">
        <v>5030</v>
      </c>
      <c r="H44" t="s">
        <v>579</v>
      </c>
      <c r="I44" s="69">
        <v>46056</v>
      </c>
      <c r="J44" s="238" t="str">
        <f t="shared" si="20"/>
        <v>Feb</v>
      </c>
      <c r="K44" s="238" t="str">
        <f t="shared" si="21"/>
        <v>Q1</v>
      </c>
      <c r="L44" s="238" t="str">
        <f t="shared" si="22"/>
        <v>2026</v>
      </c>
      <c r="M44" t="s">
        <v>5042</v>
      </c>
      <c r="N44" t="s">
        <v>5051</v>
      </c>
      <c r="P44">
        <v>32</v>
      </c>
      <c r="Q44" t="s">
        <v>603</v>
      </c>
      <c r="R44" t="s">
        <v>654</v>
      </c>
      <c r="T44">
        <v>145</v>
      </c>
      <c r="U44">
        <v>29</v>
      </c>
      <c r="V44" s="237" t="str">
        <f t="shared" si="23"/>
        <v>Normal</v>
      </c>
    </row>
    <row r="45" spans="1:22" x14ac:dyDescent="0.25">
      <c r="A45">
        <v>43</v>
      </c>
      <c r="B45" t="s">
        <v>399</v>
      </c>
      <c r="C45" t="s">
        <v>1997</v>
      </c>
      <c r="D45" t="s">
        <v>1998</v>
      </c>
      <c r="E45" t="s">
        <v>1999</v>
      </c>
      <c r="G45" t="s">
        <v>5053</v>
      </c>
      <c r="H45" t="s">
        <v>579</v>
      </c>
      <c r="I45" s="69">
        <v>46057</v>
      </c>
      <c r="J45" s="238" t="str">
        <f t="shared" si="20"/>
        <v>Feb</v>
      </c>
      <c r="K45" s="238" t="str">
        <f t="shared" si="21"/>
        <v>Q1</v>
      </c>
      <c r="L45" s="238" t="str">
        <f t="shared" si="22"/>
        <v>2026</v>
      </c>
      <c r="M45" t="s">
        <v>5054</v>
      </c>
      <c r="N45" t="s">
        <v>5065</v>
      </c>
      <c r="P45">
        <v>30</v>
      </c>
      <c r="Q45" t="s">
        <v>402</v>
      </c>
      <c r="R45" t="s">
        <v>654</v>
      </c>
      <c r="T45">
        <v>140</v>
      </c>
      <c r="U45">
        <v>12.6</v>
      </c>
      <c r="V45" s="237" t="str">
        <f t="shared" si="23"/>
        <v>Normal</v>
      </c>
    </row>
    <row r="46" spans="1:22" x14ac:dyDescent="0.25">
      <c r="A46">
        <v>44</v>
      </c>
      <c r="B46" t="s">
        <v>399</v>
      </c>
      <c r="C46" t="s">
        <v>1997</v>
      </c>
      <c r="D46" t="s">
        <v>1998</v>
      </c>
      <c r="E46" t="s">
        <v>1999</v>
      </c>
      <c r="G46" t="s">
        <v>5053</v>
      </c>
      <c r="H46" t="s">
        <v>579</v>
      </c>
      <c r="I46" s="69">
        <v>46057</v>
      </c>
      <c r="J46" s="238" t="str">
        <f t="shared" si="20"/>
        <v>Feb</v>
      </c>
      <c r="K46" s="238" t="str">
        <f t="shared" si="21"/>
        <v>Q1</v>
      </c>
      <c r="L46" s="238" t="str">
        <f t="shared" si="22"/>
        <v>2026</v>
      </c>
      <c r="M46" t="s">
        <v>5055</v>
      </c>
      <c r="N46" t="s">
        <v>5066</v>
      </c>
      <c r="P46">
        <v>25</v>
      </c>
      <c r="Q46" t="s">
        <v>402</v>
      </c>
      <c r="R46" t="s">
        <v>654</v>
      </c>
      <c r="T46">
        <v>150</v>
      </c>
      <c r="U46">
        <v>13</v>
      </c>
      <c r="V46" s="237" t="str">
        <f t="shared" si="23"/>
        <v>Normal</v>
      </c>
    </row>
    <row r="47" spans="1:22" x14ac:dyDescent="0.25">
      <c r="A47">
        <v>45</v>
      </c>
      <c r="B47" t="s">
        <v>399</v>
      </c>
      <c r="C47" t="s">
        <v>1997</v>
      </c>
      <c r="D47" t="s">
        <v>1998</v>
      </c>
      <c r="E47" t="s">
        <v>1999</v>
      </c>
      <c r="G47" t="s">
        <v>5053</v>
      </c>
      <c r="H47" t="s">
        <v>579</v>
      </c>
      <c r="I47" s="69">
        <v>46057</v>
      </c>
      <c r="J47" s="238" t="str">
        <f t="shared" ref="J47:J55" si="24">IF(I47="","",TEXT(I47,"mmm"))</f>
        <v>Feb</v>
      </c>
      <c r="K47" s="238" t="str">
        <f t="shared" ref="K47:K55" si="25">IF(I47="","","Q"&amp;ROUNDUP(MONTH(I47)/3,0))</f>
        <v>Q1</v>
      </c>
      <c r="L47" s="238" t="str">
        <f t="shared" ref="L47:L55" si="26">IF(I47="","",TEXT(I47,"yyyy"))</f>
        <v>2026</v>
      </c>
      <c r="M47" t="s">
        <v>5056</v>
      </c>
      <c r="N47" t="s">
        <v>5075</v>
      </c>
      <c r="P47">
        <v>50</v>
      </c>
      <c r="Q47" t="s">
        <v>603</v>
      </c>
      <c r="R47" t="s">
        <v>654</v>
      </c>
      <c r="T47">
        <v>160</v>
      </c>
      <c r="U47">
        <v>14.5</v>
      </c>
      <c r="V47" s="237" t="str">
        <f t="shared" ref="V47:V55" si="27">IF(T47="","",IF(T47&lt;115,"SAM",IF(AND(T47&gt;=115,T47&lt;125),"MAM","Normal")))</f>
        <v>Normal</v>
      </c>
    </row>
    <row r="48" spans="1:22" x14ac:dyDescent="0.25">
      <c r="A48">
        <v>46</v>
      </c>
      <c r="B48" t="s">
        <v>399</v>
      </c>
      <c r="C48" t="s">
        <v>1997</v>
      </c>
      <c r="D48" t="s">
        <v>1998</v>
      </c>
      <c r="E48" t="s">
        <v>1999</v>
      </c>
      <c r="G48" t="s">
        <v>5053</v>
      </c>
      <c r="H48" t="s">
        <v>579</v>
      </c>
      <c r="I48" s="69">
        <v>46057</v>
      </c>
      <c r="J48" s="238" t="str">
        <f t="shared" si="24"/>
        <v>Feb</v>
      </c>
      <c r="K48" s="238" t="str">
        <f t="shared" si="25"/>
        <v>Q1</v>
      </c>
      <c r="L48" s="238" t="str">
        <f t="shared" si="26"/>
        <v>2026</v>
      </c>
      <c r="M48" t="s">
        <v>5057</v>
      </c>
      <c r="N48" t="s">
        <v>5067</v>
      </c>
      <c r="P48">
        <v>28</v>
      </c>
      <c r="Q48" t="s">
        <v>603</v>
      </c>
      <c r="R48" t="s">
        <v>654</v>
      </c>
      <c r="T48">
        <v>135</v>
      </c>
      <c r="U48">
        <v>13</v>
      </c>
      <c r="V48" s="237" t="str">
        <f t="shared" si="27"/>
        <v>Normal</v>
      </c>
    </row>
    <row r="49" spans="1:22" x14ac:dyDescent="0.25">
      <c r="A49">
        <v>47</v>
      </c>
      <c r="B49" t="s">
        <v>399</v>
      </c>
      <c r="C49" t="s">
        <v>1997</v>
      </c>
      <c r="D49" t="s">
        <v>1998</v>
      </c>
      <c r="E49" t="s">
        <v>1999</v>
      </c>
      <c r="G49" t="s">
        <v>5053</v>
      </c>
      <c r="H49" t="s">
        <v>579</v>
      </c>
      <c r="I49" s="69">
        <v>46057</v>
      </c>
      <c r="J49" s="238" t="str">
        <f t="shared" si="24"/>
        <v>Feb</v>
      </c>
      <c r="K49" s="238" t="str">
        <f t="shared" si="25"/>
        <v>Q1</v>
      </c>
      <c r="L49" s="238" t="str">
        <f t="shared" si="26"/>
        <v>2026</v>
      </c>
      <c r="M49" t="s">
        <v>5058</v>
      </c>
      <c r="N49" t="s">
        <v>5068</v>
      </c>
      <c r="P49">
        <v>18</v>
      </c>
      <c r="Q49" t="s">
        <v>402</v>
      </c>
      <c r="R49" t="s">
        <v>654</v>
      </c>
      <c r="T49">
        <v>140</v>
      </c>
      <c r="U49">
        <v>11.3</v>
      </c>
      <c r="V49" s="237" t="str">
        <f t="shared" si="27"/>
        <v>Normal</v>
      </c>
    </row>
    <row r="50" spans="1:22" x14ac:dyDescent="0.25">
      <c r="A50">
        <v>48</v>
      </c>
      <c r="B50" t="s">
        <v>399</v>
      </c>
      <c r="C50" t="s">
        <v>1997</v>
      </c>
      <c r="D50" t="s">
        <v>1998</v>
      </c>
      <c r="E50" t="s">
        <v>1999</v>
      </c>
      <c r="G50" t="s">
        <v>5053</v>
      </c>
      <c r="H50" t="s">
        <v>579</v>
      </c>
      <c r="I50" s="69">
        <v>46057</v>
      </c>
      <c r="J50" s="238" t="str">
        <f t="shared" si="24"/>
        <v>Feb</v>
      </c>
      <c r="K50" s="238" t="str">
        <f t="shared" si="25"/>
        <v>Q1</v>
      </c>
      <c r="L50" s="238" t="str">
        <f t="shared" si="26"/>
        <v>2026</v>
      </c>
      <c r="M50" t="s">
        <v>5059</v>
      </c>
      <c r="N50" t="s">
        <v>5069</v>
      </c>
      <c r="P50">
        <v>12</v>
      </c>
      <c r="Q50" t="s">
        <v>402</v>
      </c>
      <c r="R50" t="s">
        <v>654</v>
      </c>
      <c r="T50">
        <v>150</v>
      </c>
      <c r="U50">
        <v>13</v>
      </c>
      <c r="V50" s="237" t="str">
        <f t="shared" si="27"/>
        <v>Normal</v>
      </c>
    </row>
    <row r="51" spans="1:22" x14ac:dyDescent="0.25">
      <c r="A51">
        <v>49</v>
      </c>
      <c r="B51" t="s">
        <v>399</v>
      </c>
      <c r="C51" t="s">
        <v>1997</v>
      </c>
      <c r="D51" t="s">
        <v>1998</v>
      </c>
      <c r="E51" t="s">
        <v>1999</v>
      </c>
      <c r="G51" t="s">
        <v>5053</v>
      </c>
      <c r="H51" t="s">
        <v>579</v>
      </c>
      <c r="I51" s="69">
        <v>46057</v>
      </c>
      <c r="J51" s="238" t="str">
        <f t="shared" si="24"/>
        <v>Feb</v>
      </c>
      <c r="K51" s="238" t="str">
        <f t="shared" si="25"/>
        <v>Q1</v>
      </c>
      <c r="L51" s="238" t="str">
        <f t="shared" si="26"/>
        <v>2026</v>
      </c>
      <c r="M51" t="s">
        <v>5060</v>
      </c>
      <c r="N51" t="s">
        <v>5070</v>
      </c>
      <c r="P51">
        <v>12</v>
      </c>
      <c r="Q51" t="s">
        <v>402</v>
      </c>
      <c r="R51" t="s">
        <v>654</v>
      </c>
      <c r="T51">
        <v>160</v>
      </c>
      <c r="U51">
        <v>13.5</v>
      </c>
      <c r="V51" s="237" t="str">
        <f t="shared" si="27"/>
        <v>Normal</v>
      </c>
    </row>
    <row r="52" spans="1:22" x14ac:dyDescent="0.25">
      <c r="A52">
        <v>50</v>
      </c>
      <c r="B52" t="s">
        <v>399</v>
      </c>
      <c r="C52" t="s">
        <v>1997</v>
      </c>
      <c r="D52" t="s">
        <v>1998</v>
      </c>
      <c r="E52" t="s">
        <v>1999</v>
      </c>
      <c r="G52" t="s">
        <v>5053</v>
      </c>
      <c r="H52" t="s">
        <v>579</v>
      </c>
      <c r="I52" s="69">
        <v>46057</v>
      </c>
      <c r="J52" s="238" t="str">
        <f t="shared" si="24"/>
        <v>Feb</v>
      </c>
      <c r="K52" s="238" t="str">
        <f t="shared" si="25"/>
        <v>Q1</v>
      </c>
      <c r="L52" s="238" t="str">
        <f t="shared" si="26"/>
        <v>2026</v>
      </c>
      <c r="M52" t="s">
        <v>5061</v>
      </c>
      <c r="N52" t="s">
        <v>5071</v>
      </c>
      <c r="P52">
        <v>23</v>
      </c>
      <c r="Q52" t="s">
        <v>603</v>
      </c>
      <c r="R52" t="s">
        <v>654</v>
      </c>
      <c r="T52">
        <v>145</v>
      </c>
      <c r="U52">
        <v>12.5</v>
      </c>
      <c r="V52" s="237" t="str">
        <f t="shared" si="27"/>
        <v>Normal</v>
      </c>
    </row>
    <row r="53" spans="1:22" x14ac:dyDescent="0.25">
      <c r="A53">
        <v>51</v>
      </c>
      <c r="B53" t="s">
        <v>399</v>
      </c>
      <c r="C53" t="s">
        <v>1997</v>
      </c>
      <c r="D53" t="s">
        <v>1998</v>
      </c>
      <c r="E53" t="s">
        <v>1999</v>
      </c>
      <c r="G53" t="s">
        <v>5053</v>
      </c>
      <c r="H53" t="s">
        <v>579</v>
      </c>
      <c r="I53" s="69">
        <v>46057</v>
      </c>
      <c r="J53" s="238" t="str">
        <f t="shared" si="24"/>
        <v>Feb</v>
      </c>
      <c r="K53" s="238" t="str">
        <f t="shared" si="25"/>
        <v>Q1</v>
      </c>
      <c r="L53" s="238" t="str">
        <f t="shared" si="26"/>
        <v>2026</v>
      </c>
      <c r="M53" t="s">
        <v>5062</v>
      </c>
      <c r="N53" t="s">
        <v>5072</v>
      </c>
      <c r="P53">
        <v>41</v>
      </c>
      <c r="Q53" t="s">
        <v>603</v>
      </c>
      <c r="R53" t="s">
        <v>654</v>
      </c>
      <c r="T53">
        <v>155</v>
      </c>
      <c r="U53">
        <v>14</v>
      </c>
      <c r="V53" s="237" t="str">
        <f t="shared" si="27"/>
        <v>Normal</v>
      </c>
    </row>
    <row r="54" spans="1:22" x14ac:dyDescent="0.25">
      <c r="A54">
        <v>52</v>
      </c>
      <c r="B54" t="s">
        <v>399</v>
      </c>
      <c r="C54" t="s">
        <v>1997</v>
      </c>
      <c r="D54" t="s">
        <v>1998</v>
      </c>
      <c r="E54" t="s">
        <v>1999</v>
      </c>
      <c r="G54" t="s">
        <v>5053</v>
      </c>
      <c r="H54" t="s">
        <v>579</v>
      </c>
      <c r="I54" s="69">
        <v>46057</v>
      </c>
      <c r="J54" s="238" t="str">
        <f t="shared" si="24"/>
        <v>Feb</v>
      </c>
      <c r="K54" s="238" t="str">
        <f t="shared" si="25"/>
        <v>Q1</v>
      </c>
      <c r="L54" s="238" t="str">
        <f t="shared" si="26"/>
        <v>2026</v>
      </c>
      <c r="M54" t="s">
        <v>5063</v>
      </c>
      <c r="N54" t="s">
        <v>5073</v>
      </c>
      <c r="P54">
        <v>29</v>
      </c>
      <c r="Q54" t="s">
        <v>603</v>
      </c>
      <c r="R54" t="s">
        <v>654</v>
      </c>
      <c r="T54">
        <v>140</v>
      </c>
      <c r="U54">
        <v>13</v>
      </c>
      <c r="V54" s="237" t="str">
        <f t="shared" si="27"/>
        <v>Normal</v>
      </c>
    </row>
    <row r="55" spans="1:22" x14ac:dyDescent="0.25">
      <c r="A55">
        <v>53</v>
      </c>
      <c r="B55" t="s">
        <v>399</v>
      </c>
      <c r="C55" t="s">
        <v>1997</v>
      </c>
      <c r="D55" t="s">
        <v>1998</v>
      </c>
      <c r="E55" t="s">
        <v>1999</v>
      </c>
      <c r="G55" t="s">
        <v>5053</v>
      </c>
      <c r="H55" t="s">
        <v>579</v>
      </c>
      <c r="I55" s="69">
        <v>46057</v>
      </c>
      <c r="J55" s="238" t="str">
        <f t="shared" si="24"/>
        <v>Feb</v>
      </c>
      <c r="K55" s="238" t="str">
        <f t="shared" si="25"/>
        <v>Q1</v>
      </c>
      <c r="L55" s="238" t="str">
        <f t="shared" si="26"/>
        <v>2026</v>
      </c>
      <c r="M55" t="s">
        <v>5064</v>
      </c>
      <c r="N55" t="s">
        <v>5074</v>
      </c>
      <c r="P55">
        <v>30</v>
      </c>
      <c r="Q55" t="s">
        <v>603</v>
      </c>
      <c r="R55" t="s">
        <v>654</v>
      </c>
      <c r="T55">
        <v>135</v>
      </c>
      <c r="U55">
        <v>12</v>
      </c>
      <c r="V55" s="237" t="str">
        <f t="shared" si="27"/>
        <v>Normal</v>
      </c>
    </row>
    <row r="56" spans="1:22" x14ac:dyDescent="0.25">
      <c r="A56">
        <v>54</v>
      </c>
      <c r="B56" t="s">
        <v>399</v>
      </c>
      <c r="C56" t="s">
        <v>1997</v>
      </c>
      <c r="D56" t="s">
        <v>1998</v>
      </c>
      <c r="E56" t="s">
        <v>2254</v>
      </c>
      <c r="G56" t="s">
        <v>2930</v>
      </c>
      <c r="H56" t="s">
        <v>579</v>
      </c>
      <c r="I56" s="69">
        <v>46057</v>
      </c>
      <c r="J56" s="238" t="str">
        <f t="shared" si="16"/>
        <v>Feb</v>
      </c>
      <c r="K56" s="238" t="str">
        <f t="shared" si="17"/>
        <v>Q1</v>
      </c>
      <c r="L56" s="238" t="str">
        <f t="shared" si="18"/>
        <v>2026</v>
      </c>
      <c r="M56" t="s">
        <v>5076</v>
      </c>
      <c r="N56" t="s">
        <v>5085</v>
      </c>
      <c r="P56">
        <v>36</v>
      </c>
      <c r="Q56" t="s">
        <v>603</v>
      </c>
      <c r="R56" t="s">
        <v>654</v>
      </c>
      <c r="T56">
        <v>150</v>
      </c>
      <c r="U56">
        <v>14.5</v>
      </c>
      <c r="V56" s="237" t="str">
        <f t="shared" si="19"/>
        <v>Normal</v>
      </c>
    </row>
    <row r="57" spans="1:22" x14ac:dyDescent="0.25">
      <c r="A57">
        <v>55</v>
      </c>
      <c r="B57" t="s">
        <v>399</v>
      </c>
      <c r="C57" t="s">
        <v>1997</v>
      </c>
      <c r="D57" t="s">
        <v>1998</v>
      </c>
      <c r="E57" t="s">
        <v>2254</v>
      </c>
      <c r="G57" t="s">
        <v>2930</v>
      </c>
      <c r="H57" t="s">
        <v>579</v>
      </c>
      <c r="I57" s="69">
        <v>46057</v>
      </c>
      <c r="J57" s="238" t="str">
        <f t="shared" si="16"/>
        <v>Feb</v>
      </c>
      <c r="K57" s="238" t="str">
        <f t="shared" si="17"/>
        <v>Q1</v>
      </c>
      <c r="L57" s="238" t="str">
        <f t="shared" si="18"/>
        <v>2026</v>
      </c>
      <c r="M57" t="s">
        <v>5061</v>
      </c>
      <c r="N57" t="s">
        <v>5086</v>
      </c>
      <c r="P57">
        <v>48</v>
      </c>
      <c r="Q57" t="s">
        <v>603</v>
      </c>
      <c r="R57" t="s">
        <v>654</v>
      </c>
      <c r="T57">
        <v>170</v>
      </c>
      <c r="U57">
        <v>15</v>
      </c>
      <c r="V57" s="237" t="str">
        <f t="shared" si="19"/>
        <v>Normal</v>
      </c>
    </row>
    <row r="58" spans="1:22" x14ac:dyDescent="0.25">
      <c r="A58">
        <v>56</v>
      </c>
      <c r="B58" t="s">
        <v>399</v>
      </c>
      <c r="C58" t="s">
        <v>1997</v>
      </c>
      <c r="D58" t="s">
        <v>1998</v>
      </c>
      <c r="E58" t="s">
        <v>2254</v>
      </c>
      <c r="G58" t="s">
        <v>2930</v>
      </c>
      <c r="H58" t="s">
        <v>579</v>
      </c>
      <c r="I58" s="69">
        <v>46057</v>
      </c>
      <c r="J58" s="238" t="str">
        <f t="shared" si="16"/>
        <v>Feb</v>
      </c>
      <c r="K58" s="238" t="str">
        <f t="shared" si="17"/>
        <v>Q1</v>
      </c>
      <c r="L58" s="238" t="str">
        <f t="shared" si="18"/>
        <v>2026</v>
      </c>
      <c r="M58" t="s">
        <v>5077</v>
      </c>
      <c r="N58" t="s">
        <v>5095</v>
      </c>
      <c r="P58">
        <v>24</v>
      </c>
      <c r="Q58" t="s">
        <v>402</v>
      </c>
      <c r="R58" t="s">
        <v>654</v>
      </c>
      <c r="T58">
        <v>130</v>
      </c>
      <c r="U58">
        <v>14</v>
      </c>
      <c r="V58" s="237" t="str">
        <f t="shared" si="19"/>
        <v>Normal</v>
      </c>
    </row>
    <row r="59" spans="1:22" x14ac:dyDescent="0.25">
      <c r="A59">
        <v>57</v>
      </c>
      <c r="B59" t="s">
        <v>399</v>
      </c>
      <c r="C59" t="s">
        <v>1997</v>
      </c>
      <c r="D59" t="s">
        <v>1998</v>
      </c>
      <c r="E59" t="s">
        <v>2254</v>
      </c>
      <c r="G59" t="s">
        <v>2930</v>
      </c>
      <c r="H59" t="s">
        <v>579</v>
      </c>
      <c r="I59" s="69">
        <v>46057</v>
      </c>
      <c r="J59" s="238" t="str">
        <f t="shared" si="16"/>
        <v>Feb</v>
      </c>
      <c r="K59" s="238" t="str">
        <f t="shared" si="17"/>
        <v>Q1</v>
      </c>
      <c r="L59" s="238" t="str">
        <f t="shared" si="18"/>
        <v>2026</v>
      </c>
      <c r="M59" t="s">
        <v>5078</v>
      </c>
      <c r="N59" t="s">
        <v>5087</v>
      </c>
      <c r="P59">
        <v>48</v>
      </c>
      <c r="Q59" t="s">
        <v>603</v>
      </c>
      <c r="R59" t="s">
        <v>654</v>
      </c>
      <c r="T59">
        <v>150</v>
      </c>
      <c r="U59">
        <v>14.7</v>
      </c>
      <c r="V59" s="237" t="str">
        <f t="shared" si="19"/>
        <v>Normal</v>
      </c>
    </row>
    <row r="60" spans="1:22" x14ac:dyDescent="0.25">
      <c r="A60">
        <v>58</v>
      </c>
      <c r="B60" t="s">
        <v>399</v>
      </c>
      <c r="C60" t="s">
        <v>1997</v>
      </c>
      <c r="D60" t="s">
        <v>1998</v>
      </c>
      <c r="E60" t="s">
        <v>2254</v>
      </c>
      <c r="G60" t="s">
        <v>2930</v>
      </c>
      <c r="H60" t="s">
        <v>579</v>
      </c>
      <c r="I60" s="69">
        <v>46057</v>
      </c>
      <c r="J60" s="238" t="str">
        <f t="shared" si="8"/>
        <v>Feb</v>
      </c>
      <c r="K60" s="238" t="str">
        <f t="shared" si="9"/>
        <v>Q1</v>
      </c>
      <c r="L60" s="238" t="str">
        <f t="shared" si="10"/>
        <v>2026</v>
      </c>
      <c r="M60" t="s">
        <v>5079</v>
      </c>
      <c r="N60" t="s">
        <v>5088</v>
      </c>
      <c r="P60">
        <v>22</v>
      </c>
      <c r="Q60" t="s">
        <v>603</v>
      </c>
      <c r="R60" t="s">
        <v>654</v>
      </c>
      <c r="T60">
        <v>130</v>
      </c>
      <c r="U60">
        <v>13.5</v>
      </c>
      <c r="V60" s="237" t="str">
        <f t="shared" si="11"/>
        <v>Normal</v>
      </c>
    </row>
    <row r="61" spans="1:22" x14ac:dyDescent="0.25">
      <c r="A61">
        <v>59</v>
      </c>
      <c r="B61" t="s">
        <v>399</v>
      </c>
      <c r="C61" t="s">
        <v>1997</v>
      </c>
      <c r="D61" t="s">
        <v>1998</v>
      </c>
      <c r="E61" t="s">
        <v>2254</v>
      </c>
      <c r="G61" t="s">
        <v>2930</v>
      </c>
      <c r="H61" t="s">
        <v>579</v>
      </c>
      <c r="I61" s="69">
        <v>46057</v>
      </c>
      <c r="J61" s="238" t="str">
        <f t="shared" si="8"/>
        <v>Feb</v>
      </c>
      <c r="K61" s="238" t="str">
        <f t="shared" si="9"/>
        <v>Q1</v>
      </c>
      <c r="L61" s="238" t="str">
        <f t="shared" si="10"/>
        <v>2026</v>
      </c>
      <c r="M61" t="s">
        <v>5080</v>
      </c>
      <c r="N61" t="s">
        <v>5089</v>
      </c>
      <c r="P61">
        <v>15</v>
      </c>
      <c r="Q61" t="s">
        <v>603</v>
      </c>
      <c r="R61" t="s">
        <v>654</v>
      </c>
      <c r="T61">
        <v>150</v>
      </c>
      <c r="U61">
        <v>14</v>
      </c>
      <c r="V61" s="237" t="str">
        <f t="shared" si="11"/>
        <v>Normal</v>
      </c>
    </row>
    <row r="62" spans="1:22" x14ac:dyDescent="0.25">
      <c r="A62">
        <v>60</v>
      </c>
      <c r="B62" t="s">
        <v>399</v>
      </c>
      <c r="C62" t="s">
        <v>1997</v>
      </c>
      <c r="D62" t="s">
        <v>1998</v>
      </c>
      <c r="E62" t="s">
        <v>2254</v>
      </c>
      <c r="G62" t="s">
        <v>2930</v>
      </c>
      <c r="H62" t="s">
        <v>579</v>
      </c>
      <c r="I62" s="69">
        <v>46057</v>
      </c>
      <c r="J62" s="238" t="str">
        <f t="shared" ref="J62:J66" si="28">IF(I62="","",TEXT(I62,"mmm"))</f>
        <v>Feb</v>
      </c>
      <c r="K62" s="238" t="str">
        <f t="shared" ref="K62:K66" si="29">IF(I62="","","Q"&amp;ROUNDUP(MONTH(I62)/3,0))</f>
        <v>Q1</v>
      </c>
      <c r="L62" s="238" t="str">
        <f t="shared" ref="L62:L66" si="30">IF(I62="","",TEXT(I62,"yyyy"))</f>
        <v>2026</v>
      </c>
      <c r="M62" t="s">
        <v>5081</v>
      </c>
      <c r="N62" t="s">
        <v>5090</v>
      </c>
      <c r="P62">
        <v>48</v>
      </c>
      <c r="Q62" t="s">
        <v>603</v>
      </c>
      <c r="R62" t="s">
        <v>654</v>
      </c>
      <c r="T62">
        <v>140</v>
      </c>
      <c r="U62">
        <v>15.5</v>
      </c>
      <c r="V62" s="237" t="str">
        <f t="shared" ref="V62:V66" si="31">IF(T62="","",IF(T62&lt;115,"SAM",IF(AND(T62&gt;=115,T62&lt;125),"MAM","Normal")))</f>
        <v>Normal</v>
      </c>
    </row>
    <row r="63" spans="1:22" x14ac:dyDescent="0.25">
      <c r="A63">
        <v>61</v>
      </c>
      <c r="B63" t="s">
        <v>399</v>
      </c>
      <c r="C63" t="s">
        <v>1997</v>
      </c>
      <c r="D63" t="s">
        <v>1998</v>
      </c>
      <c r="E63" t="s">
        <v>2254</v>
      </c>
      <c r="G63" t="s">
        <v>2930</v>
      </c>
      <c r="H63" t="s">
        <v>579</v>
      </c>
      <c r="I63" s="69">
        <v>46057</v>
      </c>
      <c r="J63" s="238" t="str">
        <f t="shared" si="28"/>
        <v>Feb</v>
      </c>
      <c r="K63" s="238" t="str">
        <f t="shared" si="29"/>
        <v>Q1</v>
      </c>
      <c r="L63" s="238" t="str">
        <f t="shared" si="30"/>
        <v>2026</v>
      </c>
      <c r="M63" t="s">
        <v>5009</v>
      </c>
      <c r="N63" t="s">
        <v>5091</v>
      </c>
      <c r="P63">
        <v>36</v>
      </c>
      <c r="Q63" t="s">
        <v>402</v>
      </c>
      <c r="R63" t="s">
        <v>654</v>
      </c>
      <c r="T63">
        <v>120</v>
      </c>
      <c r="U63">
        <v>13</v>
      </c>
      <c r="V63" s="237" t="str">
        <f t="shared" si="31"/>
        <v>MAM</v>
      </c>
    </row>
    <row r="64" spans="1:22" x14ac:dyDescent="0.25">
      <c r="A64">
        <v>62</v>
      </c>
      <c r="B64" t="s">
        <v>399</v>
      </c>
      <c r="C64" t="s">
        <v>1997</v>
      </c>
      <c r="D64" t="s">
        <v>1998</v>
      </c>
      <c r="E64" t="s">
        <v>2254</v>
      </c>
      <c r="G64" t="s">
        <v>2930</v>
      </c>
      <c r="H64" t="s">
        <v>579</v>
      </c>
      <c r="I64" s="69">
        <v>46057</v>
      </c>
      <c r="J64" s="238" t="str">
        <f t="shared" si="28"/>
        <v>Feb</v>
      </c>
      <c r="K64" s="238" t="str">
        <f t="shared" si="29"/>
        <v>Q1</v>
      </c>
      <c r="L64" s="238" t="str">
        <f t="shared" si="30"/>
        <v>2026</v>
      </c>
      <c r="M64" t="s">
        <v>5082</v>
      </c>
      <c r="N64" t="s">
        <v>5092</v>
      </c>
      <c r="P64">
        <v>18</v>
      </c>
      <c r="Q64" t="s">
        <v>402</v>
      </c>
      <c r="R64" t="s">
        <v>654</v>
      </c>
      <c r="T64">
        <v>150</v>
      </c>
      <c r="U64">
        <v>14.5</v>
      </c>
      <c r="V64" s="237" t="str">
        <f t="shared" si="31"/>
        <v>Normal</v>
      </c>
    </row>
    <row r="65" spans="1:22" x14ac:dyDescent="0.25">
      <c r="A65">
        <v>63</v>
      </c>
      <c r="B65" t="s">
        <v>399</v>
      </c>
      <c r="C65" t="s">
        <v>1997</v>
      </c>
      <c r="D65" t="s">
        <v>1998</v>
      </c>
      <c r="E65" t="s">
        <v>2254</v>
      </c>
      <c r="G65" t="s">
        <v>2930</v>
      </c>
      <c r="H65" t="s">
        <v>579</v>
      </c>
      <c r="I65" s="69">
        <v>46057</v>
      </c>
      <c r="J65" s="238" t="str">
        <f t="shared" si="28"/>
        <v>Feb</v>
      </c>
      <c r="K65" s="238" t="str">
        <f t="shared" si="29"/>
        <v>Q1</v>
      </c>
      <c r="L65" s="238" t="str">
        <f t="shared" si="30"/>
        <v>2026</v>
      </c>
      <c r="M65" t="s">
        <v>5083</v>
      </c>
      <c r="N65" t="s">
        <v>5093</v>
      </c>
      <c r="P65">
        <v>24</v>
      </c>
      <c r="Q65" t="s">
        <v>402</v>
      </c>
      <c r="R65" t="s">
        <v>654</v>
      </c>
      <c r="T65">
        <v>130</v>
      </c>
      <c r="U65">
        <v>14</v>
      </c>
      <c r="V65" s="237" t="str">
        <f t="shared" si="31"/>
        <v>Normal</v>
      </c>
    </row>
    <row r="66" spans="1:22" x14ac:dyDescent="0.25">
      <c r="A66">
        <v>64</v>
      </c>
      <c r="B66" t="s">
        <v>399</v>
      </c>
      <c r="C66" t="s">
        <v>1997</v>
      </c>
      <c r="D66" t="s">
        <v>1998</v>
      </c>
      <c r="E66" t="s">
        <v>2254</v>
      </c>
      <c r="G66" t="s">
        <v>2930</v>
      </c>
      <c r="H66" t="s">
        <v>579</v>
      </c>
      <c r="I66" s="69">
        <v>46057</v>
      </c>
      <c r="J66" s="238" t="str">
        <f t="shared" si="28"/>
        <v>Feb</v>
      </c>
      <c r="K66" s="238" t="str">
        <f t="shared" si="29"/>
        <v>Q1</v>
      </c>
      <c r="L66" s="238" t="str">
        <f t="shared" si="30"/>
        <v>2026</v>
      </c>
      <c r="M66" t="s">
        <v>5084</v>
      </c>
      <c r="N66" t="s">
        <v>5094</v>
      </c>
      <c r="P66">
        <v>20</v>
      </c>
      <c r="Q66" t="s">
        <v>603</v>
      </c>
      <c r="R66" t="s">
        <v>654</v>
      </c>
      <c r="T66">
        <v>130</v>
      </c>
      <c r="U66">
        <v>13.5</v>
      </c>
      <c r="V66" s="237" t="str">
        <f t="shared" si="31"/>
        <v>Normal</v>
      </c>
    </row>
    <row r="67" spans="1:22" x14ac:dyDescent="0.25">
      <c r="A67">
        <v>65</v>
      </c>
      <c r="B67" t="s">
        <v>399</v>
      </c>
      <c r="C67" t="s">
        <v>1997</v>
      </c>
      <c r="D67" t="s">
        <v>1998</v>
      </c>
      <c r="E67" t="s">
        <v>2478</v>
      </c>
      <c r="G67" t="s">
        <v>5002</v>
      </c>
      <c r="H67" t="s">
        <v>579</v>
      </c>
      <c r="I67" s="69">
        <v>46064</v>
      </c>
      <c r="J67" s="238" t="str">
        <f t="shared" si="4"/>
        <v>Feb</v>
      </c>
      <c r="K67" s="238" t="str">
        <f t="shared" si="5"/>
        <v>Q1</v>
      </c>
      <c r="L67" s="238" t="str">
        <f t="shared" si="6"/>
        <v>2026</v>
      </c>
      <c r="M67" t="s">
        <v>5003</v>
      </c>
      <c r="N67" t="s">
        <v>4038</v>
      </c>
      <c r="P67">
        <v>21</v>
      </c>
      <c r="Q67" t="s">
        <v>603</v>
      </c>
      <c r="R67" t="s">
        <v>654</v>
      </c>
      <c r="T67">
        <v>140</v>
      </c>
      <c r="U67">
        <v>9.5</v>
      </c>
      <c r="V67" s="237" t="str">
        <f t="shared" si="7"/>
        <v>Normal</v>
      </c>
    </row>
    <row r="68" spans="1:22" x14ac:dyDescent="0.25">
      <c r="A68">
        <v>66</v>
      </c>
      <c r="B68" t="s">
        <v>399</v>
      </c>
      <c r="C68" t="s">
        <v>1997</v>
      </c>
      <c r="D68" t="s">
        <v>1998</v>
      </c>
      <c r="E68" t="s">
        <v>2478</v>
      </c>
      <c r="G68" t="s">
        <v>5002</v>
      </c>
      <c r="H68" t="s">
        <v>579</v>
      </c>
      <c r="I68" s="69">
        <v>46064</v>
      </c>
      <c r="J68" s="238" t="str">
        <f t="shared" si="4"/>
        <v>Feb</v>
      </c>
      <c r="K68" s="238" t="str">
        <f t="shared" si="5"/>
        <v>Q1</v>
      </c>
      <c r="L68" s="238" t="str">
        <f t="shared" si="6"/>
        <v>2026</v>
      </c>
      <c r="M68" t="s">
        <v>4053</v>
      </c>
      <c r="N68" t="s">
        <v>5004</v>
      </c>
      <c r="P68">
        <v>16</v>
      </c>
      <c r="Q68" t="s">
        <v>603</v>
      </c>
      <c r="R68" t="s">
        <v>654</v>
      </c>
      <c r="T68">
        <v>140</v>
      </c>
      <c r="U68">
        <v>10</v>
      </c>
      <c r="V68" s="237" t="str">
        <f t="shared" si="7"/>
        <v>Normal</v>
      </c>
    </row>
    <row r="69" spans="1:22" x14ac:dyDescent="0.25">
      <c r="A69">
        <v>67</v>
      </c>
      <c r="B69" t="s">
        <v>399</v>
      </c>
      <c r="C69" t="s">
        <v>1997</v>
      </c>
      <c r="D69" t="s">
        <v>1998</v>
      </c>
      <c r="E69" t="s">
        <v>2478</v>
      </c>
      <c r="G69" t="s">
        <v>5002</v>
      </c>
      <c r="H69" t="s">
        <v>579</v>
      </c>
      <c r="I69" s="69">
        <v>46064</v>
      </c>
      <c r="J69" s="238" t="str">
        <f t="shared" si="4"/>
        <v>Feb</v>
      </c>
      <c r="K69" s="238" t="str">
        <f t="shared" si="5"/>
        <v>Q1</v>
      </c>
      <c r="L69" s="238" t="str">
        <f t="shared" si="6"/>
        <v>2026</v>
      </c>
      <c r="M69" t="s">
        <v>4078</v>
      </c>
      <c r="N69" t="s">
        <v>5007</v>
      </c>
      <c r="P69">
        <v>36</v>
      </c>
      <c r="Q69" t="s">
        <v>603</v>
      </c>
      <c r="R69" t="s">
        <v>654</v>
      </c>
      <c r="T69">
        <v>150</v>
      </c>
      <c r="U69">
        <v>13.5</v>
      </c>
      <c r="V69" s="237" t="str">
        <f t="shared" si="7"/>
        <v>Normal</v>
      </c>
    </row>
    <row r="70" spans="1:22" x14ac:dyDescent="0.25">
      <c r="A70">
        <v>68</v>
      </c>
      <c r="B70" t="s">
        <v>399</v>
      </c>
      <c r="C70" t="s">
        <v>1997</v>
      </c>
      <c r="D70" t="s">
        <v>1998</v>
      </c>
      <c r="E70" t="s">
        <v>2478</v>
      </c>
      <c r="G70" t="s">
        <v>5002</v>
      </c>
      <c r="H70" t="s">
        <v>579</v>
      </c>
      <c r="I70" s="69">
        <v>46064</v>
      </c>
      <c r="J70" s="238" t="str">
        <f t="shared" si="4"/>
        <v>Feb</v>
      </c>
      <c r="K70" s="238" t="str">
        <f t="shared" si="5"/>
        <v>Q1</v>
      </c>
      <c r="L70" s="238" t="str">
        <f t="shared" si="6"/>
        <v>2026</v>
      </c>
      <c r="M70" t="s">
        <v>5005</v>
      </c>
      <c r="N70" t="s">
        <v>5008</v>
      </c>
      <c r="P70">
        <v>9</v>
      </c>
      <c r="Q70" t="s">
        <v>603</v>
      </c>
      <c r="R70" t="s">
        <v>654</v>
      </c>
      <c r="T70">
        <v>130</v>
      </c>
      <c r="U70">
        <v>7</v>
      </c>
      <c r="V70" s="237" t="str">
        <f t="shared" si="7"/>
        <v>Normal</v>
      </c>
    </row>
    <row r="71" spans="1:22" x14ac:dyDescent="0.25">
      <c r="A71">
        <v>69</v>
      </c>
      <c r="B71" t="s">
        <v>399</v>
      </c>
      <c r="C71" t="s">
        <v>1997</v>
      </c>
      <c r="D71" t="s">
        <v>1998</v>
      </c>
      <c r="E71" t="s">
        <v>2478</v>
      </c>
      <c r="G71" t="s">
        <v>5002</v>
      </c>
      <c r="H71" t="s">
        <v>579</v>
      </c>
      <c r="I71" s="69">
        <v>46064</v>
      </c>
      <c r="J71" s="238" t="str">
        <f t="shared" si="4"/>
        <v>Feb</v>
      </c>
      <c r="K71" s="238" t="str">
        <f t="shared" si="5"/>
        <v>Q1</v>
      </c>
      <c r="L71" s="238" t="str">
        <f t="shared" si="6"/>
        <v>2026</v>
      </c>
      <c r="M71" t="s">
        <v>5006</v>
      </c>
      <c r="N71" t="s">
        <v>4235</v>
      </c>
      <c r="P71">
        <v>27</v>
      </c>
      <c r="Q71" t="s">
        <v>603</v>
      </c>
      <c r="R71" t="s">
        <v>654</v>
      </c>
      <c r="T71">
        <v>155</v>
      </c>
      <c r="V71" s="237" t="str">
        <f t="shared" si="7"/>
        <v>Normal</v>
      </c>
    </row>
    <row r="72" spans="1:22" x14ac:dyDescent="0.25">
      <c r="A72">
        <v>70</v>
      </c>
      <c r="B72" t="s">
        <v>399</v>
      </c>
      <c r="C72" t="s">
        <v>1997</v>
      </c>
      <c r="D72" t="s">
        <v>1998</v>
      </c>
      <c r="E72" t="s">
        <v>2408</v>
      </c>
      <c r="G72" t="s">
        <v>4392</v>
      </c>
      <c r="H72" t="s">
        <v>579</v>
      </c>
      <c r="I72" s="69">
        <v>46069</v>
      </c>
      <c r="J72" s="238" t="str">
        <f t="shared" si="4"/>
        <v>Feb</v>
      </c>
      <c r="K72" s="238" t="str">
        <f t="shared" si="5"/>
        <v>Q1</v>
      </c>
      <c r="L72" s="238" t="str">
        <f t="shared" si="6"/>
        <v>2026</v>
      </c>
      <c r="M72" t="s">
        <v>4252</v>
      </c>
      <c r="N72" t="s">
        <v>2196</v>
      </c>
      <c r="P72">
        <v>42</v>
      </c>
      <c r="Q72" t="s">
        <v>603</v>
      </c>
      <c r="R72" t="s">
        <v>654</v>
      </c>
      <c r="T72">
        <v>150</v>
      </c>
      <c r="U72">
        <v>12.9</v>
      </c>
      <c r="V72" s="237" t="str">
        <f t="shared" si="7"/>
        <v>Normal</v>
      </c>
    </row>
    <row r="73" spans="1:22" x14ac:dyDescent="0.25">
      <c r="A73">
        <v>71</v>
      </c>
      <c r="B73" t="s">
        <v>399</v>
      </c>
      <c r="C73" t="s">
        <v>1997</v>
      </c>
      <c r="D73" t="s">
        <v>1998</v>
      </c>
      <c r="E73" t="s">
        <v>2408</v>
      </c>
      <c r="G73" t="s">
        <v>4392</v>
      </c>
      <c r="H73" t="s">
        <v>579</v>
      </c>
      <c r="I73" s="69">
        <v>46069</v>
      </c>
      <c r="J73" s="238" t="str">
        <f t="shared" si="4"/>
        <v>Feb</v>
      </c>
      <c r="K73" s="238" t="str">
        <f t="shared" si="5"/>
        <v>Q1</v>
      </c>
      <c r="L73" s="238" t="str">
        <f t="shared" si="6"/>
        <v>2026</v>
      </c>
      <c r="M73" t="s">
        <v>4262</v>
      </c>
      <c r="N73" t="s">
        <v>4263</v>
      </c>
      <c r="P73">
        <v>26</v>
      </c>
      <c r="Q73" t="s">
        <v>402</v>
      </c>
      <c r="R73" t="s">
        <v>654</v>
      </c>
      <c r="T73">
        <v>150</v>
      </c>
      <c r="U73">
        <v>11.6</v>
      </c>
      <c r="V73" s="237" t="str">
        <f t="shared" si="7"/>
        <v>Normal</v>
      </c>
    </row>
    <row r="74" spans="1:22" x14ac:dyDescent="0.25">
      <c r="A74">
        <v>72</v>
      </c>
      <c r="B74" t="s">
        <v>399</v>
      </c>
      <c r="C74" t="s">
        <v>1997</v>
      </c>
      <c r="D74" t="s">
        <v>1998</v>
      </c>
      <c r="E74" t="s">
        <v>2408</v>
      </c>
      <c r="G74" t="s">
        <v>4392</v>
      </c>
      <c r="H74" t="s">
        <v>579</v>
      </c>
      <c r="I74" s="69">
        <v>46069</v>
      </c>
      <c r="J74" s="238" t="str">
        <f t="shared" si="4"/>
        <v>Feb</v>
      </c>
      <c r="K74" s="238" t="str">
        <f t="shared" si="5"/>
        <v>Q1</v>
      </c>
      <c r="L74" s="238" t="str">
        <f t="shared" si="6"/>
        <v>2026</v>
      </c>
      <c r="M74" t="s">
        <v>4276</v>
      </c>
      <c r="N74" t="s">
        <v>5098</v>
      </c>
      <c r="P74">
        <v>41</v>
      </c>
      <c r="Q74" t="s">
        <v>603</v>
      </c>
      <c r="R74" t="s">
        <v>654</v>
      </c>
      <c r="T74">
        <v>140</v>
      </c>
      <c r="U74">
        <v>10.9</v>
      </c>
      <c r="V74" s="237" t="str">
        <f t="shared" si="7"/>
        <v>Normal</v>
      </c>
    </row>
    <row r="75" spans="1:22" x14ac:dyDescent="0.25">
      <c r="A75">
        <v>73</v>
      </c>
      <c r="B75" t="s">
        <v>399</v>
      </c>
      <c r="C75" t="s">
        <v>1997</v>
      </c>
      <c r="D75" t="s">
        <v>1998</v>
      </c>
      <c r="E75" t="s">
        <v>2408</v>
      </c>
      <c r="G75" t="s">
        <v>4392</v>
      </c>
      <c r="H75" t="s">
        <v>579</v>
      </c>
      <c r="I75" s="69">
        <v>46069</v>
      </c>
      <c r="J75" s="238" t="str">
        <f t="shared" si="4"/>
        <v>Feb</v>
      </c>
      <c r="K75" s="238" t="str">
        <f t="shared" si="5"/>
        <v>Q1</v>
      </c>
      <c r="L75" s="238" t="str">
        <f t="shared" si="6"/>
        <v>2026</v>
      </c>
      <c r="M75" t="s">
        <v>4277</v>
      </c>
      <c r="N75" t="s">
        <v>5098</v>
      </c>
      <c r="P75">
        <v>24</v>
      </c>
      <c r="Q75" t="s">
        <v>402</v>
      </c>
      <c r="R75" t="s">
        <v>654</v>
      </c>
      <c r="T75">
        <v>135</v>
      </c>
      <c r="U75">
        <v>10.1</v>
      </c>
      <c r="V75" s="237" t="str">
        <f t="shared" si="7"/>
        <v>Normal</v>
      </c>
    </row>
    <row r="76" spans="1:22" x14ac:dyDescent="0.25">
      <c r="A76">
        <v>74</v>
      </c>
      <c r="B76" t="s">
        <v>399</v>
      </c>
      <c r="C76" t="s">
        <v>1997</v>
      </c>
      <c r="D76" t="s">
        <v>1998</v>
      </c>
      <c r="E76" t="s">
        <v>2408</v>
      </c>
      <c r="G76" t="s">
        <v>4392</v>
      </c>
      <c r="H76" t="s">
        <v>579</v>
      </c>
      <c r="I76" s="69">
        <v>46069</v>
      </c>
      <c r="J76" s="238" t="str">
        <f t="shared" si="4"/>
        <v>Feb</v>
      </c>
      <c r="K76" s="238" t="str">
        <f t="shared" si="5"/>
        <v>Q1</v>
      </c>
      <c r="L76" s="238" t="str">
        <f t="shared" si="6"/>
        <v>2026</v>
      </c>
      <c r="M76" t="s">
        <v>5096</v>
      </c>
      <c r="N76" t="s">
        <v>5099</v>
      </c>
      <c r="P76">
        <v>10</v>
      </c>
      <c r="Q76" t="s">
        <v>603</v>
      </c>
      <c r="R76" t="s">
        <v>654</v>
      </c>
      <c r="T76">
        <v>135</v>
      </c>
      <c r="U76">
        <v>7</v>
      </c>
      <c r="V76" s="237" t="str">
        <f t="shared" si="7"/>
        <v>Normal</v>
      </c>
    </row>
    <row r="77" spans="1:22" x14ac:dyDescent="0.25">
      <c r="A77">
        <v>75</v>
      </c>
      <c r="B77" t="s">
        <v>399</v>
      </c>
      <c r="C77" t="s">
        <v>1997</v>
      </c>
      <c r="D77" t="s">
        <v>1998</v>
      </c>
      <c r="E77" t="s">
        <v>2408</v>
      </c>
      <c r="G77" t="s">
        <v>4392</v>
      </c>
      <c r="H77" t="s">
        <v>579</v>
      </c>
      <c r="I77" s="69">
        <v>46069</v>
      </c>
      <c r="J77" s="238" t="str">
        <f t="shared" si="4"/>
        <v>Feb</v>
      </c>
      <c r="K77" s="238" t="str">
        <f t="shared" si="5"/>
        <v>Q1</v>
      </c>
      <c r="L77" s="238" t="str">
        <f t="shared" si="6"/>
        <v>2026</v>
      </c>
      <c r="M77" t="s">
        <v>5097</v>
      </c>
      <c r="N77" t="s">
        <v>5100</v>
      </c>
      <c r="P77">
        <v>15</v>
      </c>
      <c r="Q77" t="s">
        <v>603</v>
      </c>
      <c r="R77" t="s">
        <v>654</v>
      </c>
      <c r="T77">
        <v>133</v>
      </c>
      <c r="V77" s="237" t="str">
        <f t="shared" si="7"/>
        <v>Normal</v>
      </c>
    </row>
    <row r="78" spans="1:22" x14ac:dyDescent="0.25">
      <c r="A78">
        <v>76</v>
      </c>
      <c r="B78" t="s">
        <v>399</v>
      </c>
      <c r="C78" t="s">
        <v>1997</v>
      </c>
      <c r="D78" t="s">
        <v>1998</v>
      </c>
      <c r="E78" t="s">
        <v>2408</v>
      </c>
      <c r="G78" t="s">
        <v>4392</v>
      </c>
      <c r="H78" t="s">
        <v>579</v>
      </c>
      <c r="I78" s="69">
        <v>46069</v>
      </c>
      <c r="J78" s="238" t="str">
        <f t="shared" si="4"/>
        <v>Feb</v>
      </c>
      <c r="K78" s="238" t="str">
        <f t="shared" si="5"/>
        <v>Q1</v>
      </c>
      <c r="L78" s="238" t="str">
        <f t="shared" si="6"/>
        <v>2026</v>
      </c>
      <c r="M78" t="s">
        <v>4774</v>
      </c>
      <c r="N78" t="s">
        <v>4753</v>
      </c>
      <c r="P78">
        <v>16</v>
      </c>
      <c r="Q78" t="s">
        <v>402</v>
      </c>
      <c r="R78" t="s">
        <v>654</v>
      </c>
      <c r="T78">
        <v>150</v>
      </c>
      <c r="U78">
        <v>11.5</v>
      </c>
      <c r="V78" s="237" t="str">
        <f t="shared" si="7"/>
        <v>Normal</v>
      </c>
    </row>
    <row r="79" spans="1:22" x14ac:dyDescent="0.25">
      <c r="A79">
        <v>77</v>
      </c>
      <c r="B79" t="s">
        <v>399</v>
      </c>
      <c r="C79" t="s">
        <v>1997</v>
      </c>
      <c r="D79" t="s">
        <v>1998</v>
      </c>
      <c r="E79" t="s">
        <v>2408</v>
      </c>
      <c r="G79" t="s">
        <v>4392</v>
      </c>
      <c r="H79" t="s">
        <v>579</v>
      </c>
      <c r="I79" s="69">
        <v>46069</v>
      </c>
      <c r="J79" s="238" t="str">
        <f t="shared" si="4"/>
        <v>Feb</v>
      </c>
      <c r="K79" s="238" t="str">
        <f t="shared" si="5"/>
        <v>Q1</v>
      </c>
      <c r="L79" s="238" t="str">
        <f t="shared" si="6"/>
        <v>2026</v>
      </c>
      <c r="M79" t="s">
        <v>5101</v>
      </c>
      <c r="N79" t="s">
        <v>4608</v>
      </c>
      <c r="P79">
        <v>48</v>
      </c>
      <c r="Q79" t="s">
        <v>402</v>
      </c>
      <c r="R79" t="s">
        <v>654</v>
      </c>
      <c r="T79">
        <v>150</v>
      </c>
      <c r="U79">
        <v>14.8</v>
      </c>
      <c r="V79" s="237" t="str">
        <f t="shared" si="7"/>
        <v>Normal</v>
      </c>
    </row>
    <row r="80" spans="1:22" x14ac:dyDescent="0.25">
      <c r="A80">
        <v>78</v>
      </c>
      <c r="B80" t="s">
        <v>399</v>
      </c>
      <c r="C80" t="s">
        <v>1997</v>
      </c>
      <c r="D80" t="s">
        <v>1998</v>
      </c>
      <c r="E80" t="s">
        <v>2408</v>
      </c>
      <c r="G80" t="s">
        <v>4392</v>
      </c>
      <c r="H80" t="s">
        <v>579</v>
      </c>
      <c r="I80" s="69">
        <v>46069</v>
      </c>
      <c r="J80" s="238" t="str">
        <f t="shared" si="4"/>
        <v>Feb</v>
      </c>
      <c r="K80" s="238" t="str">
        <f t="shared" si="5"/>
        <v>Q1</v>
      </c>
      <c r="L80" s="238" t="str">
        <f t="shared" si="6"/>
        <v>2026</v>
      </c>
      <c r="M80" t="s">
        <v>5102</v>
      </c>
      <c r="N80" t="s">
        <v>5109</v>
      </c>
      <c r="P80">
        <v>60</v>
      </c>
      <c r="Q80" t="s">
        <v>603</v>
      </c>
      <c r="R80" t="s">
        <v>654</v>
      </c>
      <c r="T80">
        <v>145</v>
      </c>
      <c r="U80">
        <v>15.6</v>
      </c>
      <c r="V80" s="237" t="str">
        <f t="shared" si="7"/>
        <v>Normal</v>
      </c>
    </row>
    <row r="81" spans="1:22" x14ac:dyDescent="0.25">
      <c r="A81">
        <v>79</v>
      </c>
      <c r="B81" t="s">
        <v>399</v>
      </c>
      <c r="C81" t="s">
        <v>1997</v>
      </c>
      <c r="D81" t="s">
        <v>1998</v>
      </c>
      <c r="E81" t="s">
        <v>2408</v>
      </c>
      <c r="G81" t="s">
        <v>5121</v>
      </c>
      <c r="H81" t="s">
        <v>579</v>
      </c>
      <c r="I81" s="69">
        <v>46070</v>
      </c>
      <c r="J81" s="238" t="str">
        <f t="shared" si="4"/>
        <v>Feb</v>
      </c>
      <c r="K81" s="238" t="str">
        <f t="shared" si="5"/>
        <v>Q1</v>
      </c>
      <c r="L81" s="238" t="str">
        <f t="shared" si="6"/>
        <v>2026</v>
      </c>
      <c r="M81" t="s">
        <v>4494</v>
      </c>
      <c r="N81" t="s">
        <v>5110</v>
      </c>
      <c r="P81">
        <v>12</v>
      </c>
      <c r="Q81" t="s">
        <v>402</v>
      </c>
      <c r="R81" t="s">
        <v>654</v>
      </c>
      <c r="T81">
        <v>150</v>
      </c>
      <c r="U81">
        <v>9.5</v>
      </c>
      <c r="V81" s="237" t="str">
        <f t="shared" si="7"/>
        <v>Normal</v>
      </c>
    </row>
    <row r="82" spans="1:22" x14ac:dyDescent="0.25">
      <c r="A82">
        <v>80</v>
      </c>
      <c r="B82" t="s">
        <v>399</v>
      </c>
      <c r="C82" t="s">
        <v>1997</v>
      </c>
      <c r="D82" t="s">
        <v>1998</v>
      </c>
      <c r="E82" t="s">
        <v>2408</v>
      </c>
      <c r="G82" t="s">
        <v>5121</v>
      </c>
      <c r="H82" t="s">
        <v>579</v>
      </c>
      <c r="I82" s="69">
        <v>46070</v>
      </c>
      <c r="J82" s="238" t="str">
        <f t="shared" si="4"/>
        <v>Feb</v>
      </c>
      <c r="K82" s="238" t="str">
        <f t="shared" si="5"/>
        <v>Q1</v>
      </c>
      <c r="L82" s="238" t="str">
        <f t="shared" si="6"/>
        <v>2026</v>
      </c>
      <c r="M82" t="s">
        <v>4696</v>
      </c>
      <c r="N82" t="s">
        <v>5111</v>
      </c>
      <c r="P82">
        <v>46</v>
      </c>
      <c r="Q82" t="s">
        <v>402</v>
      </c>
      <c r="R82" t="s">
        <v>654</v>
      </c>
      <c r="T82">
        <v>150</v>
      </c>
      <c r="U82">
        <v>14.2</v>
      </c>
      <c r="V82" s="237" t="str">
        <f t="shared" si="7"/>
        <v>Normal</v>
      </c>
    </row>
    <row r="83" spans="1:22" x14ac:dyDescent="0.25">
      <c r="A83">
        <v>81</v>
      </c>
      <c r="B83" t="s">
        <v>399</v>
      </c>
      <c r="C83" t="s">
        <v>1997</v>
      </c>
      <c r="D83" t="s">
        <v>1998</v>
      </c>
      <c r="E83" t="s">
        <v>2408</v>
      </c>
      <c r="G83" t="s">
        <v>5121</v>
      </c>
      <c r="H83" t="s">
        <v>579</v>
      </c>
      <c r="I83" s="69">
        <v>46070</v>
      </c>
      <c r="J83" s="238" t="str">
        <f t="shared" si="4"/>
        <v>Feb</v>
      </c>
      <c r="K83" s="238" t="str">
        <f t="shared" si="5"/>
        <v>Q1</v>
      </c>
      <c r="L83" s="238" t="str">
        <f t="shared" si="6"/>
        <v>2026</v>
      </c>
      <c r="M83" t="s">
        <v>5103</v>
      </c>
      <c r="N83" t="s">
        <v>5112</v>
      </c>
      <c r="P83">
        <v>45</v>
      </c>
      <c r="Q83" t="s">
        <v>603</v>
      </c>
      <c r="R83" t="s">
        <v>654</v>
      </c>
      <c r="T83">
        <v>140</v>
      </c>
      <c r="U83">
        <v>12.6</v>
      </c>
      <c r="V83" s="237" t="str">
        <f t="shared" si="7"/>
        <v>Normal</v>
      </c>
    </row>
    <row r="84" spans="1:22" x14ac:dyDescent="0.25">
      <c r="A84">
        <v>82</v>
      </c>
      <c r="B84" t="s">
        <v>399</v>
      </c>
      <c r="C84" t="s">
        <v>1997</v>
      </c>
      <c r="D84" t="s">
        <v>1998</v>
      </c>
      <c r="E84" t="s">
        <v>2408</v>
      </c>
      <c r="G84" t="s">
        <v>5121</v>
      </c>
      <c r="H84" t="s">
        <v>579</v>
      </c>
      <c r="I84" s="69">
        <v>46070</v>
      </c>
      <c r="J84" s="238" t="str">
        <f t="shared" si="4"/>
        <v>Feb</v>
      </c>
      <c r="K84" s="238" t="str">
        <f t="shared" si="5"/>
        <v>Q1</v>
      </c>
      <c r="L84" s="238" t="str">
        <f t="shared" si="6"/>
        <v>2026</v>
      </c>
      <c r="M84" t="s">
        <v>5104</v>
      </c>
      <c r="N84" t="s">
        <v>2710</v>
      </c>
      <c r="P84">
        <v>30</v>
      </c>
      <c r="Q84" t="s">
        <v>402</v>
      </c>
      <c r="R84" t="s">
        <v>654</v>
      </c>
      <c r="T84">
        <v>13.5</v>
      </c>
      <c r="U84">
        <v>10.5</v>
      </c>
      <c r="V84" s="237" t="str">
        <f t="shared" si="7"/>
        <v>SAM</v>
      </c>
    </row>
    <row r="85" spans="1:22" x14ac:dyDescent="0.25">
      <c r="A85">
        <v>83</v>
      </c>
      <c r="B85" t="s">
        <v>399</v>
      </c>
      <c r="C85" t="s">
        <v>1997</v>
      </c>
      <c r="D85" t="s">
        <v>1998</v>
      </c>
      <c r="E85" t="s">
        <v>2408</v>
      </c>
      <c r="G85" t="s">
        <v>5121</v>
      </c>
      <c r="H85" t="s">
        <v>579</v>
      </c>
      <c r="I85" s="69">
        <v>46070</v>
      </c>
      <c r="J85" s="238" t="str">
        <f t="shared" si="4"/>
        <v>Feb</v>
      </c>
      <c r="K85" s="238" t="str">
        <f t="shared" si="5"/>
        <v>Q1</v>
      </c>
      <c r="L85" s="238" t="str">
        <f t="shared" si="6"/>
        <v>2026</v>
      </c>
      <c r="M85" t="s">
        <v>4632</v>
      </c>
      <c r="N85" t="s">
        <v>5113</v>
      </c>
      <c r="P85">
        <v>12</v>
      </c>
      <c r="Q85" t="s">
        <v>603</v>
      </c>
      <c r="R85" t="s">
        <v>654</v>
      </c>
      <c r="T85">
        <v>150</v>
      </c>
      <c r="U85">
        <v>13.5</v>
      </c>
      <c r="V85" s="237" t="str">
        <f t="shared" si="7"/>
        <v>Normal</v>
      </c>
    </row>
    <row r="86" spans="1:22" x14ac:dyDescent="0.25">
      <c r="A86">
        <v>84</v>
      </c>
      <c r="B86" t="s">
        <v>399</v>
      </c>
      <c r="C86" t="s">
        <v>1997</v>
      </c>
      <c r="D86" t="s">
        <v>1998</v>
      </c>
      <c r="E86" t="s">
        <v>2408</v>
      </c>
      <c r="G86" t="s">
        <v>5121</v>
      </c>
      <c r="H86" t="s">
        <v>579</v>
      </c>
      <c r="I86" s="69">
        <v>46070</v>
      </c>
      <c r="J86" s="238" t="str">
        <f t="shared" si="4"/>
        <v>Feb</v>
      </c>
      <c r="K86" s="238" t="str">
        <f t="shared" si="5"/>
        <v>Q1</v>
      </c>
      <c r="L86" s="238" t="str">
        <f t="shared" si="6"/>
        <v>2026</v>
      </c>
      <c r="M86" t="s">
        <v>5105</v>
      </c>
      <c r="N86" t="s">
        <v>5114</v>
      </c>
      <c r="P86">
        <v>6</v>
      </c>
      <c r="Q86" t="s">
        <v>603</v>
      </c>
      <c r="R86" t="s">
        <v>654</v>
      </c>
      <c r="T86">
        <v>160</v>
      </c>
      <c r="U86">
        <v>8</v>
      </c>
      <c r="V86" s="237" t="str">
        <f t="shared" si="7"/>
        <v>Normal</v>
      </c>
    </row>
    <row r="87" spans="1:22" x14ac:dyDescent="0.25">
      <c r="A87">
        <v>85</v>
      </c>
      <c r="B87" t="s">
        <v>399</v>
      </c>
      <c r="C87" t="s">
        <v>1997</v>
      </c>
      <c r="D87" t="s">
        <v>1998</v>
      </c>
      <c r="E87" t="s">
        <v>2408</v>
      </c>
      <c r="G87" t="s">
        <v>5121</v>
      </c>
      <c r="H87" t="s">
        <v>579</v>
      </c>
      <c r="I87" s="69">
        <v>46070</v>
      </c>
      <c r="J87" s="238" t="str">
        <f t="shared" si="4"/>
        <v>Feb</v>
      </c>
      <c r="K87" s="238" t="str">
        <f t="shared" si="5"/>
        <v>Q1</v>
      </c>
      <c r="L87" s="238" t="str">
        <f t="shared" si="6"/>
        <v>2026</v>
      </c>
      <c r="M87" t="s">
        <v>5106</v>
      </c>
      <c r="N87" t="s">
        <v>5115</v>
      </c>
      <c r="P87">
        <v>24</v>
      </c>
      <c r="Q87" t="s">
        <v>603</v>
      </c>
      <c r="R87" t="s">
        <v>654</v>
      </c>
      <c r="T87">
        <v>160</v>
      </c>
      <c r="U87">
        <v>11.2</v>
      </c>
      <c r="V87" s="237" t="str">
        <f t="shared" si="7"/>
        <v>Normal</v>
      </c>
    </row>
    <row r="88" spans="1:22" x14ac:dyDescent="0.25">
      <c r="A88">
        <v>86</v>
      </c>
      <c r="B88" t="s">
        <v>399</v>
      </c>
      <c r="C88" t="s">
        <v>1997</v>
      </c>
      <c r="D88" t="s">
        <v>1998</v>
      </c>
      <c r="E88" t="s">
        <v>2254</v>
      </c>
      <c r="G88" t="s">
        <v>5122</v>
      </c>
      <c r="H88" t="s">
        <v>579</v>
      </c>
      <c r="I88" s="69">
        <v>46072</v>
      </c>
      <c r="J88" s="238" t="str">
        <f t="shared" si="4"/>
        <v>Feb</v>
      </c>
      <c r="K88" s="238" t="str">
        <f t="shared" si="5"/>
        <v>Q1</v>
      </c>
      <c r="L88" s="238" t="str">
        <f t="shared" si="6"/>
        <v>2026</v>
      </c>
      <c r="M88" t="s">
        <v>5107</v>
      </c>
      <c r="N88" t="s">
        <v>5116</v>
      </c>
      <c r="P88">
        <v>20</v>
      </c>
      <c r="Q88" t="s">
        <v>603</v>
      </c>
      <c r="R88" t="s">
        <v>654</v>
      </c>
      <c r="T88">
        <v>140</v>
      </c>
      <c r="U88">
        <v>10</v>
      </c>
      <c r="V88" s="237" t="str">
        <f t="shared" si="7"/>
        <v>Normal</v>
      </c>
    </row>
    <row r="89" spans="1:22" x14ac:dyDescent="0.25">
      <c r="A89">
        <v>87</v>
      </c>
      <c r="B89" t="s">
        <v>399</v>
      </c>
      <c r="C89" t="s">
        <v>1997</v>
      </c>
      <c r="D89" t="s">
        <v>1998</v>
      </c>
      <c r="E89" t="s">
        <v>2254</v>
      </c>
      <c r="G89" t="s">
        <v>5122</v>
      </c>
      <c r="H89" t="s">
        <v>579</v>
      </c>
      <c r="I89" s="69">
        <v>46073</v>
      </c>
      <c r="J89" s="238" t="str">
        <f t="shared" si="4"/>
        <v>Feb</v>
      </c>
      <c r="K89" s="238" t="str">
        <f t="shared" si="5"/>
        <v>Q1</v>
      </c>
      <c r="L89" s="238" t="str">
        <f t="shared" si="6"/>
        <v>2026</v>
      </c>
      <c r="M89" t="s">
        <v>4783</v>
      </c>
      <c r="N89" t="s">
        <v>5117</v>
      </c>
      <c r="P89">
        <v>21</v>
      </c>
      <c r="Q89" t="s">
        <v>402</v>
      </c>
      <c r="R89" t="s">
        <v>654</v>
      </c>
      <c r="T89">
        <v>145</v>
      </c>
      <c r="U89">
        <v>10.8</v>
      </c>
      <c r="V89" s="237" t="str">
        <f t="shared" si="7"/>
        <v>Normal</v>
      </c>
    </row>
    <row r="90" spans="1:22" x14ac:dyDescent="0.25">
      <c r="A90">
        <v>88</v>
      </c>
      <c r="B90" t="s">
        <v>399</v>
      </c>
      <c r="C90" t="s">
        <v>1997</v>
      </c>
      <c r="D90" t="s">
        <v>1998</v>
      </c>
      <c r="E90" t="s">
        <v>2254</v>
      </c>
      <c r="G90" t="s">
        <v>5122</v>
      </c>
      <c r="H90" t="s">
        <v>579</v>
      </c>
      <c r="I90" s="69">
        <v>46074</v>
      </c>
      <c r="J90" s="238" t="str">
        <f t="shared" si="4"/>
        <v>Feb</v>
      </c>
      <c r="K90" s="238" t="str">
        <f t="shared" si="5"/>
        <v>Q1</v>
      </c>
      <c r="L90" s="238" t="str">
        <f t="shared" si="6"/>
        <v>2026</v>
      </c>
      <c r="M90" t="s">
        <v>4796</v>
      </c>
      <c r="N90" t="s">
        <v>5118</v>
      </c>
      <c r="P90">
        <v>55</v>
      </c>
      <c r="Q90" t="s">
        <v>402</v>
      </c>
      <c r="R90" t="s">
        <v>654</v>
      </c>
      <c r="T90">
        <v>140</v>
      </c>
      <c r="U90">
        <v>11.2</v>
      </c>
      <c r="V90" s="237" t="str">
        <f t="shared" si="7"/>
        <v>Normal</v>
      </c>
    </row>
    <row r="91" spans="1:22" x14ac:dyDescent="0.25">
      <c r="A91">
        <v>89</v>
      </c>
      <c r="B91" t="s">
        <v>399</v>
      </c>
      <c r="C91" t="s">
        <v>1997</v>
      </c>
      <c r="D91" t="s">
        <v>1998</v>
      </c>
      <c r="E91" t="s">
        <v>2254</v>
      </c>
      <c r="G91" t="s">
        <v>5122</v>
      </c>
      <c r="H91" t="s">
        <v>579</v>
      </c>
      <c r="I91" s="69">
        <v>46075</v>
      </c>
      <c r="J91" s="238" t="str">
        <f t="shared" si="4"/>
        <v>Feb</v>
      </c>
      <c r="K91" s="238" t="str">
        <f t="shared" si="5"/>
        <v>Q1</v>
      </c>
      <c r="L91" s="238" t="str">
        <f t="shared" si="6"/>
        <v>2026</v>
      </c>
      <c r="M91" t="s">
        <v>5108</v>
      </c>
      <c r="N91" t="s">
        <v>5119</v>
      </c>
      <c r="P91">
        <v>18</v>
      </c>
      <c r="Q91" t="s">
        <v>402</v>
      </c>
      <c r="R91" t="s">
        <v>654</v>
      </c>
      <c r="T91">
        <v>150</v>
      </c>
      <c r="U91">
        <v>10.8</v>
      </c>
      <c r="V91" s="237" t="str">
        <f t="shared" si="7"/>
        <v>Normal</v>
      </c>
    </row>
    <row r="92" spans="1:22" x14ac:dyDescent="0.25">
      <c r="A92">
        <v>90</v>
      </c>
      <c r="B92" t="s">
        <v>399</v>
      </c>
      <c r="C92" t="s">
        <v>1997</v>
      </c>
      <c r="D92" t="s">
        <v>1998</v>
      </c>
      <c r="E92" t="s">
        <v>2254</v>
      </c>
      <c r="G92" t="s">
        <v>5122</v>
      </c>
      <c r="H92" t="s">
        <v>579</v>
      </c>
      <c r="I92" s="69">
        <v>46076</v>
      </c>
      <c r="J92" s="238" t="str">
        <f t="shared" si="4"/>
        <v>Feb</v>
      </c>
      <c r="K92" s="238" t="str">
        <f t="shared" si="5"/>
        <v>Q1</v>
      </c>
      <c r="L92" s="238" t="str">
        <f t="shared" si="6"/>
        <v>2026</v>
      </c>
      <c r="M92" t="s">
        <v>4798</v>
      </c>
      <c r="N92" t="s">
        <v>5120</v>
      </c>
      <c r="P92">
        <v>59</v>
      </c>
      <c r="Q92" t="s">
        <v>402</v>
      </c>
      <c r="R92" t="s">
        <v>654</v>
      </c>
      <c r="T92">
        <v>150</v>
      </c>
      <c r="U92">
        <v>13.5</v>
      </c>
      <c r="V92" s="237" t="str">
        <f t="shared" si="7"/>
        <v>Normal</v>
      </c>
    </row>
    <row r="93" spans="1:22" x14ac:dyDescent="0.25">
      <c r="J93" s="238" t="str">
        <f t="shared" si="4"/>
        <v/>
      </c>
      <c r="K93" s="238" t="str">
        <f t="shared" si="5"/>
        <v/>
      </c>
      <c r="L93" s="238" t="str">
        <f t="shared" si="6"/>
        <v/>
      </c>
      <c r="V93" s="237" t="str">
        <f t="shared" si="7"/>
        <v/>
      </c>
    </row>
  </sheetData>
  <conditionalFormatting sqref="V3:V93">
    <cfRule type="containsText" dxfId="10" priority="1" operator="containsText" text="MAM">
      <formula>NOT(ISERROR(SEARCH("MAM",V3)))</formula>
    </cfRule>
    <cfRule type="containsText" dxfId="9" priority="2" operator="containsText" text="SAM">
      <formula>NOT(ISERROR(SEARCH("SAM",V3)))</formula>
    </cfRule>
  </conditionalFormatting>
  <dataValidations count="4">
    <dataValidation type="list" allowBlank="1" showInputMessage="1" showErrorMessage="1" sqref="H3:H93" xr:uid="{00000000-0002-0000-0900-000002000000}">
      <formula1>place_type</formula1>
    </dataValidation>
    <dataValidation type="list" allowBlank="1" showInputMessage="1" showErrorMessage="1" sqref="Q3:Q93" xr:uid="{00000000-0002-0000-0900-000003000000}">
      <formula1>"Male,Female"</formula1>
    </dataValidation>
    <dataValidation type="list" allowBlank="1" showInputMessage="1" showErrorMessage="1" sqref="W3:W93 R3:R93" xr:uid="{00000000-0002-0000-0900-000004000000}">
      <formula1>"Yes,No"</formula1>
    </dataValidation>
    <dataValidation type="list" allowBlank="1" showInputMessage="1" showErrorMessage="1" sqref="B3:B93" xr:uid="{00000000-0002-0000-0900-000005000000}">
      <formula1>"BHA"</formula1>
    </dataValidation>
  </dataValidation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6567-8F67-4DC8-8D49-E8404A60381B}">
  <sheetPr codeName="Sheet13"/>
  <dimension ref="A1:BH106"/>
  <sheetViews>
    <sheetView topLeftCell="AR66" zoomScale="115" zoomScaleNormal="115" workbookViewId="0">
      <selection activeCell="AF72" sqref="AF72"/>
    </sheetView>
  </sheetViews>
  <sheetFormatPr defaultRowHeight="15" x14ac:dyDescent="0.25"/>
  <cols>
    <col min="2" max="2" width="11.7109375" customWidth="1"/>
    <col min="3" max="3" width="11.140625" customWidth="1"/>
    <col min="6" max="6" width="12.42578125" customWidth="1"/>
    <col min="7" max="7" width="12.28515625" bestFit="1" customWidth="1"/>
    <col min="8" max="8" width="14.42578125" bestFit="1" customWidth="1"/>
    <col min="9" max="9" width="16.28515625" bestFit="1" customWidth="1"/>
    <col min="15" max="21" width="9.140625" customWidth="1"/>
    <col min="22" max="22" width="13.42578125" bestFit="1" customWidth="1"/>
    <col min="24" max="24" width="20.85546875" bestFit="1" customWidth="1"/>
    <col min="25" max="25" width="13.42578125" customWidth="1"/>
    <col min="27" max="27" width="14.5703125" customWidth="1"/>
    <col min="28" max="28" width="13.42578125" bestFit="1" customWidth="1"/>
    <col min="29" max="29" width="15.140625" customWidth="1"/>
    <col min="30" max="30" width="14.28515625" customWidth="1"/>
    <col min="31" max="31" width="70" bestFit="1" customWidth="1"/>
    <col min="32" max="32" width="24.42578125" customWidth="1"/>
    <col min="33" max="33" width="20.42578125" customWidth="1"/>
    <col min="34" max="34" width="13" customWidth="1"/>
    <col min="35" max="35" width="18.28515625" bestFit="1" customWidth="1"/>
    <col min="37" max="37" width="13.42578125" bestFit="1" customWidth="1"/>
    <col min="38" max="38" width="10.85546875" bestFit="1" customWidth="1"/>
    <col min="40" max="40" width="24" customWidth="1"/>
    <col min="44" max="44" width="16.140625" customWidth="1"/>
    <col min="45" max="45" width="13.7109375" bestFit="1" customWidth="1"/>
    <col min="46" max="46" width="32.5703125" customWidth="1"/>
    <col min="47" max="47" width="18.42578125" customWidth="1"/>
    <col min="60" max="60" width="19.85546875" customWidth="1"/>
  </cols>
  <sheetData>
    <row r="1" spans="1:60" ht="64.349999999999994" customHeight="1" x14ac:dyDescent="0.25">
      <c r="A1" s="306" t="s">
        <v>1628</v>
      </c>
      <c r="B1" s="306"/>
      <c r="C1" s="306"/>
      <c r="D1" s="306"/>
      <c r="E1" s="9"/>
      <c r="F1" s="9"/>
      <c r="G1" s="9"/>
      <c r="H1" s="9"/>
      <c r="I1" s="102"/>
      <c r="J1" s="9"/>
      <c r="K1" s="9"/>
      <c r="L1" s="9"/>
      <c r="M1" s="9"/>
      <c r="N1" s="9"/>
      <c r="O1" s="9"/>
      <c r="P1" s="9"/>
      <c r="Q1" s="9"/>
      <c r="R1" s="9"/>
      <c r="S1" s="9"/>
      <c r="T1" s="9"/>
      <c r="U1" s="9"/>
      <c r="V1" s="9"/>
      <c r="W1" s="9"/>
      <c r="X1" s="9"/>
      <c r="Y1" s="9"/>
      <c r="Z1" s="9"/>
      <c r="AA1" s="102"/>
      <c r="AB1" s="9"/>
      <c r="AC1" s="9"/>
      <c r="AD1" s="9"/>
      <c r="AE1" s="9"/>
      <c r="AF1" s="9"/>
      <c r="AG1" s="9"/>
      <c r="AH1" s="9"/>
      <c r="AI1" s="9"/>
      <c r="AJ1" s="9"/>
      <c r="AK1" s="9"/>
      <c r="AL1" s="9"/>
      <c r="AM1" s="9"/>
      <c r="AN1" s="9"/>
      <c r="AO1" s="9"/>
      <c r="AP1" s="9"/>
      <c r="AQ1" s="9"/>
      <c r="AR1" s="9"/>
      <c r="AS1" s="9"/>
      <c r="AT1" s="138" t="s">
        <v>1966</v>
      </c>
      <c r="AU1" s="9"/>
      <c r="AV1" s="9"/>
      <c r="AW1" s="9"/>
      <c r="AX1" s="307" t="s">
        <v>1629</v>
      </c>
      <c r="AY1" s="307"/>
      <c r="AZ1" s="307"/>
      <c r="BA1" s="307"/>
      <c r="BB1" s="307"/>
      <c r="BC1" s="307"/>
      <c r="BD1" s="307"/>
      <c r="BE1" s="307"/>
      <c r="BF1" s="307"/>
      <c r="BG1" s="307"/>
      <c r="BH1" s="138" t="s">
        <v>1671</v>
      </c>
    </row>
    <row r="2" spans="1:60" ht="80.25" x14ac:dyDescent="0.25">
      <c r="A2" s="130" t="s">
        <v>622</v>
      </c>
      <c r="B2" s="139" t="s">
        <v>1672</v>
      </c>
      <c r="C2" s="131" t="s">
        <v>1630</v>
      </c>
      <c r="D2" s="131" t="s">
        <v>366</v>
      </c>
      <c r="E2" s="131" t="s">
        <v>0</v>
      </c>
      <c r="F2" s="132" t="s">
        <v>656</v>
      </c>
      <c r="G2" s="131" t="s">
        <v>1631</v>
      </c>
      <c r="H2" s="131" t="s">
        <v>1673</v>
      </c>
      <c r="I2" s="132" t="s">
        <v>1632</v>
      </c>
      <c r="J2" s="133" t="s">
        <v>1633</v>
      </c>
      <c r="K2" s="133" t="s">
        <v>1634</v>
      </c>
      <c r="L2" s="133" t="s">
        <v>1635</v>
      </c>
      <c r="M2" s="131" t="s">
        <v>378</v>
      </c>
      <c r="N2" s="131" t="s">
        <v>379</v>
      </c>
      <c r="O2" s="134" t="s">
        <v>1636</v>
      </c>
      <c r="P2" s="134" t="s">
        <v>1637</v>
      </c>
      <c r="Q2" s="134" t="s">
        <v>1638</v>
      </c>
      <c r="R2" s="134" t="s">
        <v>1639</v>
      </c>
      <c r="S2" s="134" t="s">
        <v>1640</v>
      </c>
      <c r="T2" s="134" t="s">
        <v>1641</v>
      </c>
      <c r="U2" s="134" t="s">
        <v>388</v>
      </c>
      <c r="V2" s="132" t="s">
        <v>1994</v>
      </c>
      <c r="W2" s="132" t="s">
        <v>1642</v>
      </c>
      <c r="X2" s="132" t="s">
        <v>1643</v>
      </c>
      <c r="Y2" s="132" t="s">
        <v>1644</v>
      </c>
      <c r="Z2" s="132" t="s">
        <v>434</v>
      </c>
      <c r="AA2" s="132" t="s">
        <v>1645</v>
      </c>
      <c r="AB2" s="132" t="s">
        <v>1995</v>
      </c>
      <c r="AC2" s="132" t="s">
        <v>1996</v>
      </c>
      <c r="AD2" s="132" t="s">
        <v>1646</v>
      </c>
      <c r="AE2" s="131" t="s">
        <v>1647</v>
      </c>
      <c r="AF2" s="131" t="s">
        <v>1648</v>
      </c>
      <c r="AG2" s="131" t="s">
        <v>343</v>
      </c>
      <c r="AH2" s="132" t="s">
        <v>1674</v>
      </c>
      <c r="AI2" s="131" t="s">
        <v>1649</v>
      </c>
      <c r="AJ2" s="135" t="s">
        <v>1650</v>
      </c>
      <c r="AK2" s="135" t="s">
        <v>1651</v>
      </c>
      <c r="AL2" s="135" t="s">
        <v>1652</v>
      </c>
      <c r="AM2" s="135" t="s">
        <v>1653</v>
      </c>
      <c r="AN2" s="132" t="s">
        <v>1654</v>
      </c>
      <c r="AO2" s="131" t="s">
        <v>419</v>
      </c>
      <c r="AP2" s="131" t="s">
        <v>421</v>
      </c>
      <c r="AQ2" s="132" t="s">
        <v>1655</v>
      </c>
      <c r="AR2" s="131" t="s">
        <v>1656</v>
      </c>
      <c r="AS2" s="135" t="s">
        <v>1657</v>
      </c>
      <c r="AT2" s="135" t="s">
        <v>1658</v>
      </c>
      <c r="AU2" s="135" t="s">
        <v>1659</v>
      </c>
      <c r="AV2" s="136" t="s">
        <v>1660</v>
      </c>
      <c r="AW2" s="131" t="s">
        <v>637</v>
      </c>
      <c r="AX2" s="136" t="s">
        <v>1661</v>
      </c>
      <c r="AY2" s="136" t="s">
        <v>1662</v>
      </c>
      <c r="AZ2" s="136" t="s">
        <v>1663</v>
      </c>
      <c r="BA2" s="136" t="s">
        <v>1664</v>
      </c>
      <c r="BB2" s="136" t="s">
        <v>1665</v>
      </c>
      <c r="BC2" s="136" t="s">
        <v>1666</v>
      </c>
      <c r="BD2" s="136" t="s">
        <v>293</v>
      </c>
      <c r="BE2" s="136" t="s">
        <v>1667</v>
      </c>
      <c r="BF2" s="136" t="s">
        <v>1668</v>
      </c>
      <c r="BG2" s="137" t="s">
        <v>1669</v>
      </c>
      <c r="BH2" s="9" t="s">
        <v>1675</v>
      </c>
    </row>
    <row r="3" spans="1:60" ht="25.5" x14ac:dyDescent="0.25">
      <c r="A3" s="140">
        <v>1</v>
      </c>
      <c r="B3" s="140" t="s">
        <v>1997</v>
      </c>
      <c r="C3" s="141"/>
      <c r="D3" s="141" t="s">
        <v>1998</v>
      </c>
      <c r="E3" s="141" t="s">
        <v>2222</v>
      </c>
      <c r="F3" s="141"/>
      <c r="G3" s="141" t="s">
        <v>2228</v>
      </c>
      <c r="H3" s="141" t="s">
        <v>579</v>
      </c>
      <c r="I3" s="142" t="s">
        <v>2223</v>
      </c>
      <c r="J3" s="141"/>
      <c r="K3" s="141">
        <v>4</v>
      </c>
      <c r="L3" s="143"/>
      <c r="M3" s="205" t="str">
        <f t="shared" ref="M3:M7" si="0">IF(AND(ISBLANK(J3),ISBLANK(K3),ISBLANK(L3))," ",
IF(OR(J3&lt;5,AND(J3=" ",K3&lt;&gt;" ",L3&lt;&gt;" ")),"&lt;5 yrs",
IF(AND(J3&gt;=5,J3&lt;=14),"5 - 14 yrs",
IF(AND(J3&gt;=15,J3&lt;=18),"15 - 18 yrs",
IF(AND(J3&gt;=19,J3&lt;=49),"19 - 49 yrs","50 yrs +")))))</f>
        <v>&lt;5 yrs</v>
      </c>
      <c r="N3" s="141" t="str">
        <f t="shared" ref="N3:N7" si="1">IF(I3="","",IF(OR(LEFT(I3,1)="U",LEFT(I3,2)="Ko",LEFT(I3,2)="Mg"),"M",IF(OR(LEFT(I3,3)="Daw",LEFT(I3,2)="Ma"),"F")))</f>
        <v>F</v>
      </c>
      <c r="O3" s="141">
        <v>1</v>
      </c>
      <c r="P3" s="141">
        <v>1</v>
      </c>
      <c r="Q3" s="141">
        <v>1</v>
      </c>
      <c r="R3" s="141">
        <v>1</v>
      </c>
      <c r="S3" s="141">
        <v>1</v>
      </c>
      <c r="T3" s="141">
        <v>1</v>
      </c>
      <c r="U3" s="14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 s="144">
        <v>46038</v>
      </c>
      <c r="W3" s="141" t="s">
        <v>2224</v>
      </c>
      <c r="X3" s="141" t="s">
        <v>2225</v>
      </c>
      <c r="Y3" s="141" t="s">
        <v>1684</v>
      </c>
      <c r="Z3" s="141"/>
      <c r="AA3" s="142" t="s">
        <v>2226</v>
      </c>
      <c r="AB3" s="144">
        <v>45977</v>
      </c>
      <c r="AC3" s="144">
        <v>45981</v>
      </c>
      <c r="AD3" s="156">
        <f>IF(Referral4[[#This Row],[DOA
(mm-dd-yyy)]]="","",(Referral4[[#This Row],[DOD
(mm-dd-yyy)]]-Referral4[[#This Row],[DOA
(mm-dd-yyy)]])+1)</f>
        <v>5</v>
      </c>
      <c r="AE3" s="141" t="s">
        <v>2225</v>
      </c>
      <c r="AF3" s="141" t="s">
        <v>1700</v>
      </c>
      <c r="AG3" s="141" t="str">
        <f t="array" ref="AG3">IF(AF3="","",
IF(Y3="EmOC",VLOOKUP(AF3,Data_validation!$R$1:$S$93,2,FALSE),
IF(Y3="ECC",VLOOKUP(AF3,Data_validation!$T$1:$U$151,2,FALSE),
IF(Y3="Other",VLOOKUP(AF3,Data_validation!$V$1:$W$19,2,FALSE),
VLOOKUP(AF3,Data_validation!$X$1:$Y$3,2,FALSE)))))</f>
        <v>Pneumonia</v>
      </c>
      <c r="AH3" s="141" t="s">
        <v>758</v>
      </c>
      <c r="AI3" s="141" t="s">
        <v>2238</v>
      </c>
      <c r="AJ3" s="141" t="s">
        <v>654</v>
      </c>
      <c r="AK3" s="141" t="s">
        <v>654</v>
      </c>
      <c r="AL3" s="141" t="s">
        <v>654</v>
      </c>
      <c r="AM3" s="141" t="s">
        <v>654</v>
      </c>
      <c r="AN3" s="144">
        <v>46038</v>
      </c>
      <c r="AO3" s="156" t="str">
        <f t="shared" ref="AO3:AO5" si="2">IF(AN3="","",TEXT(AN3,"mmmm"))</f>
        <v>January</v>
      </c>
      <c r="AP3" s="156">
        <f t="shared" ref="AP3:AP5" si="3">IF(AN3="","",YEAR(AN3))</f>
        <v>2026</v>
      </c>
      <c r="AQ3" s="156" t="str">
        <f>IF(Referral4[[#This Row],[Claimed_Date
(mmm-dd-yyy)]]="","",IF(AND(MONTH(Referral4[[#This Row],[Claimed_Date
(mmm-dd-yyy)]])&gt;4,MONTH(Referral4[[#This Row],[Claimed_Date
(mmm-dd-yyy)]])&lt;11),"S1","S2"))</f>
        <v>S2</v>
      </c>
      <c r="AR3" s="156">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3" s="145" t="s">
        <v>2227</v>
      </c>
      <c r="AT3" s="146">
        <v>50000</v>
      </c>
      <c r="AU3" s="146">
        <v>100000</v>
      </c>
      <c r="AV3" s="159">
        <f t="shared" ref="AV3:AV47" si="4">SUM(AT3,AU3)</f>
        <v>150000</v>
      </c>
      <c r="AW3" s="141"/>
      <c r="AX3" s="141" t="s">
        <v>21</v>
      </c>
      <c r="AY3" s="141" t="s">
        <v>21</v>
      </c>
      <c r="AZ3" s="141" t="s">
        <v>21</v>
      </c>
      <c r="BA3" s="141" t="s">
        <v>21</v>
      </c>
      <c r="BB3" s="141" t="s">
        <v>21</v>
      </c>
      <c r="BC3" s="141" t="s">
        <v>21</v>
      </c>
      <c r="BD3" s="141" t="s">
        <v>21</v>
      </c>
      <c r="BE3" s="203">
        <f>IF(AND(AX3="",AY3="",AZ3="",BA3="",BB3="",BC3="",BD3=""),"",COUNTIFS(AX3:BD106,"Severe"))</f>
        <v>1</v>
      </c>
      <c r="BF3" s="203">
        <f>IF(AND(AX3="",AY3="",AZ3="",BA3="",BB3="",BC3="",BD3=""),"",COUNTIFS(AX3:BD106,"Very Severe"))</f>
        <v>0</v>
      </c>
      <c r="BG3" s="160" t="str">
        <f t="shared" ref="BG3:BG7" si="5">IF(AND(BE3="",BF3=""),"",IF(AND(BE3&gt;0,BF3&gt;0),"Very Severe",IF(BE3&gt;=2,"Very Severe",IF(BF3&gt;0,"Very Severe",IF(AND(BE3=1,BF3=0),"Severe","Normal")))))</f>
        <v>Severe</v>
      </c>
      <c r="BH3" s="165"/>
    </row>
    <row r="4" spans="1:60" ht="25.5" x14ac:dyDescent="0.25">
      <c r="A4" s="148">
        <v>2</v>
      </c>
      <c r="B4" s="140" t="s">
        <v>1997</v>
      </c>
      <c r="C4" s="141"/>
      <c r="D4" s="141" t="s">
        <v>1998</v>
      </c>
      <c r="E4" s="141" t="s">
        <v>2222</v>
      </c>
      <c r="F4" s="143"/>
      <c r="G4" s="141" t="s">
        <v>2228</v>
      </c>
      <c r="H4" s="141" t="s">
        <v>579</v>
      </c>
      <c r="I4" s="149" t="s">
        <v>2229</v>
      </c>
      <c r="J4" s="143">
        <v>36</v>
      </c>
      <c r="K4" s="143"/>
      <c r="L4" s="143"/>
      <c r="M4" s="205" t="str">
        <f t="shared" si="0"/>
        <v>19 - 49 yrs</v>
      </c>
      <c r="N4" s="141" t="str">
        <f t="shared" si="1"/>
        <v>F</v>
      </c>
      <c r="O4" s="141">
        <v>1</v>
      </c>
      <c r="P4" s="141">
        <v>1</v>
      </c>
      <c r="Q4" s="141">
        <v>1</v>
      </c>
      <c r="R4" s="141">
        <v>1</v>
      </c>
      <c r="S4" s="141">
        <v>1</v>
      </c>
      <c r="T4" s="141">
        <v>1</v>
      </c>
      <c r="U4" s="14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 s="144">
        <v>46038</v>
      </c>
      <c r="W4" s="141" t="s">
        <v>2235</v>
      </c>
      <c r="X4" s="143" t="s">
        <v>2230</v>
      </c>
      <c r="Y4" s="141" t="s">
        <v>1681</v>
      </c>
      <c r="Z4" s="143" t="s">
        <v>2231</v>
      </c>
      <c r="AA4" s="142" t="s">
        <v>2226</v>
      </c>
      <c r="AB4" s="150">
        <v>45945</v>
      </c>
      <c r="AC4" s="150">
        <v>45948</v>
      </c>
      <c r="AD4" s="156">
        <f>IF(Referral4[[#This Row],[DOA
(mm-dd-yyy)]]="","",(Referral4[[#This Row],[DOD
(mm-dd-yyy)]]-Referral4[[#This Row],[DOA
(mm-dd-yyy)]])+1)</f>
        <v>4</v>
      </c>
      <c r="AE4" s="143" t="s">
        <v>2230</v>
      </c>
      <c r="AF4" s="143" t="s">
        <v>1688</v>
      </c>
      <c r="AG4" s="141" t="str">
        <f t="array" ref="AG4">IF(AF4="","",
IF(Y4="EmOC",VLOOKUP(AF4,Data_validation!$R$1:$S$93,2,FALSE),
IF(Y4="ECC",VLOOKUP(AF4,Data_validation!$T$1:$U$151,2,FALSE),
IF(Y4="Other",VLOOKUP(AF4,Data_validation!$V$1:$W$19,2,FALSE),
VLOOKUP(AF4,Data_validation!$X$1:$Y$3,2,FALSE)))))</f>
        <v xml:space="preserve">High risk pregnancy </v>
      </c>
      <c r="AH4" s="143" t="s">
        <v>1683</v>
      </c>
      <c r="AI4" s="141" t="s">
        <v>2364</v>
      </c>
      <c r="AJ4" s="141" t="s">
        <v>654</v>
      </c>
      <c r="AK4" s="141" t="s">
        <v>654</v>
      </c>
      <c r="AL4" s="141" t="s">
        <v>654</v>
      </c>
      <c r="AM4" s="141" t="s">
        <v>654</v>
      </c>
      <c r="AN4" s="144">
        <v>46038</v>
      </c>
      <c r="AO4" s="157" t="str">
        <f t="shared" si="2"/>
        <v>January</v>
      </c>
      <c r="AP4" s="156">
        <f t="shared" si="3"/>
        <v>2026</v>
      </c>
      <c r="AQ4" s="156" t="str">
        <f>IF(Referral4[[#This Row],[Claimed_Date
(mmm-dd-yyy)]]="","",IF(AND(MONTH(Referral4[[#This Row],[Claimed_Date
(mmm-dd-yyy)]])&gt;4,MONTH(Referral4[[#This Row],[Claimed_Date
(mmm-dd-yyy)]])&lt;11),"S1","S2"))</f>
        <v>S2</v>
      </c>
      <c r="AR4" s="156">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4" s="145" t="s">
        <v>2227</v>
      </c>
      <c r="AT4" s="151">
        <v>80000</v>
      </c>
      <c r="AU4" s="152">
        <v>100000</v>
      </c>
      <c r="AV4" s="159">
        <f t="shared" si="4"/>
        <v>180000</v>
      </c>
      <c r="AW4" s="153"/>
      <c r="AX4" s="141" t="s">
        <v>21</v>
      </c>
      <c r="AY4" s="141" t="s">
        <v>21</v>
      </c>
      <c r="AZ4" s="141" t="s">
        <v>21</v>
      </c>
      <c r="BA4" s="141" t="s">
        <v>21</v>
      </c>
      <c r="BB4" s="141" t="s">
        <v>21</v>
      </c>
      <c r="BC4" s="141" t="s">
        <v>21</v>
      </c>
      <c r="BD4" s="141" t="s">
        <v>21</v>
      </c>
      <c r="BE4" s="203">
        <f t="shared" ref="BE4:BE67" si="6">IF(AND(AX4="",AY4="",AZ4="",BA4="",BB4="",BC4="",BD4=""),"",COUNTIFS(AX4:BD73,"Severe"))</f>
        <v>1</v>
      </c>
      <c r="BF4" s="203">
        <f t="shared" ref="BF4:BF67" si="7">IF(AND(AX4="",AY4="",AZ4="",BA4="",BB4="",BC4="",BD4=""),"",COUNTIFS(AX4:BD73,"Very Severe"))</f>
        <v>0</v>
      </c>
      <c r="BG4" s="157" t="str">
        <f t="shared" si="5"/>
        <v>Severe</v>
      </c>
      <c r="BH4" s="165">
        <v>46023</v>
      </c>
    </row>
    <row r="5" spans="1:60" ht="25.5" x14ac:dyDescent="0.25">
      <c r="A5" s="140">
        <v>3</v>
      </c>
      <c r="B5" s="140" t="s">
        <v>1997</v>
      </c>
      <c r="C5" s="141"/>
      <c r="D5" s="141" t="s">
        <v>1998</v>
      </c>
      <c r="E5" s="141" t="s">
        <v>2222</v>
      </c>
      <c r="F5" s="143"/>
      <c r="G5" s="141" t="s">
        <v>2228</v>
      </c>
      <c r="H5" s="141" t="s">
        <v>579</v>
      </c>
      <c r="I5" s="149" t="s">
        <v>2232</v>
      </c>
      <c r="J5" s="143">
        <v>11</v>
      </c>
      <c r="K5" s="143"/>
      <c r="L5" s="143"/>
      <c r="M5" s="205" t="str">
        <f t="shared" si="0"/>
        <v>5 - 14 yrs</v>
      </c>
      <c r="N5" s="141" t="str">
        <f t="shared" si="1"/>
        <v>F</v>
      </c>
      <c r="O5" s="141">
        <v>1</v>
      </c>
      <c r="P5" s="141">
        <v>1</v>
      </c>
      <c r="Q5" s="141">
        <v>1</v>
      </c>
      <c r="R5" s="141">
        <v>1</v>
      </c>
      <c r="S5" s="141">
        <v>1</v>
      </c>
      <c r="T5" s="141">
        <v>1</v>
      </c>
      <c r="U5" s="14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 s="150">
        <v>46038</v>
      </c>
      <c r="W5" s="141" t="s">
        <v>2235</v>
      </c>
      <c r="X5" s="143" t="s">
        <v>2233</v>
      </c>
      <c r="Y5" s="141" t="s">
        <v>293</v>
      </c>
      <c r="Z5" s="143"/>
      <c r="AA5" s="142" t="s">
        <v>2226</v>
      </c>
      <c r="AB5" s="150">
        <v>46032</v>
      </c>
      <c r="AC5" s="150">
        <v>46036</v>
      </c>
      <c r="AD5" s="156">
        <f>IF(Referral4[[#This Row],[DOA
(mm-dd-yyy)]]="","",(Referral4[[#This Row],[DOD
(mm-dd-yyy)]]-Referral4[[#This Row],[DOA
(mm-dd-yyy)]])+1)</f>
        <v>5</v>
      </c>
      <c r="AE5" s="143" t="s">
        <v>2233</v>
      </c>
      <c r="AF5" s="143" t="s">
        <v>1693</v>
      </c>
      <c r="AG5" s="141" t="str">
        <f t="array" ref="AG5">IF(AF5="","",
IF(Y5="EmOC",VLOOKUP(AF5,Data_validation!$R$1:$S$93,2,FALSE),
IF(Y5="ECC",VLOOKUP(AF5,Data_validation!$T$1:$U$151,2,FALSE),
IF(Y5="Other",VLOOKUP(AF5,Data_validation!$V$1:$W$19,2,FALSE),
VLOOKUP(AF5,Data_validation!$X$1:$Y$3,2,FALSE)))))</f>
        <v>Febrile Fits/Epilepsy</v>
      </c>
      <c r="AH5" s="143"/>
      <c r="AI5" s="141" t="s">
        <v>2238</v>
      </c>
      <c r="AJ5" s="141" t="s">
        <v>654</v>
      </c>
      <c r="AK5" s="141" t="s">
        <v>654</v>
      </c>
      <c r="AL5" s="141" t="s">
        <v>654</v>
      </c>
      <c r="AM5" s="141" t="s">
        <v>654</v>
      </c>
      <c r="AN5" s="144">
        <v>46038</v>
      </c>
      <c r="AO5" s="157" t="str">
        <f t="shared" si="2"/>
        <v>January</v>
      </c>
      <c r="AP5" s="156">
        <f t="shared" si="3"/>
        <v>2026</v>
      </c>
      <c r="AQ5" s="156" t="str">
        <f>IF(Referral4[[#This Row],[Claimed_Date
(mmm-dd-yyy)]]="","",IF(AND(MONTH(Referral4[[#This Row],[Claimed_Date
(mmm-dd-yyy)]])&gt;4,MONTH(Referral4[[#This Row],[Claimed_Date
(mmm-dd-yyy)]])&lt;11),"S1","S2"))</f>
        <v>S2</v>
      </c>
      <c r="AR5" s="156">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5" s="145" t="s">
        <v>2227</v>
      </c>
      <c r="AT5" s="154">
        <v>100000</v>
      </c>
      <c r="AU5" s="152">
        <v>100000</v>
      </c>
      <c r="AV5" s="159">
        <f t="shared" si="4"/>
        <v>200000</v>
      </c>
      <c r="AW5" s="153"/>
      <c r="AX5" s="141" t="s">
        <v>21</v>
      </c>
      <c r="AY5" s="141" t="s">
        <v>21</v>
      </c>
      <c r="AZ5" s="141" t="s">
        <v>21</v>
      </c>
      <c r="BA5" s="141" t="s">
        <v>21</v>
      </c>
      <c r="BB5" s="141" t="s">
        <v>21</v>
      </c>
      <c r="BC5" s="141" t="s">
        <v>21</v>
      </c>
      <c r="BD5" s="141" t="s">
        <v>21</v>
      </c>
      <c r="BE5" s="203">
        <f t="shared" si="6"/>
        <v>1</v>
      </c>
      <c r="BF5" s="203">
        <f t="shared" si="7"/>
        <v>0</v>
      </c>
      <c r="BG5" s="157" t="str">
        <f t="shared" si="5"/>
        <v>Severe</v>
      </c>
      <c r="BH5" s="165">
        <v>46023</v>
      </c>
    </row>
    <row r="6" spans="1:60" ht="25.5" x14ac:dyDescent="0.25">
      <c r="A6" s="148">
        <v>4</v>
      </c>
      <c r="B6" s="140" t="s">
        <v>1997</v>
      </c>
      <c r="C6" s="141"/>
      <c r="D6" s="141" t="s">
        <v>1998</v>
      </c>
      <c r="E6" s="141" t="s">
        <v>2222</v>
      </c>
      <c r="F6" s="143"/>
      <c r="G6" s="141" t="s">
        <v>2228</v>
      </c>
      <c r="H6" s="141" t="s">
        <v>579</v>
      </c>
      <c r="I6" s="149" t="s">
        <v>2234</v>
      </c>
      <c r="J6" s="143">
        <v>27</v>
      </c>
      <c r="K6" s="143"/>
      <c r="L6" s="143"/>
      <c r="M6" s="206" t="str">
        <f t="shared" si="0"/>
        <v>19 - 49 yrs</v>
      </c>
      <c r="N6" s="141" t="str">
        <f t="shared" si="1"/>
        <v>M</v>
      </c>
      <c r="O6" s="141">
        <v>1</v>
      </c>
      <c r="P6" s="141">
        <v>1</v>
      </c>
      <c r="Q6" s="141">
        <v>1</v>
      </c>
      <c r="R6" s="141">
        <v>1</v>
      </c>
      <c r="S6" s="141">
        <v>1</v>
      </c>
      <c r="T6" s="141">
        <v>1</v>
      </c>
      <c r="U6" s="14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 s="144">
        <v>46038</v>
      </c>
      <c r="W6" s="141" t="s">
        <v>2235</v>
      </c>
      <c r="X6" s="143" t="s">
        <v>2236</v>
      </c>
      <c r="Y6" s="141" t="s">
        <v>293</v>
      </c>
      <c r="Z6" s="143"/>
      <c r="AA6" s="149" t="s">
        <v>2237</v>
      </c>
      <c r="AB6" s="150">
        <v>45981</v>
      </c>
      <c r="AC6" s="150">
        <v>45986</v>
      </c>
      <c r="AD6" s="156">
        <f>IF(Referral4[[#This Row],[DOA
(mm-dd-yyy)]]="","",(Referral4[[#This Row],[DOD
(mm-dd-yyy)]]-Referral4[[#This Row],[DOA
(mm-dd-yyy)]])+1)</f>
        <v>6</v>
      </c>
      <c r="AE6" s="143" t="s">
        <v>2236</v>
      </c>
      <c r="AF6" s="143" t="s">
        <v>1686</v>
      </c>
      <c r="AG6" s="141" t="str">
        <f t="array" ref="AG6">IF(AF6="","",
IF(Y6="EmOC",VLOOKUP(AF6,Data_validation!$R$1:$S$93,2,FALSE),
IF(Y6="ECC",VLOOKUP(AF6,Data_validation!$T$1:$U$151,2,FALSE),
IF(Y6="Other",VLOOKUP(AF6,Data_validation!$V$1:$W$19,2,FALSE),
VLOOKUP(AF6,Data_validation!$X$1:$Y$3,2,FALSE)))))</f>
        <v>Major Injuries/Trauma</v>
      </c>
      <c r="AH6" s="143"/>
      <c r="AI6" s="141" t="s">
        <v>2238</v>
      </c>
      <c r="AJ6" s="141" t="s">
        <v>654</v>
      </c>
      <c r="AK6" s="141" t="s">
        <v>654</v>
      </c>
      <c r="AL6" s="141" t="s">
        <v>654</v>
      </c>
      <c r="AM6" s="141" t="s">
        <v>654</v>
      </c>
      <c r="AN6" s="144">
        <v>46038</v>
      </c>
      <c r="AO6" s="157" t="str">
        <f>IF(AN6="","",TEXT(AN6,"mmmm"))</f>
        <v>January</v>
      </c>
      <c r="AP6" s="156">
        <f>IF(AN6="","",YEAR(AN6))</f>
        <v>2026</v>
      </c>
      <c r="AQ6" s="156" t="str">
        <f>IF(Referral4[[#This Row],[Claimed_Date
(mmm-dd-yyy)]]="","",IF(AND(MONTH(Referral4[[#This Row],[Claimed_Date
(mmm-dd-yyy)]])&gt;4,MONTH(Referral4[[#This Row],[Claimed_Date
(mmm-dd-yyy)]])&lt;11),"S1","S2"))</f>
        <v>S2</v>
      </c>
      <c r="AR6" s="156">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6</v>
      </c>
      <c r="AS6" s="145" t="s">
        <v>2227</v>
      </c>
      <c r="AT6" s="151">
        <v>120000</v>
      </c>
      <c r="AU6" s="152">
        <v>100000</v>
      </c>
      <c r="AV6" s="159">
        <f t="shared" si="4"/>
        <v>220000</v>
      </c>
      <c r="AW6" s="153"/>
      <c r="AX6" s="141" t="s">
        <v>21</v>
      </c>
      <c r="AY6" s="141" t="s">
        <v>21</v>
      </c>
      <c r="AZ6" s="141" t="s">
        <v>21</v>
      </c>
      <c r="BA6" s="141" t="s">
        <v>21</v>
      </c>
      <c r="BB6" s="141" t="s">
        <v>21</v>
      </c>
      <c r="BC6" s="141" t="s">
        <v>21</v>
      </c>
      <c r="BD6" s="141" t="s">
        <v>21</v>
      </c>
      <c r="BE6" s="203">
        <f t="shared" si="6"/>
        <v>1</v>
      </c>
      <c r="BF6" s="203">
        <f t="shared" si="7"/>
        <v>0</v>
      </c>
      <c r="BG6" s="157" t="str">
        <f t="shared" si="5"/>
        <v>Severe</v>
      </c>
      <c r="BH6" s="147"/>
    </row>
    <row r="7" spans="1:60" s="216" customFormat="1" ht="25.5" x14ac:dyDescent="0.25">
      <c r="A7" s="204">
        <v>5</v>
      </c>
      <c r="B7" s="204" t="s">
        <v>1997</v>
      </c>
      <c r="C7" s="205"/>
      <c r="D7" s="205" t="s">
        <v>1998</v>
      </c>
      <c r="E7" s="205" t="s">
        <v>2222</v>
      </c>
      <c r="F7" s="206"/>
      <c r="G7" s="205" t="s">
        <v>2228</v>
      </c>
      <c r="H7" s="205" t="s">
        <v>579</v>
      </c>
      <c r="I7" s="207" t="s">
        <v>2322</v>
      </c>
      <c r="J7" s="206"/>
      <c r="K7" s="206"/>
      <c r="L7" s="206">
        <v>2</v>
      </c>
      <c r="M7" s="206" t="str">
        <f t="shared" si="0"/>
        <v>&lt;5 yrs</v>
      </c>
      <c r="N7" s="205" t="str">
        <f t="shared" si="1"/>
        <v>M</v>
      </c>
      <c r="O7" s="205">
        <v>1</v>
      </c>
      <c r="P7" s="205">
        <v>1</v>
      </c>
      <c r="Q7" s="205">
        <v>1</v>
      </c>
      <c r="R7" s="205">
        <v>1</v>
      </c>
      <c r="S7" s="205">
        <v>1</v>
      </c>
      <c r="T7" s="205">
        <v>1</v>
      </c>
      <c r="U7" s="205"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7" s="208">
        <v>46038</v>
      </c>
      <c r="W7" s="205" t="s">
        <v>2235</v>
      </c>
      <c r="X7" s="206" t="s">
        <v>2239</v>
      </c>
      <c r="Y7" s="205" t="s">
        <v>1684</v>
      </c>
      <c r="Z7" s="206"/>
      <c r="AA7" s="209" t="s">
        <v>2226</v>
      </c>
      <c r="AB7" s="208">
        <v>45987</v>
      </c>
      <c r="AC7" s="208">
        <v>45992</v>
      </c>
      <c r="AD7" s="205">
        <f>IF(Referral4[[#This Row],[DOA
(mm-dd-yyy)]]="","",(Referral4[[#This Row],[DOD
(mm-dd-yyy)]]-Referral4[[#This Row],[DOA
(mm-dd-yyy)]])+1)</f>
        <v>6</v>
      </c>
      <c r="AE7" s="206" t="s">
        <v>2239</v>
      </c>
      <c r="AF7" s="206" t="s">
        <v>1731</v>
      </c>
      <c r="AG7" s="205" t="str">
        <f t="array" ref="AG7">IF(AF7="","",
IF(Y7="EmOC",VLOOKUP(AF7,Data_validation!$R$1:$S$93,2,FALSE),
IF(Y7="ECC",VLOOKUP(AF7,Data_validation!$T$1:$U$151,2,FALSE),
IF(Y7="Other",VLOOKUP(AF7,Data_validation!$V$1:$W$19,2,FALSE),
VLOOKUP(AF7,Data_validation!$X$1:$Y$3,2,FALSE)))))</f>
        <v>Neonatal emergencies</v>
      </c>
      <c r="AH7" s="206"/>
      <c r="AI7" s="205" t="s">
        <v>2238</v>
      </c>
      <c r="AJ7" s="205" t="s">
        <v>654</v>
      </c>
      <c r="AK7" s="205" t="s">
        <v>654</v>
      </c>
      <c r="AL7" s="205" t="s">
        <v>654</v>
      </c>
      <c r="AM7" s="205" t="s">
        <v>654</v>
      </c>
      <c r="AN7" s="210">
        <v>46038</v>
      </c>
      <c r="AO7" s="206" t="str">
        <f>IF(AN7="","",TEXT(AN7,"mmmm"))</f>
        <v>January</v>
      </c>
      <c r="AP7" s="205">
        <f>IF(AN7="","",YEAR(AN7))</f>
        <v>2026</v>
      </c>
      <c r="AQ7" s="205" t="str">
        <f>IF(Referral4[[#This Row],[Claimed_Date
(mmm-dd-yyy)]]="","",IF(AND(MONTH(Referral4[[#This Row],[Claimed_Date
(mmm-dd-yyy)]])&gt;4,MONTH(Referral4[[#This Row],[Claimed_Date
(mmm-dd-yyy)]])&lt;11),"S1","S2"))</f>
        <v>S2</v>
      </c>
      <c r="AR7" s="205">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7" s="211" t="s">
        <v>2227</v>
      </c>
      <c r="AT7" s="212">
        <v>50000</v>
      </c>
      <c r="AU7" s="155">
        <v>100000</v>
      </c>
      <c r="AV7" s="159">
        <f t="shared" si="4"/>
        <v>150000</v>
      </c>
      <c r="AW7" s="213"/>
      <c r="AX7" s="205" t="s">
        <v>21</v>
      </c>
      <c r="AY7" s="205" t="s">
        <v>21</v>
      </c>
      <c r="AZ7" s="205" t="s">
        <v>21</v>
      </c>
      <c r="BA7" s="205" t="s">
        <v>21</v>
      </c>
      <c r="BB7" s="205" t="s">
        <v>21</v>
      </c>
      <c r="BC7" s="205" t="s">
        <v>21</v>
      </c>
      <c r="BD7" s="205" t="s">
        <v>21</v>
      </c>
      <c r="BE7" s="214">
        <f t="shared" si="6"/>
        <v>1</v>
      </c>
      <c r="BF7" s="214">
        <f t="shared" si="7"/>
        <v>0</v>
      </c>
      <c r="BG7" s="206" t="str">
        <f t="shared" si="5"/>
        <v>Severe</v>
      </c>
      <c r="BH7" s="215"/>
    </row>
    <row r="8" spans="1:60" ht="25.5" x14ac:dyDescent="0.25">
      <c r="A8" s="148">
        <v>6</v>
      </c>
      <c r="B8" s="140" t="s">
        <v>1997</v>
      </c>
      <c r="C8" s="191"/>
      <c r="D8" s="217" t="s">
        <v>1998</v>
      </c>
      <c r="E8" s="217" t="s">
        <v>2222</v>
      </c>
      <c r="F8" s="191"/>
      <c r="G8" s="217" t="s">
        <v>2228</v>
      </c>
      <c r="H8" s="217" t="s">
        <v>579</v>
      </c>
      <c r="I8" s="218" t="s">
        <v>2321</v>
      </c>
      <c r="J8" s="191"/>
      <c r="K8" s="191"/>
      <c r="L8" s="191">
        <v>1</v>
      </c>
      <c r="M8" s="219" t="str">
        <f t="shared" ref="M8:M39" si="8">IF(AND(ISBLANK(J8),ISBLANK(K8),ISBLANK(L8))," ",
IF(OR(J8&lt;5,AND(J8=" ",K8&lt;&gt;" ",L8&lt;&gt;" ")),"&lt;5 yrs",
IF(AND(J8&gt;=5,J8&lt;=14),"5 - 14 yrs",
IF(AND(J8&gt;=15,J8&lt;=18),"15 - 18 yrs",
IF(AND(J8&gt;=19,J8&lt;=49),"19 - 49 yrs","50 yrs +")))))</f>
        <v>&lt;5 yrs</v>
      </c>
      <c r="N8" s="194" t="str">
        <f t="shared" ref="N8:N39" si="9">IF(I8="","",IF(OR(LEFT(I8,1)="U",LEFT(I8,2)="Ko",LEFT(I8,2)="Mg"),"M",IF(OR(LEFT(I8,3)="Daw",LEFT(I8,2)="Ma"),"F")))</f>
        <v>M</v>
      </c>
      <c r="O8" s="141">
        <v>1</v>
      </c>
      <c r="P8" s="141">
        <v>1</v>
      </c>
      <c r="Q8" s="141">
        <v>1</v>
      </c>
      <c r="R8" s="141">
        <v>1</v>
      </c>
      <c r="S8" s="141">
        <v>1</v>
      </c>
      <c r="T8" s="141">
        <v>1</v>
      </c>
      <c r="U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8" s="195">
        <v>46038</v>
      </c>
      <c r="W8" s="141" t="s">
        <v>2235</v>
      </c>
      <c r="X8" s="217" t="s">
        <v>2240</v>
      </c>
      <c r="Y8" s="191" t="s">
        <v>1684</v>
      </c>
      <c r="Z8" s="191"/>
      <c r="AA8" s="209" t="s">
        <v>2226</v>
      </c>
      <c r="AB8" s="195">
        <v>45894</v>
      </c>
      <c r="AC8" s="196">
        <v>45897</v>
      </c>
      <c r="AD8" s="193">
        <f>IF(Referral4[[#This Row],[DOA
(mm-dd-yyy)]]="","",(Referral4[[#This Row],[DOD
(mm-dd-yyy)]]-Referral4[[#This Row],[DOA
(mm-dd-yyy)]])+1)</f>
        <v>4</v>
      </c>
      <c r="AE8" s="217" t="s">
        <v>2240</v>
      </c>
      <c r="AF8" s="206" t="s">
        <v>1731</v>
      </c>
      <c r="AG8" s="141" t="str">
        <f t="array" ref="AG8">IF(AF8="","",
IF(Y8="EmOC",VLOOKUP(AF8,Data_validation!$R$1:$S$93,2,FALSE),
IF(Y8="ECC",VLOOKUP(AF8,Data_validation!$T$1:$U$151,2,FALSE),
IF(Y8="Other",VLOOKUP(AF8,Data_validation!$V$1:$W$19,2,FALSE),
VLOOKUP(AF8,Data_validation!$X$1:$Y$3,2,FALSE)))))</f>
        <v>Neonatal emergencies</v>
      </c>
      <c r="AH8" s="191"/>
      <c r="AI8" s="205" t="s">
        <v>2238</v>
      </c>
      <c r="AJ8" s="141" t="s">
        <v>654</v>
      </c>
      <c r="AK8" s="141" t="s">
        <v>654</v>
      </c>
      <c r="AL8" s="141" t="s">
        <v>654</v>
      </c>
      <c r="AM8" s="141" t="s">
        <v>654</v>
      </c>
      <c r="AN8" s="144">
        <v>46038</v>
      </c>
      <c r="AO8" s="193" t="str">
        <f>IF(AN8="","",TEXT(AN8,"mmmm"))</f>
        <v>January</v>
      </c>
      <c r="AP8" s="193">
        <f>IF(AN8="","",YEAR(AN8))</f>
        <v>2026</v>
      </c>
      <c r="AQ8" s="198" t="str">
        <f>IF(Referral4[[#This Row],[Claimed_Date
(mmm-dd-yyy)]]="","",IF(AND(MONTH(Referral4[[#This Row],[Claimed_Date
(mmm-dd-yyy)]])&gt;4,MONTH(Referral4[[#This Row],[Claimed_Date
(mmm-dd-yyy)]])&lt;11),"S1","S2"))</f>
        <v>S2</v>
      </c>
      <c r="AR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8" s="145" t="s">
        <v>2227</v>
      </c>
      <c r="AT8" s="199">
        <v>40000</v>
      </c>
      <c r="AU8" s="200">
        <v>100000</v>
      </c>
      <c r="AV8" s="159">
        <f t="shared" si="4"/>
        <v>140000</v>
      </c>
      <c r="AW8" s="202"/>
      <c r="AX8" s="141" t="s">
        <v>21</v>
      </c>
      <c r="AY8" s="141" t="s">
        <v>21</v>
      </c>
      <c r="AZ8" s="141" t="s">
        <v>21</v>
      </c>
      <c r="BA8" s="141" t="s">
        <v>21</v>
      </c>
      <c r="BB8" s="141" t="s">
        <v>21</v>
      </c>
      <c r="BC8" s="141" t="s">
        <v>21</v>
      </c>
      <c r="BD8" s="141" t="s">
        <v>21</v>
      </c>
      <c r="BE8" s="203">
        <f t="shared" si="6"/>
        <v>1</v>
      </c>
      <c r="BF8" s="203">
        <f t="shared" si="7"/>
        <v>0</v>
      </c>
      <c r="BG8" s="193" t="str">
        <f t="shared" ref="BG8:BG39" si="10">IF(AND(BE8="",BF8=""),"",IF(AND(BE8&gt;0,BF8&gt;0),"Very Severe",IF(BE8&gt;=2,"Very Severe",IF(BF8&gt;0,"Very Severe",IF(AND(BE8=1,BF8=0),"Severe","Normal")))))</f>
        <v>Severe</v>
      </c>
      <c r="BH8" s="194"/>
    </row>
    <row r="9" spans="1:60" ht="25.5" x14ac:dyDescent="0.25">
      <c r="A9" s="140">
        <v>7</v>
      </c>
      <c r="B9" s="140" t="s">
        <v>1997</v>
      </c>
      <c r="C9" s="191"/>
      <c r="D9" s="217" t="s">
        <v>1998</v>
      </c>
      <c r="E9" s="217" t="s">
        <v>2222</v>
      </c>
      <c r="F9" s="191"/>
      <c r="G9" s="217" t="s">
        <v>2228</v>
      </c>
      <c r="H9" s="217" t="s">
        <v>579</v>
      </c>
      <c r="I9" s="218" t="s">
        <v>2320</v>
      </c>
      <c r="J9" s="191"/>
      <c r="K9" s="191"/>
      <c r="L9" s="191">
        <v>1</v>
      </c>
      <c r="M9" s="219" t="str">
        <f t="shared" si="8"/>
        <v>&lt;5 yrs</v>
      </c>
      <c r="N9" s="194" t="str">
        <f t="shared" si="9"/>
        <v>F</v>
      </c>
      <c r="O9" s="141">
        <v>1</v>
      </c>
      <c r="P9" s="141">
        <v>1</v>
      </c>
      <c r="Q9" s="141">
        <v>1</v>
      </c>
      <c r="R9" s="141">
        <v>1</v>
      </c>
      <c r="S9" s="141">
        <v>1</v>
      </c>
      <c r="T9" s="141">
        <v>1</v>
      </c>
      <c r="U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9" s="208">
        <v>46038</v>
      </c>
      <c r="W9" s="141" t="s">
        <v>2235</v>
      </c>
      <c r="X9" s="217" t="s">
        <v>2241</v>
      </c>
      <c r="Y9" s="191" t="s">
        <v>1684</v>
      </c>
      <c r="Z9" s="191"/>
      <c r="AA9" s="209" t="s">
        <v>2226</v>
      </c>
      <c r="AB9" s="195">
        <v>45891</v>
      </c>
      <c r="AC9" s="196">
        <v>45892</v>
      </c>
      <c r="AD9" s="193">
        <f>IF(Referral4[[#This Row],[DOA
(mm-dd-yyy)]]="","",(Referral4[[#This Row],[DOD
(mm-dd-yyy)]]-Referral4[[#This Row],[DOA
(mm-dd-yyy)]])+1)</f>
        <v>2</v>
      </c>
      <c r="AE9" s="220" t="s">
        <v>2241</v>
      </c>
      <c r="AF9" s="206" t="s">
        <v>1731</v>
      </c>
      <c r="AG9" s="141" t="str">
        <f t="array" ref="AG9">IF(AF9="","",
IF(Y9="EmOC",VLOOKUP(AF9,Data_validation!$R$1:$S$93,2,FALSE),
IF(Y9="ECC",VLOOKUP(AF9,Data_validation!$T$1:$U$151,2,FALSE),
IF(Y9="Other",VLOOKUP(AF9,Data_validation!$V$1:$W$19,2,FALSE),
VLOOKUP(AF9,Data_validation!$X$1:$Y$3,2,FALSE)))))</f>
        <v>Neonatal emergencies</v>
      </c>
      <c r="AH9" s="191"/>
      <c r="AI9" s="205" t="s">
        <v>2238</v>
      </c>
      <c r="AJ9" s="141" t="s">
        <v>654</v>
      </c>
      <c r="AK9" s="141" t="s">
        <v>654</v>
      </c>
      <c r="AL9" s="141" t="s">
        <v>654</v>
      </c>
      <c r="AM9" s="141" t="s">
        <v>654</v>
      </c>
      <c r="AN9" s="210">
        <v>46038</v>
      </c>
      <c r="AO9" s="193" t="str">
        <f t="shared" ref="AO9:AO39" si="11">IF(AN9="","",TEXT(AN9,"mmmm"))</f>
        <v>January</v>
      </c>
      <c r="AP9" s="193">
        <f t="shared" ref="AP9:AP39" si="12">IF(AN9="","",YEAR(AN9))</f>
        <v>2026</v>
      </c>
      <c r="AQ9" s="198" t="str">
        <f>IF(Referral4[[#This Row],[Claimed_Date
(mmm-dd-yyy)]]="","",IF(AND(MONTH(Referral4[[#This Row],[Claimed_Date
(mmm-dd-yyy)]])&gt;4,MONTH(Referral4[[#This Row],[Claimed_Date
(mmm-dd-yyy)]])&lt;11),"S1","S2"))</f>
        <v>S2</v>
      </c>
      <c r="AR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9" s="145" t="s">
        <v>2227</v>
      </c>
      <c r="AT9" s="199">
        <v>20000</v>
      </c>
      <c r="AU9" s="200">
        <v>100000</v>
      </c>
      <c r="AV9" s="159">
        <f t="shared" si="4"/>
        <v>120000</v>
      </c>
      <c r="AW9" s="202"/>
      <c r="AX9" s="141" t="s">
        <v>21</v>
      </c>
      <c r="AY9" s="141" t="s">
        <v>21</v>
      </c>
      <c r="AZ9" s="141" t="s">
        <v>21</v>
      </c>
      <c r="BA9" s="141" t="s">
        <v>21</v>
      </c>
      <c r="BB9" s="141" t="s">
        <v>21</v>
      </c>
      <c r="BC9" s="141" t="s">
        <v>21</v>
      </c>
      <c r="BD9" s="141" t="s">
        <v>21</v>
      </c>
      <c r="BE9" s="203">
        <f t="shared" si="6"/>
        <v>1</v>
      </c>
      <c r="BF9" s="203">
        <f t="shared" si="7"/>
        <v>0</v>
      </c>
      <c r="BG9" s="193" t="str">
        <f t="shared" si="10"/>
        <v>Severe</v>
      </c>
      <c r="BH9" s="194"/>
    </row>
    <row r="10" spans="1:60" ht="25.5" x14ac:dyDescent="0.25">
      <c r="A10" s="148">
        <v>8</v>
      </c>
      <c r="B10" s="140" t="s">
        <v>1997</v>
      </c>
      <c r="C10" s="191"/>
      <c r="D10" s="217" t="s">
        <v>1998</v>
      </c>
      <c r="E10" s="217" t="s">
        <v>1999</v>
      </c>
      <c r="F10" s="191"/>
      <c r="G10" s="217" t="s">
        <v>2242</v>
      </c>
      <c r="H10" s="217" t="s">
        <v>579</v>
      </c>
      <c r="I10" s="218" t="s">
        <v>2243</v>
      </c>
      <c r="J10" s="191">
        <v>55</v>
      </c>
      <c r="K10" s="191"/>
      <c r="L10" s="191"/>
      <c r="M10" s="219" t="str">
        <f t="shared" si="8"/>
        <v>50 yrs +</v>
      </c>
      <c r="N10" s="194" t="str">
        <f t="shared" si="9"/>
        <v>F</v>
      </c>
      <c r="O10" s="141">
        <v>1</v>
      </c>
      <c r="P10" s="141">
        <v>1</v>
      </c>
      <c r="Q10" s="141">
        <v>1</v>
      </c>
      <c r="R10" s="141">
        <v>1</v>
      </c>
      <c r="S10" s="141">
        <v>1</v>
      </c>
      <c r="T10" s="141">
        <v>1</v>
      </c>
      <c r="U1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0" s="195">
        <v>46031</v>
      </c>
      <c r="W10" s="141" t="s">
        <v>2235</v>
      </c>
      <c r="X10" s="217" t="s">
        <v>2244</v>
      </c>
      <c r="Y10" s="191" t="s">
        <v>293</v>
      </c>
      <c r="Z10" s="191"/>
      <c r="AA10" s="218" t="s">
        <v>2245</v>
      </c>
      <c r="AB10" s="195">
        <v>46023</v>
      </c>
      <c r="AC10" s="196">
        <v>46027</v>
      </c>
      <c r="AD10" s="193">
        <f>IF(Referral4[[#This Row],[DOA
(mm-dd-yyy)]]="","",(Referral4[[#This Row],[DOD
(mm-dd-yyy)]]-Referral4[[#This Row],[DOA
(mm-dd-yyy)]])+1)</f>
        <v>5</v>
      </c>
      <c r="AE10" s="217" t="s">
        <v>2244</v>
      </c>
      <c r="AF10" s="191" t="s">
        <v>1697</v>
      </c>
      <c r="AG10" s="141" t="str">
        <f t="array" ref="AG10">IF(AF10="","",
IF(Y10="EmOC",VLOOKUP(AF10,Data_validation!$R$1:$S$93,2,FALSE),
IF(Y10="ECC",VLOOKUP(AF10,Data_validation!$T$1:$U$151,2,FALSE),
IF(Y10="Other",VLOOKUP(AF10,Data_validation!$V$1:$W$19,2,FALSE),
VLOOKUP(AF10,Data_validation!$X$1:$Y$3,2,FALSE)))))</f>
        <v>Surgical Emergencies</v>
      </c>
      <c r="AH10" s="191"/>
      <c r="AI10" s="205" t="s">
        <v>2238</v>
      </c>
      <c r="AJ10" s="141" t="s">
        <v>654</v>
      </c>
      <c r="AK10" s="141" t="s">
        <v>654</v>
      </c>
      <c r="AL10" s="141" t="s">
        <v>654</v>
      </c>
      <c r="AM10" s="141" t="s">
        <v>654</v>
      </c>
      <c r="AN10" s="195">
        <v>46031</v>
      </c>
      <c r="AO10" s="193" t="str">
        <f t="shared" si="11"/>
        <v>January</v>
      </c>
      <c r="AP10" s="193">
        <f t="shared" si="12"/>
        <v>2026</v>
      </c>
      <c r="AQ10" s="198" t="str">
        <f>IF(Referral4[[#This Row],[Claimed_Date
(mmm-dd-yyy)]]="","",IF(AND(MONTH(Referral4[[#This Row],[Claimed_Date
(mmm-dd-yyy)]])&gt;4,MONTH(Referral4[[#This Row],[Claimed_Date
(mmm-dd-yyy)]])&lt;11),"S1","S2"))</f>
        <v>S2</v>
      </c>
      <c r="AR1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10" s="145" t="s">
        <v>2227</v>
      </c>
      <c r="AT10" s="199">
        <v>100000</v>
      </c>
      <c r="AU10" s="200">
        <v>100000</v>
      </c>
      <c r="AV10" s="159">
        <f t="shared" si="4"/>
        <v>200000</v>
      </c>
      <c r="AW10" s="202"/>
      <c r="AX10" s="141" t="s">
        <v>21</v>
      </c>
      <c r="AY10" s="141" t="s">
        <v>21</v>
      </c>
      <c r="AZ10" s="141" t="s">
        <v>21</v>
      </c>
      <c r="BA10" s="141" t="s">
        <v>21</v>
      </c>
      <c r="BB10" s="141" t="s">
        <v>21</v>
      </c>
      <c r="BC10" s="141" t="s">
        <v>21</v>
      </c>
      <c r="BD10" s="141" t="s">
        <v>21</v>
      </c>
      <c r="BE10" s="203">
        <f t="shared" si="6"/>
        <v>1</v>
      </c>
      <c r="BF10" s="203">
        <f t="shared" si="7"/>
        <v>0</v>
      </c>
      <c r="BG10" s="193" t="str">
        <f t="shared" si="10"/>
        <v>Severe</v>
      </c>
      <c r="BH10" s="194"/>
    </row>
    <row r="11" spans="1:60" x14ac:dyDescent="0.25">
      <c r="A11" s="140">
        <v>9</v>
      </c>
      <c r="B11" s="140" t="s">
        <v>1997</v>
      </c>
      <c r="C11" s="191"/>
      <c r="D11" s="217" t="s">
        <v>2246</v>
      </c>
      <c r="E11" s="217" t="s">
        <v>2246</v>
      </c>
      <c r="F11" s="191"/>
      <c r="G11" s="217" t="s">
        <v>2247</v>
      </c>
      <c r="H11" s="217" t="s">
        <v>619</v>
      </c>
      <c r="I11" s="218" t="s">
        <v>2248</v>
      </c>
      <c r="J11" s="191">
        <v>38</v>
      </c>
      <c r="K11" s="191"/>
      <c r="L11" s="191"/>
      <c r="M11" s="219" t="str">
        <f t="shared" si="8"/>
        <v>19 - 49 yrs</v>
      </c>
      <c r="N11" s="194" t="str">
        <f t="shared" si="9"/>
        <v>M</v>
      </c>
      <c r="O11" s="141">
        <v>1</v>
      </c>
      <c r="P11" s="141">
        <v>1</v>
      </c>
      <c r="Q11" s="141">
        <v>1</v>
      </c>
      <c r="R11" s="141">
        <v>1</v>
      </c>
      <c r="S11" s="141">
        <v>1</v>
      </c>
      <c r="T11" s="141">
        <v>1</v>
      </c>
      <c r="U1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1" s="195">
        <v>45665</v>
      </c>
      <c r="W11" s="141" t="s">
        <v>2235</v>
      </c>
      <c r="X11" s="217" t="s">
        <v>2244</v>
      </c>
      <c r="Y11" s="191" t="s">
        <v>293</v>
      </c>
      <c r="Z11" s="191"/>
      <c r="AA11" s="218" t="s">
        <v>2249</v>
      </c>
      <c r="AB11" s="195">
        <v>45993</v>
      </c>
      <c r="AC11" s="196">
        <v>45999</v>
      </c>
      <c r="AD11" s="193">
        <f>IF(Referral4[[#This Row],[DOA
(mm-dd-yyy)]]="","",(Referral4[[#This Row],[DOD
(mm-dd-yyy)]]-Referral4[[#This Row],[DOA
(mm-dd-yyy)]])+1)</f>
        <v>7</v>
      </c>
      <c r="AE11" s="217" t="s">
        <v>2244</v>
      </c>
      <c r="AF11" s="191" t="s">
        <v>1697</v>
      </c>
      <c r="AG11" s="141" t="str">
        <f t="array" ref="AG11">IF(AF11="","",
IF(Y11="EmOC",VLOOKUP(AF11,Data_validation!$R$1:$S$93,2,FALSE),
IF(Y11="ECC",VLOOKUP(AF11,Data_validation!$T$1:$U$151,2,FALSE),
IF(Y11="Other",VLOOKUP(AF11,Data_validation!$V$1:$W$19,2,FALSE),
VLOOKUP(AF11,Data_validation!$X$1:$Y$3,2,FALSE)))))</f>
        <v>Surgical Emergencies</v>
      </c>
      <c r="AH11" s="191"/>
      <c r="AI11" s="205" t="s">
        <v>2238</v>
      </c>
      <c r="AJ11" s="141" t="s">
        <v>654</v>
      </c>
      <c r="AK11" s="141" t="s">
        <v>654</v>
      </c>
      <c r="AL11" s="141" t="s">
        <v>654</v>
      </c>
      <c r="AM11" s="141" t="s">
        <v>654</v>
      </c>
      <c r="AN11" s="195">
        <v>46030</v>
      </c>
      <c r="AO11" s="193" t="str">
        <f t="shared" si="11"/>
        <v>January</v>
      </c>
      <c r="AP11" s="193">
        <f t="shared" si="12"/>
        <v>2026</v>
      </c>
      <c r="AQ11" s="198" t="str">
        <f>IF(Referral4[[#This Row],[Claimed_Date
(mmm-dd-yyy)]]="","",IF(AND(MONTH(Referral4[[#This Row],[Claimed_Date
(mmm-dd-yyy)]])&gt;4,MONTH(Referral4[[#This Row],[Claimed_Date
(mmm-dd-yyy)]])&lt;11),"S1","S2"))</f>
        <v>S2</v>
      </c>
      <c r="AR1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7</v>
      </c>
      <c r="AS11" s="145" t="s">
        <v>2227</v>
      </c>
      <c r="AT11" s="199">
        <v>140000</v>
      </c>
      <c r="AU11" s="200">
        <v>100000</v>
      </c>
      <c r="AV11" s="159">
        <f t="shared" si="4"/>
        <v>240000</v>
      </c>
      <c r="AW11" s="202"/>
      <c r="AX11" s="141" t="s">
        <v>21</v>
      </c>
      <c r="AY11" s="141" t="s">
        <v>21</v>
      </c>
      <c r="AZ11" s="141" t="s">
        <v>21</v>
      </c>
      <c r="BA11" s="141" t="s">
        <v>21</v>
      </c>
      <c r="BB11" s="141" t="s">
        <v>21</v>
      </c>
      <c r="BC11" s="141" t="s">
        <v>21</v>
      </c>
      <c r="BD11" s="141" t="s">
        <v>21</v>
      </c>
      <c r="BE11" s="203">
        <f t="shared" si="6"/>
        <v>1</v>
      </c>
      <c r="BF11" s="203">
        <f t="shared" si="7"/>
        <v>0</v>
      </c>
      <c r="BG11" s="193" t="str">
        <f t="shared" si="10"/>
        <v>Severe</v>
      </c>
      <c r="BH11" s="194"/>
    </row>
    <row r="12" spans="1:60" ht="25.5" x14ac:dyDescent="0.25">
      <c r="A12" s="148">
        <v>10</v>
      </c>
      <c r="B12" s="140" t="s">
        <v>1997</v>
      </c>
      <c r="C12" s="191"/>
      <c r="D12" s="217" t="s">
        <v>2246</v>
      </c>
      <c r="E12" s="217" t="s">
        <v>2246</v>
      </c>
      <c r="F12" s="191"/>
      <c r="G12" s="217" t="s">
        <v>2250</v>
      </c>
      <c r="H12" s="217" t="s">
        <v>619</v>
      </c>
      <c r="I12" s="218" t="s">
        <v>2251</v>
      </c>
      <c r="J12" s="191">
        <v>4</v>
      </c>
      <c r="K12" s="191"/>
      <c r="L12" s="191"/>
      <c r="M12" s="219" t="str">
        <f t="shared" si="8"/>
        <v>&lt;5 yrs</v>
      </c>
      <c r="N12" s="194" t="str">
        <f t="shared" si="9"/>
        <v>M</v>
      </c>
      <c r="O12" s="141">
        <v>1</v>
      </c>
      <c r="P12" s="141">
        <v>1</v>
      </c>
      <c r="Q12" s="141">
        <v>1</v>
      </c>
      <c r="R12" s="141">
        <v>1</v>
      </c>
      <c r="S12" s="141">
        <v>1</v>
      </c>
      <c r="T12" s="141">
        <v>1</v>
      </c>
      <c r="U1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2" s="195">
        <v>46030</v>
      </c>
      <c r="W12" s="141" t="s">
        <v>2235</v>
      </c>
      <c r="X12" s="217" t="s">
        <v>2252</v>
      </c>
      <c r="Y12" s="191" t="s">
        <v>1684</v>
      </c>
      <c r="Z12" s="191"/>
      <c r="AA12" s="218" t="s">
        <v>2249</v>
      </c>
      <c r="AB12" s="195">
        <v>45974</v>
      </c>
      <c r="AC12" s="196">
        <v>45977</v>
      </c>
      <c r="AD12" s="193">
        <f>IF(Referral4[[#This Row],[DOA
(mm-dd-yyy)]]="","",(Referral4[[#This Row],[DOD
(mm-dd-yyy)]]-Referral4[[#This Row],[DOA
(mm-dd-yyy)]])+1)</f>
        <v>4</v>
      </c>
      <c r="AE12" s="217" t="s">
        <v>2252</v>
      </c>
      <c r="AF12" s="191" t="s">
        <v>1849</v>
      </c>
      <c r="AG12" s="141" t="str">
        <f t="array" ref="AG12">IF(AF12="","",
IF(Y12="EmOC",VLOOKUP(AF12,Data_validation!$R$1:$S$93,2,FALSE),
IF(Y12="ECC",VLOOKUP(AF12,Data_validation!$T$1:$U$151,2,FALSE),
IF(Y12="Other",VLOOKUP(AF12,Data_validation!$V$1:$W$19,2,FALSE),
VLOOKUP(AF12,Data_validation!$X$1:$Y$3,2,FALSE)))))</f>
        <v>Surgical  cases</v>
      </c>
      <c r="AH12" s="191"/>
      <c r="AI12" s="205" t="s">
        <v>2238</v>
      </c>
      <c r="AJ12" s="141" t="s">
        <v>654</v>
      </c>
      <c r="AK12" s="141" t="s">
        <v>654</v>
      </c>
      <c r="AL12" s="141" t="s">
        <v>654</v>
      </c>
      <c r="AM12" s="141" t="s">
        <v>654</v>
      </c>
      <c r="AN12" s="195">
        <v>46030</v>
      </c>
      <c r="AO12" s="193" t="str">
        <f t="shared" si="11"/>
        <v>January</v>
      </c>
      <c r="AP12" s="193">
        <f t="shared" si="12"/>
        <v>2026</v>
      </c>
      <c r="AQ12" s="198" t="str">
        <f>IF(Referral4[[#This Row],[Claimed_Date
(mmm-dd-yyy)]]="","",IF(AND(MONTH(Referral4[[#This Row],[Claimed_Date
(mmm-dd-yyy)]])&gt;4,MONTH(Referral4[[#This Row],[Claimed_Date
(mmm-dd-yyy)]])&lt;11),"S1","S2"))</f>
        <v>S2</v>
      </c>
      <c r="AR1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12" s="145" t="s">
        <v>2227</v>
      </c>
      <c r="AT12" s="199">
        <v>80000</v>
      </c>
      <c r="AU12" s="200">
        <v>100000</v>
      </c>
      <c r="AV12" s="159">
        <f t="shared" si="4"/>
        <v>180000</v>
      </c>
      <c r="AW12" s="202"/>
      <c r="AX12" s="141" t="s">
        <v>21</v>
      </c>
      <c r="AY12" s="141" t="s">
        <v>21</v>
      </c>
      <c r="AZ12" s="141" t="s">
        <v>21</v>
      </c>
      <c r="BA12" s="141" t="s">
        <v>21</v>
      </c>
      <c r="BB12" s="141" t="s">
        <v>21</v>
      </c>
      <c r="BC12" s="141" t="s">
        <v>21</v>
      </c>
      <c r="BD12" s="141" t="s">
        <v>21</v>
      </c>
      <c r="BE12" s="203">
        <f t="shared" si="6"/>
        <v>1</v>
      </c>
      <c r="BF12" s="203">
        <f t="shared" si="7"/>
        <v>0</v>
      </c>
      <c r="BG12" s="193" t="str">
        <f t="shared" si="10"/>
        <v>Severe</v>
      </c>
      <c r="BH12" s="194"/>
    </row>
    <row r="13" spans="1:60" ht="25.5" x14ac:dyDescent="0.25">
      <c r="A13" s="140">
        <v>11</v>
      </c>
      <c r="B13" s="140" t="s">
        <v>1997</v>
      </c>
      <c r="C13" s="191"/>
      <c r="D13" s="217" t="s">
        <v>1998</v>
      </c>
      <c r="E13" s="217" t="s">
        <v>1999</v>
      </c>
      <c r="F13" s="191"/>
      <c r="G13" s="217" t="s">
        <v>2242</v>
      </c>
      <c r="H13" s="217" t="s">
        <v>579</v>
      </c>
      <c r="I13" s="218" t="s">
        <v>2319</v>
      </c>
      <c r="J13" s="191">
        <v>18</v>
      </c>
      <c r="K13" s="191"/>
      <c r="L13" s="191"/>
      <c r="M13" s="219" t="str">
        <f t="shared" si="8"/>
        <v>15 - 18 yrs</v>
      </c>
      <c r="N13" s="194" t="str">
        <f t="shared" si="9"/>
        <v>F</v>
      </c>
      <c r="O13" s="141">
        <v>1</v>
      </c>
      <c r="P13" s="141">
        <v>1</v>
      </c>
      <c r="Q13" s="141">
        <v>1</v>
      </c>
      <c r="R13" s="141">
        <v>1</v>
      </c>
      <c r="S13" s="141">
        <v>1</v>
      </c>
      <c r="T13" s="141">
        <v>1</v>
      </c>
      <c r="U1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3" s="195">
        <v>46031</v>
      </c>
      <c r="W13" s="141" t="s">
        <v>2235</v>
      </c>
      <c r="X13" s="217" t="s">
        <v>2244</v>
      </c>
      <c r="Y13" s="191" t="s">
        <v>293</v>
      </c>
      <c r="Z13" s="191"/>
      <c r="AA13" s="218" t="s">
        <v>2253</v>
      </c>
      <c r="AB13" s="195">
        <v>46004</v>
      </c>
      <c r="AC13" s="196">
        <v>46007</v>
      </c>
      <c r="AD13" s="193">
        <f>IF(Referral4[[#This Row],[DOA
(mm-dd-yyy)]]="","",(Referral4[[#This Row],[DOD
(mm-dd-yyy)]]-Referral4[[#This Row],[DOA
(mm-dd-yyy)]])+1)</f>
        <v>4</v>
      </c>
      <c r="AE13" s="217" t="s">
        <v>2244</v>
      </c>
      <c r="AF13" s="191" t="s">
        <v>1697</v>
      </c>
      <c r="AG13" s="141" t="str">
        <f t="array" ref="AG13">IF(AF13="","",
IF(Y13="EmOC",VLOOKUP(AF13,Data_validation!$R$1:$S$93,2,FALSE),
IF(Y13="ECC",VLOOKUP(AF13,Data_validation!$T$1:$U$151,2,FALSE),
IF(Y13="Other",VLOOKUP(AF13,Data_validation!$V$1:$W$19,2,FALSE),
VLOOKUP(AF13,Data_validation!$X$1:$Y$3,2,FALSE)))))</f>
        <v>Surgical Emergencies</v>
      </c>
      <c r="AH13" s="191"/>
      <c r="AI13" s="205" t="s">
        <v>2238</v>
      </c>
      <c r="AJ13" s="141" t="s">
        <v>654</v>
      </c>
      <c r="AK13" s="141" t="s">
        <v>654</v>
      </c>
      <c r="AL13" s="141" t="s">
        <v>654</v>
      </c>
      <c r="AM13" s="141" t="s">
        <v>654</v>
      </c>
      <c r="AN13" s="195">
        <v>46031</v>
      </c>
      <c r="AO13" s="193" t="str">
        <f t="shared" si="11"/>
        <v>January</v>
      </c>
      <c r="AP13" s="193">
        <f t="shared" si="12"/>
        <v>2026</v>
      </c>
      <c r="AQ13" s="198" t="str">
        <f>IF(Referral4[[#This Row],[Claimed_Date
(mmm-dd-yyy)]]="","",IF(AND(MONTH(Referral4[[#This Row],[Claimed_Date
(mmm-dd-yyy)]])&gt;4,MONTH(Referral4[[#This Row],[Claimed_Date
(mmm-dd-yyy)]])&lt;11),"S1","S2"))</f>
        <v>S2</v>
      </c>
      <c r="AR1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13" s="145" t="s">
        <v>2227</v>
      </c>
      <c r="AT13" s="199">
        <v>80000</v>
      </c>
      <c r="AU13" s="200">
        <v>200000</v>
      </c>
      <c r="AV13" s="159">
        <f t="shared" si="4"/>
        <v>280000</v>
      </c>
      <c r="AW13" s="202" t="s">
        <v>2361</v>
      </c>
      <c r="AX13" s="141" t="s">
        <v>21</v>
      </c>
      <c r="AY13" s="141" t="s">
        <v>21</v>
      </c>
      <c r="AZ13" s="141" t="s">
        <v>21</v>
      </c>
      <c r="BA13" s="141" t="s">
        <v>21</v>
      </c>
      <c r="BB13" s="141" t="s">
        <v>21</v>
      </c>
      <c r="BC13" s="141" t="s">
        <v>21</v>
      </c>
      <c r="BD13" s="141" t="s">
        <v>21</v>
      </c>
      <c r="BE13" s="203">
        <f t="shared" si="6"/>
        <v>1</v>
      </c>
      <c r="BF13" s="203">
        <f t="shared" si="7"/>
        <v>0</v>
      </c>
      <c r="BG13" s="193" t="str">
        <f t="shared" si="10"/>
        <v>Severe</v>
      </c>
      <c r="BH13" s="194"/>
    </row>
    <row r="14" spans="1:60" ht="25.5" x14ac:dyDescent="0.25">
      <c r="A14" s="148">
        <v>12</v>
      </c>
      <c r="B14" s="140" t="s">
        <v>1997</v>
      </c>
      <c r="C14" s="191"/>
      <c r="D14" s="217" t="s">
        <v>1998</v>
      </c>
      <c r="E14" s="217" t="s">
        <v>2254</v>
      </c>
      <c r="F14" s="191"/>
      <c r="G14" s="217" t="s">
        <v>2255</v>
      </c>
      <c r="H14" s="217" t="s">
        <v>579</v>
      </c>
      <c r="I14" s="218" t="s">
        <v>2256</v>
      </c>
      <c r="J14" s="191"/>
      <c r="K14" s="191">
        <v>11</v>
      </c>
      <c r="L14" s="191"/>
      <c r="M14" s="219" t="str">
        <f t="shared" si="8"/>
        <v>&lt;5 yrs</v>
      </c>
      <c r="N14" s="194" t="str">
        <f t="shared" si="9"/>
        <v>F</v>
      </c>
      <c r="O14" s="141">
        <v>1</v>
      </c>
      <c r="P14" s="141">
        <v>1</v>
      </c>
      <c r="Q14" s="141">
        <v>1</v>
      </c>
      <c r="R14" s="141">
        <v>1</v>
      </c>
      <c r="S14" s="141">
        <v>1</v>
      </c>
      <c r="T14" s="141">
        <v>1</v>
      </c>
      <c r="U1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4" s="195">
        <v>46041</v>
      </c>
      <c r="W14" s="141" t="s">
        <v>2235</v>
      </c>
      <c r="X14" s="217" t="s">
        <v>2257</v>
      </c>
      <c r="Y14" s="191" t="s">
        <v>1684</v>
      </c>
      <c r="Z14" s="191"/>
      <c r="AA14" s="218" t="s">
        <v>2258</v>
      </c>
      <c r="AB14" s="195">
        <v>45909</v>
      </c>
      <c r="AC14" s="196">
        <v>45910</v>
      </c>
      <c r="AD14" s="193">
        <f>IF(Referral4[[#This Row],[DOA
(mm-dd-yyy)]]="","",(Referral4[[#This Row],[DOD
(mm-dd-yyy)]]-Referral4[[#This Row],[DOA
(mm-dd-yyy)]])+1)</f>
        <v>2</v>
      </c>
      <c r="AE14" s="217" t="s">
        <v>2257</v>
      </c>
      <c r="AF14" s="191" t="s">
        <v>1825</v>
      </c>
      <c r="AG14" s="141" t="str">
        <f t="array" ref="AG14">IF(AF14="","",
IF(Y14="EmOC",VLOOKUP(AF14,Data_validation!$R$1:$S$93,2,FALSE),
IF(Y14="ECC",VLOOKUP(AF14,Data_validation!$T$1:$U$151,2,FALSE),
IF(Y14="Other",VLOOKUP(AF14,Data_validation!$V$1:$W$19,2,FALSE),
VLOOKUP(AF14,Data_validation!$X$1:$Y$3,2,FALSE)))))</f>
        <v>Diarrhoea/GE</v>
      </c>
      <c r="AH14" s="191"/>
      <c r="AI14" s="205" t="s">
        <v>2238</v>
      </c>
      <c r="AJ14" s="141" t="s">
        <v>654</v>
      </c>
      <c r="AK14" s="141" t="s">
        <v>654</v>
      </c>
      <c r="AL14" s="141" t="s">
        <v>654</v>
      </c>
      <c r="AM14" s="141" t="s">
        <v>654</v>
      </c>
      <c r="AN14" s="195">
        <v>46041</v>
      </c>
      <c r="AO14" s="193" t="str">
        <f t="shared" si="11"/>
        <v>January</v>
      </c>
      <c r="AP14" s="193">
        <f t="shared" si="12"/>
        <v>2026</v>
      </c>
      <c r="AQ14" s="198" t="str">
        <f>IF(Referral4[[#This Row],[Claimed_Date
(mmm-dd-yyy)]]="","",IF(AND(MONTH(Referral4[[#This Row],[Claimed_Date
(mmm-dd-yyy)]])&gt;4,MONTH(Referral4[[#This Row],[Claimed_Date
(mmm-dd-yyy)]])&lt;11),"S1","S2"))</f>
        <v>S2</v>
      </c>
      <c r="AR1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14" s="145" t="s">
        <v>2227</v>
      </c>
      <c r="AT14" s="199">
        <v>40000</v>
      </c>
      <c r="AU14" s="200">
        <v>200000</v>
      </c>
      <c r="AV14" s="159">
        <f t="shared" si="4"/>
        <v>240000</v>
      </c>
      <c r="AW14" s="202" t="s">
        <v>2361</v>
      </c>
      <c r="AX14" s="141" t="s">
        <v>21</v>
      </c>
      <c r="AY14" s="141" t="s">
        <v>21</v>
      </c>
      <c r="AZ14" s="141" t="s">
        <v>21</v>
      </c>
      <c r="BA14" s="141" t="s">
        <v>21</v>
      </c>
      <c r="BB14" s="141" t="s">
        <v>21</v>
      </c>
      <c r="BC14" s="141" t="s">
        <v>21</v>
      </c>
      <c r="BD14" s="141" t="s">
        <v>21</v>
      </c>
      <c r="BE14" s="203">
        <f t="shared" si="6"/>
        <v>1</v>
      </c>
      <c r="BF14" s="203">
        <f t="shared" si="7"/>
        <v>0</v>
      </c>
      <c r="BG14" s="193" t="str">
        <f t="shared" si="10"/>
        <v>Severe</v>
      </c>
      <c r="BH14" s="194"/>
    </row>
    <row r="15" spans="1:60" ht="25.5" x14ac:dyDescent="0.25">
      <c r="A15" s="140">
        <v>13</v>
      </c>
      <c r="B15" s="140" t="s">
        <v>1997</v>
      </c>
      <c r="C15" s="191"/>
      <c r="D15" s="217" t="s">
        <v>1998</v>
      </c>
      <c r="E15" s="217" t="s">
        <v>2254</v>
      </c>
      <c r="F15" s="191"/>
      <c r="G15" s="217" t="s">
        <v>2255</v>
      </c>
      <c r="H15" s="217" t="s">
        <v>579</v>
      </c>
      <c r="I15" s="218" t="s">
        <v>2259</v>
      </c>
      <c r="J15" s="191">
        <v>1</v>
      </c>
      <c r="K15" s="191">
        <v>9</v>
      </c>
      <c r="L15" s="191"/>
      <c r="M15" s="219" t="str">
        <f t="shared" si="8"/>
        <v>&lt;5 yrs</v>
      </c>
      <c r="N15" s="194" t="str">
        <f t="shared" si="9"/>
        <v>F</v>
      </c>
      <c r="O15" s="141">
        <v>1</v>
      </c>
      <c r="P15" s="141">
        <v>1</v>
      </c>
      <c r="Q15" s="141">
        <v>1</v>
      </c>
      <c r="R15" s="141">
        <v>1</v>
      </c>
      <c r="S15" s="141">
        <v>1</v>
      </c>
      <c r="T15" s="141">
        <v>1</v>
      </c>
      <c r="U1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5" s="195">
        <v>46041</v>
      </c>
      <c r="W15" s="141" t="s">
        <v>2235</v>
      </c>
      <c r="X15" s="141" t="s">
        <v>2225</v>
      </c>
      <c r="Y15" s="191" t="s">
        <v>1684</v>
      </c>
      <c r="Z15" s="191"/>
      <c r="AA15" s="218" t="s">
        <v>2258</v>
      </c>
      <c r="AB15" s="195">
        <v>46017</v>
      </c>
      <c r="AC15" s="196">
        <v>46019</v>
      </c>
      <c r="AD15" s="193">
        <f>IF(Referral4[[#This Row],[DOA
(mm-dd-yyy)]]="","",(Referral4[[#This Row],[DOD
(mm-dd-yyy)]]-Referral4[[#This Row],[DOA
(mm-dd-yyy)]])+1)</f>
        <v>3</v>
      </c>
      <c r="AE15" s="141" t="s">
        <v>2225</v>
      </c>
      <c r="AF15" s="191" t="s">
        <v>1700</v>
      </c>
      <c r="AG15" s="141" t="str">
        <f t="array" ref="AG15">IF(AF15="","",
IF(Y15="EmOC",VLOOKUP(AF15,Data_validation!$R$1:$S$93,2,FALSE),
IF(Y15="ECC",VLOOKUP(AF15,Data_validation!$T$1:$U$151,2,FALSE),
IF(Y15="Other",VLOOKUP(AF15,Data_validation!$V$1:$W$19,2,FALSE),
VLOOKUP(AF15,Data_validation!$X$1:$Y$3,2,FALSE)))))</f>
        <v>Pneumonia</v>
      </c>
      <c r="AH15" s="191"/>
      <c r="AI15" s="205" t="s">
        <v>2238</v>
      </c>
      <c r="AJ15" s="141" t="s">
        <v>654</v>
      </c>
      <c r="AK15" s="141" t="s">
        <v>654</v>
      </c>
      <c r="AL15" s="141" t="s">
        <v>654</v>
      </c>
      <c r="AM15" s="141" t="s">
        <v>654</v>
      </c>
      <c r="AN15" s="195">
        <v>46041</v>
      </c>
      <c r="AO15" s="193" t="str">
        <f t="shared" si="11"/>
        <v>January</v>
      </c>
      <c r="AP15" s="193">
        <f t="shared" si="12"/>
        <v>2026</v>
      </c>
      <c r="AQ15" s="198" t="str">
        <f>IF(Referral4[[#This Row],[Claimed_Date
(mmm-dd-yyy)]]="","",IF(AND(MONTH(Referral4[[#This Row],[Claimed_Date
(mmm-dd-yyy)]])&gt;4,MONTH(Referral4[[#This Row],[Claimed_Date
(mmm-dd-yyy)]])&lt;11),"S1","S2"))</f>
        <v>S2</v>
      </c>
      <c r="AR1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15" s="145" t="s">
        <v>2227</v>
      </c>
      <c r="AT15" s="199">
        <v>60000</v>
      </c>
      <c r="AU15" s="200">
        <v>200000</v>
      </c>
      <c r="AV15" s="159">
        <f t="shared" si="4"/>
        <v>260000</v>
      </c>
      <c r="AW15" s="202" t="s">
        <v>2361</v>
      </c>
      <c r="AX15" s="141" t="s">
        <v>21</v>
      </c>
      <c r="AY15" s="141" t="s">
        <v>21</v>
      </c>
      <c r="AZ15" s="141" t="s">
        <v>21</v>
      </c>
      <c r="BA15" s="141" t="s">
        <v>21</v>
      </c>
      <c r="BB15" s="141" t="s">
        <v>21</v>
      </c>
      <c r="BC15" s="141" t="s">
        <v>21</v>
      </c>
      <c r="BD15" s="141" t="s">
        <v>21</v>
      </c>
      <c r="BE15" s="203">
        <f t="shared" si="6"/>
        <v>1</v>
      </c>
      <c r="BF15" s="203">
        <f t="shared" si="7"/>
        <v>0</v>
      </c>
      <c r="BG15" s="193" t="str">
        <f t="shared" si="10"/>
        <v>Severe</v>
      </c>
      <c r="BH15" s="194"/>
    </row>
    <row r="16" spans="1:60" ht="25.5" x14ac:dyDescent="0.25">
      <c r="A16" s="148">
        <v>14</v>
      </c>
      <c r="B16" s="140" t="s">
        <v>1997</v>
      </c>
      <c r="C16" s="191"/>
      <c r="D16" s="217" t="s">
        <v>1998</v>
      </c>
      <c r="E16" s="217" t="s">
        <v>2254</v>
      </c>
      <c r="F16" s="191"/>
      <c r="G16" s="217" t="s">
        <v>2255</v>
      </c>
      <c r="H16" s="217" t="s">
        <v>579</v>
      </c>
      <c r="I16" s="218" t="s">
        <v>2260</v>
      </c>
      <c r="J16" s="191">
        <v>1</v>
      </c>
      <c r="K16" s="191">
        <v>1</v>
      </c>
      <c r="L16" s="191"/>
      <c r="M16" s="219" t="str">
        <f t="shared" si="8"/>
        <v>&lt;5 yrs</v>
      </c>
      <c r="N16" s="194" t="str">
        <f t="shared" si="9"/>
        <v>M</v>
      </c>
      <c r="O16" s="141">
        <v>1</v>
      </c>
      <c r="P16" s="141">
        <v>1</v>
      </c>
      <c r="Q16" s="141">
        <v>1</v>
      </c>
      <c r="R16" s="141">
        <v>1</v>
      </c>
      <c r="S16" s="141">
        <v>1</v>
      </c>
      <c r="T16" s="141">
        <v>1</v>
      </c>
      <c r="U1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6" s="195">
        <v>46041</v>
      </c>
      <c r="W16" s="141" t="s">
        <v>2235</v>
      </c>
      <c r="X16" s="141" t="s">
        <v>2261</v>
      </c>
      <c r="Y16" s="191" t="s">
        <v>1684</v>
      </c>
      <c r="Z16" s="191"/>
      <c r="AA16" s="218" t="s">
        <v>2258</v>
      </c>
      <c r="AB16" s="195">
        <v>45968</v>
      </c>
      <c r="AC16" s="196">
        <v>45987</v>
      </c>
      <c r="AD16" s="193">
        <f>IF(Referral4[[#This Row],[DOA
(mm-dd-yyy)]]="","",(Referral4[[#This Row],[DOD
(mm-dd-yyy)]]-Referral4[[#This Row],[DOA
(mm-dd-yyy)]])+1)</f>
        <v>20</v>
      </c>
      <c r="AE16" s="141" t="s">
        <v>2261</v>
      </c>
      <c r="AF16" s="191" t="s">
        <v>1700</v>
      </c>
      <c r="AG16" s="141" t="str">
        <f t="array" ref="AG16">IF(AF16="","",
IF(Y16="EmOC",VLOOKUP(AF16,Data_validation!$R$1:$S$93,2,FALSE),
IF(Y16="ECC",VLOOKUP(AF16,Data_validation!$T$1:$U$151,2,FALSE),
IF(Y16="Other",VLOOKUP(AF16,Data_validation!$V$1:$W$19,2,FALSE),
VLOOKUP(AF16,Data_validation!$X$1:$Y$3,2,FALSE)))))</f>
        <v>Pneumonia</v>
      </c>
      <c r="AH16" s="191"/>
      <c r="AI16" s="205" t="s">
        <v>2238</v>
      </c>
      <c r="AJ16" s="141" t="s">
        <v>654</v>
      </c>
      <c r="AK16" s="141" t="s">
        <v>654</v>
      </c>
      <c r="AL16" s="141" t="s">
        <v>654</v>
      </c>
      <c r="AM16" s="141" t="s">
        <v>654</v>
      </c>
      <c r="AN16" s="195">
        <v>46041</v>
      </c>
      <c r="AO16" s="193" t="str">
        <f t="shared" si="11"/>
        <v>January</v>
      </c>
      <c r="AP16" s="193">
        <f t="shared" si="12"/>
        <v>2026</v>
      </c>
      <c r="AQ16" s="198" t="str">
        <f>IF(Referral4[[#This Row],[Claimed_Date
(mmm-dd-yyy)]]="","",IF(AND(MONTH(Referral4[[#This Row],[Claimed_Date
(mmm-dd-yyy)]])&gt;4,MONTH(Referral4[[#This Row],[Claimed_Date
(mmm-dd-yyy)]])&lt;11),"S1","S2"))</f>
        <v>S2</v>
      </c>
      <c r="AR16"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16" s="145" t="s">
        <v>2227</v>
      </c>
      <c r="AT16" s="199">
        <v>100000</v>
      </c>
      <c r="AU16" s="200">
        <v>200000</v>
      </c>
      <c r="AV16" s="159">
        <f t="shared" si="4"/>
        <v>300000</v>
      </c>
      <c r="AW16" s="202" t="s">
        <v>2361</v>
      </c>
      <c r="AX16" s="141" t="s">
        <v>21</v>
      </c>
      <c r="AY16" s="141" t="s">
        <v>21</v>
      </c>
      <c r="AZ16" s="141" t="s">
        <v>21</v>
      </c>
      <c r="BA16" s="141" t="s">
        <v>21</v>
      </c>
      <c r="BB16" s="141" t="s">
        <v>21</v>
      </c>
      <c r="BC16" s="141" t="s">
        <v>21</v>
      </c>
      <c r="BD16" s="141" t="s">
        <v>21</v>
      </c>
      <c r="BE16" s="203">
        <f t="shared" si="6"/>
        <v>1</v>
      </c>
      <c r="BF16" s="203">
        <f t="shared" si="7"/>
        <v>0</v>
      </c>
      <c r="BG16" s="193" t="str">
        <f t="shared" si="10"/>
        <v>Severe</v>
      </c>
      <c r="BH16" s="194"/>
    </row>
    <row r="17" spans="1:60" ht="25.5" x14ac:dyDescent="0.25">
      <c r="A17" s="140">
        <v>15</v>
      </c>
      <c r="B17" s="140" t="s">
        <v>1997</v>
      </c>
      <c r="C17" s="191"/>
      <c r="D17" s="217" t="s">
        <v>1998</v>
      </c>
      <c r="E17" s="217" t="s">
        <v>1999</v>
      </c>
      <c r="F17" s="191"/>
      <c r="G17" s="217" t="s">
        <v>2001</v>
      </c>
      <c r="H17" s="217" t="s">
        <v>579</v>
      </c>
      <c r="I17" s="218" t="s">
        <v>2262</v>
      </c>
      <c r="J17" s="191">
        <v>25</v>
      </c>
      <c r="K17" s="191"/>
      <c r="L17" s="191"/>
      <c r="M17" s="219" t="str">
        <f t="shared" si="8"/>
        <v>19 - 49 yrs</v>
      </c>
      <c r="N17" s="194" t="str">
        <f t="shared" si="9"/>
        <v>F</v>
      </c>
      <c r="O17" s="141">
        <v>1</v>
      </c>
      <c r="P17" s="141">
        <v>1</v>
      </c>
      <c r="Q17" s="141">
        <v>1</v>
      </c>
      <c r="R17" s="141">
        <v>1</v>
      </c>
      <c r="S17" s="141">
        <v>1</v>
      </c>
      <c r="T17" s="141">
        <v>1</v>
      </c>
      <c r="U1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7" s="195">
        <v>46031</v>
      </c>
      <c r="W17" s="141" t="s">
        <v>2235</v>
      </c>
      <c r="X17" s="217" t="s">
        <v>2263</v>
      </c>
      <c r="Y17" s="191" t="s">
        <v>1681</v>
      </c>
      <c r="Z17" s="217" t="s">
        <v>2265</v>
      </c>
      <c r="AA17" s="218" t="s">
        <v>2264</v>
      </c>
      <c r="AB17" s="195">
        <v>46010</v>
      </c>
      <c r="AC17" s="221">
        <v>46011</v>
      </c>
      <c r="AD17" s="193">
        <f>IF(Referral4[[#This Row],[DOA
(mm-dd-yyy)]]="","",(Referral4[[#This Row],[DOD
(mm-dd-yyy)]]-Referral4[[#This Row],[DOA
(mm-dd-yyy)]])+1)</f>
        <v>2</v>
      </c>
      <c r="AE17" s="217" t="s">
        <v>2263</v>
      </c>
      <c r="AF17" s="191" t="s">
        <v>1692</v>
      </c>
      <c r="AG17" s="141" t="str">
        <f t="array" ref="AG17">IF(AF17="","",
IF(Y17="EmOC",VLOOKUP(AF17,Data_validation!$R$1:$S$93,2,FALSE),
IF(Y17="ECC",VLOOKUP(AF17,Data_validation!$T$1:$U$151,2,FALSE),
IF(Y17="Other",VLOOKUP(AF17,Data_validation!$V$1:$W$19,2,FALSE),
VLOOKUP(AF17,Data_validation!$X$1:$Y$3,2,FALSE)))))</f>
        <v xml:space="preserve">Prolonged/Obstructed labour </v>
      </c>
      <c r="AH17" s="143" t="s">
        <v>1683</v>
      </c>
      <c r="AI17" s="205" t="s">
        <v>2363</v>
      </c>
      <c r="AJ17" s="141" t="s">
        <v>654</v>
      </c>
      <c r="AK17" s="141" t="s">
        <v>654</v>
      </c>
      <c r="AL17" s="141" t="s">
        <v>654</v>
      </c>
      <c r="AM17" s="141" t="s">
        <v>654</v>
      </c>
      <c r="AN17" s="195">
        <v>46031</v>
      </c>
      <c r="AO17" s="193" t="str">
        <f t="shared" si="11"/>
        <v>January</v>
      </c>
      <c r="AP17" s="193">
        <f t="shared" si="12"/>
        <v>2026</v>
      </c>
      <c r="AQ17" s="198" t="str">
        <f>IF(Referral4[[#This Row],[Claimed_Date
(mmm-dd-yyy)]]="","",IF(AND(MONTH(Referral4[[#This Row],[Claimed_Date
(mmm-dd-yyy)]])&gt;4,MONTH(Referral4[[#This Row],[Claimed_Date
(mmm-dd-yyy)]])&lt;11),"S1","S2"))</f>
        <v>S2</v>
      </c>
      <c r="AR1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17" s="145" t="s">
        <v>2227</v>
      </c>
      <c r="AT17" s="199">
        <v>40000</v>
      </c>
      <c r="AU17" s="200">
        <v>100000</v>
      </c>
      <c r="AV17" s="159">
        <f t="shared" si="4"/>
        <v>140000</v>
      </c>
      <c r="AW17" s="202"/>
      <c r="AX17" s="141" t="s">
        <v>21</v>
      </c>
      <c r="AY17" s="141" t="s">
        <v>21</v>
      </c>
      <c r="AZ17" s="141" t="s">
        <v>21</v>
      </c>
      <c r="BA17" s="141" t="s">
        <v>21</v>
      </c>
      <c r="BB17" s="141" t="s">
        <v>21</v>
      </c>
      <c r="BC17" s="141" t="s">
        <v>21</v>
      </c>
      <c r="BD17" s="141" t="s">
        <v>21</v>
      </c>
      <c r="BE17" s="203">
        <f t="shared" si="6"/>
        <v>1</v>
      </c>
      <c r="BF17" s="203">
        <f t="shared" si="7"/>
        <v>0</v>
      </c>
      <c r="BG17" s="193" t="str">
        <f t="shared" si="10"/>
        <v>Severe</v>
      </c>
      <c r="BH17" s="194"/>
    </row>
    <row r="18" spans="1:60" s="216" customFormat="1" ht="25.5" x14ac:dyDescent="0.25">
      <c r="A18" s="241">
        <v>16</v>
      </c>
      <c r="B18" s="204" t="s">
        <v>1997</v>
      </c>
      <c r="C18" s="222"/>
      <c r="D18" s="223" t="s">
        <v>1998</v>
      </c>
      <c r="E18" s="223" t="s">
        <v>1999</v>
      </c>
      <c r="F18" s="222"/>
      <c r="G18" s="223" t="s">
        <v>2266</v>
      </c>
      <c r="H18" s="223" t="s">
        <v>579</v>
      </c>
      <c r="I18" s="224" t="s">
        <v>2124</v>
      </c>
      <c r="J18" s="222">
        <v>27</v>
      </c>
      <c r="K18" s="222"/>
      <c r="L18" s="222"/>
      <c r="M18" s="219" t="str">
        <f t="shared" si="8"/>
        <v>19 - 49 yrs</v>
      </c>
      <c r="N18" s="219" t="str">
        <f t="shared" si="9"/>
        <v>F</v>
      </c>
      <c r="O18" s="205">
        <v>1</v>
      </c>
      <c r="P18" s="205">
        <v>1</v>
      </c>
      <c r="Q18" s="205">
        <v>1</v>
      </c>
      <c r="R18" s="205">
        <v>1</v>
      </c>
      <c r="S18" s="205">
        <v>1</v>
      </c>
      <c r="T18" s="205">
        <v>1</v>
      </c>
      <c r="U18" s="222"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8" s="225">
        <v>46031</v>
      </c>
      <c r="W18" s="205" t="s">
        <v>2235</v>
      </c>
      <c r="X18" s="223" t="s">
        <v>2267</v>
      </c>
      <c r="Y18" s="222" t="s">
        <v>1681</v>
      </c>
      <c r="Z18" s="223" t="s">
        <v>2265</v>
      </c>
      <c r="AA18" s="224" t="s">
        <v>2268</v>
      </c>
      <c r="AB18" s="225">
        <v>46018</v>
      </c>
      <c r="AC18" s="226">
        <v>46023</v>
      </c>
      <c r="AD18" s="219">
        <f>IF(Referral4[[#This Row],[DOA
(mm-dd-yyy)]]="","",(Referral4[[#This Row],[DOD
(mm-dd-yyy)]]-Referral4[[#This Row],[DOA
(mm-dd-yyy)]])+1)</f>
        <v>6</v>
      </c>
      <c r="AE18" s="223" t="s">
        <v>2267</v>
      </c>
      <c r="AF18" s="222" t="s">
        <v>1738</v>
      </c>
      <c r="AG18" s="205" t="str">
        <f t="array" ref="AG18">IF(AF18="","",
IF(Y18="EmOC",VLOOKUP(AF18,Data_validation!$R$1:$S$93,2,FALSE),
IF(Y18="ECC",VLOOKUP(AF18,Data_validation!$T$1:$U$151,2,FALSE),
IF(Y18="Other",VLOOKUP(AF18,Data_validation!$V$1:$W$19,2,FALSE),
VLOOKUP(AF18,Data_validation!$X$1:$Y$3,2,FALSE)))))</f>
        <v xml:space="preserve">High risk pregnancy </v>
      </c>
      <c r="AH18" s="206" t="s">
        <v>1683</v>
      </c>
      <c r="AI18" s="205" t="s">
        <v>3069</v>
      </c>
      <c r="AJ18" s="205" t="s">
        <v>654</v>
      </c>
      <c r="AK18" s="205" t="s">
        <v>2420</v>
      </c>
      <c r="AL18" s="205" t="s">
        <v>654</v>
      </c>
      <c r="AM18" s="205" t="s">
        <v>654</v>
      </c>
      <c r="AN18" s="225">
        <v>46031</v>
      </c>
      <c r="AO18" s="219" t="str">
        <f t="shared" si="11"/>
        <v>January</v>
      </c>
      <c r="AP18" s="219">
        <f t="shared" si="12"/>
        <v>2026</v>
      </c>
      <c r="AQ18" s="227" t="str">
        <f>IF(Referral4[[#This Row],[Claimed_Date
(mmm-dd-yyy)]]="","",IF(AND(MONTH(Referral4[[#This Row],[Claimed_Date
(mmm-dd-yyy)]])&gt;4,MONTH(Referral4[[#This Row],[Claimed_Date
(mmm-dd-yyy)]])&lt;11),"S1","S2"))</f>
        <v>S2</v>
      </c>
      <c r="AR18" s="219">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6</v>
      </c>
      <c r="AS18" s="211" t="s">
        <v>2227</v>
      </c>
      <c r="AT18" s="228">
        <v>120000</v>
      </c>
      <c r="AU18" s="229">
        <v>100000</v>
      </c>
      <c r="AV18" s="240">
        <f t="shared" si="4"/>
        <v>220000</v>
      </c>
      <c r="AW18" s="230" t="s">
        <v>2421</v>
      </c>
      <c r="AX18" s="205" t="s">
        <v>21</v>
      </c>
      <c r="AY18" s="205" t="s">
        <v>21</v>
      </c>
      <c r="AZ18" s="205" t="s">
        <v>21</v>
      </c>
      <c r="BA18" s="205" t="s">
        <v>21</v>
      </c>
      <c r="BB18" s="205" t="s">
        <v>21</v>
      </c>
      <c r="BC18" s="205" t="s">
        <v>21</v>
      </c>
      <c r="BD18" s="205" t="s">
        <v>21</v>
      </c>
      <c r="BE18" s="214">
        <f t="shared" si="6"/>
        <v>1</v>
      </c>
      <c r="BF18" s="214">
        <f t="shared" si="7"/>
        <v>0</v>
      </c>
      <c r="BG18" s="219" t="str">
        <f t="shared" si="10"/>
        <v>Severe</v>
      </c>
      <c r="BH18" s="219"/>
    </row>
    <row r="19" spans="1:60" ht="25.5" x14ac:dyDescent="0.25">
      <c r="A19" s="140">
        <v>17</v>
      </c>
      <c r="B19" s="140" t="s">
        <v>1997</v>
      </c>
      <c r="C19" s="191"/>
      <c r="D19" s="217" t="s">
        <v>1998</v>
      </c>
      <c r="E19" s="217" t="s">
        <v>1999</v>
      </c>
      <c r="F19" s="191"/>
      <c r="G19" s="217" t="s">
        <v>2269</v>
      </c>
      <c r="H19" s="217" t="s">
        <v>579</v>
      </c>
      <c r="I19" s="218" t="s">
        <v>2270</v>
      </c>
      <c r="J19" s="191">
        <v>26</v>
      </c>
      <c r="K19" s="191"/>
      <c r="L19" s="191"/>
      <c r="M19" s="219" t="str">
        <f t="shared" si="8"/>
        <v>19 - 49 yrs</v>
      </c>
      <c r="N19" s="194" t="str">
        <f t="shared" si="9"/>
        <v>F</v>
      </c>
      <c r="O19" s="141">
        <v>1</v>
      </c>
      <c r="P19" s="141">
        <v>1</v>
      </c>
      <c r="Q19" s="141">
        <v>1</v>
      </c>
      <c r="R19" s="141">
        <v>1</v>
      </c>
      <c r="S19" s="141">
        <v>1</v>
      </c>
      <c r="T19" s="141">
        <v>1</v>
      </c>
      <c r="U1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19" s="195">
        <v>46031</v>
      </c>
      <c r="W19" s="141" t="s">
        <v>2235</v>
      </c>
      <c r="X19" s="217" t="s">
        <v>2271</v>
      </c>
      <c r="Y19" s="191" t="s">
        <v>1681</v>
      </c>
      <c r="Z19" s="217" t="s">
        <v>2265</v>
      </c>
      <c r="AA19" s="218" t="s">
        <v>2268</v>
      </c>
      <c r="AB19" s="195">
        <v>46020</v>
      </c>
      <c r="AC19" s="196">
        <v>46023</v>
      </c>
      <c r="AD19" s="193">
        <f>IF(Referral4[[#This Row],[DOA
(mm-dd-yyy)]]="","",(Referral4[[#This Row],[DOD
(mm-dd-yyy)]]-Referral4[[#This Row],[DOA
(mm-dd-yyy)]])+1)</f>
        <v>4</v>
      </c>
      <c r="AE19" s="217" t="s">
        <v>2271</v>
      </c>
      <c r="AF19" s="191" t="s">
        <v>1719</v>
      </c>
      <c r="AG19" s="141" t="str">
        <f t="array" ref="AG19">IF(AF19="","",
IF(Y19="EmOC",VLOOKUP(AF19,Data_validation!$R$1:$S$93,2,FALSE),
IF(Y19="ECC",VLOOKUP(AF19,Data_validation!$T$1:$U$151,2,FALSE),
IF(Y19="Other",VLOOKUP(AF19,Data_validation!$V$1:$W$19,2,FALSE),
VLOOKUP(AF19,Data_validation!$X$1:$Y$3,2,FALSE)))))</f>
        <v xml:space="preserve">Fetal distress  </v>
      </c>
      <c r="AH19" s="143" t="s">
        <v>1683</v>
      </c>
      <c r="AI19" s="217" t="s">
        <v>3068</v>
      </c>
      <c r="AJ19" s="141" t="s">
        <v>654</v>
      </c>
      <c r="AK19" s="141" t="s">
        <v>654</v>
      </c>
      <c r="AL19" s="141" t="s">
        <v>654</v>
      </c>
      <c r="AM19" s="141" t="s">
        <v>654</v>
      </c>
      <c r="AN19" s="195">
        <v>46031</v>
      </c>
      <c r="AO19" s="193" t="str">
        <f t="shared" si="11"/>
        <v>January</v>
      </c>
      <c r="AP19" s="193">
        <f t="shared" si="12"/>
        <v>2026</v>
      </c>
      <c r="AQ19" s="198" t="str">
        <f>IF(Referral4[[#This Row],[Claimed_Date
(mmm-dd-yyy)]]="","",IF(AND(MONTH(Referral4[[#This Row],[Claimed_Date
(mmm-dd-yyy)]])&gt;4,MONTH(Referral4[[#This Row],[Claimed_Date
(mmm-dd-yyy)]])&lt;11),"S1","S2"))</f>
        <v>S2</v>
      </c>
      <c r="AR1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19" s="145" t="s">
        <v>2227</v>
      </c>
      <c r="AT19" s="199">
        <v>80000</v>
      </c>
      <c r="AU19" s="200">
        <v>100000</v>
      </c>
      <c r="AV19" s="159">
        <f t="shared" si="4"/>
        <v>180000</v>
      </c>
      <c r="AW19" s="202"/>
      <c r="AX19" s="141" t="s">
        <v>21</v>
      </c>
      <c r="AY19" s="141" t="s">
        <v>21</v>
      </c>
      <c r="AZ19" s="141" t="s">
        <v>21</v>
      </c>
      <c r="BA19" s="141" t="s">
        <v>21</v>
      </c>
      <c r="BB19" s="141" t="s">
        <v>21</v>
      </c>
      <c r="BC19" s="141" t="s">
        <v>21</v>
      </c>
      <c r="BD19" s="141" t="s">
        <v>21</v>
      </c>
      <c r="BE19" s="203">
        <f t="shared" si="6"/>
        <v>1</v>
      </c>
      <c r="BF19" s="203">
        <f t="shared" si="7"/>
        <v>0</v>
      </c>
      <c r="BG19" s="193" t="str">
        <f t="shared" si="10"/>
        <v>Severe</v>
      </c>
      <c r="BH19" s="194"/>
    </row>
    <row r="20" spans="1:60" ht="25.5" x14ac:dyDescent="0.25">
      <c r="A20" s="148">
        <v>18</v>
      </c>
      <c r="B20" s="140" t="s">
        <v>1997</v>
      </c>
      <c r="C20" s="191"/>
      <c r="D20" s="217" t="s">
        <v>2246</v>
      </c>
      <c r="E20" s="217" t="s">
        <v>2246</v>
      </c>
      <c r="F20" s="191"/>
      <c r="G20" s="217" t="s">
        <v>2272</v>
      </c>
      <c r="H20" s="217" t="s">
        <v>619</v>
      </c>
      <c r="I20" s="218" t="s">
        <v>2273</v>
      </c>
      <c r="J20" s="191">
        <v>12</v>
      </c>
      <c r="K20" s="191"/>
      <c r="L20" s="191"/>
      <c r="M20" s="219" t="str">
        <f t="shared" si="8"/>
        <v>5 - 14 yrs</v>
      </c>
      <c r="N20" s="194" t="str">
        <f t="shared" si="9"/>
        <v>M</v>
      </c>
      <c r="O20" s="141">
        <v>1</v>
      </c>
      <c r="P20" s="141">
        <v>1</v>
      </c>
      <c r="Q20" s="141">
        <v>1</v>
      </c>
      <c r="R20" s="141">
        <v>1</v>
      </c>
      <c r="S20" s="141">
        <v>1</v>
      </c>
      <c r="T20" s="141">
        <v>1</v>
      </c>
      <c r="U2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0" s="195">
        <v>46030</v>
      </c>
      <c r="W20" s="141" t="s">
        <v>2235</v>
      </c>
      <c r="X20" s="217" t="s">
        <v>2274</v>
      </c>
      <c r="Y20" s="191" t="s">
        <v>293</v>
      </c>
      <c r="Z20" s="191"/>
      <c r="AA20" s="218" t="s">
        <v>2258</v>
      </c>
      <c r="AB20" s="195">
        <v>45961</v>
      </c>
      <c r="AC20" s="196">
        <v>45963</v>
      </c>
      <c r="AD20" s="193">
        <f>IF(Referral4[[#This Row],[DOA
(mm-dd-yyy)]]="","",(Referral4[[#This Row],[DOD
(mm-dd-yyy)]]-Referral4[[#This Row],[DOA
(mm-dd-yyy)]])+1)</f>
        <v>3</v>
      </c>
      <c r="AE20" s="217" t="s">
        <v>2274</v>
      </c>
      <c r="AF20" s="191"/>
      <c r="AG20" s="141" t="str">
        <f t="array" ref="AG20">IF(AF20="","",
IF(Y20="EmOC",VLOOKUP(AF20,Data_validation!$R$1:$S$93,2,FALSE),
IF(Y20="ECC",VLOOKUP(AF20,Data_validation!$T$1:$U$151,2,FALSE),
IF(Y20="Other",VLOOKUP(AF20,Data_validation!$V$1:$W$19,2,FALSE),
VLOOKUP(AF20,Data_validation!$X$1:$Y$3,2,FALSE)))))</f>
        <v/>
      </c>
      <c r="AH20" s="191"/>
      <c r="AI20" s="205" t="s">
        <v>2238</v>
      </c>
      <c r="AJ20" s="141" t="s">
        <v>654</v>
      </c>
      <c r="AK20" s="141" t="s">
        <v>654</v>
      </c>
      <c r="AL20" s="141" t="s">
        <v>654</v>
      </c>
      <c r="AM20" s="141" t="s">
        <v>654</v>
      </c>
      <c r="AN20" s="195">
        <v>46030</v>
      </c>
      <c r="AO20" s="193" t="str">
        <f t="shared" si="11"/>
        <v>January</v>
      </c>
      <c r="AP20" s="193">
        <f t="shared" si="12"/>
        <v>2026</v>
      </c>
      <c r="AQ20" s="198" t="str">
        <f>IF(Referral4[[#This Row],[Claimed_Date
(mmm-dd-yyy)]]="","",IF(AND(MONTH(Referral4[[#This Row],[Claimed_Date
(mmm-dd-yyy)]])&gt;4,MONTH(Referral4[[#This Row],[Claimed_Date
(mmm-dd-yyy)]])&lt;11),"S1","S2"))</f>
        <v>S2</v>
      </c>
      <c r="AR2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20" s="145" t="s">
        <v>2227</v>
      </c>
      <c r="AT20" s="199">
        <v>60000</v>
      </c>
      <c r="AU20" s="200">
        <v>150000</v>
      </c>
      <c r="AV20" s="159">
        <f t="shared" si="4"/>
        <v>210000</v>
      </c>
      <c r="AW20" s="202"/>
      <c r="AX20" s="141" t="s">
        <v>21</v>
      </c>
      <c r="AY20" s="141" t="s">
        <v>21</v>
      </c>
      <c r="AZ20" s="141" t="s">
        <v>21</v>
      </c>
      <c r="BA20" s="141" t="s">
        <v>21</v>
      </c>
      <c r="BB20" s="141" t="s">
        <v>21</v>
      </c>
      <c r="BC20" s="141" t="s">
        <v>21</v>
      </c>
      <c r="BD20" s="141" t="s">
        <v>21</v>
      </c>
      <c r="BE20" s="203">
        <f t="shared" si="6"/>
        <v>1</v>
      </c>
      <c r="BF20" s="203">
        <f t="shared" si="7"/>
        <v>0</v>
      </c>
      <c r="BG20" s="193" t="str">
        <f t="shared" si="10"/>
        <v>Severe</v>
      </c>
      <c r="BH20" s="194"/>
    </row>
    <row r="21" spans="1:60" ht="25.5" x14ac:dyDescent="0.25">
      <c r="A21" s="140">
        <v>19</v>
      </c>
      <c r="B21" s="140" t="s">
        <v>1997</v>
      </c>
      <c r="C21" s="191"/>
      <c r="D21" s="217" t="s">
        <v>1998</v>
      </c>
      <c r="E21" s="217" t="s">
        <v>2254</v>
      </c>
      <c r="F21" s="191"/>
      <c r="G21" s="217" t="s">
        <v>2275</v>
      </c>
      <c r="H21" s="217" t="s">
        <v>579</v>
      </c>
      <c r="I21" s="218" t="s">
        <v>2276</v>
      </c>
      <c r="J21" s="191"/>
      <c r="K21" s="191">
        <v>8</v>
      </c>
      <c r="L21" s="191"/>
      <c r="M21" s="219" t="str">
        <f t="shared" si="8"/>
        <v>&lt;5 yrs</v>
      </c>
      <c r="N21" s="194" t="str">
        <f t="shared" si="9"/>
        <v>F</v>
      </c>
      <c r="O21" s="141">
        <v>1</v>
      </c>
      <c r="P21" s="141">
        <v>1</v>
      </c>
      <c r="Q21" s="141">
        <v>1</v>
      </c>
      <c r="R21" s="141">
        <v>1</v>
      </c>
      <c r="S21" s="141">
        <v>1</v>
      </c>
      <c r="T21" s="141">
        <v>1</v>
      </c>
      <c r="U2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1" s="195">
        <v>46030</v>
      </c>
      <c r="W21" s="141" t="s">
        <v>2235</v>
      </c>
      <c r="X21" s="217" t="s">
        <v>2277</v>
      </c>
      <c r="Y21" s="191" t="s">
        <v>1684</v>
      </c>
      <c r="Z21" s="191"/>
      <c r="AA21" s="218" t="s">
        <v>2258</v>
      </c>
      <c r="AB21" s="195">
        <v>46014</v>
      </c>
      <c r="AC21" s="196">
        <v>46020</v>
      </c>
      <c r="AD21" s="193">
        <f>IF(Referral4[[#This Row],[DOA
(mm-dd-yyy)]]="","",(Referral4[[#This Row],[DOD
(mm-dd-yyy)]]-Referral4[[#This Row],[DOA
(mm-dd-yyy)]])+1)</f>
        <v>7</v>
      </c>
      <c r="AE21" s="217" t="s">
        <v>2277</v>
      </c>
      <c r="AF21" s="191" t="s">
        <v>1741</v>
      </c>
      <c r="AG21" s="141" t="str">
        <f t="array" ref="AG21">IF(AF21="","",
IF(Y21="EmOC",VLOOKUP(AF21,Data_validation!$R$1:$S$93,2,FALSE),
IF(Y21="ECC",VLOOKUP(AF21,Data_validation!$T$1:$U$151,2,FALSE),
IF(Y21="Other",VLOOKUP(AF21,Data_validation!$V$1:$W$19,2,FALSE),
VLOOKUP(AF21,Data_validation!$X$1:$Y$3,2,FALSE)))))</f>
        <v>ARI/RTI</v>
      </c>
      <c r="AH21" s="191"/>
      <c r="AI21" s="205" t="s">
        <v>2238</v>
      </c>
      <c r="AJ21" s="141" t="s">
        <v>654</v>
      </c>
      <c r="AK21" s="141" t="s">
        <v>654</v>
      </c>
      <c r="AL21" s="141" t="s">
        <v>654</v>
      </c>
      <c r="AM21" s="141" t="s">
        <v>654</v>
      </c>
      <c r="AN21" s="195">
        <v>46030</v>
      </c>
      <c r="AO21" s="193" t="str">
        <f t="shared" si="11"/>
        <v>January</v>
      </c>
      <c r="AP21" s="193">
        <f t="shared" si="12"/>
        <v>2026</v>
      </c>
      <c r="AQ21" s="198" t="str">
        <f>IF(Referral4[[#This Row],[Claimed_Date
(mmm-dd-yyy)]]="","",IF(AND(MONTH(Referral4[[#This Row],[Claimed_Date
(mmm-dd-yyy)]])&gt;4,MONTH(Referral4[[#This Row],[Claimed_Date
(mmm-dd-yyy)]])&lt;11),"S1","S2"))</f>
        <v>S2</v>
      </c>
      <c r="AR2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21" s="145" t="s">
        <v>2227</v>
      </c>
      <c r="AT21" s="199">
        <v>100000</v>
      </c>
      <c r="AU21" s="200">
        <v>200000</v>
      </c>
      <c r="AV21" s="159">
        <f t="shared" si="4"/>
        <v>300000</v>
      </c>
      <c r="AW21" s="202" t="s">
        <v>2361</v>
      </c>
      <c r="AX21" s="141" t="s">
        <v>21</v>
      </c>
      <c r="AY21" s="141" t="s">
        <v>21</v>
      </c>
      <c r="AZ21" s="141" t="s">
        <v>21</v>
      </c>
      <c r="BA21" s="141" t="s">
        <v>21</v>
      </c>
      <c r="BB21" s="141" t="s">
        <v>21</v>
      </c>
      <c r="BC21" s="141" t="s">
        <v>21</v>
      </c>
      <c r="BD21" s="141" t="s">
        <v>21</v>
      </c>
      <c r="BE21" s="203">
        <f t="shared" si="6"/>
        <v>1</v>
      </c>
      <c r="BF21" s="203">
        <f t="shared" si="7"/>
        <v>0</v>
      </c>
      <c r="BG21" s="193" t="str">
        <f t="shared" si="10"/>
        <v>Severe</v>
      </c>
      <c r="BH21" s="194"/>
    </row>
    <row r="22" spans="1:60" ht="25.5" x14ac:dyDescent="0.25">
      <c r="A22" s="148">
        <v>20</v>
      </c>
      <c r="B22" s="140" t="s">
        <v>1997</v>
      </c>
      <c r="C22" s="191"/>
      <c r="D22" s="217" t="s">
        <v>1998</v>
      </c>
      <c r="E22" s="217" t="s">
        <v>1999</v>
      </c>
      <c r="F22" s="191"/>
      <c r="G22" s="217" t="s">
        <v>2278</v>
      </c>
      <c r="H22" s="217" t="s">
        <v>579</v>
      </c>
      <c r="I22" s="218" t="s">
        <v>2279</v>
      </c>
      <c r="J22" s="191">
        <v>66</v>
      </c>
      <c r="K22" s="191"/>
      <c r="L22" s="191"/>
      <c r="M22" s="219" t="str">
        <f t="shared" si="8"/>
        <v>50 yrs +</v>
      </c>
      <c r="N22" s="194" t="str">
        <f t="shared" si="9"/>
        <v>M</v>
      </c>
      <c r="O22" s="141">
        <v>1</v>
      </c>
      <c r="P22" s="141">
        <v>1</v>
      </c>
      <c r="Q22" s="141">
        <v>1</v>
      </c>
      <c r="R22" s="141">
        <v>1</v>
      </c>
      <c r="S22" s="141">
        <v>1</v>
      </c>
      <c r="T22" s="141">
        <v>1</v>
      </c>
      <c r="U2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2" s="195">
        <v>46031</v>
      </c>
      <c r="W22" s="141" t="s">
        <v>2235</v>
      </c>
      <c r="X22" s="217" t="s">
        <v>2280</v>
      </c>
      <c r="Y22" s="191" t="s">
        <v>293</v>
      </c>
      <c r="Z22" s="191"/>
      <c r="AA22" s="218" t="s">
        <v>2253</v>
      </c>
      <c r="AB22" s="195">
        <v>45999</v>
      </c>
      <c r="AC22" s="196">
        <v>46002</v>
      </c>
      <c r="AD22" s="193">
        <f>IF(Referral4[[#This Row],[DOA
(mm-dd-yyy)]]="","",(Referral4[[#This Row],[DOD
(mm-dd-yyy)]]-Referral4[[#This Row],[DOA
(mm-dd-yyy)]])+1)</f>
        <v>4</v>
      </c>
      <c r="AE22" s="217" t="s">
        <v>2280</v>
      </c>
      <c r="AF22" s="191" t="s">
        <v>1689</v>
      </c>
      <c r="AG22" s="141" t="str">
        <f t="array" ref="AG22">IF(AF22="","",
IF(Y22="EmOC",VLOOKUP(AF22,Data_validation!$R$1:$S$93,2,FALSE),
IF(Y22="ECC",VLOOKUP(AF22,Data_validation!$T$1:$U$151,2,FALSE),
IF(Y22="Other",VLOOKUP(AF22,Data_validation!$V$1:$W$19,2,FALSE),
VLOOKUP(AF22,Data_validation!$X$1:$Y$3,2,FALSE)))))</f>
        <v>Ischemic Heart Disease</v>
      </c>
      <c r="AH22" s="191"/>
      <c r="AI22" s="205" t="s">
        <v>2238</v>
      </c>
      <c r="AJ22" s="141" t="s">
        <v>654</v>
      </c>
      <c r="AK22" s="141" t="s">
        <v>654</v>
      </c>
      <c r="AL22" s="141" t="s">
        <v>654</v>
      </c>
      <c r="AM22" s="141" t="s">
        <v>654</v>
      </c>
      <c r="AN22" s="195">
        <v>46031</v>
      </c>
      <c r="AO22" s="193" t="str">
        <f t="shared" si="11"/>
        <v>January</v>
      </c>
      <c r="AP22" s="193">
        <f t="shared" si="12"/>
        <v>2026</v>
      </c>
      <c r="AQ22" s="198" t="str">
        <f>IF(Referral4[[#This Row],[Claimed_Date
(mmm-dd-yyy)]]="","",IF(AND(MONTH(Referral4[[#This Row],[Claimed_Date
(mmm-dd-yyy)]])&gt;4,MONTH(Referral4[[#This Row],[Claimed_Date
(mmm-dd-yyy)]])&lt;11),"S1","S2"))</f>
        <v>S2</v>
      </c>
      <c r="AR2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22" s="145" t="s">
        <v>2227</v>
      </c>
      <c r="AT22" s="199">
        <v>80000</v>
      </c>
      <c r="AU22" s="200">
        <v>150000</v>
      </c>
      <c r="AV22" s="159">
        <f t="shared" si="4"/>
        <v>230000</v>
      </c>
      <c r="AW22" s="202"/>
      <c r="AX22" s="141" t="s">
        <v>21</v>
      </c>
      <c r="AY22" s="141" t="s">
        <v>21</v>
      </c>
      <c r="AZ22" s="141" t="s">
        <v>21</v>
      </c>
      <c r="BA22" s="141" t="s">
        <v>21</v>
      </c>
      <c r="BB22" s="141" t="s">
        <v>21</v>
      </c>
      <c r="BC22" s="141" t="s">
        <v>21</v>
      </c>
      <c r="BD22" s="141" t="s">
        <v>21</v>
      </c>
      <c r="BE22" s="203">
        <f t="shared" si="6"/>
        <v>1</v>
      </c>
      <c r="BF22" s="203">
        <f t="shared" si="7"/>
        <v>0</v>
      </c>
      <c r="BG22" s="193" t="str">
        <f t="shared" si="10"/>
        <v>Severe</v>
      </c>
      <c r="BH22" s="194"/>
    </row>
    <row r="23" spans="1:60" ht="25.5" x14ac:dyDescent="0.25">
      <c r="A23" s="140">
        <v>21</v>
      </c>
      <c r="B23" s="140" t="s">
        <v>1997</v>
      </c>
      <c r="C23" s="191"/>
      <c r="D23" s="217" t="s">
        <v>1998</v>
      </c>
      <c r="E23" s="217" t="s">
        <v>1999</v>
      </c>
      <c r="F23" s="191"/>
      <c r="G23" s="217" t="s">
        <v>2001</v>
      </c>
      <c r="H23" s="217" t="s">
        <v>579</v>
      </c>
      <c r="I23" s="218" t="s">
        <v>3067</v>
      </c>
      <c r="J23" s="191"/>
      <c r="K23" s="191">
        <v>4</v>
      </c>
      <c r="L23" s="191"/>
      <c r="M23" s="219" t="str">
        <f t="shared" si="8"/>
        <v>&lt;5 yrs</v>
      </c>
      <c r="N23" s="194" t="str">
        <f t="shared" si="9"/>
        <v>M</v>
      </c>
      <c r="O23" s="141">
        <v>1</v>
      </c>
      <c r="P23" s="141">
        <v>1</v>
      </c>
      <c r="Q23" s="141">
        <v>1</v>
      </c>
      <c r="R23" s="141">
        <v>1</v>
      </c>
      <c r="S23" s="141">
        <v>1</v>
      </c>
      <c r="T23" s="141">
        <v>1</v>
      </c>
      <c r="U2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3" s="195">
        <v>46031</v>
      </c>
      <c r="W23" s="141" t="s">
        <v>2235</v>
      </c>
      <c r="X23" s="217" t="s">
        <v>100</v>
      </c>
      <c r="Y23" s="191" t="s">
        <v>1684</v>
      </c>
      <c r="Z23" s="191"/>
      <c r="AA23" s="218" t="s">
        <v>2281</v>
      </c>
      <c r="AB23" s="195">
        <v>45935</v>
      </c>
      <c r="AC23" s="196">
        <v>45937</v>
      </c>
      <c r="AD23" s="193">
        <f>IF(Referral4[[#This Row],[DOA
(mm-dd-yyy)]]="","",(Referral4[[#This Row],[DOD
(mm-dd-yyy)]]-Referral4[[#This Row],[DOA
(mm-dd-yyy)]])+1)</f>
        <v>3</v>
      </c>
      <c r="AE23" s="217" t="s">
        <v>100</v>
      </c>
      <c r="AF23" s="191" t="s">
        <v>1802</v>
      </c>
      <c r="AG23" s="141" t="str">
        <f t="array" ref="AG23">IF(AF23="","",
IF(Y23="EmOC",VLOOKUP(AF23,Data_validation!$R$1:$S$93,2,FALSE),
IF(Y23="ECC",VLOOKUP(AF23,Data_validation!$T$1:$U$151,2,FALSE),
IF(Y23="Other",VLOOKUP(AF23,Data_validation!$V$1:$W$19,2,FALSE),
VLOOKUP(AF23,Data_validation!$X$1:$Y$3,2,FALSE)))))</f>
        <v>ARI/RTI</v>
      </c>
      <c r="AH23" s="191"/>
      <c r="AI23" s="205" t="s">
        <v>2238</v>
      </c>
      <c r="AJ23" s="141" t="s">
        <v>654</v>
      </c>
      <c r="AK23" s="141" t="s">
        <v>654</v>
      </c>
      <c r="AL23" s="141" t="s">
        <v>654</v>
      </c>
      <c r="AM23" s="141" t="s">
        <v>654</v>
      </c>
      <c r="AN23" s="195">
        <v>46031</v>
      </c>
      <c r="AO23" s="193" t="str">
        <f t="shared" si="11"/>
        <v>January</v>
      </c>
      <c r="AP23" s="193">
        <f t="shared" si="12"/>
        <v>2026</v>
      </c>
      <c r="AQ23" s="198" t="str">
        <f>IF(Referral4[[#This Row],[Claimed_Date
(mmm-dd-yyy)]]="","",IF(AND(MONTH(Referral4[[#This Row],[Claimed_Date
(mmm-dd-yyy)]])&gt;4,MONTH(Referral4[[#This Row],[Claimed_Date
(mmm-dd-yyy)]])&lt;11),"S1","S2"))</f>
        <v>S2</v>
      </c>
      <c r="AR2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23" s="145" t="s">
        <v>2227</v>
      </c>
      <c r="AT23" s="199">
        <v>30000</v>
      </c>
      <c r="AU23" s="200">
        <v>100000</v>
      </c>
      <c r="AV23" s="159">
        <f t="shared" si="4"/>
        <v>130000</v>
      </c>
      <c r="AW23" s="202"/>
      <c r="AX23" s="141" t="s">
        <v>21</v>
      </c>
      <c r="AY23" s="141" t="s">
        <v>21</v>
      </c>
      <c r="AZ23" s="141" t="s">
        <v>21</v>
      </c>
      <c r="BA23" s="141" t="s">
        <v>21</v>
      </c>
      <c r="BB23" s="141" t="s">
        <v>21</v>
      </c>
      <c r="BC23" s="141" t="s">
        <v>21</v>
      </c>
      <c r="BD23" s="141" t="s">
        <v>21</v>
      </c>
      <c r="BE23" s="203">
        <f t="shared" si="6"/>
        <v>1</v>
      </c>
      <c r="BF23" s="203">
        <f t="shared" si="7"/>
        <v>0</v>
      </c>
      <c r="BG23" s="193" t="str">
        <f t="shared" si="10"/>
        <v>Severe</v>
      </c>
      <c r="BH23" s="194"/>
    </row>
    <row r="24" spans="1:60" x14ac:dyDescent="0.25">
      <c r="A24" s="148">
        <v>22</v>
      </c>
      <c r="B24" s="140" t="s">
        <v>1997</v>
      </c>
      <c r="C24" s="191"/>
      <c r="D24" s="217" t="s">
        <v>1998</v>
      </c>
      <c r="E24" s="217" t="s">
        <v>2254</v>
      </c>
      <c r="F24" s="191"/>
      <c r="G24" s="217" t="s">
        <v>2282</v>
      </c>
      <c r="H24" s="217" t="s">
        <v>579</v>
      </c>
      <c r="I24" s="218" t="s">
        <v>2283</v>
      </c>
      <c r="J24" s="191">
        <v>71</v>
      </c>
      <c r="K24" s="191"/>
      <c r="L24" s="191"/>
      <c r="M24" s="219" t="str">
        <f t="shared" si="8"/>
        <v>50 yrs +</v>
      </c>
      <c r="N24" s="194" t="str">
        <f t="shared" si="9"/>
        <v>M</v>
      </c>
      <c r="O24" s="141">
        <v>1</v>
      </c>
      <c r="P24" s="141">
        <v>1</v>
      </c>
      <c r="Q24" s="141">
        <v>1</v>
      </c>
      <c r="R24" s="141">
        <v>1</v>
      </c>
      <c r="S24" s="141">
        <v>1</v>
      </c>
      <c r="T24" s="141">
        <v>1</v>
      </c>
      <c r="U2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4" s="195">
        <v>46030</v>
      </c>
      <c r="W24" s="141" t="s">
        <v>2235</v>
      </c>
      <c r="X24" s="217" t="s">
        <v>2284</v>
      </c>
      <c r="Y24" s="191" t="s">
        <v>293</v>
      </c>
      <c r="Z24" s="191"/>
      <c r="AA24" s="218" t="s">
        <v>2285</v>
      </c>
      <c r="AB24" s="195">
        <v>45966</v>
      </c>
      <c r="AC24" s="196">
        <v>45974</v>
      </c>
      <c r="AD24" s="193">
        <f>IF(Referral4[[#This Row],[DOA
(mm-dd-yyy)]]="","",(Referral4[[#This Row],[DOD
(mm-dd-yyy)]]-Referral4[[#This Row],[DOA
(mm-dd-yyy)]])+1)</f>
        <v>9</v>
      </c>
      <c r="AE24" s="217" t="s">
        <v>2284</v>
      </c>
      <c r="AF24" s="191"/>
      <c r="AG24" s="141" t="str">
        <f t="array" ref="AG24">IF(AF24="","",
IF(Y24="EmOC",VLOOKUP(AF24,Data_validation!$R$1:$S$93,2,FALSE),
IF(Y24="ECC",VLOOKUP(AF24,Data_validation!$T$1:$U$151,2,FALSE),
IF(Y24="Other",VLOOKUP(AF24,Data_validation!$V$1:$W$19,2,FALSE),
VLOOKUP(AF24,Data_validation!$X$1:$Y$3,2,FALSE)))))</f>
        <v/>
      </c>
      <c r="AH24" s="191"/>
      <c r="AI24" s="205" t="s">
        <v>2238</v>
      </c>
      <c r="AJ24" s="141" t="s">
        <v>654</v>
      </c>
      <c r="AK24" s="141" t="s">
        <v>654</v>
      </c>
      <c r="AL24" s="141" t="s">
        <v>654</v>
      </c>
      <c r="AM24" s="141" t="s">
        <v>654</v>
      </c>
      <c r="AN24" s="195">
        <v>46030</v>
      </c>
      <c r="AO24" s="193" t="str">
        <f t="shared" si="11"/>
        <v>January</v>
      </c>
      <c r="AP24" s="193">
        <f t="shared" si="12"/>
        <v>2026</v>
      </c>
      <c r="AQ24" s="198" t="str">
        <f>IF(Referral4[[#This Row],[Claimed_Date
(mmm-dd-yyy)]]="","",IF(AND(MONTH(Referral4[[#This Row],[Claimed_Date
(mmm-dd-yyy)]])&gt;4,MONTH(Referral4[[#This Row],[Claimed_Date
(mmm-dd-yyy)]])&lt;11),"S1","S2"))</f>
        <v>S2</v>
      </c>
      <c r="AR2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9</v>
      </c>
      <c r="AS24" s="145" t="s">
        <v>2227</v>
      </c>
      <c r="AT24" s="199">
        <v>100000</v>
      </c>
      <c r="AU24" s="200">
        <v>100000</v>
      </c>
      <c r="AV24" s="159">
        <f t="shared" si="4"/>
        <v>200000</v>
      </c>
      <c r="AW24" s="202"/>
      <c r="AX24" s="141" t="s">
        <v>21</v>
      </c>
      <c r="AY24" s="141" t="s">
        <v>21</v>
      </c>
      <c r="AZ24" s="141" t="s">
        <v>21</v>
      </c>
      <c r="BA24" s="141" t="s">
        <v>21</v>
      </c>
      <c r="BB24" s="141" t="s">
        <v>21</v>
      </c>
      <c r="BC24" s="141" t="s">
        <v>21</v>
      </c>
      <c r="BD24" s="141" t="s">
        <v>21</v>
      </c>
      <c r="BE24" s="203">
        <f t="shared" si="6"/>
        <v>1</v>
      </c>
      <c r="BF24" s="203">
        <f t="shared" si="7"/>
        <v>0</v>
      </c>
      <c r="BG24" s="193" t="str">
        <f t="shared" si="10"/>
        <v>Severe</v>
      </c>
      <c r="BH24" s="194"/>
    </row>
    <row r="25" spans="1:60" ht="25.5" x14ac:dyDescent="0.25">
      <c r="A25" s="140">
        <v>23</v>
      </c>
      <c r="B25" s="140" t="s">
        <v>1997</v>
      </c>
      <c r="C25" s="191"/>
      <c r="D25" s="217" t="s">
        <v>1998</v>
      </c>
      <c r="E25" s="217" t="s">
        <v>2286</v>
      </c>
      <c r="F25" s="191"/>
      <c r="G25" s="217" t="s">
        <v>2287</v>
      </c>
      <c r="H25" s="217" t="s">
        <v>619</v>
      </c>
      <c r="I25" s="218" t="s">
        <v>2288</v>
      </c>
      <c r="J25" s="191">
        <v>14</v>
      </c>
      <c r="K25" s="191"/>
      <c r="L25" s="191"/>
      <c r="M25" s="219" t="str">
        <f t="shared" si="8"/>
        <v>5 - 14 yrs</v>
      </c>
      <c r="N25" s="194" t="str">
        <f t="shared" si="9"/>
        <v>F</v>
      </c>
      <c r="O25" s="141">
        <v>1</v>
      </c>
      <c r="P25" s="141">
        <v>1</v>
      </c>
      <c r="Q25" s="141">
        <v>1</v>
      </c>
      <c r="R25" s="141">
        <v>1</v>
      </c>
      <c r="S25" s="141">
        <v>1</v>
      </c>
      <c r="T25" s="141">
        <v>1</v>
      </c>
      <c r="U2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5" s="195">
        <v>46033</v>
      </c>
      <c r="W25" s="141" t="s">
        <v>2235</v>
      </c>
      <c r="X25" s="217" t="s">
        <v>2289</v>
      </c>
      <c r="Y25" s="191" t="s">
        <v>293</v>
      </c>
      <c r="Z25" s="191"/>
      <c r="AA25" s="218" t="s">
        <v>2290</v>
      </c>
      <c r="AB25" s="195">
        <v>46332</v>
      </c>
      <c r="AC25" s="196">
        <v>46332</v>
      </c>
      <c r="AD25" s="193">
        <f>IF(Referral4[[#This Row],[DOA
(mm-dd-yyy)]]="","",(Referral4[[#This Row],[DOD
(mm-dd-yyy)]]-Referral4[[#This Row],[DOA
(mm-dd-yyy)]])+1)</f>
        <v>1</v>
      </c>
      <c r="AE25" s="217" t="s">
        <v>2289</v>
      </c>
      <c r="AF25" s="191" t="s">
        <v>1686</v>
      </c>
      <c r="AG25" s="141" t="str">
        <f t="array" ref="AG25">IF(AF25="","",
IF(Y25="EmOC",VLOOKUP(AF25,Data_validation!$R$1:$S$93,2,FALSE),
IF(Y25="ECC",VLOOKUP(AF25,Data_validation!$T$1:$U$151,2,FALSE),
IF(Y25="Other",VLOOKUP(AF25,Data_validation!$V$1:$W$19,2,FALSE),
VLOOKUP(AF25,Data_validation!$X$1:$Y$3,2,FALSE)))))</f>
        <v>Major Injuries/Trauma</v>
      </c>
      <c r="AH25" s="191"/>
      <c r="AI25" s="205" t="s">
        <v>2238</v>
      </c>
      <c r="AJ25" s="141" t="s">
        <v>654</v>
      </c>
      <c r="AK25" s="141" t="s">
        <v>654</v>
      </c>
      <c r="AL25" s="141" t="s">
        <v>654</v>
      </c>
      <c r="AM25" s="141" t="s">
        <v>654</v>
      </c>
      <c r="AN25" s="195">
        <v>46033</v>
      </c>
      <c r="AO25" s="193" t="str">
        <f t="shared" si="11"/>
        <v>January</v>
      </c>
      <c r="AP25" s="193">
        <f t="shared" si="12"/>
        <v>2026</v>
      </c>
      <c r="AQ25" s="198" t="str">
        <f>IF(Referral4[[#This Row],[Claimed_Date
(mmm-dd-yyy)]]="","",IF(AND(MONTH(Referral4[[#This Row],[Claimed_Date
(mmm-dd-yyy)]])&gt;4,MONTH(Referral4[[#This Row],[Claimed_Date
(mmm-dd-yyy)]])&lt;11),"S1","S2"))</f>
        <v>S2</v>
      </c>
      <c r="AR2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v>
      </c>
      <c r="AS25" s="145" t="s">
        <v>2227</v>
      </c>
      <c r="AT25" s="199">
        <v>20000</v>
      </c>
      <c r="AU25" s="200">
        <v>100000</v>
      </c>
      <c r="AV25" s="159">
        <f t="shared" si="4"/>
        <v>120000</v>
      </c>
      <c r="AW25" s="202"/>
      <c r="AX25" s="141" t="s">
        <v>21</v>
      </c>
      <c r="AY25" s="141" t="s">
        <v>21</v>
      </c>
      <c r="AZ25" s="141" t="s">
        <v>21</v>
      </c>
      <c r="BA25" s="141" t="s">
        <v>21</v>
      </c>
      <c r="BB25" s="141" t="s">
        <v>21</v>
      </c>
      <c r="BC25" s="141" t="s">
        <v>21</v>
      </c>
      <c r="BD25" s="141" t="s">
        <v>21</v>
      </c>
      <c r="BE25" s="203">
        <f t="shared" si="6"/>
        <v>1</v>
      </c>
      <c r="BF25" s="203">
        <f t="shared" si="7"/>
        <v>0</v>
      </c>
      <c r="BG25" s="193" t="str">
        <f t="shared" si="10"/>
        <v>Severe</v>
      </c>
      <c r="BH25" s="194"/>
    </row>
    <row r="26" spans="1:60" ht="25.5" x14ac:dyDescent="0.25">
      <c r="A26" s="148">
        <v>24</v>
      </c>
      <c r="B26" s="140" t="s">
        <v>1997</v>
      </c>
      <c r="C26" s="191"/>
      <c r="D26" s="217" t="s">
        <v>1998</v>
      </c>
      <c r="E26" s="217" t="s">
        <v>2254</v>
      </c>
      <c r="F26" s="191"/>
      <c r="G26" s="217" t="s">
        <v>2291</v>
      </c>
      <c r="H26" s="217" t="s">
        <v>579</v>
      </c>
      <c r="I26" s="218" t="s">
        <v>2292</v>
      </c>
      <c r="J26" s="191">
        <v>21</v>
      </c>
      <c r="K26" s="191"/>
      <c r="L26" s="191"/>
      <c r="M26" s="219" t="str">
        <f t="shared" si="8"/>
        <v>19 - 49 yrs</v>
      </c>
      <c r="N26" s="194" t="str">
        <f t="shared" si="9"/>
        <v>F</v>
      </c>
      <c r="O26" s="141">
        <v>1</v>
      </c>
      <c r="P26" s="141">
        <v>1</v>
      </c>
      <c r="Q26" s="141">
        <v>1</v>
      </c>
      <c r="R26" s="141">
        <v>1</v>
      </c>
      <c r="S26" s="141">
        <v>1</v>
      </c>
      <c r="T26" s="141">
        <v>1</v>
      </c>
      <c r="U2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6" s="195">
        <v>46041</v>
      </c>
      <c r="W26" s="141" t="s">
        <v>2235</v>
      </c>
      <c r="X26" s="217" t="s">
        <v>2293</v>
      </c>
      <c r="Y26" s="191" t="s">
        <v>1681</v>
      </c>
      <c r="Z26" s="217" t="s">
        <v>2294</v>
      </c>
      <c r="AA26" s="218" t="s">
        <v>2295</v>
      </c>
      <c r="AB26" s="195">
        <v>46006</v>
      </c>
      <c r="AC26" s="196">
        <v>46009</v>
      </c>
      <c r="AD26" s="193">
        <f>IF(Referral4[[#This Row],[DOA
(mm-dd-yyy)]]="","",(Referral4[[#This Row],[DOD
(mm-dd-yyy)]]-Referral4[[#This Row],[DOA
(mm-dd-yyy)]])+1)</f>
        <v>4</v>
      </c>
      <c r="AE26" s="217" t="s">
        <v>2293</v>
      </c>
      <c r="AF26" s="191" t="s">
        <v>1719</v>
      </c>
      <c r="AG26" s="141" t="str">
        <f t="array" ref="AG26">IF(AF26="","",
IF(Y26="EmOC",VLOOKUP(AF26,Data_validation!$R$1:$S$93,2,FALSE),
IF(Y26="ECC",VLOOKUP(AF26,Data_validation!$T$1:$U$151,2,FALSE),
IF(Y26="Other",VLOOKUP(AF26,Data_validation!$V$1:$W$19,2,FALSE),
VLOOKUP(AF26,Data_validation!$X$1:$Y$3,2,FALSE)))))</f>
        <v xml:space="preserve">Fetal distress  </v>
      </c>
      <c r="AH26" s="143" t="s">
        <v>1683</v>
      </c>
      <c r="AI26" s="217" t="s">
        <v>2362</v>
      </c>
      <c r="AJ26" s="141" t="s">
        <v>654</v>
      </c>
      <c r="AK26" s="141" t="s">
        <v>654</v>
      </c>
      <c r="AL26" s="141" t="s">
        <v>654</v>
      </c>
      <c r="AM26" s="141" t="s">
        <v>654</v>
      </c>
      <c r="AN26" s="195">
        <v>46041</v>
      </c>
      <c r="AO26" s="193" t="str">
        <f t="shared" si="11"/>
        <v>January</v>
      </c>
      <c r="AP26" s="193">
        <f t="shared" si="12"/>
        <v>2026</v>
      </c>
      <c r="AQ26" s="198" t="str">
        <f>IF(Referral4[[#This Row],[Claimed_Date
(mmm-dd-yyy)]]="","",IF(AND(MONTH(Referral4[[#This Row],[Claimed_Date
(mmm-dd-yyy)]])&gt;4,MONTH(Referral4[[#This Row],[Claimed_Date
(mmm-dd-yyy)]])&lt;11),"S1","S2"))</f>
        <v>S2</v>
      </c>
      <c r="AR26"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26" s="145" t="s">
        <v>2227</v>
      </c>
      <c r="AT26" s="199">
        <v>80000</v>
      </c>
      <c r="AU26" s="200">
        <v>200000</v>
      </c>
      <c r="AV26" s="159">
        <f t="shared" si="4"/>
        <v>280000</v>
      </c>
      <c r="AW26" s="202" t="s">
        <v>2361</v>
      </c>
      <c r="AX26" s="141" t="s">
        <v>21</v>
      </c>
      <c r="AY26" s="141" t="s">
        <v>21</v>
      </c>
      <c r="AZ26" s="141" t="s">
        <v>21</v>
      </c>
      <c r="BA26" s="141" t="s">
        <v>21</v>
      </c>
      <c r="BB26" s="141" t="s">
        <v>21</v>
      </c>
      <c r="BC26" s="141" t="s">
        <v>21</v>
      </c>
      <c r="BD26" s="141" t="s">
        <v>21</v>
      </c>
      <c r="BE26" s="203">
        <f t="shared" si="6"/>
        <v>1</v>
      </c>
      <c r="BF26" s="203">
        <f t="shared" si="7"/>
        <v>0</v>
      </c>
      <c r="BG26" s="193" t="str">
        <f t="shared" si="10"/>
        <v>Severe</v>
      </c>
      <c r="BH26" s="194"/>
    </row>
    <row r="27" spans="1:60" ht="25.5" x14ac:dyDescent="0.25">
      <c r="A27" s="140">
        <v>25</v>
      </c>
      <c r="B27" s="140" t="s">
        <v>1997</v>
      </c>
      <c r="C27" s="191"/>
      <c r="D27" s="217" t="s">
        <v>1998</v>
      </c>
      <c r="E27" s="217" t="s">
        <v>2254</v>
      </c>
      <c r="F27" s="191"/>
      <c r="G27" s="217" t="s">
        <v>2291</v>
      </c>
      <c r="H27" s="217" t="s">
        <v>579</v>
      </c>
      <c r="I27" s="218" t="s">
        <v>2296</v>
      </c>
      <c r="J27" s="191"/>
      <c r="K27" s="191"/>
      <c r="L27" s="191">
        <v>6</v>
      </c>
      <c r="M27" s="219" t="str">
        <f t="shared" si="8"/>
        <v>&lt;5 yrs</v>
      </c>
      <c r="N27" s="194" t="str">
        <f t="shared" si="9"/>
        <v>M</v>
      </c>
      <c r="O27" s="141">
        <v>1</v>
      </c>
      <c r="P27" s="141">
        <v>1</v>
      </c>
      <c r="Q27" s="141">
        <v>1</v>
      </c>
      <c r="R27" s="141">
        <v>1</v>
      </c>
      <c r="S27" s="141">
        <v>1</v>
      </c>
      <c r="T27" s="141">
        <v>1</v>
      </c>
      <c r="U2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7" s="195">
        <v>46041</v>
      </c>
      <c r="W27" s="141" t="s">
        <v>2235</v>
      </c>
      <c r="X27" s="217" t="s">
        <v>77</v>
      </c>
      <c r="Y27" s="191" t="s">
        <v>1684</v>
      </c>
      <c r="Z27" s="191"/>
      <c r="AA27" s="218" t="s">
        <v>2258</v>
      </c>
      <c r="AB27" s="195">
        <v>46028</v>
      </c>
      <c r="AC27" s="196">
        <v>46031</v>
      </c>
      <c r="AD27" s="193">
        <f>IF(Referral4[[#This Row],[DOA
(mm-dd-yyy)]]="","",(Referral4[[#This Row],[DOD
(mm-dd-yyy)]]-Referral4[[#This Row],[DOA
(mm-dd-yyy)]])+1)</f>
        <v>4</v>
      </c>
      <c r="AE27" s="217" t="s">
        <v>77</v>
      </c>
      <c r="AF27" s="191" t="s">
        <v>1741</v>
      </c>
      <c r="AG27" s="141" t="str">
        <f t="array" ref="AG27">IF(AF27="","",
IF(Y27="EmOC",VLOOKUP(AF27,Data_validation!$R$1:$S$93,2,FALSE),
IF(Y27="ECC",VLOOKUP(AF27,Data_validation!$T$1:$U$151,2,FALSE),
IF(Y27="Other",VLOOKUP(AF27,Data_validation!$V$1:$W$19,2,FALSE),
VLOOKUP(AF27,Data_validation!$X$1:$Y$3,2,FALSE)))))</f>
        <v>ARI/RTI</v>
      </c>
      <c r="AH27" s="191"/>
      <c r="AI27" s="205" t="s">
        <v>2238</v>
      </c>
      <c r="AJ27" s="141" t="s">
        <v>654</v>
      </c>
      <c r="AK27" s="141" t="s">
        <v>654</v>
      </c>
      <c r="AL27" s="141" t="s">
        <v>654</v>
      </c>
      <c r="AM27" s="141" t="s">
        <v>654</v>
      </c>
      <c r="AN27" s="195">
        <v>46041</v>
      </c>
      <c r="AO27" s="193" t="str">
        <f t="shared" si="11"/>
        <v>January</v>
      </c>
      <c r="AP27" s="193">
        <f t="shared" si="12"/>
        <v>2026</v>
      </c>
      <c r="AQ27" s="198" t="str">
        <f>IF(Referral4[[#This Row],[Claimed_Date
(mmm-dd-yyy)]]="","",IF(AND(MONTH(Referral4[[#This Row],[Claimed_Date
(mmm-dd-yyy)]])&gt;4,MONTH(Referral4[[#This Row],[Claimed_Date
(mmm-dd-yyy)]])&lt;11),"S1","S2"))</f>
        <v>S2</v>
      </c>
      <c r="AR2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27" s="145" t="s">
        <v>2227</v>
      </c>
      <c r="AT27" s="199">
        <v>40000</v>
      </c>
      <c r="AU27" s="200">
        <v>200000</v>
      </c>
      <c r="AV27" s="159">
        <f t="shared" si="4"/>
        <v>240000</v>
      </c>
      <c r="AW27" s="202" t="s">
        <v>2361</v>
      </c>
      <c r="AX27" s="141" t="s">
        <v>21</v>
      </c>
      <c r="AY27" s="141" t="s">
        <v>21</v>
      </c>
      <c r="AZ27" s="141" t="s">
        <v>21</v>
      </c>
      <c r="BA27" s="141" t="s">
        <v>21</v>
      </c>
      <c r="BB27" s="141" t="s">
        <v>21</v>
      </c>
      <c r="BC27" s="141" t="s">
        <v>21</v>
      </c>
      <c r="BD27" s="141" t="s">
        <v>21</v>
      </c>
      <c r="BE27" s="203">
        <f t="shared" si="6"/>
        <v>1</v>
      </c>
      <c r="BF27" s="203">
        <f t="shared" si="7"/>
        <v>0</v>
      </c>
      <c r="BG27" s="193" t="str">
        <f t="shared" si="10"/>
        <v>Severe</v>
      </c>
      <c r="BH27" s="194"/>
    </row>
    <row r="28" spans="1:60" ht="25.5" x14ac:dyDescent="0.25">
      <c r="A28" s="148">
        <v>26</v>
      </c>
      <c r="B28" s="140" t="s">
        <v>1997</v>
      </c>
      <c r="C28" s="191"/>
      <c r="D28" s="217" t="s">
        <v>1998</v>
      </c>
      <c r="E28" s="217" t="s">
        <v>2297</v>
      </c>
      <c r="F28" s="191"/>
      <c r="G28" s="217" t="s">
        <v>2298</v>
      </c>
      <c r="H28" s="217" t="s">
        <v>579</v>
      </c>
      <c r="I28" s="218" t="s">
        <v>2299</v>
      </c>
      <c r="J28" s="191">
        <v>67</v>
      </c>
      <c r="K28" s="191"/>
      <c r="L28" s="191"/>
      <c r="M28" s="219" t="str">
        <f t="shared" si="8"/>
        <v>50 yrs +</v>
      </c>
      <c r="N28" s="194" t="str">
        <f t="shared" si="9"/>
        <v>F</v>
      </c>
      <c r="O28" s="141">
        <v>1</v>
      </c>
      <c r="P28" s="141">
        <v>1</v>
      </c>
      <c r="Q28" s="141">
        <v>1</v>
      </c>
      <c r="R28" s="141">
        <v>1</v>
      </c>
      <c r="S28" s="141">
        <v>1</v>
      </c>
      <c r="T28" s="141">
        <v>1</v>
      </c>
      <c r="U2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8" s="195">
        <v>46041</v>
      </c>
      <c r="W28" s="141" t="s">
        <v>2235</v>
      </c>
      <c r="X28" s="217" t="s">
        <v>2300</v>
      </c>
      <c r="Y28" s="191" t="s">
        <v>293</v>
      </c>
      <c r="Z28" s="191"/>
      <c r="AA28" s="218" t="s">
        <v>2253</v>
      </c>
      <c r="AB28" s="195">
        <v>46002</v>
      </c>
      <c r="AC28" s="196">
        <v>46002</v>
      </c>
      <c r="AD28" s="193">
        <f>IF(Referral4[[#This Row],[DOA
(mm-dd-yyy)]]="","",(Referral4[[#This Row],[DOD
(mm-dd-yyy)]]-Referral4[[#This Row],[DOA
(mm-dd-yyy)]])+1)</f>
        <v>1</v>
      </c>
      <c r="AE28" s="217" t="s">
        <v>2300</v>
      </c>
      <c r="AF28" s="191" t="s">
        <v>1686</v>
      </c>
      <c r="AG28" s="141" t="str">
        <f t="array" ref="AG28">IF(AF28="","",
IF(Y28="EmOC",VLOOKUP(AF28,Data_validation!$R$1:$S$93,2,FALSE),
IF(Y28="ECC",VLOOKUP(AF28,Data_validation!$T$1:$U$151,2,FALSE),
IF(Y28="Other",VLOOKUP(AF28,Data_validation!$V$1:$W$19,2,FALSE),
VLOOKUP(AF28,Data_validation!$X$1:$Y$3,2,FALSE)))))</f>
        <v>Major Injuries/Trauma</v>
      </c>
      <c r="AH28" s="191"/>
      <c r="AI28" s="205" t="s">
        <v>2238</v>
      </c>
      <c r="AJ28" s="141" t="s">
        <v>654</v>
      </c>
      <c r="AK28" s="141" t="s">
        <v>654</v>
      </c>
      <c r="AL28" s="141" t="s">
        <v>654</v>
      </c>
      <c r="AM28" s="141" t="s">
        <v>654</v>
      </c>
      <c r="AN28" s="195">
        <v>46041</v>
      </c>
      <c r="AO28" s="193" t="str">
        <f t="shared" si="11"/>
        <v>January</v>
      </c>
      <c r="AP28" s="193">
        <f t="shared" si="12"/>
        <v>2026</v>
      </c>
      <c r="AQ28" s="198" t="str">
        <f>IF(Referral4[[#This Row],[Claimed_Date
(mmm-dd-yyy)]]="","",IF(AND(MONTH(Referral4[[#This Row],[Claimed_Date
(mmm-dd-yyy)]])&gt;4,MONTH(Referral4[[#This Row],[Claimed_Date
(mmm-dd-yyy)]])&lt;11),"S1","S2"))</f>
        <v>S2</v>
      </c>
      <c r="AR2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v>
      </c>
      <c r="AS28" s="145" t="s">
        <v>2227</v>
      </c>
      <c r="AT28" s="199">
        <v>20000</v>
      </c>
      <c r="AU28" s="200">
        <v>220000</v>
      </c>
      <c r="AV28" s="159">
        <f t="shared" si="4"/>
        <v>240000</v>
      </c>
      <c r="AW28" s="202" t="s">
        <v>2361</v>
      </c>
      <c r="AX28" s="141" t="s">
        <v>21</v>
      </c>
      <c r="AY28" s="141" t="s">
        <v>21</v>
      </c>
      <c r="AZ28" s="141" t="s">
        <v>21</v>
      </c>
      <c r="BA28" s="141" t="s">
        <v>21</v>
      </c>
      <c r="BB28" s="141" t="s">
        <v>21</v>
      </c>
      <c r="BC28" s="141" t="s">
        <v>21</v>
      </c>
      <c r="BD28" s="141" t="s">
        <v>21</v>
      </c>
      <c r="BE28" s="203">
        <f t="shared" si="6"/>
        <v>1</v>
      </c>
      <c r="BF28" s="203">
        <f t="shared" si="7"/>
        <v>0</v>
      </c>
      <c r="BG28" s="193" t="str">
        <f t="shared" si="10"/>
        <v>Severe</v>
      </c>
      <c r="BH28" s="194"/>
    </row>
    <row r="29" spans="1:60" ht="25.5" x14ac:dyDescent="0.25">
      <c r="A29" s="140">
        <v>27</v>
      </c>
      <c r="B29" s="140" t="s">
        <v>1997</v>
      </c>
      <c r="C29" s="191"/>
      <c r="D29" s="217" t="s">
        <v>1998</v>
      </c>
      <c r="E29" s="217" t="s">
        <v>2297</v>
      </c>
      <c r="F29" s="191"/>
      <c r="G29" s="217" t="s">
        <v>2298</v>
      </c>
      <c r="H29" s="217" t="s">
        <v>579</v>
      </c>
      <c r="I29" s="218" t="s">
        <v>2301</v>
      </c>
      <c r="J29" s="191">
        <v>52</v>
      </c>
      <c r="K29" s="191"/>
      <c r="L29" s="191"/>
      <c r="M29" s="219" t="str">
        <f t="shared" si="8"/>
        <v>50 yrs +</v>
      </c>
      <c r="N29" s="194" t="str">
        <f t="shared" si="9"/>
        <v>F</v>
      </c>
      <c r="O29" s="141">
        <v>1</v>
      </c>
      <c r="P29" s="141">
        <v>1</v>
      </c>
      <c r="Q29" s="141">
        <v>1</v>
      </c>
      <c r="R29" s="141">
        <v>1</v>
      </c>
      <c r="S29" s="141">
        <v>1</v>
      </c>
      <c r="T29" s="141">
        <v>1</v>
      </c>
      <c r="U2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29" s="195">
        <v>46040</v>
      </c>
      <c r="W29" s="141" t="s">
        <v>2235</v>
      </c>
      <c r="X29" s="217" t="s">
        <v>2244</v>
      </c>
      <c r="Y29" s="191" t="s">
        <v>293</v>
      </c>
      <c r="Z29" s="191"/>
      <c r="AA29" s="218" t="s">
        <v>2302</v>
      </c>
      <c r="AB29" s="195">
        <v>46341</v>
      </c>
      <c r="AC29" s="196">
        <v>46343</v>
      </c>
      <c r="AD29" s="193">
        <f>IF(Referral4[[#This Row],[DOA
(mm-dd-yyy)]]="","",(Referral4[[#This Row],[DOD
(mm-dd-yyy)]]-Referral4[[#This Row],[DOA
(mm-dd-yyy)]])+1)</f>
        <v>3</v>
      </c>
      <c r="AE29" s="217" t="s">
        <v>2244</v>
      </c>
      <c r="AF29" s="191" t="s">
        <v>1697</v>
      </c>
      <c r="AG29" s="141" t="str">
        <f t="array" ref="AG29">IF(AF29="","",
IF(Y29="EmOC",VLOOKUP(AF29,Data_validation!$R$1:$S$93,2,FALSE),
IF(Y29="ECC",VLOOKUP(AF29,Data_validation!$T$1:$U$151,2,FALSE),
IF(Y29="Other",VLOOKUP(AF29,Data_validation!$V$1:$W$19,2,FALSE),
VLOOKUP(AF29,Data_validation!$X$1:$Y$3,2,FALSE)))))</f>
        <v>Surgical Emergencies</v>
      </c>
      <c r="AH29" s="191"/>
      <c r="AI29" s="205" t="s">
        <v>2238</v>
      </c>
      <c r="AJ29" s="141" t="s">
        <v>654</v>
      </c>
      <c r="AK29" s="141" t="s">
        <v>654</v>
      </c>
      <c r="AL29" s="141" t="s">
        <v>654</v>
      </c>
      <c r="AM29" s="141" t="s">
        <v>654</v>
      </c>
      <c r="AN29" s="195">
        <v>46040</v>
      </c>
      <c r="AO29" s="193" t="str">
        <f t="shared" si="11"/>
        <v>January</v>
      </c>
      <c r="AP29" s="193">
        <f t="shared" si="12"/>
        <v>2026</v>
      </c>
      <c r="AQ29" s="198" t="str">
        <f>IF(Referral4[[#This Row],[Claimed_Date
(mmm-dd-yyy)]]="","",IF(AND(MONTH(Referral4[[#This Row],[Claimed_Date
(mmm-dd-yyy)]])&gt;4,MONTH(Referral4[[#This Row],[Claimed_Date
(mmm-dd-yyy)]])&lt;11),"S1","S2"))</f>
        <v>S2</v>
      </c>
      <c r="AR2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29" s="145" t="s">
        <v>2227</v>
      </c>
      <c r="AT29" s="199">
        <v>60000</v>
      </c>
      <c r="AU29" s="200">
        <v>220000</v>
      </c>
      <c r="AV29" s="159">
        <f t="shared" si="4"/>
        <v>280000</v>
      </c>
      <c r="AW29" s="202" t="s">
        <v>2361</v>
      </c>
      <c r="AX29" s="141" t="s">
        <v>21</v>
      </c>
      <c r="AY29" s="141" t="s">
        <v>21</v>
      </c>
      <c r="AZ29" s="141" t="s">
        <v>21</v>
      </c>
      <c r="BA29" s="141" t="s">
        <v>21</v>
      </c>
      <c r="BB29" s="141" t="s">
        <v>21</v>
      </c>
      <c r="BC29" s="141" t="s">
        <v>21</v>
      </c>
      <c r="BD29" s="141" t="s">
        <v>21</v>
      </c>
      <c r="BE29" s="203">
        <f t="shared" si="6"/>
        <v>1</v>
      </c>
      <c r="BF29" s="203">
        <f t="shared" si="7"/>
        <v>0</v>
      </c>
      <c r="BG29" s="193" t="str">
        <f t="shared" si="10"/>
        <v>Severe</v>
      </c>
      <c r="BH29" s="194"/>
    </row>
    <row r="30" spans="1:60" ht="25.5" x14ac:dyDescent="0.25">
      <c r="A30" s="148">
        <v>28</v>
      </c>
      <c r="B30" s="140" t="s">
        <v>1997</v>
      </c>
      <c r="C30" s="191"/>
      <c r="D30" s="217" t="s">
        <v>1998</v>
      </c>
      <c r="E30" s="217" t="s">
        <v>2254</v>
      </c>
      <c r="F30" s="191"/>
      <c r="G30" s="217" t="s">
        <v>2303</v>
      </c>
      <c r="H30" s="217" t="s">
        <v>579</v>
      </c>
      <c r="I30" s="218" t="s">
        <v>2304</v>
      </c>
      <c r="J30" s="191">
        <v>35</v>
      </c>
      <c r="K30" s="191"/>
      <c r="L30" s="191"/>
      <c r="M30" s="219" t="str">
        <f t="shared" si="8"/>
        <v>19 - 49 yrs</v>
      </c>
      <c r="N30" s="194" t="str">
        <f t="shared" si="9"/>
        <v>F</v>
      </c>
      <c r="O30" s="141">
        <v>1</v>
      </c>
      <c r="P30" s="141">
        <v>1</v>
      </c>
      <c r="Q30" s="141">
        <v>1</v>
      </c>
      <c r="R30" s="141">
        <v>1</v>
      </c>
      <c r="S30" s="141">
        <v>1</v>
      </c>
      <c r="T30" s="141">
        <v>1</v>
      </c>
      <c r="U3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0" s="195">
        <v>46038</v>
      </c>
      <c r="W30" s="141" t="s">
        <v>2235</v>
      </c>
      <c r="X30" s="217" t="s">
        <v>2305</v>
      </c>
      <c r="Y30" s="191" t="s">
        <v>1681</v>
      </c>
      <c r="Z30" s="217" t="s">
        <v>2306</v>
      </c>
      <c r="AA30" s="218" t="s">
        <v>2307</v>
      </c>
      <c r="AB30" s="195">
        <v>46030</v>
      </c>
      <c r="AC30" s="196">
        <v>46036</v>
      </c>
      <c r="AD30" s="193">
        <f>IF(Referral4[[#This Row],[DOA
(mm-dd-yyy)]]="","",(Referral4[[#This Row],[DOD
(mm-dd-yyy)]]-Referral4[[#This Row],[DOA
(mm-dd-yyy)]])+1)</f>
        <v>7</v>
      </c>
      <c r="AE30" s="217" t="s">
        <v>2305</v>
      </c>
      <c r="AF30" s="191" t="s">
        <v>1688</v>
      </c>
      <c r="AG30" s="141" t="str">
        <f t="array" ref="AG30">IF(AF30="","",
IF(Y30="EmOC",VLOOKUP(AF30,Data_validation!$R$1:$S$93,2,FALSE),
IF(Y30="ECC",VLOOKUP(AF30,Data_validation!$T$1:$U$151,2,FALSE),
IF(Y30="Other",VLOOKUP(AF30,Data_validation!$V$1:$W$19,2,FALSE),
VLOOKUP(AF30,Data_validation!$X$1:$Y$3,2,FALSE)))))</f>
        <v xml:space="preserve">High risk pregnancy </v>
      </c>
      <c r="AH30" s="143" t="s">
        <v>1683</v>
      </c>
      <c r="AI30" s="191" t="s">
        <v>2366</v>
      </c>
      <c r="AJ30" s="141" t="s">
        <v>654</v>
      </c>
      <c r="AK30" s="141" t="s">
        <v>654</v>
      </c>
      <c r="AL30" s="141" t="s">
        <v>654</v>
      </c>
      <c r="AM30" s="141" t="s">
        <v>654</v>
      </c>
      <c r="AN30" s="195">
        <v>46038</v>
      </c>
      <c r="AO30" s="193" t="str">
        <f t="shared" si="11"/>
        <v>January</v>
      </c>
      <c r="AP30" s="193">
        <f t="shared" si="12"/>
        <v>2026</v>
      </c>
      <c r="AQ30" s="198" t="str">
        <f>IF(Referral4[[#This Row],[Claimed_Date
(mmm-dd-yyy)]]="","",IF(AND(MONTH(Referral4[[#This Row],[Claimed_Date
(mmm-dd-yyy)]])&gt;4,MONTH(Referral4[[#This Row],[Claimed_Date
(mmm-dd-yyy)]])&lt;11),"S1","S2"))</f>
        <v>S2</v>
      </c>
      <c r="AR3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7</v>
      </c>
      <c r="AS30" s="145" t="s">
        <v>2227</v>
      </c>
      <c r="AT30" s="199">
        <v>140000</v>
      </c>
      <c r="AU30" s="200">
        <v>100000</v>
      </c>
      <c r="AV30" s="159">
        <f t="shared" si="4"/>
        <v>240000</v>
      </c>
      <c r="AW30" s="202"/>
      <c r="AX30" s="141" t="s">
        <v>21</v>
      </c>
      <c r="AY30" s="141" t="s">
        <v>21</v>
      </c>
      <c r="AZ30" s="141" t="s">
        <v>21</v>
      </c>
      <c r="BA30" s="141" t="s">
        <v>21</v>
      </c>
      <c r="BB30" s="141" t="s">
        <v>21</v>
      </c>
      <c r="BC30" s="141" t="s">
        <v>21</v>
      </c>
      <c r="BD30" s="141" t="s">
        <v>21</v>
      </c>
      <c r="BE30" s="203">
        <f t="shared" si="6"/>
        <v>1</v>
      </c>
      <c r="BF30" s="203">
        <f t="shared" si="7"/>
        <v>0</v>
      </c>
      <c r="BG30" s="193" t="str">
        <f t="shared" si="10"/>
        <v>Severe</v>
      </c>
      <c r="BH30" s="194"/>
    </row>
    <row r="31" spans="1:60" ht="25.5" x14ac:dyDescent="0.25">
      <c r="A31" s="140">
        <v>29</v>
      </c>
      <c r="B31" s="140" t="s">
        <v>1997</v>
      </c>
      <c r="C31" s="191"/>
      <c r="D31" s="217" t="s">
        <v>1998</v>
      </c>
      <c r="E31" s="217" t="s">
        <v>2254</v>
      </c>
      <c r="F31" s="191"/>
      <c r="G31" s="217" t="s">
        <v>2303</v>
      </c>
      <c r="H31" s="217" t="s">
        <v>579</v>
      </c>
      <c r="I31" s="218" t="s">
        <v>2308</v>
      </c>
      <c r="J31" s="191">
        <v>30</v>
      </c>
      <c r="K31" s="191"/>
      <c r="L31" s="191"/>
      <c r="M31" s="219" t="str">
        <f t="shared" si="8"/>
        <v>19 - 49 yrs</v>
      </c>
      <c r="N31" s="194" t="str">
        <f t="shared" si="9"/>
        <v>F</v>
      </c>
      <c r="O31" s="141">
        <v>1</v>
      </c>
      <c r="P31" s="141">
        <v>1</v>
      </c>
      <c r="Q31" s="141">
        <v>1</v>
      </c>
      <c r="R31" s="141">
        <v>1</v>
      </c>
      <c r="S31" s="141">
        <v>1</v>
      </c>
      <c r="T31" s="141">
        <v>1</v>
      </c>
      <c r="U3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1" s="195">
        <v>46036</v>
      </c>
      <c r="W31" s="141" t="s">
        <v>2235</v>
      </c>
      <c r="X31" s="217" t="s">
        <v>2309</v>
      </c>
      <c r="Y31" s="191" t="s">
        <v>1681</v>
      </c>
      <c r="Z31" s="217" t="s">
        <v>2310</v>
      </c>
      <c r="AA31" s="218" t="s">
        <v>2295</v>
      </c>
      <c r="AB31" s="195">
        <v>45996</v>
      </c>
      <c r="AC31" s="196">
        <v>46006</v>
      </c>
      <c r="AD31" s="193">
        <f>IF(Referral4[[#This Row],[DOA
(mm-dd-yyy)]]="","",(Referral4[[#This Row],[DOD
(mm-dd-yyy)]]-Referral4[[#This Row],[DOA
(mm-dd-yyy)]])+1)</f>
        <v>11</v>
      </c>
      <c r="AE31" s="217" t="s">
        <v>2309</v>
      </c>
      <c r="AF31" s="191" t="s">
        <v>1830</v>
      </c>
      <c r="AG31" s="141" t="str">
        <f t="array" ref="AG31">IF(AF31="","",
IF(Y31="EmOC",VLOOKUP(AF31,Data_validation!$R$1:$S$93,2,FALSE),
IF(Y31="ECC",VLOOKUP(AF31,Data_validation!$T$1:$U$151,2,FALSE),
IF(Y31="Other",VLOOKUP(AF31,Data_validation!$V$1:$W$19,2,FALSE),
VLOOKUP(AF31,Data_validation!$X$1:$Y$3,2,FALSE)))))</f>
        <v xml:space="preserve">APH </v>
      </c>
      <c r="AH31" s="143" t="s">
        <v>1683</v>
      </c>
      <c r="AI31" s="191" t="s">
        <v>2367</v>
      </c>
      <c r="AJ31" s="141" t="s">
        <v>654</v>
      </c>
      <c r="AK31" s="141" t="s">
        <v>654</v>
      </c>
      <c r="AL31" s="141" t="s">
        <v>654</v>
      </c>
      <c r="AM31" s="141" t="s">
        <v>654</v>
      </c>
      <c r="AN31" s="195">
        <v>46036</v>
      </c>
      <c r="AO31" s="193" t="str">
        <f t="shared" si="11"/>
        <v>January</v>
      </c>
      <c r="AP31" s="193">
        <f t="shared" si="12"/>
        <v>2026</v>
      </c>
      <c r="AQ31" s="198" t="str">
        <f>IF(Referral4[[#This Row],[Claimed_Date
(mmm-dd-yyy)]]="","",IF(AND(MONTH(Referral4[[#This Row],[Claimed_Date
(mmm-dd-yyy)]])&gt;4,MONTH(Referral4[[#This Row],[Claimed_Date
(mmm-dd-yyy)]])&lt;11),"S1","S2"))</f>
        <v>S2</v>
      </c>
      <c r="AR3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7</v>
      </c>
      <c r="AS31" s="145" t="s">
        <v>2227</v>
      </c>
      <c r="AT31" s="199">
        <v>140000</v>
      </c>
      <c r="AU31" s="200">
        <v>200000</v>
      </c>
      <c r="AV31" s="159">
        <f t="shared" si="4"/>
        <v>340000</v>
      </c>
      <c r="AW31" s="202" t="s">
        <v>2361</v>
      </c>
      <c r="AX31" s="141" t="s">
        <v>21</v>
      </c>
      <c r="AY31" s="141" t="s">
        <v>21</v>
      </c>
      <c r="AZ31" s="141" t="s">
        <v>21</v>
      </c>
      <c r="BA31" s="141" t="s">
        <v>21</v>
      </c>
      <c r="BB31" s="141" t="s">
        <v>21</v>
      </c>
      <c r="BC31" s="141" t="s">
        <v>21</v>
      </c>
      <c r="BD31" s="141" t="s">
        <v>21</v>
      </c>
      <c r="BE31" s="203">
        <f t="shared" si="6"/>
        <v>1</v>
      </c>
      <c r="BF31" s="203">
        <f t="shared" si="7"/>
        <v>0</v>
      </c>
      <c r="BG31" s="193" t="str">
        <f t="shared" si="10"/>
        <v>Severe</v>
      </c>
      <c r="BH31" s="194"/>
    </row>
    <row r="32" spans="1:60" ht="38.25" x14ac:dyDescent="0.25">
      <c r="A32" s="148">
        <v>30</v>
      </c>
      <c r="B32" s="140" t="s">
        <v>1997</v>
      </c>
      <c r="C32" s="191"/>
      <c r="D32" s="217" t="s">
        <v>1998</v>
      </c>
      <c r="E32" s="217" t="s">
        <v>2311</v>
      </c>
      <c r="F32" s="191"/>
      <c r="G32" s="191"/>
      <c r="H32" s="191"/>
      <c r="I32" s="218" t="s">
        <v>2312</v>
      </c>
      <c r="J32" s="191">
        <v>29</v>
      </c>
      <c r="K32" s="191"/>
      <c r="L32" s="191"/>
      <c r="M32" s="219" t="str">
        <f t="shared" si="8"/>
        <v>19 - 49 yrs</v>
      </c>
      <c r="N32" s="194" t="str">
        <f t="shared" si="9"/>
        <v>F</v>
      </c>
      <c r="O32" s="141">
        <v>1</v>
      </c>
      <c r="P32" s="141">
        <v>1</v>
      </c>
      <c r="Q32" s="141">
        <v>1</v>
      </c>
      <c r="R32" s="141">
        <v>1</v>
      </c>
      <c r="S32" s="141">
        <v>1</v>
      </c>
      <c r="T32" s="141">
        <v>1</v>
      </c>
      <c r="U3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2" s="195">
        <v>46041</v>
      </c>
      <c r="W32" s="141" t="s">
        <v>2235</v>
      </c>
      <c r="X32" s="217" t="s">
        <v>2244</v>
      </c>
      <c r="Y32" s="191" t="s">
        <v>293</v>
      </c>
      <c r="Z32" s="191"/>
      <c r="AA32" s="218" t="s">
        <v>2313</v>
      </c>
      <c r="AB32" s="195">
        <v>46033</v>
      </c>
      <c r="AC32" s="196">
        <v>46037</v>
      </c>
      <c r="AD32" s="193">
        <f>IF(Referral4[[#This Row],[DOA
(mm-dd-yyy)]]="","",(Referral4[[#This Row],[DOD
(mm-dd-yyy)]]-Referral4[[#This Row],[DOA
(mm-dd-yyy)]])+1)</f>
        <v>5</v>
      </c>
      <c r="AE32" s="220" t="s">
        <v>2244</v>
      </c>
      <c r="AF32" s="191" t="s">
        <v>1697</v>
      </c>
      <c r="AG32" s="141" t="str">
        <f t="array" ref="AG32">IF(AF32="","",
IF(Y32="EmOC",VLOOKUP(AF32,Data_validation!$R$1:$S$93,2,FALSE),
IF(Y32="ECC",VLOOKUP(AF32,Data_validation!$T$1:$U$151,2,FALSE),
IF(Y32="Other",VLOOKUP(AF32,Data_validation!$V$1:$W$19,2,FALSE),
VLOOKUP(AF32,Data_validation!$X$1:$Y$3,2,FALSE)))))</f>
        <v>Surgical Emergencies</v>
      </c>
      <c r="AH32" s="191"/>
      <c r="AI32" s="191" t="s">
        <v>2238</v>
      </c>
      <c r="AJ32" s="141" t="s">
        <v>654</v>
      </c>
      <c r="AK32" s="141" t="s">
        <v>654</v>
      </c>
      <c r="AL32" s="141" t="s">
        <v>654</v>
      </c>
      <c r="AM32" s="141" t="s">
        <v>654</v>
      </c>
      <c r="AN32" s="195">
        <v>46041</v>
      </c>
      <c r="AO32" s="193" t="str">
        <f t="shared" si="11"/>
        <v>January</v>
      </c>
      <c r="AP32" s="193">
        <f t="shared" si="12"/>
        <v>2026</v>
      </c>
      <c r="AQ32" s="198" t="str">
        <f>IF(Referral4[[#This Row],[Claimed_Date
(mmm-dd-yyy)]]="","",IF(AND(MONTH(Referral4[[#This Row],[Claimed_Date
(mmm-dd-yyy)]])&gt;4,MONTH(Referral4[[#This Row],[Claimed_Date
(mmm-dd-yyy)]])&lt;11),"S1","S2"))</f>
        <v>S2</v>
      </c>
      <c r="AR3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32" s="145" t="s">
        <v>2227</v>
      </c>
      <c r="AT32" s="199">
        <v>100000</v>
      </c>
      <c r="AU32" s="200">
        <v>100000</v>
      </c>
      <c r="AV32" s="159">
        <f t="shared" si="4"/>
        <v>200000</v>
      </c>
      <c r="AW32" s="202"/>
      <c r="AX32" s="141" t="s">
        <v>21</v>
      </c>
      <c r="AY32" s="141" t="s">
        <v>21</v>
      </c>
      <c r="AZ32" s="141" t="s">
        <v>21</v>
      </c>
      <c r="BA32" s="141" t="s">
        <v>21</v>
      </c>
      <c r="BB32" s="141" t="s">
        <v>21</v>
      </c>
      <c r="BC32" s="141" t="s">
        <v>21</v>
      </c>
      <c r="BD32" s="141" t="s">
        <v>21</v>
      </c>
      <c r="BE32" s="203">
        <f t="shared" si="6"/>
        <v>1</v>
      </c>
      <c r="BF32" s="203">
        <f t="shared" si="7"/>
        <v>0</v>
      </c>
      <c r="BG32" s="193" t="str">
        <f t="shared" si="10"/>
        <v>Severe</v>
      </c>
      <c r="BH32" s="194"/>
    </row>
    <row r="33" spans="1:60" s="216" customFormat="1" ht="25.5" x14ac:dyDescent="0.25">
      <c r="A33" s="204">
        <v>31</v>
      </c>
      <c r="B33" s="204" t="s">
        <v>1997</v>
      </c>
      <c r="C33" s="222"/>
      <c r="D33" s="223" t="s">
        <v>1998</v>
      </c>
      <c r="E33" s="223" t="s">
        <v>1999</v>
      </c>
      <c r="F33" s="222"/>
      <c r="G33" s="223" t="s">
        <v>2314</v>
      </c>
      <c r="H33" s="223" t="s">
        <v>579</v>
      </c>
      <c r="I33" s="224" t="s">
        <v>2315</v>
      </c>
      <c r="J33" s="222">
        <v>39</v>
      </c>
      <c r="K33" s="222"/>
      <c r="L33" s="222"/>
      <c r="M33" s="219" t="str">
        <f t="shared" si="8"/>
        <v>19 - 49 yrs</v>
      </c>
      <c r="N33" s="219" t="str">
        <f t="shared" si="9"/>
        <v>F</v>
      </c>
      <c r="O33" s="205">
        <v>1</v>
      </c>
      <c r="P33" s="205">
        <v>1</v>
      </c>
      <c r="Q33" s="205">
        <v>1</v>
      </c>
      <c r="R33" s="205">
        <v>1</v>
      </c>
      <c r="S33" s="205">
        <v>1</v>
      </c>
      <c r="T33" s="205">
        <v>1</v>
      </c>
      <c r="U33" s="222"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3" s="225">
        <v>46040</v>
      </c>
      <c r="W33" s="205" t="s">
        <v>2235</v>
      </c>
      <c r="X33" s="223" t="s">
        <v>2316</v>
      </c>
      <c r="Y33" s="222" t="s">
        <v>1681</v>
      </c>
      <c r="Z33" s="223" t="s">
        <v>2317</v>
      </c>
      <c r="AA33" s="224" t="s">
        <v>2295</v>
      </c>
      <c r="AB33" s="225">
        <v>45890</v>
      </c>
      <c r="AC33" s="226">
        <v>45925</v>
      </c>
      <c r="AD33" s="219">
        <f>IF(Referral4[[#This Row],[DOA
(mm-dd-yyy)]]="","",(Referral4[[#This Row],[DOD
(mm-dd-yyy)]]-Referral4[[#This Row],[DOA
(mm-dd-yyy)]])+1)</f>
        <v>36</v>
      </c>
      <c r="AE33" s="223" t="s">
        <v>2316</v>
      </c>
      <c r="AF33" s="222" t="s">
        <v>1738</v>
      </c>
      <c r="AG33" s="205" t="str">
        <f t="array" ref="AG33">IF(AF33="","",
IF(Y33="EmOC",VLOOKUP(AF33,Data_validation!$R$1:$S$93,2,FALSE),
IF(Y33="ECC",VLOOKUP(AF33,Data_validation!$T$1:$U$151,2,FALSE),
IF(Y33="Other",VLOOKUP(AF33,Data_validation!$V$1:$W$19,2,FALSE),
VLOOKUP(AF33,Data_validation!$X$1:$Y$3,2,FALSE)))))</f>
        <v xml:space="preserve">High risk pregnancy </v>
      </c>
      <c r="AH33" s="206" t="s">
        <v>1683</v>
      </c>
      <c r="AI33" s="223" t="s">
        <v>2318</v>
      </c>
      <c r="AJ33" s="205" t="s">
        <v>654</v>
      </c>
      <c r="AK33" s="205" t="s">
        <v>654</v>
      </c>
      <c r="AL33" s="205" t="s">
        <v>654</v>
      </c>
      <c r="AM33" s="205" t="s">
        <v>654</v>
      </c>
      <c r="AN33" s="225">
        <v>46038</v>
      </c>
      <c r="AO33" s="219" t="str">
        <f t="shared" si="11"/>
        <v>January</v>
      </c>
      <c r="AP33" s="219">
        <f t="shared" si="12"/>
        <v>2026</v>
      </c>
      <c r="AQ33" s="227" t="str">
        <f>IF(Referral4[[#This Row],[Claimed_Date
(mmm-dd-yyy)]]="","",IF(AND(MONTH(Referral4[[#This Row],[Claimed_Date
(mmm-dd-yyy)]])&gt;4,MONTH(Referral4[[#This Row],[Claimed_Date
(mmm-dd-yyy)]])&lt;11),"S1","S2"))</f>
        <v>S2</v>
      </c>
      <c r="AR33" s="219">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7</v>
      </c>
      <c r="AS33" s="211" t="s">
        <v>2227</v>
      </c>
      <c r="AT33" s="228">
        <v>140000</v>
      </c>
      <c r="AU33" s="229">
        <v>150000</v>
      </c>
      <c r="AV33" s="240">
        <f t="shared" si="4"/>
        <v>290000</v>
      </c>
      <c r="AW33" s="230" t="s">
        <v>2361</v>
      </c>
      <c r="AX33" s="205" t="s">
        <v>21</v>
      </c>
      <c r="AY33" s="205" t="s">
        <v>21</v>
      </c>
      <c r="AZ33" s="205" t="s">
        <v>21</v>
      </c>
      <c r="BA33" s="205" t="s">
        <v>21</v>
      </c>
      <c r="BB33" s="205" t="s">
        <v>21</v>
      </c>
      <c r="BC33" s="205" t="s">
        <v>21</v>
      </c>
      <c r="BD33" s="205" t="s">
        <v>21</v>
      </c>
      <c r="BE33" s="214">
        <f t="shared" si="6"/>
        <v>1</v>
      </c>
      <c r="BF33" s="214">
        <f t="shared" si="7"/>
        <v>0</v>
      </c>
      <c r="BG33" s="219" t="str">
        <f t="shared" si="10"/>
        <v>Severe</v>
      </c>
      <c r="BH33" s="219"/>
    </row>
    <row r="34" spans="1:60" ht="25.5" x14ac:dyDescent="0.25">
      <c r="A34" s="148">
        <v>32</v>
      </c>
      <c r="B34" s="140" t="s">
        <v>1997</v>
      </c>
      <c r="C34" s="191"/>
      <c r="D34" s="191" t="s">
        <v>2246</v>
      </c>
      <c r="E34" s="191" t="s">
        <v>2246</v>
      </c>
      <c r="F34" s="191"/>
      <c r="G34" s="191" t="s">
        <v>2272</v>
      </c>
      <c r="H34" s="191" t="s">
        <v>619</v>
      </c>
      <c r="I34" s="192" t="s">
        <v>2323</v>
      </c>
      <c r="J34" s="191">
        <v>30</v>
      </c>
      <c r="K34" s="191"/>
      <c r="L34" s="191"/>
      <c r="M34" s="219" t="str">
        <f t="shared" si="8"/>
        <v>19 - 49 yrs</v>
      </c>
      <c r="N34" s="194" t="str">
        <f t="shared" si="9"/>
        <v>F</v>
      </c>
      <c r="O34" s="141">
        <v>1</v>
      </c>
      <c r="P34" s="141">
        <v>1</v>
      </c>
      <c r="Q34" s="141">
        <v>1</v>
      </c>
      <c r="R34" s="141">
        <v>1</v>
      </c>
      <c r="S34" s="141">
        <v>1</v>
      </c>
      <c r="T34" s="141">
        <v>1</v>
      </c>
      <c r="U3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4" s="195">
        <v>46041</v>
      </c>
      <c r="W34" s="141" t="s">
        <v>2235</v>
      </c>
      <c r="X34" s="191" t="s">
        <v>2324</v>
      </c>
      <c r="Y34" s="191" t="s">
        <v>1681</v>
      </c>
      <c r="Z34" s="191" t="s">
        <v>2325</v>
      </c>
      <c r="AA34" s="192" t="s">
        <v>2326</v>
      </c>
      <c r="AB34" s="195">
        <v>45948</v>
      </c>
      <c r="AC34" s="196">
        <v>45950</v>
      </c>
      <c r="AD34" s="193">
        <f>IF(Referral4[[#This Row],[DOA
(mm-dd-yyy)]]="","",(Referral4[[#This Row],[DOD
(mm-dd-yyy)]]-Referral4[[#This Row],[DOA
(mm-dd-yyy)]])+1)</f>
        <v>3</v>
      </c>
      <c r="AE34" s="191" t="s">
        <v>2324</v>
      </c>
      <c r="AF34" s="191" t="s">
        <v>1877</v>
      </c>
      <c r="AG34" s="141" t="str">
        <f t="array" ref="AG34">IF(AF34="","",
IF(Y34="EmOC",VLOOKUP(AF34,Data_validation!$R$1:$S$93,2,FALSE),
IF(Y34="ECC",VLOOKUP(AF34,Data_validation!$T$1:$U$151,2,FALSE),
IF(Y34="Other",VLOOKUP(AF34,Data_validation!$V$1:$W$19,2,FALSE),
VLOOKUP(AF34,Data_validation!$X$1:$Y$3,2,FALSE)))))</f>
        <v xml:space="preserve">PROM </v>
      </c>
      <c r="AH34" s="143" t="s">
        <v>1683</v>
      </c>
      <c r="AI34" s="191" t="s">
        <v>2327</v>
      </c>
      <c r="AJ34" s="141" t="s">
        <v>654</v>
      </c>
      <c r="AK34" s="141" t="s">
        <v>654</v>
      </c>
      <c r="AL34" s="141" t="s">
        <v>654</v>
      </c>
      <c r="AM34" s="141" t="s">
        <v>654</v>
      </c>
      <c r="AN34" s="195">
        <v>46041</v>
      </c>
      <c r="AO34" s="193" t="str">
        <f t="shared" si="11"/>
        <v>January</v>
      </c>
      <c r="AP34" s="193">
        <f t="shared" si="12"/>
        <v>2026</v>
      </c>
      <c r="AQ34" s="198" t="str">
        <f>IF(Referral4[[#This Row],[Claimed_Date
(mmm-dd-yyy)]]="","",IF(AND(MONTH(Referral4[[#This Row],[Claimed_Date
(mmm-dd-yyy)]])&gt;4,MONTH(Referral4[[#This Row],[Claimed_Date
(mmm-dd-yyy)]])&lt;11),"S1","S2"))</f>
        <v>S2</v>
      </c>
      <c r="AR3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34" s="145" t="s">
        <v>2227</v>
      </c>
      <c r="AT34" s="199">
        <v>60000</v>
      </c>
      <c r="AU34" s="200">
        <v>150000</v>
      </c>
      <c r="AV34" s="159">
        <f t="shared" si="4"/>
        <v>210000</v>
      </c>
      <c r="AW34" s="202"/>
      <c r="AX34" s="141" t="s">
        <v>21</v>
      </c>
      <c r="AY34" s="141" t="s">
        <v>21</v>
      </c>
      <c r="AZ34" s="141" t="s">
        <v>21</v>
      </c>
      <c r="BA34" s="141" t="s">
        <v>21</v>
      </c>
      <c r="BB34" s="141" t="s">
        <v>21</v>
      </c>
      <c r="BC34" s="141" t="s">
        <v>21</v>
      </c>
      <c r="BD34" s="141" t="s">
        <v>21</v>
      </c>
      <c r="BE34" s="203">
        <f t="shared" si="6"/>
        <v>1</v>
      </c>
      <c r="BF34" s="203">
        <f t="shared" si="7"/>
        <v>0</v>
      </c>
      <c r="BG34" s="193" t="str">
        <f t="shared" si="10"/>
        <v>Severe</v>
      </c>
      <c r="BH34" s="194"/>
    </row>
    <row r="35" spans="1:60" ht="25.5" x14ac:dyDescent="0.25">
      <c r="A35" s="140">
        <v>33</v>
      </c>
      <c r="B35" s="140" t="s">
        <v>1997</v>
      </c>
      <c r="C35" s="191"/>
      <c r="D35" s="191" t="s">
        <v>2246</v>
      </c>
      <c r="E35" s="191" t="s">
        <v>2246</v>
      </c>
      <c r="F35" s="191"/>
      <c r="G35" s="191" t="s">
        <v>2328</v>
      </c>
      <c r="H35" s="217" t="s">
        <v>579</v>
      </c>
      <c r="I35" s="192" t="s">
        <v>2329</v>
      </c>
      <c r="J35" s="191"/>
      <c r="K35" s="191"/>
      <c r="L35" s="191">
        <v>1</v>
      </c>
      <c r="M35" s="219" t="str">
        <f t="shared" si="8"/>
        <v>&lt;5 yrs</v>
      </c>
      <c r="N35" s="194" t="str">
        <f t="shared" si="9"/>
        <v>F</v>
      </c>
      <c r="O35" s="141">
        <v>1</v>
      </c>
      <c r="P35" s="141">
        <v>1</v>
      </c>
      <c r="Q35" s="141">
        <v>1</v>
      </c>
      <c r="R35" s="141">
        <v>1</v>
      </c>
      <c r="S35" s="141">
        <v>1</v>
      </c>
      <c r="T35" s="141">
        <v>1</v>
      </c>
      <c r="U3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5" s="195">
        <v>46041</v>
      </c>
      <c r="W35" s="141" t="s">
        <v>2235</v>
      </c>
      <c r="X35" s="191" t="s">
        <v>2241</v>
      </c>
      <c r="Y35" s="191" t="s">
        <v>1684</v>
      </c>
      <c r="Z35" s="191"/>
      <c r="AA35" s="192" t="s">
        <v>2249</v>
      </c>
      <c r="AB35" s="195">
        <v>46008</v>
      </c>
      <c r="AC35" s="196">
        <v>46011</v>
      </c>
      <c r="AD35" s="193">
        <f>IF(Referral4[[#This Row],[DOA
(mm-dd-yyy)]]="","",(Referral4[[#This Row],[DOD
(mm-dd-yyy)]]-Referral4[[#This Row],[DOA
(mm-dd-yyy)]])+1)</f>
        <v>4</v>
      </c>
      <c r="AE35" s="191" t="s">
        <v>2241</v>
      </c>
      <c r="AF35" s="191" t="s">
        <v>1731</v>
      </c>
      <c r="AG35" s="141" t="str">
        <f t="array" ref="AG35">IF(AF35="","",
IF(Y35="EmOC",VLOOKUP(AF35,Data_validation!$R$1:$S$93,2,FALSE),
IF(Y35="ECC",VLOOKUP(AF35,Data_validation!$T$1:$U$151,2,FALSE),
IF(Y35="Other",VLOOKUP(AF35,Data_validation!$V$1:$W$19,2,FALSE),
VLOOKUP(AF35,Data_validation!$X$1:$Y$3,2,FALSE)))))</f>
        <v>Neonatal emergencies</v>
      </c>
      <c r="AH35" s="191"/>
      <c r="AI35" s="191" t="s">
        <v>2238</v>
      </c>
      <c r="AJ35" s="141" t="s">
        <v>654</v>
      </c>
      <c r="AK35" s="141" t="s">
        <v>654</v>
      </c>
      <c r="AL35" s="141" t="s">
        <v>654</v>
      </c>
      <c r="AM35" s="141" t="s">
        <v>654</v>
      </c>
      <c r="AN35" s="195">
        <v>46041</v>
      </c>
      <c r="AO35" s="193" t="str">
        <f t="shared" si="11"/>
        <v>January</v>
      </c>
      <c r="AP35" s="193">
        <f t="shared" si="12"/>
        <v>2026</v>
      </c>
      <c r="AQ35" s="198" t="str">
        <f>IF(Referral4[[#This Row],[Claimed_Date
(mmm-dd-yyy)]]="","",IF(AND(MONTH(Referral4[[#This Row],[Claimed_Date
(mmm-dd-yyy)]])&gt;4,MONTH(Referral4[[#This Row],[Claimed_Date
(mmm-dd-yyy)]])&lt;11),"S1","S2"))</f>
        <v>S2</v>
      </c>
      <c r="AR3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35" s="145" t="s">
        <v>2227</v>
      </c>
      <c r="AT35" s="199">
        <v>40000</v>
      </c>
      <c r="AU35" s="200">
        <v>100000</v>
      </c>
      <c r="AV35" s="159">
        <f t="shared" si="4"/>
        <v>140000</v>
      </c>
      <c r="AW35" s="202"/>
      <c r="AX35" s="141" t="s">
        <v>21</v>
      </c>
      <c r="AY35" s="141" t="s">
        <v>21</v>
      </c>
      <c r="AZ35" s="141" t="s">
        <v>21</v>
      </c>
      <c r="BA35" s="141" t="s">
        <v>21</v>
      </c>
      <c r="BB35" s="141" t="s">
        <v>21</v>
      </c>
      <c r="BC35" s="141" t="s">
        <v>21</v>
      </c>
      <c r="BD35" s="141" t="s">
        <v>21</v>
      </c>
      <c r="BE35" s="203">
        <f t="shared" si="6"/>
        <v>1</v>
      </c>
      <c r="BF35" s="203">
        <f t="shared" si="7"/>
        <v>0</v>
      </c>
      <c r="BG35" s="193" t="str">
        <f t="shared" si="10"/>
        <v>Severe</v>
      </c>
      <c r="BH35" s="194"/>
    </row>
    <row r="36" spans="1:60" s="216" customFormat="1" ht="25.5" x14ac:dyDescent="0.25">
      <c r="A36" s="241">
        <v>34</v>
      </c>
      <c r="B36" s="204" t="s">
        <v>1997</v>
      </c>
      <c r="C36" s="222"/>
      <c r="D36" s="222" t="s">
        <v>2246</v>
      </c>
      <c r="E36" s="222" t="s">
        <v>2246</v>
      </c>
      <c r="F36" s="222"/>
      <c r="G36" s="222" t="s">
        <v>2331</v>
      </c>
      <c r="H36" s="223" t="s">
        <v>579</v>
      </c>
      <c r="I36" s="242" t="s">
        <v>2330</v>
      </c>
      <c r="J36" s="222">
        <v>3</v>
      </c>
      <c r="K36" s="222">
        <v>1</v>
      </c>
      <c r="L36" s="222"/>
      <c r="M36" s="219" t="str">
        <f t="shared" si="8"/>
        <v>&lt;5 yrs</v>
      </c>
      <c r="N36" s="219" t="str">
        <f t="shared" si="9"/>
        <v>M</v>
      </c>
      <c r="O36" s="205">
        <v>1</v>
      </c>
      <c r="P36" s="205">
        <v>1</v>
      </c>
      <c r="Q36" s="205">
        <v>1</v>
      </c>
      <c r="R36" s="205">
        <v>1</v>
      </c>
      <c r="S36" s="205">
        <v>1</v>
      </c>
      <c r="T36" s="205">
        <v>1</v>
      </c>
      <c r="U36" s="222"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6" s="225">
        <v>46041</v>
      </c>
      <c r="W36" s="205" t="s">
        <v>2235</v>
      </c>
      <c r="X36" s="222" t="s">
        <v>2332</v>
      </c>
      <c r="Y36" s="222" t="s">
        <v>293</v>
      </c>
      <c r="Z36" s="222"/>
      <c r="AA36" s="242" t="s">
        <v>2333</v>
      </c>
      <c r="AB36" s="225">
        <v>45966</v>
      </c>
      <c r="AC36" s="226">
        <v>45971</v>
      </c>
      <c r="AD36" s="219">
        <f>IF(Referral4[[#This Row],[DOA
(mm-dd-yyy)]]="","",(Referral4[[#This Row],[DOD
(mm-dd-yyy)]]-Referral4[[#This Row],[DOA
(mm-dd-yyy)]])+1)</f>
        <v>6</v>
      </c>
      <c r="AE36" s="222" t="s">
        <v>2332</v>
      </c>
      <c r="AF36" s="222" t="s">
        <v>1697</v>
      </c>
      <c r="AG36" s="205" t="str">
        <f t="array" ref="AG36">IF(AF36="","",
IF(Y36="EmOC",VLOOKUP(AF36,Data_validation!$R$1:$S$93,2,FALSE),
IF(Y36="ECC",VLOOKUP(AF36,Data_validation!$T$1:$U$151,2,FALSE),
IF(Y36="Other",VLOOKUP(AF36,Data_validation!$V$1:$W$19,2,FALSE),
VLOOKUP(AF36,Data_validation!$X$1:$Y$3,2,FALSE)))))</f>
        <v>Surgical Emergencies</v>
      </c>
      <c r="AH36" s="222"/>
      <c r="AI36" s="222" t="s">
        <v>2238</v>
      </c>
      <c r="AJ36" s="205" t="s">
        <v>654</v>
      </c>
      <c r="AK36" s="205" t="s">
        <v>654</v>
      </c>
      <c r="AL36" s="205" t="s">
        <v>654</v>
      </c>
      <c r="AM36" s="205" t="s">
        <v>654</v>
      </c>
      <c r="AN36" s="225">
        <v>46041</v>
      </c>
      <c r="AO36" s="219" t="str">
        <f t="shared" si="11"/>
        <v>January</v>
      </c>
      <c r="AP36" s="219">
        <f t="shared" si="12"/>
        <v>2026</v>
      </c>
      <c r="AQ36" s="227" t="str">
        <f>IF(Referral4[[#This Row],[Claimed_Date
(mmm-dd-yyy)]]="","",IF(AND(MONTH(Referral4[[#This Row],[Claimed_Date
(mmm-dd-yyy)]])&gt;4,MONTH(Referral4[[#This Row],[Claimed_Date
(mmm-dd-yyy)]])&lt;11),"S1","S2"))</f>
        <v>S2</v>
      </c>
      <c r="AR36" s="219">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6</v>
      </c>
      <c r="AS36" s="211" t="s">
        <v>2227</v>
      </c>
      <c r="AT36" s="228">
        <v>120000</v>
      </c>
      <c r="AU36" s="229">
        <v>220000</v>
      </c>
      <c r="AV36" s="240">
        <f t="shared" si="4"/>
        <v>340000</v>
      </c>
      <c r="AW36" s="230" t="s">
        <v>2361</v>
      </c>
      <c r="AX36" s="205" t="s">
        <v>21</v>
      </c>
      <c r="AY36" s="205" t="s">
        <v>21</v>
      </c>
      <c r="AZ36" s="205" t="s">
        <v>21</v>
      </c>
      <c r="BA36" s="205" t="s">
        <v>21</v>
      </c>
      <c r="BB36" s="205" t="s">
        <v>21</v>
      </c>
      <c r="BC36" s="205" t="s">
        <v>21</v>
      </c>
      <c r="BD36" s="205" t="s">
        <v>21</v>
      </c>
      <c r="BE36" s="214">
        <f t="shared" si="6"/>
        <v>1</v>
      </c>
      <c r="BF36" s="214">
        <f t="shared" si="7"/>
        <v>0</v>
      </c>
      <c r="BG36" s="219" t="str">
        <f t="shared" si="10"/>
        <v>Severe</v>
      </c>
      <c r="BH36" s="219"/>
    </row>
    <row r="37" spans="1:60" ht="25.5" x14ac:dyDescent="0.25">
      <c r="A37" s="140">
        <v>35</v>
      </c>
      <c r="B37" s="140" t="s">
        <v>1997</v>
      </c>
      <c r="C37" s="191"/>
      <c r="D37" s="217" t="s">
        <v>1998</v>
      </c>
      <c r="E37" s="217" t="s">
        <v>2254</v>
      </c>
      <c r="F37" s="191"/>
      <c r="G37" s="217" t="s">
        <v>2303</v>
      </c>
      <c r="H37" s="217" t="s">
        <v>579</v>
      </c>
      <c r="I37" s="192" t="s">
        <v>2334</v>
      </c>
      <c r="J37" s="191">
        <v>4</v>
      </c>
      <c r="K37" s="191"/>
      <c r="L37" s="191"/>
      <c r="M37" s="219" t="str">
        <f t="shared" si="8"/>
        <v>&lt;5 yrs</v>
      </c>
      <c r="N37" s="194" t="str">
        <f t="shared" si="9"/>
        <v>F</v>
      </c>
      <c r="O37" s="141">
        <v>1</v>
      </c>
      <c r="P37" s="141">
        <v>1</v>
      </c>
      <c r="Q37" s="141">
        <v>1</v>
      </c>
      <c r="R37" s="141">
        <v>1</v>
      </c>
      <c r="S37" s="141">
        <v>1</v>
      </c>
      <c r="T37" s="141">
        <v>1</v>
      </c>
      <c r="U3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7" s="195">
        <v>46041</v>
      </c>
      <c r="W37" s="141" t="s">
        <v>2235</v>
      </c>
      <c r="X37" s="191" t="s">
        <v>2335</v>
      </c>
      <c r="Y37" s="191" t="s">
        <v>1684</v>
      </c>
      <c r="Z37" s="191"/>
      <c r="AA37" s="192" t="s">
        <v>2258</v>
      </c>
      <c r="AB37" s="195">
        <v>45964</v>
      </c>
      <c r="AC37" s="196">
        <v>45966</v>
      </c>
      <c r="AD37" s="193">
        <f>IF(Referral4[[#This Row],[DOA
(mm-dd-yyy)]]="","",(Referral4[[#This Row],[DOD
(mm-dd-yyy)]]-Referral4[[#This Row],[DOA
(mm-dd-yyy)]])+1)</f>
        <v>3</v>
      </c>
      <c r="AE37" s="191" t="s">
        <v>2335</v>
      </c>
      <c r="AF37" s="191" t="s">
        <v>1733</v>
      </c>
      <c r="AG37" s="141" t="str">
        <f t="array" ref="AG37">IF(AF37="","",
IF(Y37="EmOC",VLOOKUP(AF37,Data_validation!$R$1:$S$93,2,FALSE),
IF(Y37="ECC",VLOOKUP(AF37,Data_validation!$T$1:$U$151,2,FALSE),
IF(Y37="Other",VLOOKUP(AF37,Data_validation!$V$1:$W$19,2,FALSE),
VLOOKUP(AF37,Data_validation!$X$1:$Y$3,2,FALSE)))))</f>
        <v>Other emergencies</v>
      </c>
      <c r="AH37" s="191"/>
      <c r="AI37" s="191" t="s">
        <v>2238</v>
      </c>
      <c r="AJ37" s="141" t="s">
        <v>654</v>
      </c>
      <c r="AK37" s="141" t="s">
        <v>654</v>
      </c>
      <c r="AL37" s="141" t="s">
        <v>654</v>
      </c>
      <c r="AM37" s="141" t="s">
        <v>654</v>
      </c>
      <c r="AN37" s="195">
        <v>46041</v>
      </c>
      <c r="AO37" s="193" t="str">
        <f t="shared" si="11"/>
        <v>January</v>
      </c>
      <c r="AP37" s="193">
        <f t="shared" si="12"/>
        <v>2026</v>
      </c>
      <c r="AQ37" s="198" t="str">
        <f>IF(Referral4[[#This Row],[Claimed_Date
(mmm-dd-yyy)]]="","",IF(AND(MONTH(Referral4[[#This Row],[Claimed_Date
(mmm-dd-yyy)]])&gt;4,MONTH(Referral4[[#This Row],[Claimed_Date
(mmm-dd-yyy)]])&lt;11),"S1","S2"))</f>
        <v>S2</v>
      </c>
      <c r="AR3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37" s="145" t="s">
        <v>2227</v>
      </c>
      <c r="AT37" s="199">
        <v>60000</v>
      </c>
      <c r="AU37" s="200">
        <v>200000</v>
      </c>
      <c r="AV37" s="159">
        <f t="shared" si="4"/>
        <v>260000</v>
      </c>
      <c r="AW37" s="202" t="s">
        <v>2361</v>
      </c>
      <c r="AX37" s="141" t="s">
        <v>21</v>
      </c>
      <c r="AY37" s="141" t="s">
        <v>21</v>
      </c>
      <c r="AZ37" s="141" t="s">
        <v>21</v>
      </c>
      <c r="BA37" s="141" t="s">
        <v>21</v>
      </c>
      <c r="BB37" s="141" t="s">
        <v>21</v>
      </c>
      <c r="BC37" s="141" t="s">
        <v>21</v>
      </c>
      <c r="BD37" s="141" t="s">
        <v>21</v>
      </c>
      <c r="BE37" s="203">
        <f t="shared" si="6"/>
        <v>1</v>
      </c>
      <c r="BF37" s="203">
        <f t="shared" si="7"/>
        <v>0</v>
      </c>
      <c r="BG37" s="193" t="str">
        <f t="shared" si="10"/>
        <v>Severe</v>
      </c>
      <c r="BH37" s="194"/>
    </row>
    <row r="38" spans="1:60" ht="25.5" x14ac:dyDescent="0.25">
      <c r="A38" s="148">
        <v>36</v>
      </c>
      <c r="B38" s="140" t="s">
        <v>1997</v>
      </c>
      <c r="C38" s="191"/>
      <c r="D38" s="217" t="s">
        <v>1998</v>
      </c>
      <c r="E38" s="217" t="s">
        <v>2254</v>
      </c>
      <c r="F38" s="191"/>
      <c r="G38" s="217" t="s">
        <v>2303</v>
      </c>
      <c r="H38" s="217" t="s">
        <v>579</v>
      </c>
      <c r="I38" s="192" t="s">
        <v>2336</v>
      </c>
      <c r="J38" s="191">
        <v>38</v>
      </c>
      <c r="K38" s="191"/>
      <c r="L38" s="191"/>
      <c r="M38" s="219" t="str">
        <f t="shared" si="8"/>
        <v>19 - 49 yrs</v>
      </c>
      <c r="N38" s="194" t="str">
        <f t="shared" si="9"/>
        <v>F</v>
      </c>
      <c r="O38" s="141">
        <v>1</v>
      </c>
      <c r="P38" s="141">
        <v>1</v>
      </c>
      <c r="Q38" s="141">
        <v>1</v>
      </c>
      <c r="R38" s="141">
        <v>1</v>
      </c>
      <c r="S38" s="141">
        <v>1</v>
      </c>
      <c r="T38" s="141">
        <v>1</v>
      </c>
      <c r="U3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8" s="195">
        <v>46041</v>
      </c>
      <c r="W38" s="141" t="s">
        <v>2235</v>
      </c>
      <c r="X38" s="191" t="s">
        <v>2337</v>
      </c>
      <c r="Y38" s="191" t="s">
        <v>1681</v>
      </c>
      <c r="Z38" s="191" t="s">
        <v>2338</v>
      </c>
      <c r="AA38" s="192" t="s">
        <v>2307</v>
      </c>
      <c r="AB38" s="195">
        <v>46035</v>
      </c>
      <c r="AC38" s="196">
        <v>46037</v>
      </c>
      <c r="AD38" s="193">
        <f>IF(Referral4[[#This Row],[DOA
(mm-dd-yyy)]]="","",(Referral4[[#This Row],[DOD
(mm-dd-yyy)]]-Referral4[[#This Row],[DOA
(mm-dd-yyy)]])+1)</f>
        <v>3</v>
      </c>
      <c r="AE38" s="191" t="s">
        <v>2337</v>
      </c>
      <c r="AF38" s="191" t="s">
        <v>1838</v>
      </c>
      <c r="AG38" s="141" t="str">
        <f t="array" ref="AG38">IF(AF38="","",
IF(Y38="EmOC",VLOOKUP(AF38,Data_validation!$R$1:$S$93,2,FALSE),
IF(Y38="ECC",VLOOKUP(AF38,Data_validation!$T$1:$U$151,2,FALSE),
IF(Y38="Other",VLOOKUP(AF38,Data_validation!$V$1:$W$19,2,FALSE),
VLOOKUP(AF38,Data_validation!$X$1:$Y$3,2,FALSE)))))</f>
        <v xml:space="preserve">Eclampsia/PIH/Pre-eclampsia </v>
      </c>
      <c r="AH38" s="143" t="s">
        <v>1683</v>
      </c>
      <c r="AI38" s="191" t="s">
        <v>2365</v>
      </c>
      <c r="AJ38" s="141" t="s">
        <v>654</v>
      </c>
      <c r="AK38" s="141" t="s">
        <v>654</v>
      </c>
      <c r="AL38" s="141" t="s">
        <v>654</v>
      </c>
      <c r="AM38" s="141" t="s">
        <v>654</v>
      </c>
      <c r="AN38" s="195">
        <v>46041</v>
      </c>
      <c r="AO38" s="193" t="str">
        <f t="shared" si="11"/>
        <v>January</v>
      </c>
      <c r="AP38" s="193">
        <f t="shared" si="12"/>
        <v>2026</v>
      </c>
      <c r="AQ38" s="198" t="str">
        <f>IF(Referral4[[#This Row],[Claimed_Date
(mmm-dd-yyy)]]="","",IF(AND(MONTH(Referral4[[#This Row],[Claimed_Date
(mmm-dd-yyy)]])&gt;4,MONTH(Referral4[[#This Row],[Claimed_Date
(mmm-dd-yyy)]])&lt;11),"S1","S2"))</f>
        <v>S2</v>
      </c>
      <c r="AR3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38" s="145" t="s">
        <v>2227</v>
      </c>
      <c r="AT38" s="199">
        <v>60000</v>
      </c>
      <c r="AU38" s="200">
        <v>100000</v>
      </c>
      <c r="AV38" s="159">
        <f t="shared" si="4"/>
        <v>160000</v>
      </c>
      <c r="AW38" s="202"/>
      <c r="AX38" s="141" t="s">
        <v>21</v>
      </c>
      <c r="AY38" s="141" t="s">
        <v>21</v>
      </c>
      <c r="AZ38" s="141" t="s">
        <v>21</v>
      </c>
      <c r="BA38" s="141" t="s">
        <v>21</v>
      </c>
      <c r="BB38" s="141" t="s">
        <v>21</v>
      </c>
      <c r="BC38" s="141" t="s">
        <v>21</v>
      </c>
      <c r="BD38" s="141" t="s">
        <v>21</v>
      </c>
      <c r="BE38" s="203">
        <f t="shared" si="6"/>
        <v>1</v>
      </c>
      <c r="BF38" s="203">
        <f t="shared" si="7"/>
        <v>0</v>
      </c>
      <c r="BG38" s="193" t="str">
        <f t="shared" si="10"/>
        <v>Severe</v>
      </c>
      <c r="BH38" s="194"/>
    </row>
    <row r="39" spans="1:60" ht="25.5" x14ac:dyDescent="0.25">
      <c r="A39" s="140">
        <v>37</v>
      </c>
      <c r="B39" s="140" t="s">
        <v>1997</v>
      </c>
      <c r="C39" s="191"/>
      <c r="D39" s="217" t="s">
        <v>1998</v>
      </c>
      <c r="E39" s="217" t="s">
        <v>2254</v>
      </c>
      <c r="F39" s="191"/>
      <c r="G39" s="217" t="s">
        <v>2303</v>
      </c>
      <c r="H39" s="217" t="s">
        <v>579</v>
      </c>
      <c r="I39" s="192" t="s">
        <v>2339</v>
      </c>
      <c r="J39" s="191">
        <v>5</v>
      </c>
      <c r="K39" s="191"/>
      <c r="L39" s="191"/>
      <c r="M39" s="219" t="str">
        <f t="shared" si="8"/>
        <v>5 - 14 yrs</v>
      </c>
      <c r="N39" s="194" t="str">
        <f t="shared" si="9"/>
        <v>M</v>
      </c>
      <c r="O39" s="141">
        <v>1</v>
      </c>
      <c r="P39" s="141">
        <v>1</v>
      </c>
      <c r="Q39" s="141">
        <v>1</v>
      </c>
      <c r="R39" s="141">
        <v>1</v>
      </c>
      <c r="S39" s="141">
        <v>1</v>
      </c>
      <c r="T39" s="141">
        <v>1</v>
      </c>
      <c r="U3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39" s="195">
        <v>46039</v>
      </c>
      <c r="W39" s="141" t="s">
        <v>2235</v>
      </c>
      <c r="X39" s="191" t="s">
        <v>2340</v>
      </c>
      <c r="Y39" s="191" t="s">
        <v>1684</v>
      </c>
      <c r="Z39" s="191"/>
      <c r="AA39" s="192" t="s">
        <v>2258</v>
      </c>
      <c r="AB39" s="195">
        <v>45954</v>
      </c>
      <c r="AC39" s="196">
        <v>45959</v>
      </c>
      <c r="AD39" s="193">
        <f>IF(Referral4[[#This Row],[DOA
(mm-dd-yyy)]]="","",(Referral4[[#This Row],[DOD
(mm-dd-yyy)]]-Referral4[[#This Row],[DOA
(mm-dd-yyy)]])+1)</f>
        <v>6</v>
      </c>
      <c r="AE39" s="191" t="s">
        <v>2340</v>
      </c>
      <c r="AF39" s="191" t="s">
        <v>1829</v>
      </c>
      <c r="AG39" s="141" t="str">
        <f t="array" ref="AG39">IF(AF39="","",
IF(Y39="EmOC",VLOOKUP(AF39,Data_validation!$R$1:$S$93,2,FALSE),
IF(Y39="ECC",VLOOKUP(AF39,Data_validation!$T$1:$U$151,2,FALSE),
IF(Y39="Other",VLOOKUP(AF39,Data_validation!$V$1:$W$19,2,FALSE),
VLOOKUP(AF39,Data_validation!$X$1:$Y$3,2,FALSE)))))</f>
        <v>DHF</v>
      </c>
      <c r="AH39" s="191"/>
      <c r="AI39" s="191" t="s">
        <v>2238</v>
      </c>
      <c r="AJ39" s="141" t="s">
        <v>654</v>
      </c>
      <c r="AK39" s="141" t="s">
        <v>654</v>
      </c>
      <c r="AL39" s="141" t="s">
        <v>654</v>
      </c>
      <c r="AM39" s="141" t="s">
        <v>654</v>
      </c>
      <c r="AN39" s="195">
        <v>46039</v>
      </c>
      <c r="AO39" s="193" t="str">
        <f t="shared" si="11"/>
        <v>January</v>
      </c>
      <c r="AP39" s="193">
        <f t="shared" si="12"/>
        <v>2026</v>
      </c>
      <c r="AQ39" s="198" t="str">
        <f>IF(Referral4[[#This Row],[Claimed_Date
(mmm-dd-yyy)]]="","",IF(AND(MONTH(Referral4[[#This Row],[Claimed_Date
(mmm-dd-yyy)]])&gt;4,MONTH(Referral4[[#This Row],[Claimed_Date
(mmm-dd-yyy)]])&lt;11),"S1","S2"))</f>
        <v>S2</v>
      </c>
      <c r="AR3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39" s="145" t="s">
        <v>2227</v>
      </c>
      <c r="AT39" s="199">
        <v>100000</v>
      </c>
      <c r="AU39" s="200">
        <v>200000</v>
      </c>
      <c r="AV39" s="159">
        <f t="shared" si="4"/>
        <v>300000</v>
      </c>
      <c r="AW39" s="202" t="s">
        <v>2361</v>
      </c>
      <c r="AX39" s="141" t="s">
        <v>21</v>
      </c>
      <c r="AY39" s="141" t="s">
        <v>21</v>
      </c>
      <c r="AZ39" s="141" t="s">
        <v>21</v>
      </c>
      <c r="BA39" s="141" t="s">
        <v>21</v>
      </c>
      <c r="BB39" s="141" t="s">
        <v>21</v>
      </c>
      <c r="BC39" s="141" t="s">
        <v>21</v>
      </c>
      <c r="BD39" s="141" t="s">
        <v>21</v>
      </c>
      <c r="BE39" s="203">
        <f t="shared" si="6"/>
        <v>1</v>
      </c>
      <c r="BF39" s="203">
        <f t="shared" si="7"/>
        <v>0</v>
      </c>
      <c r="BG39" s="193" t="str">
        <f t="shared" si="10"/>
        <v>Severe</v>
      </c>
      <c r="BH39" s="194"/>
    </row>
    <row r="40" spans="1:60" ht="25.5" x14ac:dyDescent="0.25">
      <c r="A40" s="148">
        <v>38</v>
      </c>
      <c r="B40" s="140" t="s">
        <v>1997</v>
      </c>
      <c r="C40" s="191"/>
      <c r="D40" s="217" t="s">
        <v>1998</v>
      </c>
      <c r="E40" s="217" t="s">
        <v>2254</v>
      </c>
      <c r="F40" s="191"/>
      <c r="G40" s="191" t="s">
        <v>2255</v>
      </c>
      <c r="H40" s="217" t="s">
        <v>579</v>
      </c>
      <c r="I40" s="192" t="s">
        <v>2341</v>
      </c>
      <c r="J40" s="191"/>
      <c r="K40" s="191">
        <v>9</v>
      </c>
      <c r="L40" s="191"/>
      <c r="M40" s="219" t="str">
        <f t="shared" ref="M40:M71" si="13">IF(AND(ISBLANK(J40),ISBLANK(K40),ISBLANK(L40))," ",
IF(OR(J40&lt;5,AND(J40=" ",K40&lt;&gt;" ",L40&lt;&gt;" ")),"&lt;5 yrs",
IF(AND(J40&gt;=5,J40&lt;=14),"5 - 14 yrs",
IF(AND(J40&gt;=15,J40&lt;=18),"15 - 18 yrs",
IF(AND(J40&gt;=19,J40&lt;=49),"19 - 49 yrs","50 yrs +")))))</f>
        <v>&lt;5 yrs</v>
      </c>
      <c r="N40" s="194" t="str">
        <f t="shared" ref="N40:N72" si="14">IF(I40="","",IF(OR(LEFT(I40,1)="U",LEFT(I40,2)="Ko",LEFT(I40,2)="Mg"),"M",IF(OR(LEFT(I40,3)="Daw",LEFT(I40,2)="Ma"),"F")))</f>
        <v>M</v>
      </c>
      <c r="O40" s="141">
        <v>1</v>
      </c>
      <c r="P40" s="141">
        <v>1</v>
      </c>
      <c r="Q40" s="141">
        <v>1</v>
      </c>
      <c r="R40" s="141">
        <v>1</v>
      </c>
      <c r="S40" s="141">
        <v>1</v>
      </c>
      <c r="T40" s="141">
        <v>1</v>
      </c>
      <c r="U4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0" s="195">
        <v>46041</v>
      </c>
      <c r="W40" s="141" t="s">
        <v>2235</v>
      </c>
      <c r="X40" s="191" t="s">
        <v>77</v>
      </c>
      <c r="Y40" s="191" t="s">
        <v>1684</v>
      </c>
      <c r="Z40" s="191"/>
      <c r="AA40" s="192" t="s">
        <v>2258</v>
      </c>
      <c r="AB40" s="195">
        <v>45938</v>
      </c>
      <c r="AC40" s="196">
        <v>45939</v>
      </c>
      <c r="AD40" s="193">
        <f>IF(Referral4[[#This Row],[DOA
(mm-dd-yyy)]]="","",(Referral4[[#This Row],[DOD
(mm-dd-yyy)]]-Referral4[[#This Row],[DOA
(mm-dd-yyy)]])+1)</f>
        <v>2</v>
      </c>
      <c r="AE40" s="191" t="s">
        <v>77</v>
      </c>
      <c r="AF40" s="191" t="s">
        <v>1741</v>
      </c>
      <c r="AG40" s="141" t="str">
        <f t="array" ref="AG40">IF(AF40="","",
IF(Y40="EmOC",VLOOKUP(AF40,Data_validation!$R$1:$S$93,2,FALSE),
IF(Y40="ECC",VLOOKUP(AF40,Data_validation!$T$1:$U$151,2,FALSE),
IF(Y40="Other",VLOOKUP(AF40,Data_validation!$V$1:$W$19,2,FALSE),
VLOOKUP(AF40,Data_validation!$X$1:$Y$3,2,FALSE)))))</f>
        <v>ARI/RTI</v>
      </c>
      <c r="AH40" s="191"/>
      <c r="AI40" s="191" t="s">
        <v>2238</v>
      </c>
      <c r="AJ40" s="141" t="s">
        <v>654</v>
      </c>
      <c r="AK40" s="141" t="s">
        <v>654</v>
      </c>
      <c r="AL40" s="141" t="s">
        <v>654</v>
      </c>
      <c r="AM40" s="141" t="s">
        <v>654</v>
      </c>
      <c r="AN40" s="195">
        <v>46041</v>
      </c>
      <c r="AO40" s="193" t="str">
        <f t="shared" ref="AO40:AO71" si="15">IF(AN40="","",TEXT(AN40,"mmmm"))</f>
        <v>January</v>
      </c>
      <c r="AP40" s="193">
        <f t="shared" ref="AP40:AP72" si="16">IF(AN40="","",YEAR(AN40))</f>
        <v>2026</v>
      </c>
      <c r="AQ40" s="198" t="str">
        <f>IF(Referral4[[#This Row],[Claimed_Date
(mmm-dd-yyy)]]="","",IF(AND(MONTH(Referral4[[#This Row],[Claimed_Date
(mmm-dd-yyy)]])&gt;4,MONTH(Referral4[[#This Row],[Claimed_Date
(mmm-dd-yyy)]])&lt;11),"S1","S2"))</f>
        <v>S2</v>
      </c>
      <c r="AR4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40" s="145" t="s">
        <v>2227</v>
      </c>
      <c r="AT40" s="199">
        <v>40000</v>
      </c>
      <c r="AU40" s="200">
        <v>200000</v>
      </c>
      <c r="AV40" s="159">
        <f t="shared" si="4"/>
        <v>240000</v>
      </c>
      <c r="AW40" s="202" t="s">
        <v>2361</v>
      </c>
      <c r="AX40" s="141" t="s">
        <v>21</v>
      </c>
      <c r="AY40" s="141" t="s">
        <v>21</v>
      </c>
      <c r="AZ40" s="141" t="s">
        <v>21</v>
      </c>
      <c r="BA40" s="141" t="s">
        <v>21</v>
      </c>
      <c r="BB40" s="141" t="s">
        <v>21</v>
      </c>
      <c r="BC40" s="141" t="s">
        <v>21</v>
      </c>
      <c r="BD40" s="141" t="s">
        <v>21</v>
      </c>
      <c r="BE40" s="203">
        <f t="shared" si="6"/>
        <v>1</v>
      </c>
      <c r="BF40" s="203">
        <f t="shared" si="7"/>
        <v>0</v>
      </c>
      <c r="BG40" s="193" t="str">
        <f t="shared" ref="BG40:BG71" si="17">IF(AND(BE40="",BF40=""),"",IF(AND(BE40&gt;0,BF40&gt;0),"Very Severe",IF(BE40&gt;=2,"Very Severe",IF(BF40&gt;0,"Very Severe",IF(AND(BE40=1,BF40=0),"Severe","Normal")))))</f>
        <v>Severe</v>
      </c>
      <c r="BH40" s="194"/>
    </row>
    <row r="41" spans="1:60" ht="38.25" x14ac:dyDescent="0.25">
      <c r="A41" s="140">
        <v>39</v>
      </c>
      <c r="B41" s="140" t="s">
        <v>1997</v>
      </c>
      <c r="C41" s="191"/>
      <c r="D41" s="217" t="s">
        <v>1998</v>
      </c>
      <c r="E41" s="191" t="s">
        <v>1999</v>
      </c>
      <c r="F41" s="191"/>
      <c r="G41" s="191" t="s">
        <v>2001</v>
      </c>
      <c r="H41" s="217" t="s">
        <v>579</v>
      </c>
      <c r="I41" s="192" t="s">
        <v>2342</v>
      </c>
      <c r="J41" s="191">
        <v>63</v>
      </c>
      <c r="K41" s="191"/>
      <c r="L41" s="191"/>
      <c r="M41" s="219" t="str">
        <f t="shared" si="13"/>
        <v>50 yrs +</v>
      </c>
      <c r="N41" s="194" t="str">
        <f t="shared" si="14"/>
        <v>F</v>
      </c>
      <c r="O41" s="141">
        <v>1</v>
      </c>
      <c r="P41" s="141">
        <v>1</v>
      </c>
      <c r="Q41" s="141">
        <v>1</v>
      </c>
      <c r="R41" s="141">
        <v>1</v>
      </c>
      <c r="S41" s="141">
        <v>1</v>
      </c>
      <c r="T41" s="141">
        <v>1</v>
      </c>
      <c r="U4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1" s="195">
        <v>46041</v>
      </c>
      <c r="W41" s="141" t="s">
        <v>2235</v>
      </c>
      <c r="X41" s="191" t="s">
        <v>2343</v>
      </c>
      <c r="Y41" s="191" t="s">
        <v>293</v>
      </c>
      <c r="Z41" s="191"/>
      <c r="AA41" s="192" t="s">
        <v>2313</v>
      </c>
      <c r="AB41" s="195">
        <v>46015</v>
      </c>
      <c r="AC41" s="195">
        <v>46020</v>
      </c>
      <c r="AD41" s="193">
        <f>IF(Referral4[[#This Row],[DOA
(mm-dd-yyy)]]="","",(Referral4[[#This Row],[DOD
(mm-dd-yyy)]]-Referral4[[#This Row],[DOA
(mm-dd-yyy)]])+1)</f>
        <v>6</v>
      </c>
      <c r="AE41" s="191" t="s">
        <v>2343</v>
      </c>
      <c r="AF41" s="191" t="s">
        <v>1680</v>
      </c>
      <c r="AG41" s="141" t="str">
        <f t="array" ref="AG41">IF(AF41="","",
IF(Y41="EmOC",VLOOKUP(AF41,Data_validation!$R$1:$S$93,2,FALSE),
IF(Y41="ECC",VLOOKUP(AF41,Data_validation!$T$1:$U$151,2,FALSE),
IF(Y41="Other",VLOOKUP(AF41,Data_validation!$V$1:$W$19,2,FALSE),
VLOOKUP(AF41,Data_validation!$X$1:$Y$3,2,FALSE)))))</f>
        <v>Acute on Chronic Emergency</v>
      </c>
      <c r="AH41" s="191"/>
      <c r="AI41" s="191" t="s">
        <v>2238</v>
      </c>
      <c r="AJ41" s="141" t="s">
        <v>654</v>
      </c>
      <c r="AK41" s="141" t="s">
        <v>654</v>
      </c>
      <c r="AL41" s="141" t="s">
        <v>654</v>
      </c>
      <c r="AM41" s="141" t="s">
        <v>654</v>
      </c>
      <c r="AN41" s="195">
        <v>46041</v>
      </c>
      <c r="AO41" s="193" t="str">
        <f t="shared" si="15"/>
        <v>January</v>
      </c>
      <c r="AP41" s="193">
        <f t="shared" si="16"/>
        <v>2026</v>
      </c>
      <c r="AQ41" s="198" t="str">
        <f>IF(Referral4[[#This Row],[Claimed_Date
(mmm-dd-yyy)]]="","",IF(AND(MONTH(Referral4[[#This Row],[Claimed_Date
(mmm-dd-yyy)]])&gt;4,MONTH(Referral4[[#This Row],[Claimed_Date
(mmm-dd-yyy)]])&lt;11),"S1","S2"))</f>
        <v>S2</v>
      </c>
      <c r="AR4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6</v>
      </c>
      <c r="AS41" s="145" t="s">
        <v>2227</v>
      </c>
      <c r="AT41" s="199">
        <v>100000</v>
      </c>
      <c r="AU41" s="200">
        <v>200000</v>
      </c>
      <c r="AV41" s="159">
        <f t="shared" si="4"/>
        <v>300000</v>
      </c>
      <c r="AW41" s="202" t="s">
        <v>2361</v>
      </c>
      <c r="AX41" s="141" t="s">
        <v>21</v>
      </c>
      <c r="AY41" s="141" t="s">
        <v>21</v>
      </c>
      <c r="AZ41" s="141" t="s">
        <v>21</v>
      </c>
      <c r="BA41" s="141" t="s">
        <v>21</v>
      </c>
      <c r="BB41" s="141" t="s">
        <v>21</v>
      </c>
      <c r="BC41" s="141" t="s">
        <v>21</v>
      </c>
      <c r="BD41" s="141" t="s">
        <v>21</v>
      </c>
      <c r="BE41" s="203">
        <f t="shared" si="6"/>
        <v>1</v>
      </c>
      <c r="BF41" s="203">
        <f t="shared" si="7"/>
        <v>0</v>
      </c>
      <c r="BG41" s="193" t="str">
        <f t="shared" si="17"/>
        <v>Severe</v>
      </c>
      <c r="BH41" s="194"/>
    </row>
    <row r="42" spans="1:60" ht="25.5" x14ac:dyDescent="0.25">
      <c r="A42" s="148">
        <v>40</v>
      </c>
      <c r="B42" s="140" t="s">
        <v>1997</v>
      </c>
      <c r="C42" s="191"/>
      <c r="D42" s="217" t="s">
        <v>1998</v>
      </c>
      <c r="E42" s="191" t="s">
        <v>2344</v>
      </c>
      <c r="F42" s="191"/>
      <c r="G42" s="191" t="s">
        <v>2345</v>
      </c>
      <c r="H42" s="191" t="s">
        <v>619</v>
      </c>
      <c r="I42" s="192" t="s">
        <v>2346</v>
      </c>
      <c r="J42" s="191">
        <v>27</v>
      </c>
      <c r="K42" s="191"/>
      <c r="L42" s="191"/>
      <c r="M42" s="219" t="str">
        <f t="shared" si="13"/>
        <v>19 - 49 yrs</v>
      </c>
      <c r="N42" s="194" t="str">
        <f t="shared" si="14"/>
        <v>M</v>
      </c>
      <c r="O42" s="141">
        <v>1</v>
      </c>
      <c r="P42" s="141">
        <v>1</v>
      </c>
      <c r="Q42" s="141">
        <v>1</v>
      </c>
      <c r="R42" s="141">
        <v>1</v>
      </c>
      <c r="S42" s="141">
        <v>1</v>
      </c>
      <c r="T42" s="141">
        <v>1</v>
      </c>
      <c r="U4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2" s="195">
        <v>46041</v>
      </c>
      <c r="W42" s="141" t="s">
        <v>2235</v>
      </c>
      <c r="X42" s="191" t="s">
        <v>2347</v>
      </c>
      <c r="Y42" s="191" t="s">
        <v>293</v>
      </c>
      <c r="Z42" s="191"/>
      <c r="AA42" s="192" t="s">
        <v>2348</v>
      </c>
      <c r="AB42" s="195">
        <v>46039</v>
      </c>
      <c r="AC42" s="196">
        <v>46039</v>
      </c>
      <c r="AD42" s="193">
        <f>IF(Referral4[[#This Row],[DOA
(mm-dd-yyy)]]="","",(Referral4[[#This Row],[DOD
(mm-dd-yyy)]]-Referral4[[#This Row],[DOA
(mm-dd-yyy)]])+1)</f>
        <v>1</v>
      </c>
      <c r="AE42" s="191" t="s">
        <v>2347</v>
      </c>
      <c r="AF42" s="191" t="s">
        <v>1686</v>
      </c>
      <c r="AG42" s="141" t="str">
        <f t="array" ref="AG42">IF(AF42="","",
IF(Y42="EmOC",VLOOKUP(AF42,Data_validation!$R$1:$S$93,2,FALSE),
IF(Y42="ECC",VLOOKUP(AF42,Data_validation!$T$1:$U$151,2,FALSE),
IF(Y42="Other",VLOOKUP(AF42,Data_validation!$V$1:$W$19,2,FALSE),
VLOOKUP(AF42,Data_validation!$X$1:$Y$3,2,FALSE)))))</f>
        <v>Major Injuries/Trauma</v>
      </c>
      <c r="AH42" s="191"/>
      <c r="AI42" s="191" t="s">
        <v>2238</v>
      </c>
      <c r="AJ42" s="141" t="s">
        <v>654</v>
      </c>
      <c r="AK42" s="141" t="s">
        <v>654</v>
      </c>
      <c r="AL42" s="141" t="s">
        <v>654</v>
      </c>
      <c r="AM42" s="141" t="s">
        <v>654</v>
      </c>
      <c r="AN42" s="195">
        <v>46041</v>
      </c>
      <c r="AO42" s="193" t="str">
        <f t="shared" si="15"/>
        <v>January</v>
      </c>
      <c r="AP42" s="193">
        <f t="shared" si="16"/>
        <v>2026</v>
      </c>
      <c r="AQ42" s="198" t="str">
        <f>IF(Referral4[[#This Row],[Claimed_Date
(mmm-dd-yyy)]]="","",IF(AND(MONTH(Referral4[[#This Row],[Claimed_Date
(mmm-dd-yyy)]])&gt;4,MONTH(Referral4[[#This Row],[Claimed_Date
(mmm-dd-yyy)]])&lt;11),"S1","S2"))</f>
        <v>S2</v>
      </c>
      <c r="AR4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v>
      </c>
      <c r="AS42" s="145" t="s">
        <v>2227</v>
      </c>
      <c r="AT42" s="199">
        <v>20000</v>
      </c>
      <c r="AU42" s="200">
        <v>100000</v>
      </c>
      <c r="AV42" s="159">
        <f t="shared" si="4"/>
        <v>120000</v>
      </c>
      <c r="AW42" s="202"/>
      <c r="AX42" s="141" t="s">
        <v>21</v>
      </c>
      <c r="AY42" s="141" t="s">
        <v>21</v>
      </c>
      <c r="AZ42" s="141" t="s">
        <v>21</v>
      </c>
      <c r="BA42" s="141" t="s">
        <v>21</v>
      </c>
      <c r="BB42" s="141" t="s">
        <v>21</v>
      </c>
      <c r="BC42" s="141" t="s">
        <v>21</v>
      </c>
      <c r="BD42" s="141" t="s">
        <v>21</v>
      </c>
      <c r="BE42" s="203">
        <f t="shared" si="6"/>
        <v>1</v>
      </c>
      <c r="BF42" s="203">
        <f t="shared" si="7"/>
        <v>0</v>
      </c>
      <c r="BG42" s="193" t="str">
        <f t="shared" si="17"/>
        <v>Severe</v>
      </c>
      <c r="BH42" s="194"/>
    </row>
    <row r="43" spans="1:60" x14ac:dyDescent="0.25">
      <c r="A43" s="148">
        <v>41</v>
      </c>
      <c r="B43" s="140" t="s">
        <v>1997</v>
      </c>
      <c r="C43" s="191"/>
      <c r="D43" s="217" t="s">
        <v>1998</v>
      </c>
      <c r="E43" s="191" t="s">
        <v>2297</v>
      </c>
      <c r="F43" s="191"/>
      <c r="G43" s="191" t="s">
        <v>2298</v>
      </c>
      <c r="H43" s="217" t="s">
        <v>579</v>
      </c>
      <c r="I43" s="192" t="s">
        <v>2349</v>
      </c>
      <c r="J43" s="191">
        <v>44</v>
      </c>
      <c r="K43" s="191"/>
      <c r="L43" s="191"/>
      <c r="M43" s="219" t="str">
        <f t="shared" si="13"/>
        <v>19 - 49 yrs</v>
      </c>
      <c r="N43" s="194" t="str">
        <f t="shared" si="14"/>
        <v>F</v>
      </c>
      <c r="O43" s="141">
        <v>1</v>
      </c>
      <c r="P43" s="141">
        <v>1</v>
      </c>
      <c r="Q43" s="141">
        <v>1</v>
      </c>
      <c r="R43" s="141">
        <v>1</v>
      </c>
      <c r="S43" s="141">
        <v>1</v>
      </c>
      <c r="T43" s="141">
        <v>1</v>
      </c>
      <c r="U4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3" s="195">
        <v>46040</v>
      </c>
      <c r="W43" s="141" t="s">
        <v>2235</v>
      </c>
      <c r="X43" s="191" t="s">
        <v>2350</v>
      </c>
      <c r="Y43" s="191" t="s">
        <v>293</v>
      </c>
      <c r="Z43" s="191"/>
      <c r="AA43" s="192" t="s">
        <v>2351</v>
      </c>
      <c r="AB43" s="195">
        <v>45957</v>
      </c>
      <c r="AC43" s="196">
        <v>45961</v>
      </c>
      <c r="AD43" s="193">
        <f>IF(Referral4[[#This Row],[DOA
(mm-dd-yyy)]]="","",(Referral4[[#This Row],[DOD
(mm-dd-yyy)]]-Referral4[[#This Row],[DOA
(mm-dd-yyy)]])+1)</f>
        <v>5</v>
      </c>
      <c r="AE43" s="191" t="s">
        <v>2350</v>
      </c>
      <c r="AF43" s="191"/>
      <c r="AG43" s="141" t="str">
        <f t="array" ref="AG43">IF(AF43="","",
IF(Y43="EmOC",VLOOKUP(AF43,Data_validation!$R$1:$S$93,2,FALSE),
IF(Y43="ECC",VLOOKUP(AF43,Data_validation!$T$1:$U$151,2,FALSE),
IF(Y43="Other",VLOOKUP(AF43,Data_validation!$V$1:$W$19,2,FALSE),
VLOOKUP(AF43,Data_validation!$X$1:$Y$3,2,FALSE)))))</f>
        <v/>
      </c>
      <c r="AH43" s="191"/>
      <c r="AI43" s="191" t="s">
        <v>2238</v>
      </c>
      <c r="AJ43" s="141" t="s">
        <v>654</v>
      </c>
      <c r="AK43" s="141" t="s">
        <v>654</v>
      </c>
      <c r="AL43" s="141" t="s">
        <v>654</v>
      </c>
      <c r="AM43" s="141" t="s">
        <v>654</v>
      </c>
      <c r="AN43" s="195">
        <v>46040</v>
      </c>
      <c r="AO43" s="193" t="str">
        <f t="shared" si="15"/>
        <v>January</v>
      </c>
      <c r="AP43" s="193">
        <f t="shared" si="16"/>
        <v>2026</v>
      </c>
      <c r="AQ43" s="198" t="str">
        <f>IF(Referral4[[#This Row],[Claimed_Date
(mmm-dd-yyy)]]="","",IF(AND(MONTH(Referral4[[#This Row],[Claimed_Date
(mmm-dd-yyy)]])&gt;4,MONTH(Referral4[[#This Row],[Claimed_Date
(mmm-dd-yyy)]])&lt;11),"S1","S2"))</f>
        <v>S2</v>
      </c>
      <c r="AR4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43" s="145" t="s">
        <v>2227</v>
      </c>
      <c r="AT43" s="199">
        <v>100000</v>
      </c>
      <c r="AU43" s="200">
        <v>220000</v>
      </c>
      <c r="AV43" s="159">
        <f t="shared" si="4"/>
        <v>320000</v>
      </c>
      <c r="AW43" s="202" t="s">
        <v>2361</v>
      </c>
      <c r="AX43" s="141" t="s">
        <v>21</v>
      </c>
      <c r="AY43" s="141" t="s">
        <v>21</v>
      </c>
      <c r="AZ43" s="141" t="s">
        <v>21</v>
      </c>
      <c r="BA43" s="141" t="s">
        <v>21</v>
      </c>
      <c r="BB43" s="141" t="s">
        <v>21</v>
      </c>
      <c r="BC43" s="141" t="s">
        <v>21</v>
      </c>
      <c r="BD43" s="141" t="s">
        <v>21</v>
      </c>
      <c r="BE43" s="203">
        <f t="shared" si="6"/>
        <v>1</v>
      </c>
      <c r="BF43" s="203">
        <f t="shared" si="7"/>
        <v>0</v>
      </c>
      <c r="BG43" s="193" t="str">
        <f t="shared" si="17"/>
        <v>Severe</v>
      </c>
      <c r="BH43" s="194"/>
    </row>
    <row r="44" spans="1:60" x14ac:dyDescent="0.25">
      <c r="A44" s="140">
        <v>42</v>
      </c>
      <c r="B44" s="140" t="s">
        <v>1997</v>
      </c>
      <c r="C44" s="191"/>
      <c r="D44" s="217" t="s">
        <v>1998</v>
      </c>
      <c r="E44" s="191" t="s">
        <v>2297</v>
      </c>
      <c r="F44" s="191"/>
      <c r="G44" s="191" t="s">
        <v>2353</v>
      </c>
      <c r="H44" s="217" t="s">
        <v>579</v>
      </c>
      <c r="I44" s="192" t="s">
        <v>2352</v>
      </c>
      <c r="J44" s="191">
        <v>37</v>
      </c>
      <c r="K44" s="191"/>
      <c r="L44" s="191"/>
      <c r="M44" s="219" t="str">
        <f t="shared" si="13"/>
        <v>19 - 49 yrs</v>
      </c>
      <c r="N44" s="194" t="str">
        <f t="shared" si="14"/>
        <v>F</v>
      </c>
      <c r="O44" s="141">
        <v>1</v>
      </c>
      <c r="P44" s="141">
        <v>1</v>
      </c>
      <c r="Q44" s="141">
        <v>1</v>
      </c>
      <c r="R44" s="141">
        <v>1</v>
      </c>
      <c r="S44" s="141">
        <v>1</v>
      </c>
      <c r="T44" s="141">
        <v>1</v>
      </c>
      <c r="U4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4" s="195">
        <v>46040</v>
      </c>
      <c r="W44" s="141" t="s">
        <v>2235</v>
      </c>
      <c r="X44" s="191" t="s">
        <v>2355</v>
      </c>
      <c r="Y44" s="191" t="s">
        <v>1681</v>
      </c>
      <c r="Z44" s="191" t="s">
        <v>2325</v>
      </c>
      <c r="AA44" s="191" t="s">
        <v>2354</v>
      </c>
      <c r="AB44" s="195">
        <v>46030</v>
      </c>
      <c r="AC44" s="196">
        <v>46031</v>
      </c>
      <c r="AD44" s="193">
        <f>IF(Referral4[[#This Row],[DOA
(mm-dd-yyy)]]="","",(Referral4[[#This Row],[DOD
(mm-dd-yyy)]]-Referral4[[#This Row],[DOA
(mm-dd-yyy)]])+1)</f>
        <v>2</v>
      </c>
      <c r="AE44" s="191" t="s">
        <v>2355</v>
      </c>
      <c r="AF44" s="191" t="s">
        <v>1688</v>
      </c>
      <c r="AG44" s="141" t="str">
        <f t="array" ref="AG44">IF(AF44="","",
IF(Y44="EmOC",VLOOKUP(AF44,Data_validation!$R$1:$S$93,2,FALSE),
IF(Y44="ECC",VLOOKUP(AF44,Data_validation!$T$1:$U$151,2,FALSE),
IF(Y44="Other",VLOOKUP(AF44,Data_validation!$V$1:$W$19,2,FALSE),
VLOOKUP(AF44,Data_validation!$X$1:$Y$3,2,FALSE)))))</f>
        <v xml:space="preserve">High risk pregnancy </v>
      </c>
      <c r="AH44" s="143" t="s">
        <v>1683</v>
      </c>
      <c r="AI44" s="191" t="s">
        <v>2356</v>
      </c>
      <c r="AJ44" s="141" t="s">
        <v>654</v>
      </c>
      <c r="AK44" s="141" t="s">
        <v>654</v>
      </c>
      <c r="AL44" s="141" t="s">
        <v>654</v>
      </c>
      <c r="AM44" s="141" t="s">
        <v>654</v>
      </c>
      <c r="AN44" s="195">
        <v>46040</v>
      </c>
      <c r="AO44" s="193" t="str">
        <f t="shared" si="15"/>
        <v>January</v>
      </c>
      <c r="AP44" s="193">
        <f t="shared" si="16"/>
        <v>2026</v>
      </c>
      <c r="AQ44" s="198" t="str">
        <f>IF(Referral4[[#This Row],[Claimed_Date
(mmm-dd-yyy)]]="","",IF(AND(MONTH(Referral4[[#This Row],[Claimed_Date
(mmm-dd-yyy)]])&gt;4,MONTH(Referral4[[#This Row],[Claimed_Date
(mmm-dd-yyy)]])&lt;11),"S1","S2"))</f>
        <v>S2</v>
      </c>
      <c r="AR4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44" s="145" t="s">
        <v>2227</v>
      </c>
      <c r="AT44" s="199">
        <v>40000</v>
      </c>
      <c r="AU44" s="200">
        <v>220000</v>
      </c>
      <c r="AV44" s="159">
        <f t="shared" si="4"/>
        <v>260000</v>
      </c>
      <c r="AW44" s="202" t="s">
        <v>2361</v>
      </c>
      <c r="AX44" s="141" t="s">
        <v>21</v>
      </c>
      <c r="AY44" s="141" t="s">
        <v>21</v>
      </c>
      <c r="AZ44" s="141" t="s">
        <v>21</v>
      </c>
      <c r="BA44" s="141" t="s">
        <v>21</v>
      </c>
      <c r="BB44" s="141" t="s">
        <v>21</v>
      </c>
      <c r="BC44" s="141" t="s">
        <v>21</v>
      </c>
      <c r="BD44" s="141" t="s">
        <v>21</v>
      </c>
      <c r="BE44" s="203">
        <f t="shared" si="6"/>
        <v>1</v>
      </c>
      <c r="BF44" s="203">
        <f t="shared" si="7"/>
        <v>0</v>
      </c>
      <c r="BG44" s="193" t="str">
        <f t="shared" si="17"/>
        <v>Severe</v>
      </c>
      <c r="BH44" s="194"/>
    </row>
    <row r="45" spans="1:60" ht="25.5" x14ac:dyDescent="0.25">
      <c r="A45" s="148">
        <v>43</v>
      </c>
      <c r="B45" s="140" t="s">
        <v>1997</v>
      </c>
      <c r="C45" s="191"/>
      <c r="D45" s="217" t="s">
        <v>1998</v>
      </c>
      <c r="E45" s="191" t="s">
        <v>2222</v>
      </c>
      <c r="F45" s="191"/>
      <c r="G45" s="191" t="s">
        <v>2358</v>
      </c>
      <c r="H45" s="217" t="s">
        <v>579</v>
      </c>
      <c r="I45" s="192" t="s">
        <v>2357</v>
      </c>
      <c r="J45" s="191">
        <v>8</v>
      </c>
      <c r="K45" s="191"/>
      <c r="L45" s="191"/>
      <c r="M45" s="219" t="str">
        <f t="shared" si="13"/>
        <v>5 - 14 yrs</v>
      </c>
      <c r="N45" s="194" t="str">
        <f t="shared" si="14"/>
        <v>F</v>
      </c>
      <c r="O45" s="141">
        <v>1</v>
      </c>
      <c r="P45" s="141">
        <v>1</v>
      </c>
      <c r="Q45" s="141">
        <v>1</v>
      </c>
      <c r="R45" s="141">
        <v>1</v>
      </c>
      <c r="S45" s="141">
        <v>1</v>
      </c>
      <c r="T45" s="141">
        <v>1</v>
      </c>
      <c r="U4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5" s="195">
        <v>46041</v>
      </c>
      <c r="W45" s="141" t="s">
        <v>2235</v>
      </c>
      <c r="X45" s="191" t="s">
        <v>2359</v>
      </c>
      <c r="Y45" s="191" t="s">
        <v>293</v>
      </c>
      <c r="Z45" s="191"/>
      <c r="AA45" s="192" t="s">
        <v>2360</v>
      </c>
      <c r="AB45" s="195">
        <v>45996</v>
      </c>
      <c r="AC45" s="196">
        <v>45997</v>
      </c>
      <c r="AD45" s="193">
        <f>IF(Referral4[[#This Row],[DOA
(mm-dd-yyy)]]="","",(Referral4[[#This Row],[DOD
(mm-dd-yyy)]]-Referral4[[#This Row],[DOA
(mm-dd-yyy)]])+1)</f>
        <v>2</v>
      </c>
      <c r="AE45" s="191" t="s">
        <v>2359</v>
      </c>
      <c r="AF45" s="191" t="s">
        <v>1686</v>
      </c>
      <c r="AG45" s="141" t="str">
        <f t="array" ref="AG45">IF(AF45="","",
IF(Y45="EmOC",VLOOKUP(AF45,Data_validation!$R$1:$S$93,2,FALSE),
IF(Y45="ECC",VLOOKUP(AF45,Data_validation!$T$1:$U$151,2,FALSE),
IF(Y45="Other",VLOOKUP(AF45,Data_validation!$V$1:$W$19,2,FALSE),
VLOOKUP(AF45,Data_validation!$X$1:$Y$3,2,FALSE)))))</f>
        <v>Major Injuries/Trauma</v>
      </c>
      <c r="AH45" s="191"/>
      <c r="AI45" s="191" t="s">
        <v>2238</v>
      </c>
      <c r="AJ45" s="141" t="s">
        <v>654</v>
      </c>
      <c r="AK45" s="141" t="s">
        <v>654</v>
      </c>
      <c r="AL45" s="141" t="s">
        <v>654</v>
      </c>
      <c r="AM45" s="141" t="s">
        <v>654</v>
      </c>
      <c r="AN45" s="195">
        <v>46041</v>
      </c>
      <c r="AO45" s="193" t="str">
        <f t="shared" si="15"/>
        <v>January</v>
      </c>
      <c r="AP45" s="193">
        <f t="shared" si="16"/>
        <v>2026</v>
      </c>
      <c r="AQ45" s="198" t="str">
        <f>IF(Referral4[[#This Row],[Claimed_Date
(mmm-dd-yyy)]]="","",IF(AND(MONTH(Referral4[[#This Row],[Claimed_Date
(mmm-dd-yyy)]])&gt;4,MONTH(Referral4[[#This Row],[Claimed_Date
(mmm-dd-yyy)]])&lt;11),"S1","S2"))</f>
        <v>S2</v>
      </c>
      <c r="AR4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45" s="145" t="s">
        <v>2227</v>
      </c>
      <c r="AT45" s="199">
        <v>40000</v>
      </c>
      <c r="AU45" s="200">
        <v>250000</v>
      </c>
      <c r="AV45" s="159">
        <f t="shared" si="4"/>
        <v>290000</v>
      </c>
      <c r="AW45" s="202" t="s">
        <v>2361</v>
      </c>
      <c r="AX45" s="141" t="s">
        <v>21</v>
      </c>
      <c r="AY45" s="141" t="s">
        <v>21</v>
      </c>
      <c r="AZ45" s="141" t="s">
        <v>21</v>
      </c>
      <c r="BA45" s="141" t="s">
        <v>21</v>
      </c>
      <c r="BB45" s="141" t="s">
        <v>21</v>
      </c>
      <c r="BC45" s="141" t="s">
        <v>21</v>
      </c>
      <c r="BD45" s="141" t="s">
        <v>21</v>
      </c>
      <c r="BE45" s="203">
        <f t="shared" si="6"/>
        <v>1</v>
      </c>
      <c r="BF45" s="203">
        <f t="shared" si="7"/>
        <v>0</v>
      </c>
      <c r="BG45" s="193" t="str">
        <f t="shared" si="17"/>
        <v>Severe</v>
      </c>
      <c r="BH45" s="194"/>
    </row>
    <row r="46" spans="1:60" ht="25.5" x14ac:dyDescent="0.25">
      <c r="A46" s="148">
        <v>44</v>
      </c>
      <c r="B46" s="140" t="s">
        <v>1997</v>
      </c>
      <c r="C46" s="191"/>
      <c r="D46" s="191" t="s">
        <v>1998</v>
      </c>
      <c r="E46" s="191" t="s">
        <v>2311</v>
      </c>
      <c r="F46" s="191"/>
      <c r="G46" s="191" t="s">
        <v>2372</v>
      </c>
      <c r="H46" s="217"/>
      <c r="I46" s="192" t="s">
        <v>2368</v>
      </c>
      <c r="J46" s="191">
        <v>39</v>
      </c>
      <c r="K46" s="191"/>
      <c r="L46" s="191"/>
      <c r="M46" s="219" t="str">
        <f t="shared" si="13"/>
        <v>19 - 49 yrs</v>
      </c>
      <c r="N46" s="194" t="str">
        <f>IF(I46="","",IF(OR(LEFT(I46,1)="U",LEFT(I46,2)="Ko",LEFT(I46,2)="Mg"),"M",IF(OR(LEFT(I46,3)="Daw",LEFT(I46,2)="Ma"),"F")))</f>
        <v>F</v>
      </c>
      <c r="O46" s="141">
        <v>1</v>
      </c>
      <c r="P46" s="141">
        <v>1</v>
      </c>
      <c r="Q46" s="141">
        <v>1</v>
      </c>
      <c r="R46" s="141">
        <v>1</v>
      </c>
      <c r="S46" s="141">
        <v>1</v>
      </c>
      <c r="T46" s="141">
        <v>1</v>
      </c>
      <c r="U4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6" s="195">
        <v>46041</v>
      </c>
      <c r="W46" s="141" t="s">
        <v>2235</v>
      </c>
      <c r="X46" s="191" t="s">
        <v>2369</v>
      </c>
      <c r="Y46" s="191" t="s">
        <v>293</v>
      </c>
      <c r="Z46" s="191"/>
      <c r="AA46" s="192" t="s">
        <v>2370</v>
      </c>
      <c r="AB46" s="195">
        <v>45992</v>
      </c>
      <c r="AC46" s="196">
        <v>45993</v>
      </c>
      <c r="AD46" s="193">
        <f>IF(Referral4[[#This Row],[DOA
(mm-dd-yyy)]]="","",(Referral4[[#This Row],[DOD
(mm-dd-yyy)]]-Referral4[[#This Row],[DOA
(mm-dd-yyy)]])+1)</f>
        <v>2</v>
      </c>
      <c r="AE46" s="191" t="s">
        <v>2369</v>
      </c>
      <c r="AF46" s="191" t="s">
        <v>1686</v>
      </c>
      <c r="AG46" s="141" t="str">
        <f t="array" ref="AG46">IF(AF46="","",
IF(Y46="EmOC",VLOOKUP(AF46,Data_validation!$R$1:$S$93,2,FALSE),
IF(Y46="ECC",VLOOKUP(AF46,Data_validation!$T$1:$U$151,2,FALSE),
IF(Y46="Other",VLOOKUP(AF46,Data_validation!$V$1:$W$19,2,FALSE),
VLOOKUP(AF46,Data_validation!$X$1:$Y$3,2,FALSE)))))</f>
        <v>Major Injuries/Trauma</v>
      </c>
      <c r="AH46" s="191"/>
      <c r="AI46" s="191" t="s">
        <v>2238</v>
      </c>
      <c r="AJ46" s="141" t="s">
        <v>654</v>
      </c>
      <c r="AK46" s="141" t="s">
        <v>654</v>
      </c>
      <c r="AL46" s="141" t="s">
        <v>654</v>
      </c>
      <c r="AM46" s="141" t="s">
        <v>654</v>
      </c>
      <c r="AN46" s="195">
        <v>46041</v>
      </c>
      <c r="AO46" s="193" t="str">
        <f t="shared" si="15"/>
        <v>January</v>
      </c>
      <c r="AP46" s="193">
        <f t="shared" si="16"/>
        <v>2026</v>
      </c>
      <c r="AQ46" s="198" t="str">
        <f>IF(Referral4[[#This Row],[Claimed_Date
(mmm-dd-yyy)]]="","",IF(AND(MONTH(Referral4[[#This Row],[Claimed_Date
(mmm-dd-yyy)]])&gt;4,MONTH(Referral4[[#This Row],[Claimed_Date
(mmm-dd-yyy)]])&lt;11),"S1","S2"))</f>
        <v>S2</v>
      </c>
      <c r="AR46"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46" s="145" t="s">
        <v>2227</v>
      </c>
      <c r="AT46" s="199">
        <v>40000</v>
      </c>
      <c r="AU46" s="200">
        <v>100000</v>
      </c>
      <c r="AV46" s="159">
        <f t="shared" si="4"/>
        <v>140000</v>
      </c>
      <c r="AW46" s="202"/>
      <c r="AX46" s="141" t="s">
        <v>21</v>
      </c>
      <c r="AY46" s="141" t="s">
        <v>21</v>
      </c>
      <c r="AZ46" s="141" t="s">
        <v>21</v>
      </c>
      <c r="BA46" s="141" t="s">
        <v>21</v>
      </c>
      <c r="BB46" s="141" t="s">
        <v>21</v>
      </c>
      <c r="BC46" s="141" t="s">
        <v>21</v>
      </c>
      <c r="BD46" s="141" t="s">
        <v>21</v>
      </c>
      <c r="BE46" s="203">
        <f t="shared" si="6"/>
        <v>1</v>
      </c>
      <c r="BF46" s="203">
        <f t="shared" si="7"/>
        <v>0</v>
      </c>
      <c r="BG46" s="193" t="str">
        <f t="shared" si="17"/>
        <v>Severe</v>
      </c>
      <c r="BH46" s="194"/>
    </row>
    <row r="47" spans="1:60" ht="25.5" x14ac:dyDescent="0.25">
      <c r="A47" s="140">
        <v>45</v>
      </c>
      <c r="B47" s="140" t="s">
        <v>1997</v>
      </c>
      <c r="C47" s="191"/>
      <c r="D47" s="191" t="s">
        <v>1998</v>
      </c>
      <c r="E47" s="191" t="s">
        <v>2311</v>
      </c>
      <c r="F47" s="191"/>
      <c r="G47" s="191" t="s">
        <v>2371</v>
      </c>
      <c r="H47" s="191"/>
      <c r="I47" s="192" t="s">
        <v>2373</v>
      </c>
      <c r="J47" s="191">
        <v>15</v>
      </c>
      <c r="K47" s="191"/>
      <c r="L47" s="191"/>
      <c r="M47" s="219" t="str">
        <f t="shared" si="13"/>
        <v>15 - 18 yrs</v>
      </c>
      <c r="N47" s="194" t="str">
        <f t="shared" si="14"/>
        <v>M</v>
      </c>
      <c r="O47" s="141">
        <v>1</v>
      </c>
      <c r="P47" s="141">
        <v>1</v>
      </c>
      <c r="Q47" s="141">
        <v>1</v>
      </c>
      <c r="R47" s="141">
        <v>1</v>
      </c>
      <c r="S47" s="141">
        <v>1</v>
      </c>
      <c r="T47" s="141">
        <v>1</v>
      </c>
      <c r="U4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7" s="195">
        <v>46041</v>
      </c>
      <c r="W47" s="141" t="s">
        <v>2235</v>
      </c>
      <c r="X47" s="191" t="s">
        <v>2374</v>
      </c>
      <c r="Y47" s="191" t="s">
        <v>293</v>
      </c>
      <c r="Z47" s="191"/>
      <c r="AA47" s="192" t="s">
        <v>2253</v>
      </c>
      <c r="AB47" s="195">
        <v>45996</v>
      </c>
      <c r="AC47" s="196">
        <v>45999</v>
      </c>
      <c r="AD47" s="193">
        <f>IF(Referral4[[#This Row],[DOA
(mm-dd-yyy)]]="","",(Referral4[[#This Row],[DOD
(mm-dd-yyy)]]-Referral4[[#This Row],[DOA
(mm-dd-yyy)]])+1)</f>
        <v>4</v>
      </c>
      <c r="AE47" s="191" t="s">
        <v>2374</v>
      </c>
      <c r="AF47" s="191" t="s">
        <v>1686</v>
      </c>
      <c r="AG47" s="141" t="str">
        <f t="array" ref="AG47">IF(AF47="","",
IF(Y47="EmOC",VLOOKUP(AF47,Data_validation!$R$1:$S$93,2,FALSE),
IF(Y47="ECC",VLOOKUP(AF47,Data_validation!$T$1:$U$151,2,FALSE),
IF(Y47="Other",VLOOKUP(AF47,Data_validation!$V$1:$W$19,2,FALSE),
VLOOKUP(AF47,Data_validation!$X$1:$Y$3,2,FALSE)))))</f>
        <v>Major Injuries/Trauma</v>
      </c>
      <c r="AH47" s="191"/>
      <c r="AI47" s="191" t="s">
        <v>2238</v>
      </c>
      <c r="AJ47" s="141" t="s">
        <v>654</v>
      </c>
      <c r="AK47" s="141" t="s">
        <v>654</v>
      </c>
      <c r="AL47" s="141" t="s">
        <v>654</v>
      </c>
      <c r="AM47" s="141" t="s">
        <v>654</v>
      </c>
      <c r="AN47" s="195">
        <v>46041</v>
      </c>
      <c r="AO47" s="193" t="str">
        <f t="shared" si="15"/>
        <v>January</v>
      </c>
      <c r="AP47" s="193">
        <f t="shared" si="16"/>
        <v>2026</v>
      </c>
      <c r="AQ47" s="198" t="str">
        <f>IF(Referral4[[#This Row],[Claimed_Date
(mmm-dd-yyy)]]="","",IF(AND(MONTH(Referral4[[#This Row],[Claimed_Date
(mmm-dd-yyy)]])&gt;4,MONTH(Referral4[[#This Row],[Claimed_Date
(mmm-dd-yyy)]])&lt;11),"S1","S2"))</f>
        <v>S2</v>
      </c>
      <c r="AR4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47" s="145" t="s">
        <v>2227</v>
      </c>
      <c r="AT47" s="199">
        <v>80000</v>
      </c>
      <c r="AU47" s="200">
        <v>100000</v>
      </c>
      <c r="AV47" s="159">
        <f t="shared" si="4"/>
        <v>180000</v>
      </c>
      <c r="AW47" s="202"/>
      <c r="AX47" s="141" t="s">
        <v>21</v>
      </c>
      <c r="AY47" s="141" t="s">
        <v>21</v>
      </c>
      <c r="AZ47" s="141" t="s">
        <v>21</v>
      </c>
      <c r="BA47" s="141" t="s">
        <v>21</v>
      </c>
      <c r="BB47" s="141" t="s">
        <v>21</v>
      </c>
      <c r="BC47" s="141" t="s">
        <v>21</v>
      </c>
      <c r="BD47" s="141" t="s">
        <v>21</v>
      </c>
      <c r="BE47" s="203">
        <f t="shared" si="6"/>
        <v>1</v>
      </c>
      <c r="BF47" s="203">
        <f t="shared" si="7"/>
        <v>0</v>
      </c>
      <c r="BG47" s="193" t="str">
        <f t="shared" si="17"/>
        <v>Severe</v>
      </c>
      <c r="BH47" s="194"/>
    </row>
    <row r="48" spans="1:60" ht="25.5" x14ac:dyDescent="0.25">
      <c r="A48" s="148">
        <v>46</v>
      </c>
      <c r="B48" s="140" t="s">
        <v>1997</v>
      </c>
      <c r="C48" s="191"/>
      <c r="D48" s="191" t="s">
        <v>1998</v>
      </c>
      <c r="E48" s="191" t="s">
        <v>2254</v>
      </c>
      <c r="F48" s="191"/>
      <c r="G48" s="191" t="s">
        <v>4325</v>
      </c>
      <c r="H48" s="191" t="s">
        <v>579</v>
      </c>
      <c r="I48" s="192" t="s">
        <v>4326</v>
      </c>
      <c r="J48" s="191">
        <v>1</v>
      </c>
      <c r="K48" s="191">
        <v>6</v>
      </c>
      <c r="L48" s="191"/>
      <c r="M48" s="219" t="str">
        <f t="shared" si="13"/>
        <v>&lt;5 yrs</v>
      </c>
      <c r="N48" s="194" t="str">
        <f t="shared" si="14"/>
        <v>M</v>
      </c>
      <c r="O48" s="141">
        <v>1</v>
      </c>
      <c r="P48" s="141">
        <v>1</v>
      </c>
      <c r="Q48" s="141">
        <v>1</v>
      </c>
      <c r="R48" s="141">
        <v>1</v>
      </c>
      <c r="S48" s="141">
        <v>1</v>
      </c>
      <c r="T48" s="141">
        <v>1</v>
      </c>
      <c r="U4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8" s="195">
        <v>46063</v>
      </c>
      <c r="W48" s="141" t="s">
        <v>2235</v>
      </c>
      <c r="X48" s="191" t="s">
        <v>4327</v>
      </c>
      <c r="Y48" s="191" t="s">
        <v>1684</v>
      </c>
      <c r="Z48" s="191"/>
      <c r="AA48" s="192" t="s">
        <v>2258</v>
      </c>
      <c r="AB48" s="195">
        <v>46050</v>
      </c>
      <c r="AC48" s="196">
        <v>46055</v>
      </c>
      <c r="AD48" s="193">
        <f>IF(Referral4[[#This Row],[DOA
(mm-dd-yyy)]]="","",(Referral4[[#This Row],[DOD
(mm-dd-yyy)]]-Referral4[[#This Row],[DOA
(mm-dd-yyy)]])+1)</f>
        <v>6</v>
      </c>
      <c r="AE48" s="191" t="s">
        <v>4327</v>
      </c>
      <c r="AF48" s="191" t="s">
        <v>1916</v>
      </c>
      <c r="AG48" s="141" t="str">
        <f t="array" ref="AG48">IF(AF48="","",
IF(Y48="EmOC",VLOOKUP(AF48,Data_validation!$R$1:$S$93,2,FALSE),
IF(Y48="ECC",VLOOKUP(AF48,Data_validation!$T$1:$U$151,2,FALSE),
IF(Y48="Other",VLOOKUP(AF48,Data_validation!$V$1:$W$19,2,FALSE),
VLOOKUP(AF48,Data_validation!$X$1:$Y$3,2,FALSE)))))</f>
        <v>Meningitis and encephalitis</v>
      </c>
      <c r="AH48" s="191"/>
      <c r="AI48" s="191" t="s">
        <v>2238</v>
      </c>
      <c r="AJ48" s="141" t="s">
        <v>654</v>
      </c>
      <c r="AK48" s="141" t="s">
        <v>654</v>
      </c>
      <c r="AL48" s="141" t="s">
        <v>654</v>
      </c>
      <c r="AM48" s="141" t="s">
        <v>654</v>
      </c>
      <c r="AN48" s="195">
        <v>46063</v>
      </c>
      <c r="AO48" s="193" t="str">
        <f t="shared" si="15"/>
        <v>February</v>
      </c>
      <c r="AP48" s="193">
        <f t="shared" si="16"/>
        <v>2026</v>
      </c>
      <c r="AQ48" s="198" t="str">
        <f>IF(Referral4[[#This Row],[Claimed_Date
(mmm-dd-yyy)]]="","",IF(AND(MONTH(Referral4[[#This Row],[Claimed_Date
(mmm-dd-yyy)]])&gt;4,MONTH(Referral4[[#This Row],[Claimed_Date
(mmm-dd-yyy)]])&lt;11),"S1","S2"))</f>
        <v>S2</v>
      </c>
      <c r="AR4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48" s="145" t="s">
        <v>2227</v>
      </c>
      <c r="AT48" s="199">
        <v>100000</v>
      </c>
      <c r="AU48" s="200">
        <v>200000</v>
      </c>
      <c r="AV48" s="201">
        <f t="shared" ref="AV48:AV71" si="18">SUM(AT48,AU48)</f>
        <v>300000</v>
      </c>
      <c r="AW48" s="202" t="s">
        <v>2361</v>
      </c>
      <c r="AX48" s="141" t="s">
        <v>21</v>
      </c>
      <c r="AY48" s="141" t="s">
        <v>21</v>
      </c>
      <c r="AZ48" s="141" t="s">
        <v>21</v>
      </c>
      <c r="BA48" s="141" t="s">
        <v>21</v>
      </c>
      <c r="BB48" s="141" t="s">
        <v>21</v>
      </c>
      <c r="BC48" s="141" t="s">
        <v>21</v>
      </c>
      <c r="BD48" s="141" t="s">
        <v>21</v>
      </c>
      <c r="BE48" s="203">
        <f t="shared" si="6"/>
        <v>1</v>
      </c>
      <c r="BF48" s="203">
        <f t="shared" si="7"/>
        <v>0</v>
      </c>
      <c r="BG48" s="193" t="str">
        <f t="shared" si="17"/>
        <v>Severe</v>
      </c>
      <c r="BH48" s="194"/>
    </row>
    <row r="49" spans="1:60" x14ac:dyDescent="0.25">
      <c r="A49" s="140">
        <v>47</v>
      </c>
      <c r="B49" s="140" t="s">
        <v>1997</v>
      </c>
      <c r="C49" s="191"/>
      <c r="D49" s="191" t="s">
        <v>2246</v>
      </c>
      <c r="E49" s="191" t="s">
        <v>2246</v>
      </c>
      <c r="F49" s="191"/>
      <c r="G49" s="191" t="s">
        <v>4328</v>
      </c>
      <c r="H49" s="191" t="s">
        <v>579</v>
      </c>
      <c r="I49" s="192" t="s">
        <v>4329</v>
      </c>
      <c r="J49" s="191">
        <v>40</v>
      </c>
      <c r="K49" s="191"/>
      <c r="L49" s="191"/>
      <c r="M49" s="219" t="str">
        <f t="shared" si="13"/>
        <v>19 - 49 yrs</v>
      </c>
      <c r="N49" s="194" t="str">
        <f t="shared" si="14"/>
        <v>F</v>
      </c>
      <c r="O49" s="141">
        <v>1</v>
      </c>
      <c r="P49" s="141">
        <v>1</v>
      </c>
      <c r="Q49" s="141">
        <v>1</v>
      </c>
      <c r="R49" s="141">
        <v>1</v>
      </c>
      <c r="S49" s="141">
        <v>1</v>
      </c>
      <c r="T49" s="141">
        <v>1</v>
      </c>
      <c r="U4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49" s="195">
        <v>46065</v>
      </c>
      <c r="W49" s="141" t="s">
        <v>2235</v>
      </c>
      <c r="X49" s="191" t="s">
        <v>4330</v>
      </c>
      <c r="Y49" s="191" t="s">
        <v>1681</v>
      </c>
      <c r="Z49" s="191" t="s">
        <v>4334</v>
      </c>
      <c r="AA49" s="192" t="s">
        <v>2249</v>
      </c>
      <c r="AB49" s="195">
        <v>46027</v>
      </c>
      <c r="AC49" s="196">
        <v>46032</v>
      </c>
      <c r="AD49" s="193">
        <f>IF(Referral4[[#This Row],[DOA
(mm-dd-yyy)]]="","",(Referral4[[#This Row],[DOD
(mm-dd-yyy)]]-Referral4[[#This Row],[DOA
(mm-dd-yyy)]])+1)</f>
        <v>6</v>
      </c>
      <c r="AE49" s="191" t="s">
        <v>4330</v>
      </c>
      <c r="AF49" s="191"/>
      <c r="AG49" s="141" t="str">
        <f t="array" ref="AG49">IF(AF49="","",
IF(Y49="EmOC",VLOOKUP(AF49,Data_validation!$R$1:$S$93,2,FALSE),
IF(Y49="ECC",VLOOKUP(AF49,Data_validation!$T$1:$U$151,2,FALSE),
IF(Y49="Other",VLOOKUP(AF49,Data_validation!$V$1:$W$19,2,FALSE),
VLOOKUP(AF49,Data_validation!$X$1:$Y$3,2,FALSE)))))</f>
        <v/>
      </c>
      <c r="AH49" s="191" t="s">
        <v>1683</v>
      </c>
      <c r="AI49" s="191" t="s">
        <v>4331</v>
      </c>
      <c r="AJ49" s="141" t="s">
        <v>654</v>
      </c>
      <c r="AK49" s="141" t="s">
        <v>654</v>
      </c>
      <c r="AL49" s="141" t="s">
        <v>654</v>
      </c>
      <c r="AM49" s="141" t="s">
        <v>654</v>
      </c>
      <c r="AN49" s="195">
        <v>46065</v>
      </c>
      <c r="AO49" s="193" t="str">
        <f t="shared" si="15"/>
        <v>February</v>
      </c>
      <c r="AP49" s="193">
        <f t="shared" si="16"/>
        <v>2026</v>
      </c>
      <c r="AQ49" s="198" t="str">
        <f>IF(Referral4[[#This Row],[Claimed_Date
(mmm-dd-yyy)]]="","",IF(AND(MONTH(Referral4[[#This Row],[Claimed_Date
(mmm-dd-yyy)]])&gt;4,MONTH(Referral4[[#This Row],[Claimed_Date
(mmm-dd-yyy)]])&lt;11),"S1","S2"))</f>
        <v>S2</v>
      </c>
      <c r="AR4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6</v>
      </c>
      <c r="AS49" s="145" t="s">
        <v>2227</v>
      </c>
      <c r="AT49" s="199">
        <v>120000</v>
      </c>
      <c r="AU49" s="200">
        <v>100000</v>
      </c>
      <c r="AV49" s="201">
        <f t="shared" si="18"/>
        <v>220000</v>
      </c>
      <c r="AW49" s="202"/>
      <c r="AX49" s="141" t="s">
        <v>21</v>
      </c>
      <c r="AY49" s="141" t="s">
        <v>21</v>
      </c>
      <c r="AZ49" s="141" t="s">
        <v>21</v>
      </c>
      <c r="BA49" s="141" t="s">
        <v>21</v>
      </c>
      <c r="BB49" s="141" t="s">
        <v>21</v>
      </c>
      <c r="BC49" s="141" t="s">
        <v>21</v>
      </c>
      <c r="BD49" s="141" t="s">
        <v>21</v>
      </c>
      <c r="BE49" s="203">
        <f t="shared" si="6"/>
        <v>1</v>
      </c>
      <c r="BF49" s="203">
        <f t="shared" si="7"/>
        <v>0</v>
      </c>
      <c r="BG49" s="193" t="str">
        <f t="shared" si="17"/>
        <v>Severe</v>
      </c>
      <c r="BH49" s="194"/>
    </row>
    <row r="50" spans="1:60" x14ac:dyDescent="0.25">
      <c r="A50" s="148">
        <v>48</v>
      </c>
      <c r="B50" s="140" t="s">
        <v>1997</v>
      </c>
      <c r="C50" s="191"/>
      <c r="D50" s="191" t="s">
        <v>1998</v>
      </c>
      <c r="E50" s="191" t="s">
        <v>1999</v>
      </c>
      <c r="F50" s="191"/>
      <c r="G50" s="191" t="s">
        <v>4332</v>
      </c>
      <c r="H50" s="191" t="s">
        <v>579</v>
      </c>
      <c r="I50" s="192" t="s">
        <v>4146</v>
      </c>
      <c r="J50" s="191">
        <v>45</v>
      </c>
      <c r="K50" s="191"/>
      <c r="L50" s="191"/>
      <c r="M50" s="219" t="str">
        <f t="shared" si="13"/>
        <v>19 - 49 yrs</v>
      </c>
      <c r="N50" s="194" t="str">
        <f t="shared" si="14"/>
        <v>M</v>
      </c>
      <c r="O50" s="141">
        <v>1</v>
      </c>
      <c r="P50" s="141">
        <v>1</v>
      </c>
      <c r="Q50" s="141">
        <v>1</v>
      </c>
      <c r="R50" s="141">
        <v>1</v>
      </c>
      <c r="S50" s="141">
        <v>1</v>
      </c>
      <c r="T50" s="141">
        <v>1</v>
      </c>
      <c r="U5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0" s="195">
        <v>46065</v>
      </c>
      <c r="W50" s="141" t="s">
        <v>2235</v>
      </c>
      <c r="X50" s="191" t="s">
        <v>4333</v>
      </c>
      <c r="Y50" s="191" t="s">
        <v>293</v>
      </c>
      <c r="Z50" s="191"/>
      <c r="AA50" s="192" t="s">
        <v>4335</v>
      </c>
      <c r="AB50" s="195">
        <v>45988</v>
      </c>
      <c r="AC50" s="196">
        <v>45997</v>
      </c>
      <c r="AD50" s="193">
        <f>IF(Referral4[[#This Row],[DOA
(mm-dd-yyy)]]="","",(Referral4[[#This Row],[DOD
(mm-dd-yyy)]]-Referral4[[#This Row],[DOA
(mm-dd-yyy)]])+1)</f>
        <v>10</v>
      </c>
      <c r="AE50" s="191" t="s">
        <v>4333</v>
      </c>
      <c r="AF50" s="191" t="s">
        <v>1686</v>
      </c>
      <c r="AG50" s="141" t="str">
        <f t="array" ref="AG50">IF(AF50="","",
IF(Y50="EmOC",VLOOKUP(AF50,Data_validation!$R$1:$S$93,2,FALSE),
IF(Y50="ECC",VLOOKUP(AF50,Data_validation!$T$1:$U$151,2,FALSE),
IF(Y50="Other",VLOOKUP(AF50,Data_validation!$V$1:$W$19,2,FALSE),
VLOOKUP(AF50,Data_validation!$X$1:$Y$3,2,FALSE)))))</f>
        <v>Major Injuries/Trauma</v>
      </c>
      <c r="AH50" s="191"/>
      <c r="AI50" s="191" t="s">
        <v>2238</v>
      </c>
      <c r="AJ50" s="141" t="s">
        <v>654</v>
      </c>
      <c r="AK50" s="141" t="s">
        <v>654</v>
      </c>
      <c r="AL50" s="141" t="s">
        <v>654</v>
      </c>
      <c r="AM50" s="141" t="s">
        <v>654</v>
      </c>
      <c r="AN50" s="195">
        <v>46065</v>
      </c>
      <c r="AO50" s="193" t="str">
        <f t="shared" si="15"/>
        <v>February</v>
      </c>
      <c r="AP50" s="193">
        <f t="shared" si="16"/>
        <v>2026</v>
      </c>
      <c r="AQ50" s="198" t="str">
        <f>IF(Referral4[[#This Row],[Claimed_Date
(mmm-dd-yyy)]]="","",IF(AND(MONTH(Referral4[[#This Row],[Claimed_Date
(mmm-dd-yyy)]])&gt;4,MONTH(Referral4[[#This Row],[Claimed_Date
(mmm-dd-yyy)]])&lt;11),"S1","S2"))</f>
        <v>S2</v>
      </c>
      <c r="AR5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10</v>
      </c>
      <c r="AS50" s="145" t="s">
        <v>2227</v>
      </c>
      <c r="AT50" s="199">
        <v>140000</v>
      </c>
      <c r="AU50" s="200">
        <v>200000</v>
      </c>
      <c r="AV50" s="201">
        <f t="shared" si="18"/>
        <v>340000</v>
      </c>
      <c r="AW50" s="202" t="s">
        <v>2361</v>
      </c>
      <c r="AX50" s="141" t="s">
        <v>21</v>
      </c>
      <c r="AY50" s="141" t="s">
        <v>21</v>
      </c>
      <c r="AZ50" s="141" t="s">
        <v>21</v>
      </c>
      <c r="BA50" s="141" t="s">
        <v>21</v>
      </c>
      <c r="BB50" s="141" t="s">
        <v>21</v>
      </c>
      <c r="BC50" s="141" t="s">
        <v>21</v>
      </c>
      <c r="BD50" s="141" t="s">
        <v>21</v>
      </c>
      <c r="BE50" s="203">
        <f t="shared" si="6"/>
        <v>1</v>
      </c>
      <c r="BF50" s="203">
        <f t="shared" si="7"/>
        <v>0</v>
      </c>
      <c r="BG50" s="193" t="str">
        <f t="shared" si="17"/>
        <v>Severe</v>
      </c>
      <c r="BH50" s="194"/>
    </row>
    <row r="51" spans="1:60" x14ac:dyDescent="0.25">
      <c r="A51" s="140">
        <v>49</v>
      </c>
      <c r="B51" s="140" t="s">
        <v>1997</v>
      </c>
      <c r="C51" s="191"/>
      <c r="D51" s="191" t="s">
        <v>1998</v>
      </c>
      <c r="E51" s="191" t="s">
        <v>4336</v>
      </c>
      <c r="F51" s="191"/>
      <c r="G51" s="191" t="s">
        <v>4337</v>
      </c>
      <c r="H51" s="191" t="s">
        <v>579</v>
      </c>
      <c r="I51" s="192" t="s">
        <v>4175</v>
      </c>
      <c r="J51" s="191">
        <v>46</v>
      </c>
      <c r="K51" s="191"/>
      <c r="L51" s="191"/>
      <c r="M51" s="219" t="str">
        <f t="shared" si="13"/>
        <v>19 - 49 yrs</v>
      </c>
      <c r="N51" s="194" t="str">
        <f t="shared" si="14"/>
        <v>F</v>
      </c>
      <c r="O51" s="141">
        <v>1</v>
      </c>
      <c r="P51" s="141">
        <v>1</v>
      </c>
      <c r="Q51" s="141">
        <v>1</v>
      </c>
      <c r="R51" s="141">
        <v>1</v>
      </c>
      <c r="S51" s="141">
        <v>1</v>
      </c>
      <c r="T51" s="141">
        <v>1</v>
      </c>
      <c r="U5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1" s="195">
        <v>46065</v>
      </c>
      <c r="W51" s="141" t="s">
        <v>2235</v>
      </c>
      <c r="X51" s="191" t="s">
        <v>4338</v>
      </c>
      <c r="Y51" s="191" t="s">
        <v>293</v>
      </c>
      <c r="Z51" s="191"/>
      <c r="AA51" s="192" t="s">
        <v>2285</v>
      </c>
      <c r="AB51" s="195">
        <v>46009</v>
      </c>
      <c r="AC51" s="196">
        <v>46016</v>
      </c>
      <c r="AD51" s="193">
        <f>IF(Referral4[[#This Row],[DOA
(mm-dd-yyy)]]="","",(Referral4[[#This Row],[DOD
(mm-dd-yyy)]]-Referral4[[#This Row],[DOA
(mm-dd-yyy)]])+1)</f>
        <v>8</v>
      </c>
      <c r="AE51" s="191" t="s">
        <v>4338</v>
      </c>
      <c r="AF51" s="191"/>
      <c r="AG51" s="141" t="str">
        <f t="array" ref="AG51">IF(AF51="","",
IF(Y51="EmOC",VLOOKUP(AF51,Data_validation!$R$1:$S$93,2,FALSE),
IF(Y51="ECC",VLOOKUP(AF51,Data_validation!$T$1:$U$151,2,FALSE),
IF(Y51="Other",VLOOKUP(AF51,Data_validation!$V$1:$W$19,2,FALSE),
VLOOKUP(AF51,Data_validation!$X$1:$Y$3,2,FALSE)))))</f>
        <v/>
      </c>
      <c r="AH51" s="191"/>
      <c r="AI51" s="191" t="s">
        <v>2238</v>
      </c>
      <c r="AJ51" s="141" t="s">
        <v>654</v>
      </c>
      <c r="AK51" s="141" t="s">
        <v>654</v>
      </c>
      <c r="AL51" s="141" t="s">
        <v>654</v>
      </c>
      <c r="AM51" s="141" t="s">
        <v>654</v>
      </c>
      <c r="AN51" s="195">
        <v>46065</v>
      </c>
      <c r="AO51" s="193" t="str">
        <f t="shared" si="15"/>
        <v>February</v>
      </c>
      <c r="AP51" s="193">
        <f t="shared" si="16"/>
        <v>2026</v>
      </c>
      <c r="AQ51" s="198" t="str">
        <f>IF(Referral4[[#This Row],[Claimed_Date
(mmm-dd-yyy)]]="","",IF(AND(MONTH(Referral4[[#This Row],[Claimed_Date
(mmm-dd-yyy)]])&gt;4,MONTH(Referral4[[#This Row],[Claimed_Date
(mmm-dd-yyy)]])&lt;11),"S1","S2"))</f>
        <v>S2</v>
      </c>
      <c r="AR5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8</v>
      </c>
      <c r="AS51" s="145" t="s">
        <v>2227</v>
      </c>
      <c r="AT51" s="199">
        <v>100000</v>
      </c>
      <c r="AU51" s="200">
        <v>250000</v>
      </c>
      <c r="AV51" s="201">
        <f t="shared" si="18"/>
        <v>350000</v>
      </c>
      <c r="AW51" s="202" t="s">
        <v>2361</v>
      </c>
      <c r="AX51" s="141" t="s">
        <v>21</v>
      </c>
      <c r="AY51" s="141" t="s">
        <v>21</v>
      </c>
      <c r="AZ51" s="141" t="s">
        <v>21</v>
      </c>
      <c r="BA51" s="141" t="s">
        <v>21</v>
      </c>
      <c r="BB51" s="141" t="s">
        <v>21</v>
      </c>
      <c r="BC51" s="141" t="s">
        <v>21</v>
      </c>
      <c r="BD51" s="141" t="s">
        <v>21</v>
      </c>
      <c r="BE51" s="203">
        <f t="shared" si="6"/>
        <v>1</v>
      </c>
      <c r="BF51" s="203">
        <f t="shared" si="7"/>
        <v>0</v>
      </c>
      <c r="BG51" s="193" t="str">
        <f t="shared" si="17"/>
        <v>Severe</v>
      </c>
      <c r="BH51" s="194"/>
    </row>
    <row r="52" spans="1:60" ht="25.5" x14ac:dyDescent="0.25">
      <c r="A52" s="148">
        <v>50</v>
      </c>
      <c r="B52" s="140" t="s">
        <v>1997</v>
      </c>
      <c r="C52" s="191"/>
      <c r="D52" s="191" t="s">
        <v>1998</v>
      </c>
      <c r="E52" s="191" t="s">
        <v>2222</v>
      </c>
      <c r="F52" s="191"/>
      <c r="G52" s="191" t="s">
        <v>2228</v>
      </c>
      <c r="H52" s="191" t="s">
        <v>579</v>
      </c>
      <c r="I52" s="192" t="s">
        <v>4339</v>
      </c>
      <c r="J52" s="191"/>
      <c r="K52" s="191"/>
      <c r="L52" s="191">
        <v>1</v>
      </c>
      <c r="M52" s="219" t="str">
        <f t="shared" si="13"/>
        <v>&lt;5 yrs</v>
      </c>
      <c r="N52" s="194" t="str">
        <f t="shared" si="14"/>
        <v>F</v>
      </c>
      <c r="O52" s="141">
        <v>1</v>
      </c>
      <c r="P52" s="141">
        <v>1</v>
      </c>
      <c r="Q52" s="141">
        <v>1</v>
      </c>
      <c r="R52" s="141">
        <v>1</v>
      </c>
      <c r="S52" s="141">
        <v>1</v>
      </c>
      <c r="T52" s="141">
        <v>1</v>
      </c>
      <c r="U5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2" s="195">
        <v>46066</v>
      </c>
      <c r="W52" s="141" t="s">
        <v>2235</v>
      </c>
      <c r="X52" s="191" t="s">
        <v>4340</v>
      </c>
      <c r="Y52" s="191" t="s">
        <v>1684</v>
      </c>
      <c r="Z52" s="191"/>
      <c r="AA52" s="192" t="s">
        <v>2226</v>
      </c>
      <c r="AB52" s="195">
        <v>46021</v>
      </c>
      <c r="AC52" s="196">
        <v>46044</v>
      </c>
      <c r="AD52" s="193">
        <f>IF(Referral4[[#This Row],[DOA
(mm-dd-yyy)]]="","",(Referral4[[#This Row],[DOD
(mm-dd-yyy)]]-Referral4[[#This Row],[DOA
(mm-dd-yyy)]])+1)</f>
        <v>24</v>
      </c>
      <c r="AE52" s="197" t="s">
        <v>4340</v>
      </c>
      <c r="AF52" s="191" t="s">
        <v>1903</v>
      </c>
      <c r="AG52" s="141" t="str">
        <f t="array" ref="AG52">IF(AF52="","",
IF(Y52="EmOC",VLOOKUP(AF52,Data_validation!$R$1:$S$93,2,FALSE),
IF(Y52="ECC",VLOOKUP(AF52,Data_validation!$T$1:$U$151,2,FALSE),
IF(Y52="Other",VLOOKUP(AF52,Data_validation!$V$1:$W$19,2,FALSE),
VLOOKUP(AF52,Data_validation!$X$1:$Y$3,2,FALSE)))))</f>
        <v>Premature/LBW</v>
      </c>
      <c r="AH52" s="191"/>
      <c r="AI52" s="191" t="s">
        <v>2238</v>
      </c>
      <c r="AJ52" s="141" t="s">
        <v>654</v>
      </c>
      <c r="AK52" s="141" t="s">
        <v>654</v>
      </c>
      <c r="AL52" s="141" t="s">
        <v>654</v>
      </c>
      <c r="AM52" s="141" t="s">
        <v>654</v>
      </c>
      <c r="AN52" s="195">
        <v>46066</v>
      </c>
      <c r="AO52" s="193" t="str">
        <f t="shared" si="15"/>
        <v>February</v>
      </c>
      <c r="AP52" s="193">
        <f t="shared" si="16"/>
        <v>2026</v>
      </c>
      <c r="AQ52" s="198" t="str">
        <f>IF(Referral4[[#This Row],[Claimed_Date
(mmm-dd-yyy)]]="","",IF(AND(MONTH(Referral4[[#This Row],[Claimed_Date
(mmm-dd-yyy)]])&gt;4,MONTH(Referral4[[#This Row],[Claimed_Date
(mmm-dd-yyy)]])&lt;11),"S1","S2"))</f>
        <v>S2</v>
      </c>
      <c r="AR5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52" s="145" t="s">
        <v>2227</v>
      </c>
      <c r="AT52" s="199">
        <v>50000</v>
      </c>
      <c r="AU52" s="200">
        <v>100000</v>
      </c>
      <c r="AV52" s="201">
        <f t="shared" si="18"/>
        <v>150000</v>
      </c>
      <c r="AW52" s="202"/>
      <c r="AX52" s="141" t="s">
        <v>21</v>
      </c>
      <c r="AY52" s="141" t="s">
        <v>21</v>
      </c>
      <c r="AZ52" s="141" t="s">
        <v>21</v>
      </c>
      <c r="BA52" s="141" t="s">
        <v>21</v>
      </c>
      <c r="BB52" s="141" t="s">
        <v>21</v>
      </c>
      <c r="BC52" s="141" t="s">
        <v>21</v>
      </c>
      <c r="BD52" s="141" t="s">
        <v>21</v>
      </c>
      <c r="BE52" s="203">
        <f t="shared" si="6"/>
        <v>1</v>
      </c>
      <c r="BF52" s="203">
        <f t="shared" si="7"/>
        <v>0</v>
      </c>
      <c r="BG52" s="193" t="str">
        <f t="shared" si="17"/>
        <v>Severe</v>
      </c>
      <c r="BH52" s="194"/>
    </row>
    <row r="53" spans="1:60" ht="25.5" x14ac:dyDescent="0.25">
      <c r="A53" s="140">
        <v>51</v>
      </c>
      <c r="B53" s="140" t="s">
        <v>1997</v>
      </c>
      <c r="C53" s="191"/>
      <c r="D53" s="191" t="s">
        <v>1998</v>
      </c>
      <c r="E53" s="191" t="s">
        <v>2222</v>
      </c>
      <c r="F53" s="191"/>
      <c r="G53" s="191" t="s">
        <v>2228</v>
      </c>
      <c r="H53" s="191" t="s">
        <v>579</v>
      </c>
      <c r="I53" s="192" t="s">
        <v>4341</v>
      </c>
      <c r="J53" s="191">
        <v>34</v>
      </c>
      <c r="K53" s="191"/>
      <c r="L53" s="191"/>
      <c r="M53" s="219" t="str">
        <f t="shared" si="13"/>
        <v>19 - 49 yrs</v>
      </c>
      <c r="N53" s="194" t="str">
        <f t="shared" si="14"/>
        <v>F</v>
      </c>
      <c r="O53" s="141">
        <v>1</v>
      </c>
      <c r="P53" s="141">
        <v>1</v>
      </c>
      <c r="Q53" s="141">
        <v>1</v>
      </c>
      <c r="R53" s="141">
        <v>1</v>
      </c>
      <c r="S53" s="141">
        <v>1</v>
      </c>
      <c r="T53" s="141">
        <v>1</v>
      </c>
      <c r="U5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3" s="195">
        <v>46066</v>
      </c>
      <c r="W53" s="141" t="s">
        <v>2235</v>
      </c>
      <c r="X53" s="191" t="s">
        <v>4342</v>
      </c>
      <c r="Y53" s="191" t="s">
        <v>1681</v>
      </c>
      <c r="Z53" s="191"/>
      <c r="AA53" s="192" t="s">
        <v>2226</v>
      </c>
      <c r="AB53" s="195">
        <v>46021</v>
      </c>
      <c r="AC53" s="196">
        <v>46029</v>
      </c>
      <c r="AD53" s="193">
        <f>IF(Referral4[[#This Row],[DOA
(mm-dd-yyy)]]="","",(Referral4[[#This Row],[DOD
(mm-dd-yyy)]]-Referral4[[#This Row],[DOA
(mm-dd-yyy)]])+1)</f>
        <v>9</v>
      </c>
      <c r="AE53" s="191" t="s">
        <v>4342</v>
      </c>
      <c r="AF53" s="191" t="s">
        <v>1729</v>
      </c>
      <c r="AG53" s="141" t="str">
        <f t="array" ref="AG53">IF(AF53="","",
IF(Y53="EmOC",VLOOKUP(AF53,Data_validation!$R$1:$S$93,2,FALSE),
IF(Y53="ECC",VLOOKUP(AF53,Data_validation!$T$1:$U$151,2,FALSE),
IF(Y53="Other",VLOOKUP(AF53,Data_validation!$V$1:$W$19,2,FALSE),
VLOOKUP(AF53,Data_validation!$X$1:$Y$3,2,FALSE)))))</f>
        <v xml:space="preserve">Preterm labour </v>
      </c>
      <c r="AH53" s="191"/>
      <c r="AI53" s="191" t="s">
        <v>4343</v>
      </c>
      <c r="AJ53" s="141" t="s">
        <v>654</v>
      </c>
      <c r="AK53" s="141" t="s">
        <v>654</v>
      </c>
      <c r="AL53" s="141" t="s">
        <v>654</v>
      </c>
      <c r="AM53" s="141" t="s">
        <v>654</v>
      </c>
      <c r="AN53" s="195">
        <v>46066</v>
      </c>
      <c r="AO53" s="193" t="str">
        <f t="shared" si="15"/>
        <v>February</v>
      </c>
      <c r="AP53" s="193">
        <f t="shared" si="16"/>
        <v>2026</v>
      </c>
      <c r="AQ53" s="198" t="str">
        <f>IF(Referral4[[#This Row],[Claimed_Date
(mmm-dd-yyy)]]="","",IF(AND(MONTH(Referral4[[#This Row],[Claimed_Date
(mmm-dd-yyy)]])&gt;4,MONTH(Referral4[[#This Row],[Claimed_Date
(mmm-dd-yyy)]])&lt;11),"S1","S2"))</f>
        <v>S2</v>
      </c>
      <c r="AR5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9</v>
      </c>
      <c r="AS53" s="145" t="s">
        <v>2227</v>
      </c>
      <c r="AT53" s="199">
        <v>100000</v>
      </c>
      <c r="AU53" s="200">
        <v>100000</v>
      </c>
      <c r="AV53" s="201">
        <f t="shared" si="18"/>
        <v>200000</v>
      </c>
      <c r="AW53" s="202"/>
      <c r="AX53" s="141" t="s">
        <v>21</v>
      </c>
      <c r="AY53" s="141" t="s">
        <v>21</v>
      </c>
      <c r="AZ53" s="141" t="s">
        <v>21</v>
      </c>
      <c r="BA53" s="141" t="s">
        <v>21</v>
      </c>
      <c r="BB53" s="141" t="s">
        <v>21</v>
      </c>
      <c r="BC53" s="141" t="s">
        <v>21</v>
      </c>
      <c r="BD53" s="141" t="s">
        <v>21</v>
      </c>
      <c r="BE53" s="203">
        <f t="shared" si="6"/>
        <v>1</v>
      </c>
      <c r="BF53" s="203">
        <f t="shared" si="7"/>
        <v>0</v>
      </c>
      <c r="BG53" s="193" t="str">
        <f t="shared" si="17"/>
        <v>Severe</v>
      </c>
      <c r="BH53" s="194"/>
    </row>
    <row r="54" spans="1:60" ht="25.5" x14ac:dyDescent="0.25">
      <c r="A54" s="148">
        <v>52</v>
      </c>
      <c r="B54" s="140" t="s">
        <v>1997</v>
      </c>
      <c r="C54" s="191"/>
      <c r="D54" s="191" t="s">
        <v>1998</v>
      </c>
      <c r="E54" s="191" t="s">
        <v>2286</v>
      </c>
      <c r="F54" s="191"/>
      <c r="G54" s="191" t="s">
        <v>4344</v>
      </c>
      <c r="H54" s="191" t="s">
        <v>579</v>
      </c>
      <c r="I54" s="192" t="s">
        <v>4345</v>
      </c>
      <c r="J54" s="191"/>
      <c r="K54" s="191"/>
      <c r="L54" s="191">
        <v>1</v>
      </c>
      <c r="M54" s="219" t="str">
        <f t="shared" si="13"/>
        <v>&lt;5 yrs</v>
      </c>
      <c r="N54" s="194" t="str">
        <f t="shared" si="14"/>
        <v>F</v>
      </c>
      <c r="O54" s="141">
        <v>1</v>
      </c>
      <c r="P54" s="141">
        <v>1</v>
      </c>
      <c r="Q54" s="141">
        <v>1</v>
      </c>
      <c r="R54" s="141">
        <v>1</v>
      </c>
      <c r="S54" s="141">
        <v>1</v>
      </c>
      <c r="T54" s="141">
        <v>1</v>
      </c>
      <c r="U5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4" s="195">
        <v>46067</v>
      </c>
      <c r="W54" s="141" t="s">
        <v>2235</v>
      </c>
      <c r="X54" s="191" t="s">
        <v>4346</v>
      </c>
      <c r="Y54" s="191" t="s">
        <v>1684</v>
      </c>
      <c r="Z54" s="191"/>
      <c r="AA54" s="192" t="s">
        <v>4347</v>
      </c>
      <c r="AB54" s="195">
        <v>46040</v>
      </c>
      <c r="AC54" s="196">
        <v>46049</v>
      </c>
      <c r="AD54" s="193">
        <f>IF(Referral4[[#This Row],[DOA
(mm-dd-yyy)]]="","",(Referral4[[#This Row],[DOD
(mm-dd-yyy)]]-Referral4[[#This Row],[DOA
(mm-dd-yyy)]])+1)</f>
        <v>10</v>
      </c>
      <c r="AE54" s="191" t="s">
        <v>4346</v>
      </c>
      <c r="AF54" s="191" t="s">
        <v>1739</v>
      </c>
      <c r="AG54" s="141" t="str">
        <f t="array" ref="AG54">IF(AF54="","",
IF(Y54="EmOC",VLOOKUP(AF54,Data_validation!$R$1:$S$93,2,FALSE),
IF(Y54="ECC",VLOOKUP(AF54,Data_validation!$T$1:$U$151,2,FALSE),
IF(Y54="Other",VLOOKUP(AF54,Data_validation!$V$1:$W$19,2,FALSE),
VLOOKUP(AF54,Data_validation!$X$1:$Y$3,2,FALSE)))))</f>
        <v>Premature/LBW</v>
      </c>
      <c r="AH54" s="191"/>
      <c r="AI54" s="191" t="s">
        <v>2238</v>
      </c>
      <c r="AJ54" s="141" t="s">
        <v>654</v>
      </c>
      <c r="AK54" s="141" t="s">
        <v>654</v>
      </c>
      <c r="AL54" s="141" t="s">
        <v>654</v>
      </c>
      <c r="AM54" s="141" t="s">
        <v>654</v>
      </c>
      <c r="AN54" s="195">
        <v>46067</v>
      </c>
      <c r="AO54" s="193" t="str">
        <f t="shared" si="15"/>
        <v>February</v>
      </c>
      <c r="AP54" s="193">
        <f t="shared" si="16"/>
        <v>2026</v>
      </c>
      <c r="AQ54" s="198" t="str">
        <f>IF(Referral4[[#This Row],[Claimed_Date
(mmm-dd-yyy)]]="","",IF(AND(MONTH(Referral4[[#This Row],[Claimed_Date
(mmm-dd-yyy)]])&gt;4,MONTH(Referral4[[#This Row],[Claimed_Date
(mmm-dd-yyy)]])&lt;11),"S1","S2"))</f>
        <v>S2</v>
      </c>
      <c r="AR5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54" s="145" t="s">
        <v>2227</v>
      </c>
      <c r="AT54" s="199">
        <v>50000</v>
      </c>
      <c r="AU54" s="200">
        <v>100000</v>
      </c>
      <c r="AV54" s="201">
        <f t="shared" si="18"/>
        <v>150000</v>
      </c>
      <c r="AW54" s="202"/>
      <c r="AX54" s="141" t="s">
        <v>21</v>
      </c>
      <c r="AY54" s="141" t="s">
        <v>21</v>
      </c>
      <c r="AZ54" s="141" t="s">
        <v>21</v>
      </c>
      <c r="BA54" s="141" t="s">
        <v>21</v>
      </c>
      <c r="BB54" s="141" t="s">
        <v>21</v>
      </c>
      <c r="BC54" s="141" t="s">
        <v>21</v>
      </c>
      <c r="BD54" s="141" t="s">
        <v>21</v>
      </c>
      <c r="BE54" s="203">
        <f t="shared" si="6"/>
        <v>1</v>
      </c>
      <c r="BF54" s="203">
        <f t="shared" si="7"/>
        <v>0</v>
      </c>
      <c r="BG54" s="193" t="str">
        <f t="shared" si="17"/>
        <v>Severe</v>
      </c>
      <c r="BH54" s="194"/>
    </row>
    <row r="55" spans="1:60" ht="25.5" x14ac:dyDescent="0.25">
      <c r="A55" s="140">
        <v>53</v>
      </c>
      <c r="B55" s="140" t="s">
        <v>1997</v>
      </c>
      <c r="C55" s="191"/>
      <c r="D55" s="191" t="s">
        <v>1998</v>
      </c>
      <c r="E55" s="191" t="s">
        <v>4348</v>
      </c>
      <c r="F55" s="191"/>
      <c r="G55" s="191" t="s">
        <v>4349</v>
      </c>
      <c r="H55" s="191" t="s">
        <v>619</v>
      </c>
      <c r="I55" s="192" t="s">
        <v>4350</v>
      </c>
      <c r="J55" s="191">
        <v>25</v>
      </c>
      <c r="K55" s="191"/>
      <c r="L55" s="191"/>
      <c r="M55" s="219" t="str">
        <f t="shared" si="13"/>
        <v>19 - 49 yrs</v>
      </c>
      <c r="N55" s="194" t="str">
        <f t="shared" si="14"/>
        <v>F</v>
      </c>
      <c r="O55" s="141">
        <v>1</v>
      </c>
      <c r="P55" s="141">
        <v>1</v>
      </c>
      <c r="Q55" s="141">
        <v>1</v>
      </c>
      <c r="R55" s="141">
        <v>1</v>
      </c>
      <c r="S55" s="141">
        <v>1</v>
      </c>
      <c r="T55" s="141">
        <v>1</v>
      </c>
      <c r="U5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5" s="195">
        <v>46067</v>
      </c>
      <c r="W55" s="141" t="s">
        <v>2235</v>
      </c>
      <c r="X55" s="191" t="s">
        <v>2244</v>
      </c>
      <c r="Y55" s="191" t="s">
        <v>293</v>
      </c>
      <c r="Z55" s="191"/>
      <c r="AA55" s="192" t="s">
        <v>2253</v>
      </c>
      <c r="AB55" s="195">
        <v>45822</v>
      </c>
      <c r="AC55" s="196">
        <v>45825</v>
      </c>
      <c r="AD55" s="193">
        <f>IF(Referral4[[#This Row],[DOA
(mm-dd-yyy)]]="","",(Referral4[[#This Row],[DOD
(mm-dd-yyy)]]-Referral4[[#This Row],[DOA
(mm-dd-yyy)]])+1)</f>
        <v>4</v>
      </c>
      <c r="AE55" s="197" t="s">
        <v>2244</v>
      </c>
      <c r="AF55" s="191" t="s">
        <v>1697</v>
      </c>
      <c r="AG55" s="141" t="str">
        <f t="array" ref="AG55">IF(AF55="","",
IF(Y55="EmOC",VLOOKUP(AF55,Data_validation!$R$1:$S$93,2,FALSE),
IF(Y55="ECC",VLOOKUP(AF55,Data_validation!$T$1:$U$151,2,FALSE),
IF(Y55="Other",VLOOKUP(AF55,Data_validation!$V$1:$W$19,2,FALSE),
VLOOKUP(AF55,Data_validation!$X$1:$Y$3,2,FALSE)))))</f>
        <v>Surgical Emergencies</v>
      </c>
      <c r="AH55" s="191"/>
      <c r="AI55" s="191" t="s">
        <v>2238</v>
      </c>
      <c r="AJ55" s="141" t="s">
        <v>654</v>
      </c>
      <c r="AK55" s="141" t="s">
        <v>654</v>
      </c>
      <c r="AL55" s="141" t="s">
        <v>654</v>
      </c>
      <c r="AM55" s="141" t="s">
        <v>654</v>
      </c>
      <c r="AN55" s="195">
        <v>46067</v>
      </c>
      <c r="AO55" s="193" t="str">
        <f t="shared" si="15"/>
        <v>February</v>
      </c>
      <c r="AP55" s="193">
        <f t="shared" si="16"/>
        <v>2026</v>
      </c>
      <c r="AQ55" s="198" t="str">
        <f>IF(Referral4[[#This Row],[Claimed_Date
(mmm-dd-yyy)]]="","",IF(AND(MONTH(Referral4[[#This Row],[Claimed_Date
(mmm-dd-yyy)]])&gt;4,MONTH(Referral4[[#This Row],[Claimed_Date
(mmm-dd-yyy)]])&lt;11),"S1","S2"))</f>
        <v>S2</v>
      </c>
      <c r="AR5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55" s="145" t="s">
        <v>2227</v>
      </c>
      <c r="AT55" s="199">
        <v>80000</v>
      </c>
      <c r="AU55" s="200">
        <v>200000</v>
      </c>
      <c r="AV55" s="201">
        <f t="shared" si="18"/>
        <v>280000</v>
      </c>
      <c r="AW55" s="202" t="s">
        <v>2361</v>
      </c>
      <c r="AX55" s="141" t="s">
        <v>21</v>
      </c>
      <c r="AY55" s="141" t="s">
        <v>21</v>
      </c>
      <c r="AZ55" s="141" t="s">
        <v>21</v>
      </c>
      <c r="BA55" s="141" t="s">
        <v>21</v>
      </c>
      <c r="BB55" s="141" t="s">
        <v>21</v>
      </c>
      <c r="BC55" s="141" t="s">
        <v>21</v>
      </c>
      <c r="BD55" s="141" t="s">
        <v>21</v>
      </c>
      <c r="BE55" s="203">
        <f t="shared" si="6"/>
        <v>1</v>
      </c>
      <c r="BF55" s="203">
        <f t="shared" si="7"/>
        <v>0</v>
      </c>
      <c r="BG55" s="193" t="str">
        <f t="shared" si="17"/>
        <v>Severe</v>
      </c>
      <c r="BH55" s="194"/>
    </row>
    <row r="56" spans="1:60" ht="25.5" x14ac:dyDescent="0.25">
      <c r="A56" s="148">
        <v>54</v>
      </c>
      <c r="B56" s="140" t="s">
        <v>1997</v>
      </c>
      <c r="C56" s="191"/>
      <c r="D56" s="191" t="s">
        <v>1998</v>
      </c>
      <c r="E56" s="191" t="s">
        <v>2254</v>
      </c>
      <c r="F56" s="191"/>
      <c r="G56" s="191" t="s">
        <v>4351</v>
      </c>
      <c r="H56" s="191" t="s">
        <v>579</v>
      </c>
      <c r="I56" s="192" t="s">
        <v>4352</v>
      </c>
      <c r="J56" s="191">
        <v>40</v>
      </c>
      <c r="K56" s="191"/>
      <c r="L56" s="191"/>
      <c r="M56" s="219" t="str">
        <f t="shared" si="13"/>
        <v>19 - 49 yrs</v>
      </c>
      <c r="N56" s="194" t="str">
        <f t="shared" si="14"/>
        <v>F</v>
      </c>
      <c r="O56" s="141">
        <v>1</v>
      </c>
      <c r="P56" s="141">
        <v>1</v>
      </c>
      <c r="Q56" s="141">
        <v>1</v>
      </c>
      <c r="R56" s="141">
        <v>1</v>
      </c>
      <c r="S56" s="141">
        <v>1</v>
      </c>
      <c r="T56" s="141">
        <v>1</v>
      </c>
      <c r="U5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6" s="195">
        <v>46069</v>
      </c>
      <c r="W56" s="141" t="s">
        <v>2235</v>
      </c>
      <c r="X56" s="191" t="s">
        <v>4353</v>
      </c>
      <c r="Y56" s="191" t="s">
        <v>293</v>
      </c>
      <c r="Z56" s="191"/>
      <c r="AA56" s="192" t="s">
        <v>2253</v>
      </c>
      <c r="AB56" s="195">
        <v>45988</v>
      </c>
      <c r="AC56" s="196">
        <v>45991</v>
      </c>
      <c r="AD56" s="193">
        <f>IF(Referral4[[#This Row],[DOA
(mm-dd-yyy)]]="","",(Referral4[[#This Row],[DOD
(mm-dd-yyy)]]-Referral4[[#This Row],[DOA
(mm-dd-yyy)]])+1)</f>
        <v>4</v>
      </c>
      <c r="AE56" s="191" t="s">
        <v>4353</v>
      </c>
      <c r="AF56" s="191" t="s">
        <v>1686</v>
      </c>
      <c r="AG56" s="141" t="str">
        <f t="array" ref="AG56">IF(AF56="","",
IF(Y56="EmOC",VLOOKUP(AF56,Data_validation!$R$1:$S$93,2,FALSE),
IF(Y56="ECC",VLOOKUP(AF56,Data_validation!$T$1:$U$151,2,FALSE),
IF(Y56="Other",VLOOKUP(AF56,Data_validation!$V$1:$W$19,2,FALSE),
VLOOKUP(AF56,Data_validation!$X$1:$Y$3,2,FALSE)))))</f>
        <v>Major Injuries/Trauma</v>
      </c>
      <c r="AH56" s="191"/>
      <c r="AI56" s="191" t="s">
        <v>2238</v>
      </c>
      <c r="AJ56" s="141" t="s">
        <v>654</v>
      </c>
      <c r="AK56" s="141" t="s">
        <v>654</v>
      </c>
      <c r="AL56" s="141" t="s">
        <v>654</v>
      </c>
      <c r="AM56" s="141" t="s">
        <v>654</v>
      </c>
      <c r="AN56" s="195">
        <v>46069</v>
      </c>
      <c r="AO56" s="193" t="str">
        <f t="shared" si="15"/>
        <v>February</v>
      </c>
      <c r="AP56" s="193">
        <f t="shared" si="16"/>
        <v>2026</v>
      </c>
      <c r="AQ56" s="198" t="str">
        <f>IF(Referral4[[#This Row],[Claimed_Date
(mmm-dd-yyy)]]="","",IF(AND(MONTH(Referral4[[#This Row],[Claimed_Date
(mmm-dd-yyy)]])&gt;4,MONTH(Referral4[[#This Row],[Claimed_Date
(mmm-dd-yyy)]])&lt;11),"S1","S2"))</f>
        <v>S2</v>
      </c>
      <c r="AR56"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56" s="145" t="s">
        <v>2227</v>
      </c>
      <c r="AT56" s="199">
        <v>80000</v>
      </c>
      <c r="AU56" s="200">
        <v>200000</v>
      </c>
      <c r="AV56" s="201">
        <f t="shared" si="18"/>
        <v>280000</v>
      </c>
      <c r="AW56" s="202" t="s">
        <v>2361</v>
      </c>
      <c r="AX56" s="141" t="s">
        <v>21</v>
      </c>
      <c r="AY56" s="141" t="s">
        <v>21</v>
      </c>
      <c r="AZ56" s="141" t="s">
        <v>21</v>
      </c>
      <c r="BA56" s="141" t="s">
        <v>21</v>
      </c>
      <c r="BB56" s="141" t="s">
        <v>21</v>
      </c>
      <c r="BC56" s="141" t="s">
        <v>21</v>
      </c>
      <c r="BD56" s="141" t="s">
        <v>21</v>
      </c>
      <c r="BE56" s="203">
        <f t="shared" si="6"/>
        <v>1</v>
      </c>
      <c r="BF56" s="203">
        <f t="shared" si="7"/>
        <v>0</v>
      </c>
      <c r="BG56" s="193" t="str">
        <f t="shared" si="17"/>
        <v>Severe</v>
      </c>
      <c r="BH56" s="194"/>
    </row>
    <row r="57" spans="1:60" ht="25.5" x14ac:dyDescent="0.25">
      <c r="A57" s="140">
        <v>55</v>
      </c>
      <c r="B57" s="140" t="s">
        <v>1997</v>
      </c>
      <c r="C57" s="191"/>
      <c r="D57" s="191" t="s">
        <v>1998</v>
      </c>
      <c r="E57" s="191" t="s">
        <v>2286</v>
      </c>
      <c r="F57" s="191"/>
      <c r="G57" s="191" t="s">
        <v>4354</v>
      </c>
      <c r="H57" s="191" t="s">
        <v>619</v>
      </c>
      <c r="I57" s="192" t="s">
        <v>4355</v>
      </c>
      <c r="J57" s="191">
        <v>24</v>
      </c>
      <c r="K57" s="191"/>
      <c r="L57" s="191"/>
      <c r="M57" s="219" t="str">
        <f t="shared" si="13"/>
        <v>19 - 49 yrs</v>
      </c>
      <c r="N57" s="194" t="str">
        <f t="shared" si="14"/>
        <v>F</v>
      </c>
      <c r="O57" s="141">
        <v>1</v>
      </c>
      <c r="P57" s="141">
        <v>1</v>
      </c>
      <c r="Q57" s="141">
        <v>1</v>
      </c>
      <c r="R57" s="141">
        <v>1</v>
      </c>
      <c r="S57" s="141">
        <v>1</v>
      </c>
      <c r="T57" s="141">
        <v>1</v>
      </c>
      <c r="U5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7" s="195">
        <v>46069</v>
      </c>
      <c r="W57" s="141" t="s">
        <v>2235</v>
      </c>
      <c r="X57" s="191" t="s">
        <v>4356</v>
      </c>
      <c r="Y57" s="191" t="s">
        <v>1681</v>
      </c>
      <c r="Z57" s="191"/>
      <c r="AA57" s="192" t="s">
        <v>4357</v>
      </c>
      <c r="AB57" s="195">
        <v>46006</v>
      </c>
      <c r="AC57" s="196">
        <v>46038</v>
      </c>
      <c r="AD57" s="193">
        <f>IF(Referral4[[#This Row],[DOA
(mm-dd-yyy)]]="","",(Referral4[[#This Row],[DOD
(mm-dd-yyy)]]-Referral4[[#This Row],[DOA
(mm-dd-yyy)]])+1)</f>
        <v>33</v>
      </c>
      <c r="AE57" s="191" t="s">
        <v>4356</v>
      </c>
      <c r="AF57" s="191"/>
      <c r="AG57" s="141" t="str">
        <f t="array" ref="AG57">IF(AF57="","",
IF(Y57="EmOC",VLOOKUP(AF57,Data_validation!$R$1:$S$93,2,FALSE),
IF(Y57="ECC",VLOOKUP(AF57,Data_validation!$T$1:$U$151,2,FALSE),
IF(Y57="Other",VLOOKUP(AF57,Data_validation!$V$1:$W$19,2,FALSE),
VLOOKUP(AF57,Data_validation!$X$1:$Y$3,2,FALSE)))))</f>
        <v/>
      </c>
      <c r="AH57" s="191"/>
      <c r="AI57" s="191" t="s">
        <v>4358</v>
      </c>
      <c r="AJ57" s="141" t="s">
        <v>654</v>
      </c>
      <c r="AK57" s="141" t="s">
        <v>654</v>
      </c>
      <c r="AL57" s="141" t="s">
        <v>654</v>
      </c>
      <c r="AM57" s="141" t="s">
        <v>654</v>
      </c>
      <c r="AN57" s="195">
        <v>46069</v>
      </c>
      <c r="AO57" s="193" t="str">
        <f t="shared" si="15"/>
        <v>February</v>
      </c>
      <c r="AP57" s="193">
        <f t="shared" si="16"/>
        <v>2026</v>
      </c>
      <c r="AQ57" s="198" t="str">
        <f>IF(Referral4[[#This Row],[Claimed_Date
(mmm-dd-yyy)]]="","",IF(AND(MONTH(Referral4[[#This Row],[Claimed_Date
(mmm-dd-yyy)]])&gt;4,MONTH(Referral4[[#This Row],[Claimed_Date
(mmm-dd-yyy)]])&lt;11),"S1","S2"))</f>
        <v>S2</v>
      </c>
      <c r="AR5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33</v>
      </c>
      <c r="AS57" s="145" t="s">
        <v>2227</v>
      </c>
      <c r="AT57" s="199">
        <v>140000</v>
      </c>
      <c r="AU57" s="200">
        <v>100000</v>
      </c>
      <c r="AV57" s="201">
        <f t="shared" si="18"/>
        <v>240000</v>
      </c>
      <c r="AW57" s="202"/>
      <c r="AX57" s="141" t="s">
        <v>21</v>
      </c>
      <c r="AY57" s="141" t="s">
        <v>21</v>
      </c>
      <c r="AZ57" s="141" t="s">
        <v>21</v>
      </c>
      <c r="BA57" s="141" t="s">
        <v>21</v>
      </c>
      <c r="BB57" s="141" t="s">
        <v>21</v>
      </c>
      <c r="BC57" s="141" t="s">
        <v>21</v>
      </c>
      <c r="BD57" s="141" t="s">
        <v>21</v>
      </c>
      <c r="BE57" s="203">
        <f t="shared" si="6"/>
        <v>1</v>
      </c>
      <c r="BF57" s="203">
        <f t="shared" si="7"/>
        <v>0</v>
      </c>
      <c r="BG57" s="193" t="str">
        <f t="shared" si="17"/>
        <v>Severe</v>
      </c>
      <c r="BH57" s="194"/>
    </row>
    <row r="58" spans="1:60" ht="25.5" x14ac:dyDescent="0.25">
      <c r="A58" s="148">
        <v>56</v>
      </c>
      <c r="B58" s="140" t="s">
        <v>1997</v>
      </c>
      <c r="C58" s="191"/>
      <c r="D58" s="191" t="s">
        <v>1998</v>
      </c>
      <c r="E58" s="191" t="s">
        <v>4348</v>
      </c>
      <c r="F58" s="191"/>
      <c r="G58" s="191" t="s">
        <v>4349</v>
      </c>
      <c r="H58" s="191" t="s">
        <v>619</v>
      </c>
      <c r="I58" s="192" t="s">
        <v>4359</v>
      </c>
      <c r="J58" s="191">
        <v>55</v>
      </c>
      <c r="K58" s="191"/>
      <c r="L58" s="191"/>
      <c r="M58" s="219" t="str">
        <f t="shared" si="13"/>
        <v>50 yrs +</v>
      </c>
      <c r="N58" s="194" t="str">
        <f t="shared" si="14"/>
        <v>M</v>
      </c>
      <c r="O58" s="141">
        <v>1</v>
      </c>
      <c r="P58" s="141">
        <v>1</v>
      </c>
      <c r="Q58" s="141">
        <v>1</v>
      </c>
      <c r="R58" s="141">
        <v>1</v>
      </c>
      <c r="S58" s="141">
        <v>1</v>
      </c>
      <c r="T58" s="141">
        <v>1</v>
      </c>
      <c r="U5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8" s="195">
        <v>46067</v>
      </c>
      <c r="W58" s="141" t="s">
        <v>2235</v>
      </c>
      <c r="X58" s="191" t="s">
        <v>4360</v>
      </c>
      <c r="Y58" s="191" t="s">
        <v>293</v>
      </c>
      <c r="Z58" s="191"/>
      <c r="AA58" s="192" t="s">
        <v>2226</v>
      </c>
      <c r="AB58" s="195">
        <v>46020</v>
      </c>
      <c r="AC58" s="196">
        <v>46033</v>
      </c>
      <c r="AD58" s="193">
        <f>IF(Referral4[[#This Row],[DOA
(mm-dd-yyy)]]="","",(Referral4[[#This Row],[DOD
(mm-dd-yyy)]]-Referral4[[#This Row],[DOA
(mm-dd-yyy)]])+1)</f>
        <v>14</v>
      </c>
      <c r="AE58" s="191" t="s">
        <v>4360</v>
      </c>
      <c r="AF58" s="191" t="s">
        <v>1699</v>
      </c>
      <c r="AG58" s="141" t="str">
        <f t="array" ref="AG58">IF(AF58="","",
IF(Y58="EmOC",VLOOKUP(AF58,Data_validation!$R$1:$S$93,2,FALSE),
IF(Y58="ECC",VLOOKUP(AF58,Data_validation!$T$1:$U$151,2,FALSE),
IF(Y58="Other",VLOOKUP(AF58,Data_validation!$V$1:$W$19,2,FALSE),
VLOOKUP(AF58,Data_validation!$X$1:$Y$3,2,FALSE)))))</f>
        <v>Trauma Cases</v>
      </c>
      <c r="AH58" s="191"/>
      <c r="AI58" s="191" t="s">
        <v>2238</v>
      </c>
      <c r="AJ58" s="141" t="s">
        <v>654</v>
      </c>
      <c r="AK58" s="141" t="s">
        <v>654</v>
      </c>
      <c r="AL58" s="141" t="s">
        <v>654</v>
      </c>
      <c r="AM58" s="141" t="s">
        <v>654</v>
      </c>
      <c r="AN58" s="195">
        <v>46067</v>
      </c>
      <c r="AO58" s="193" t="str">
        <f t="shared" si="15"/>
        <v>February</v>
      </c>
      <c r="AP58" s="193">
        <f t="shared" si="16"/>
        <v>2026</v>
      </c>
      <c r="AQ58" s="198" t="str">
        <f>IF(Referral4[[#This Row],[Claimed_Date
(mmm-dd-yyy)]]="","",IF(AND(MONTH(Referral4[[#This Row],[Claimed_Date
(mmm-dd-yyy)]])&gt;4,MONTH(Referral4[[#This Row],[Claimed_Date
(mmm-dd-yyy)]])&lt;11),"S1","S2"))</f>
        <v>S2</v>
      </c>
      <c r="AR5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14</v>
      </c>
      <c r="AS58" s="145" t="s">
        <v>2227</v>
      </c>
      <c r="AT58" s="199">
        <v>140000</v>
      </c>
      <c r="AU58" s="200">
        <v>200000</v>
      </c>
      <c r="AV58" s="201">
        <f t="shared" si="18"/>
        <v>340000</v>
      </c>
      <c r="AW58" s="202" t="s">
        <v>2361</v>
      </c>
      <c r="AX58" s="141" t="s">
        <v>21</v>
      </c>
      <c r="AY58" s="141" t="s">
        <v>21</v>
      </c>
      <c r="AZ58" s="141" t="s">
        <v>21</v>
      </c>
      <c r="BA58" s="141" t="s">
        <v>21</v>
      </c>
      <c r="BB58" s="141" t="s">
        <v>21</v>
      </c>
      <c r="BC58" s="141" t="s">
        <v>21</v>
      </c>
      <c r="BD58" s="141" t="s">
        <v>21</v>
      </c>
      <c r="BE58" s="203">
        <f t="shared" si="6"/>
        <v>1</v>
      </c>
      <c r="BF58" s="203">
        <f t="shared" si="7"/>
        <v>0</v>
      </c>
      <c r="BG58" s="193" t="str">
        <f t="shared" si="17"/>
        <v>Severe</v>
      </c>
      <c r="BH58" s="194"/>
    </row>
    <row r="59" spans="1:60" ht="25.5" x14ac:dyDescent="0.25">
      <c r="A59" s="140">
        <v>57</v>
      </c>
      <c r="B59" s="140" t="s">
        <v>1997</v>
      </c>
      <c r="C59" s="191"/>
      <c r="D59" s="191" t="s">
        <v>1998</v>
      </c>
      <c r="E59" s="191" t="s">
        <v>4348</v>
      </c>
      <c r="F59" s="191"/>
      <c r="G59" s="191" t="s">
        <v>4349</v>
      </c>
      <c r="H59" s="191" t="s">
        <v>619</v>
      </c>
      <c r="I59" s="192" t="s">
        <v>4361</v>
      </c>
      <c r="J59" s="191"/>
      <c r="K59" s="191"/>
      <c r="L59" s="191">
        <v>3</v>
      </c>
      <c r="M59" s="219" t="str">
        <f t="shared" si="13"/>
        <v>&lt;5 yrs</v>
      </c>
      <c r="N59" s="194" t="str">
        <f t="shared" si="14"/>
        <v>F</v>
      </c>
      <c r="O59" s="141">
        <v>1</v>
      </c>
      <c r="P59" s="141">
        <v>1</v>
      </c>
      <c r="Q59" s="141">
        <v>1</v>
      </c>
      <c r="R59" s="141">
        <v>1</v>
      </c>
      <c r="S59" s="141">
        <v>1</v>
      </c>
      <c r="T59" s="141">
        <v>1</v>
      </c>
      <c r="U5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59" s="195">
        <v>46067</v>
      </c>
      <c r="W59" s="141" t="s">
        <v>2235</v>
      </c>
      <c r="X59" s="191" t="s">
        <v>4362</v>
      </c>
      <c r="Y59" s="191" t="s">
        <v>1684</v>
      </c>
      <c r="Z59" s="191"/>
      <c r="AA59" s="192" t="s">
        <v>2258</v>
      </c>
      <c r="AB59" s="195">
        <v>45812</v>
      </c>
      <c r="AC59" s="196">
        <v>45817</v>
      </c>
      <c r="AD59" s="193">
        <f>IF(Referral4[[#This Row],[DOA
(mm-dd-yyy)]]="","",(Referral4[[#This Row],[DOD
(mm-dd-yyy)]]-Referral4[[#This Row],[DOA
(mm-dd-yyy)]])+1)</f>
        <v>6</v>
      </c>
      <c r="AE59" s="191" t="s">
        <v>4362</v>
      </c>
      <c r="AF59" s="191" t="s">
        <v>1739</v>
      </c>
      <c r="AG59" s="141" t="str">
        <f t="array" ref="AG59">IF(AF59="","",
IF(Y59="EmOC",VLOOKUP(AF59,Data_validation!$R$1:$S$93,2,FALSE),
IF(Y59="ECC",VLOOKUP(AF59,Data_validation!$T$1:$U$151,2,FALSE),
IF(Y59="Other",VLOOKUP(AF59,Data_validation!$V$1:$W$19,2,FALSE),
VLOOKUP(AF59,Data_validation!$X$1:$Y$3,2,FALSE)))))</f>
        <v>Premature/LBW</v>
      </c>
      <c r="AH59" s="191"/>
      <c r="AI59" s="191" t="s">
        <v>2238</v>
      </c>
      <c r="AJ59" s="141" t="s">
        <v>654</v>
      </c>
      <c r="AK59" s="141" t="s">
        <v>654</v>
      </c>
      <c r="AL59" s="141" t="s">
        <v>654</v>
      </c>
      <c r="AM59" s="141" t="s">
        <v>654</v>
      </c>
      <c r="AN59" s="195">
        <v>46067</v>
      </c>
      <c r="AO59" s="193" t="str">
        <f t="shared" si="15"/>
        <v>February</v>
      </c>
      <c r="AP59" s="193">
        <f t="shared" si="16"/>
        <v>2026</v>
      </c>
      <c r="AQ59" s="198" t="str">
        <f>IF(Referral4[[#This Row],[Claimed_Date
(mmm-dd-yyy)]]="","",IF(AND(MONTH(Referral4[[#This Row],[Claimed_Date
(mmm-dd-yyy)]])&gt;4,MONTH(Referral4[[#This Row],[Claimed_Date
(mmm-dd-yyy)]])&lt;11),"S1","S2"))</f>
        <v>S2</v>
      </c>
      <c r="AR5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59" s="145" t="s">
        <v>2227</v>
      </c>
      <c r="AT59" s="199">
        <v>50000</v>
      </c>
      <c r="AU59" s="200">
        <v>200000</v>
      </c>
      <c r="AV59" s="201">
        <f t="shared" si="18"/>
        <v>250000</v>
      </c>
      <c r="AW59" s="202" t="s">
        <v>2361</v>
      </c>
      <c r="AX59" s="141" t="s">
        <v>21</v>
      </c>
      <c r="AY59" s="141" t="s">
        <v>21</v>
      </c>
      <c r="AZ59" s="141" t="s">
        <v>21</v>
      </c>
      <c r="BA59" s="141" t="s">
        <v>21</v>
      </c>
      <c r="BB59" s="141" t="s">
        <v>21</v>
      </c>
      <c r="BC59" s="141" t="s">
        <v>21</v>
      </c>
      <c r="BD59" s="141" t="s">
        <v>21</v>
      </c>
      <c r="BE59" s="203">
        <f t="shared" si="6"/>
        <v>1</v>
      </c>
      <c r="BF59" s="203">
        <f t="shared" si="7"/>
        <v>0</v>
      </c>
      <c r="BG59" s="193" t="str">
        <f t="shared" si="17"/>
        <v>Severe</v>
      </c>
      <c r="BH59" s="194"/>
    </row>
    <row r="60" spans="1:60" ht="25.5" x14ac:dyDescent="0.25">
      <c r="A60" s="148">
        <v>58</v>
      </c>
      <c r="B60" s="140" t="s">
        <v>1997</v>
      </c>
      <c r="C60" s="191"/>
      <c r="D60" s="191" t="s">
        <v>1998</v>
      </c>
      <c r="E60" s="191" t="s">
        <v>2222</v>
      </c>
      <c r="F60" s="191"/>
      <c r="G60" s="191" t="s">
        <v>4363</v>
      </c>
      <c r="H60" s="191" t="s">
        <v>579</v>
      </c>
      <c r="I60" s="192" t="s">
        <v>4364</v>
      </c>
      <c r="J60" s="191">
        <v>1</v>
      </c>
      <c r="K60" s="191">
        <v>5</v>
      </c>
      <c r="L60" s="191"/>
      <c r="M60" s="219" t="str">
        <f t="shared" si="13"/>
        <v>&lt;5 yrs</v>
      </c>
      <c r="N60" s="194" t="str">
        <f t="shared" si="14"/>
        <v>M</v>
      </c>
      <c r="O60" s="141">
        <v>1</v>
      </c>
      <c r="P60" s="141">
        <v>1</v>
      </c>
      <c r="Q60" s="141">
        <v>1</v>
      </c>
      <c r="R60" s="141">
        <v>1</v>
      </c>
      <c r="S60" s="141">
        <v>1</v>
      </c>
      <c r="T60" s="141">
        <v>1</v>
      </c>
      <c r="U6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0" s="195">
        <v>46067</v>
      </c>
      <c r="W60" s="141" t="s">
        <v>2235</v>
      </c>
      <c r="X60" s="191" t="s">
        <v>4365</v>
      </c>
      <c r="Y60" s="191" t="s">
        <v>1684</v>
      </c>
      <c r="Z60" s="191"/>
      <c r="AA60" s="192" t="s">
        <v>2226</v>
      </c>
      <c r="AB60" s="195">
        <v>45979</v>
      </c>
      <c r="AC60" s="196">
        <v>45983</v>
      </c>
      <c r="AD60" s="193">
        <f>IF(Referral4[[#This Row],[DOA
(mm-dd-yyy)]]="","",(Referral4[[#This Row],[DOD
(mm-dd-yyy)]]-Referral4[[#This Row],[DOA
(mm-dd-yyy)]])+1)</f>
        <v>5</v>
      </c>
      <c r="AE60" s="191" t="s">
        <v>4365</v>
      </c>
      <c r="AF60" s="191" t="s">
        <v>1735</v>
      </c>
      <c r="AG60" s="141" t="str">
        <f t="array" ref="AG60">IF(AF60="","",
IF(Y60="EmOC",VLOOKUP(AF60,Data_validation!$R$1:$S$93,2,FALSE),
IF(Y60="ECC",VLOOKUP(AF60,Data_validation!$T$1:$U$151,2,FALSE),
IF(Y60="Other",VLOOKUP(AF60,Data_validation!$V$1:$W$19,2,FALSE),
VLOOKUP(AF60,Data_validation!$X$1:$Y$3,2,FALSE)))))</f>
        <v>Other emergencies</v>
      </c>
      <c r="AH60" s="191"/>
      <c r="AI60" s="191" t="s">
        <v>2238</v>
      </c>
      <c r="AJ60" s="141" t="s">
        <v>654</v>
      </c>
      <c r="AK60" s="141" t="s">
        <v>654</v>
      </c>
      <c r="AL60" s="141" t="s">
        <v>654</v>
      </c>
      <c r="AM60" s="141" t="s">
        <v>654</v>
      </c>
      <c r="AN60" s="195">
        <v>46067</v>
      </c>
      <c r="AO60" s="193" t="str">
        <f t="shared" si="15"/>
        <v>February</v>
      </c>
      <c r="AP60" s="193">
        <f t="shared" si="16"/>
        <v>2026</v>
      </c>
      <c r="AQ60" s="198" t="str">
        <f>IF(Referral4[[#This Row],[Claimed_Date
(mmm-dd-yyy)]]="","",IF(AND(MONTH(Referral4[[#This Row],[Claimed_Date
(mmm-dd-yyy)]])&gt;4,MONTH(Referral4[[#This Row],[Claimed_Date
(mmm-dd-yyy)]])&lt;11),"S1","S2"))</f>
        <v>S2</v>
      </c>
      <c r="AR6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60" s="145" t="s">
        <v>2227</v>
      </c>
      <c r="AT60" s="199">
        <v>100000</v>
      </c>
      <c r="AU60" s="200">
        <v>100000</v>
      </c>
      <c r="AV60" s="201">
        <f t="shared" si="18"/>
        <v>200000</v>
      </c>
      <c r="AW60" s="202"/>
      <c r="AX60" s="141" t="s">
        <v>21</v>
      </c>
      <c r="AY60" s="141" t="s">
        <v>21</v>
      </c>
      <c r="AZ60" s="141" t="s">
        <v>21</v>
      </c>
      <c r="BA60" s="141" t="s">
        <v>21</v>
      </c>
      <c r="BB60" s="141" t="s">
        <v>21</v>
      </c>
      <c r="BC60" s="141" t="s">
        <v>21</v>
      </c>
      <c r="BD60" s="141" t="s">
        <v>21</v>
      </c>
      <c r="BE60" s="203">
        <f t="shared" si="6"/>
        <v>1</v>
      </c>
      <c r="BF60" s="203">
        <f t="shared" si="7"/>
        <v>0</v>
      </c>
      <c r="BG60" s="193" t="str">
        <f t="shared" si="17"/>
        <v>Severe</v>
      </c>
      <c r="BH60" s="194"/>
    </row>
    <row r="61" spans="1:60" x14ac:dyDescent="0.25">
      <c r="A61" s="140">
        <v>59</v>
      </c>
      <c r="B61" s="140" t="s">
        <v>1997</v>
      </c>
      <c r="C61" s="191"/>
      <c r="D61" s="191" t="s">
        <v>1998</v>
      </c>
      <c r="E61" s="191" t="s">
        <v>2222</v>
      </c>
      <c r="F61" s="191"/>
      <c r="G61" s="191" t="s">
        <v>4363</v>
      </c>
      <c r="H61" s="191" t="s">
        <v>579</v>
      </c>
      <c r="I61" s="192" t="s">
        <v>4366</v>
      </c>
      <c r="J61" s="191">
        <v>38</v>
      </c>
      <c r="K61" s="191"/>
      <c r="L61" s="191"/>
      <c r="M61" s="219" t="str">
        <f t="shared" si="13"/>
        <v>19 - 49 yrs</v>
      </c>
      <c r="N61" s="194" t="str">
        <f t="shared" si="14"/>
        <v>F</v>
      </c>
      <c r="O61" s="141">
        <v>1</v>
      </c>
      <c r="P61" s="141">
        <v>1</v>
      </c>
      <c r="Q61" s="141">
        <v>1</v>
      </c>
      <c r="R61" s="141">
        <v>1</v>
      </c>
      <c r="S61" s="141">
        <v>1</v>
      </c>
      <c r="T61" s="141">
        <v>1</v>
      </c>
      <c r="U6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1" s="195">
        <v>46072</v>
      </c>
      <c r="W61" s="141" t="s">
        <v>2235</v>
      </c>
      <c r="X61" s="191" t="s">
        <v>4367</v>
      </c>
      <c r="Y61" s="191" t="s">
        <v>1681</v>
      </c>
      <c r="Z61" s="191"/>
      <c r="AA61" s="192" t="s">
        <v>2237</v>
      </c>
      <c r="AB61" s="195">
        <v>46031</v>
      </c>
      <c r="AC61" s="196">
        <v>46033</v>
      </c>
      <c r="AD61" s="193">
        <f>IF(Referral4[[#This Row],[DOA
(mm-dd-yyy)]]="","",(Referral4[[#This Row],[DOD
(mm-dd-yyy)]]-Referral4[[#This Row],[DOA
(mm-dd-yyy)]])+1)</f>
        <v>3</v>
      </c>
      <c r="AE61" s="191" t="s">
        <v>4367</v>
      </c>
      <c r="AF61" s="191" t="s">
        <v>1698</v>
      </c>
      <c r="AG61" s="141" t="str">
        <f t="array" ref="AG61">IF(AF61="","",
IF(Y61="EmOC",VLOOKUP(AF61,Data_validation!$R$1:$S$93,2,FALSE),
IF(Y61="ECC",VLOOKUP(AF61,Data_validation!$T$1:$U$151,2,FALSE),
IF(Y61="Other",VLOOKUP(AF61,Data_validation!$V$1:$W$19,2,FALSE),
VLOOKUP(AF61,Data_validation!$X$1:$Y$3,2,FALSE)))))</f>
        <v xml:space="preserve">High risk pregnancy </v>
      </c>
      <c r="AH61" s="191"/>
      <c r="AI61" s="191" t="s">
        <v>4368</v>
      </c>
      <c r="AJ61" s="141" t="s">
        <v>654</v>
      </c>
      <c r="AK61" s="141" t="s">
        <v>654</v>
      </c>
      <c r="AL61" s="141" t="s">
        <v>654</v>
      </c>
      <c r="AM61" s="141" t="s">
        <v>654</v>
      </c>
      <c r="AN61" s="195">
        <v>46072</v>
      </c>
      <c r="AO61" s="193" t="str">
        <f t="shared" si="15"/>
        <v>February</v>
      </c>
      <c r="AP61" s="193">
        <f t="shared" si="16"/>
        <v>2026</v>
      </c>
      <c r="AQ61" s="198" t="str">
        <f>IF(Referral4[[#This Row],[Claimed_Date
(mmm-dd-yyy)]]="","",IF(AND(MONTH(Referral4[[#This Row],[Claimed_Date
(mmm-dd-yyy)]])&gt;4,MONTH(Referral4[[#This Row],[Claimed_Date
(mmm-dd-yyy)]])&lt;11),"S1","S2"))</f>
        <v>S2</v>
      </c>
      <c r="AR6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61" s="145" t="s">
        <v>2227</v>
      </c>
      <c r="AT61" s="199">
        <v>60000</v>
      </c>
      <c r="AU61" s="200">
        <v>100000</v>
      </c>
      <c r="AV61" s="201">
        <f t="shared" si="18"/>
        <v>160000</v>
      </c>
      <c r="AW61" s="202"/>
      <c r="AX61" s="141" t="s">
        <v>21</v>
      </c>
      <c r="AY61" s="141" t="s">
        <v>21</v>
      </c>
      <c r="AZ61" s="141" t="s">
        <v>21</v>
      </c>
      <c r="BA61" s="141" t="s">
        <v>21</v>
      </c>
      <c r="BB61" s="141" t="s">
        <v>21</v>
      </c>
      <c r="BC61" s="141" t="s">
        <v>21</v>
      </c>
      <c r="BD61" s="141" t="s">
        <v>21</v>
      </c>
      <c r="BE61" s="203">
        <f t="shared" si="6"/>
        <v>1</v>
      </c>
      <c r="BF61" s="203">
        <f t="shared" si="7"/>
        <v>0</v>
      </c>
      <c r="BG61" s="193" t="str">
        <f t="shared" si="17"/>
        <v>Severe</v>
      </c>
      <c r="BH61" s="194"/>
    </row>
    <row r="62" spans="1:60" x14ac:dyDescent="0.25">
      <c r="A62" s="148">
        <v>60</v>
      </c>
      <c r="B62" s="140" t="s">
        <v>1997</v>
      </c>
      <c r="C62" s="191"/>
      <c r="D62" s="191" t="s">
        <v>1998</v>
      </c>
      <c r="E62" s="191" t="s">
        <v>2254</v>
      </c>
      <c r="F62" s="191"/>
      <c r="G62" s="191" t="s">
        <v>2272</v>
      </c>
      <c r="H62" s="191" t="s">
        <v>579</v>
      </c>
      <c r="I62" s="192" t="s">
        <v>4369</v>
      </c>
      <c r="J62" s="191">
        <v>1</v>
      </c>
      <c r="K62" s="191">
        <v>7</v>
      </c>
      <c r="L62" s="191"/>
      <c r="M62" s="219" t="str">
        <f t="shared" si="13"/>
        <v>&lt;5 yrs</v>
      </c>
      <c r="N62" s="194" t="str">
        <f t="shared" si="14"/>
        <v>M</v>
      </c>
      <c r="O62" s="141">
        <v>1</v>
      </c>
      <c r="P62" s="141">
        <v>1</v>
      </c>
      <c r="Q62" s="141">
        <v>1</v>
      </c>
      <c r="R62" s="141">
        <v>1</v>
      </c>
      <c r="S62" s="141">
        <v>1</v>
      </c>
      <c r="T62" s="141">
        <v>1</v>
      </c>
      <c r="U6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2" s="195">
        <v>46072</v>
      </c>
      <c r="W62" s="141" t="s">
        <v>2235</v>
      </c>
      <c r="X62" s="191" t="s">
        <v>4370</v>
      </c>
      <c r="Y62" s="191" t="s">
        <v>1684</v>
      </c>
      <c r="Z62" s="191"/>
      <c r="AA62" s="192" t="s">
        <v>2285</v>
      </c>
      <c r="AB62" s="195">
        <v>46049</v>
      </c>
      <c r="AC62" s="196">
        <v>46052</v>
      </c>
      <c r="AD62" s="193">
        <f>IF(Referral4[[#This Row],[DOA
(mm-dd-yyy)]]="","",(Referral4[[#This Row],[DOD
(mm-dd-yyy)]]-Referral4[[#This Row],[DOA
(mm-dd-yyy)]])+1)</f>
        <v>4</v>
      </c>
      <c r="AE62" s="191" t="s">
        <v>4370</v>
      </c>
      <c r="AF62" s="191" t="s">
        <v>1700</v>
      </c>
      <c r="AG62" s="141" t="str">
        <f t="array" ref="AG62">IF(AF62="","",
IF(Y62="EmOC",VLOOKUP(AF62,Data_validation!$R$1:$S$93,2,FALSE),
IF(Y62="ECC",VLOOKUP(AF62,Data_validation!$T$1:$U$151,2,FALSE),
IF(Y62="Other",VLOOKUP(AF62,Data_validation!$V$1:$W$19,2,FALSE),
VLOOKUP(AF62,Data_validation!$X$1:$Y$3,2,FALSE)))))</f>
        <v>Pneumonia</v>
      </c>
      <c r="AH62" s="191"/>
      <c r="AI62" s="191" t="s">
        <v>2238</v>
      </c>
      <c r="AJ62" s="141" t="s">
        <v>654</v>
      </c>
      <c r="AK62" s="141" t="s">
        <v>654</v>
      </c>
      <c r="AL62" s="141" t="s">
        <v>654</v>
      </c>
      <c r="AM62" s="141" t="s">
        <v>654</v>
      </c>
      <c r="AN62" s="195">
        <v>46072</v>
      </c>
      <c r="AO62" s="193" t="str">
        <f t="shared" si="15"/>
        <v>February</v>
      </c>
      <c r="AP62" s="193">
        <f t="shared" si="16"/>
        <v>2026</v>
      </c>
      <c r="AQ62" s="198" t="str">
        <f>IF(Referral4[[#This Row],[Claimed_Date
(mmm-dd-yyy)]]="","",IF(AND(MONTH(Referral4[[#This Row],[Claimed_Date
(mmm-dd-yyy)]])&gt;4,MONTH(Referral4[[#This Row],[Claimed_Date
(mmm-dd-yyy)]])&lt;11),"S1","S2"))</f>
        <v>S2</v>
      </c>
      <c r="AR6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4</v>
      </c>
      <c r="AS62" s="145" t="s">
        <v>2227</v>
      </c>
      <c r="AT62" s="199">
        <v>80000</v>
      </c>
      <c r="AU62" s="200">
        <v>100000</v>
      </c>
      <c r="AV62" s="201">
        <f t="shared" si="18"/>
        <v>180000</v>
      </c>
      <c r="AW62" s="202"/>
      <c r="AX62" s="141" t="s">
        <v>21</v>
      </c>
      <c r="AY62" s="141" t="s">
        <v>21</v>
      </c>
      <c r="AZ62" s="141" t="s">
        <v>21</v>
      </c>
      <c r="BA62" s="141" t="s">
        <v>21</v>
      </c>
      <c r="BB62" s="141" t="s">
        <v>21</v>
      </c>
      <c r="BC62" s="141" t="s">
        <v>21</v>
      </c>
      <c r="BD62" s="141" t="s">
        <v>21</v>
      </c>
      <c r="BE62" s="203">
        <f t="shared" si="6"/>
        <v>1</v>
      </c>
      <c r="BF62" s="203">
        <f t="shared" si="7"/>
        <v>0</v>
      </c>
      <c r="BG62" s="193" t="str">
        <f t="shared" si="17"/>
        <v>Severe</v>
      </c>
      <c r="BH62" s="194"/>
    </row>
    <row r="63" spans="1:60" ht="25.5" x14ac:dyDescent="0.25">
      <c r="A63" s="140">
        <v>61</v>
      </c>
      <c r="B63" s="140" t="s">
        <v>1997</v>
      </c>
      <c r="C63" s="191"/>
      <c r="D63" s="191" t="s">
        <v>1998</v>
      </c>
      <c r="E63" s="191" t="s">
        <v>1999</v>
      </c>
      <c r="F63" s="191"/>
      <c r="G63" s="191" t="s">
        <v>4371</v>
      </c>
      <c r="H63" s="191" t="s">
        <v>579</v>
      </c>
      <c r="I63" s="192" t="s">
        <v>4372</v>
      </c>
      <c r="J63" s="191">
        <v>25</v>
      </c>
      <c r="K63" s="191"/>
      <c r="L63" s="191"/>
      <c r="M63" s="219" t="str">
        <f t="shared" si="13"/>
        <v>19 - 49 yrs</v>
      </c>
      <c r="N63" s="194" t="str">
        <f t="shared" si="14"/>
        <v>F</v>
      </c>
      <c r="O63" s="141">
        <v>1</v>
      </c>
      <c r="P63" s="141">
        <v>1</v>
      </c>
      <c r="Q63" s="141">
        <v>1</v>
      </c>
      <c r="R63" s="141">
        <v>1</v>
      </c>
      <c r="S63" s="141">
        <v>1</v>
      </c>
      <c r="T63" s="141">
        <v>1</v>
      </c>
      <c r="U6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3" s="195">
        <v>46073</v>
      </c>
      <c r="W63" s="141" t="s">
        <v>2235</v>
      </c>
      <c r="X63" s="191" t="s">
        <v>4373</v>
      </c>
      <c r="Y63" s="191" t="s">
        <v>1681</v>
      </c>
      <c r="Z63" s="191"/>
      <c r="AA63" s="192" t="s">
        <v>2245</v>
      </c>
      <c r="AB63" s="195">
        <v>46054</v>
      </c>
      <c r="AC63" s="196">
        <v>46058</v>
      </c>
      <c r="AD63" s="193">
        <f>IF(Referral4[[#This Row],[DOA
(mm-dd-yyy)]]="","",(Referral4[[#This Row],[DOD
(mm-dd-yyy)]]-Referral4[[#This Row],[DOA
(mm-dd-yyy)]])+1)</f>
        <v>5</v>
      </c>
      <c r="AE63" s="191" t="s">
        <v>4373</v>
      </c>
      <c r="AF63" s="191" t="s">
        <v>1722</v>
      </c>
      <c r="AG63" s="141" t="str">
        <f t="array" ref="AG63">IF(AF63="","",
IF(Y63="EmOC",VLOOKUP(AF63,Data_validation!$R$1:$S$93,2,FALSE),
IF(Y63="ECC",VLOOKUP(AF63,Data_validation!$T$1:$U$151,2,FALSE),
IF(Y63="Other",VLOOKUP(AF63,Data_validation!$V$1:$W$19,2,FALSE),
VLOOKUP(AF63,Data_validation!$X$1:$Y$3,2,FALSE)))))</f>
        <v xml:space="preserve">Prolonged/Obstructed labour </v>
      </c>
      <c r="AH63" s="191"/>
      <c r="AI63" s="191" t="s">
        <v>2238</v>
      </c>
      <c r="AJ63" s="141" t="s">
        <v>654</v>
      </c>
      <c r="AK63" s="141" t="s">
        <v>654</v>
      </c>
      <c r="AL63" s="141" t="s">
        <v>654</v>
      </c>
      <c r="AM63" s="141" t="s">
        <v>654</v>
      </c>
      <c r="AN63" s="195">
        <v>46073</v>
      </c>
      <c r="AO63" s="193" t="str">
        <f t="shared" si="15"/>
        <v>February</v>
      </c>
      <c r="AP63" s="193">
        <f t="shared" si="16"/>
        <v>2026</v>
      </c>
      <c r="AQ63" s="198" t="str">
        <f>IF(Referral4[[#This Row],[Claimed_Date
(mmm-dd-yyy)]]="","",IF(AND(MONTH(Referral4[[#This Row],[Claimed_Date
(mmm-dd-yyy)]])&gt;4,MONTH(Referral4[[#This Row],[Claimed_Date
(mmm-dd-yyy)]])&lt;11),"S1","S2"))</f>
        <v>S2</v>
      </c>
      <c r="AR6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63" s="145" t="s">
        <v>2227</v>
      </c>
      <c r="AT63" s="199">
        <v>100000</v>
      </c>
      <c r="AU63" s="200">
        <v>100000</v>
      </c>
      <c r="AV63" s="201">
        <f t="shared" si="18"/>
        <v>200000</v>
      </c>
      <c r="AW63" s="202"/>
      <c r="AX63" s="141" t="s">
        <v>21</v>
      </c>
      <c r="AY63" s="141" t="s">
        <v>21</v>
      </c>
      <c r="AZ63" s="141" t="s">
        <v>21</v>
      </c>
      <c r="BA63" s="141" t="s">
        <v>21</v>
      </c>
      <c r="BB63" s="141" t="s">
        <v>21</v>
      </c>
      <c r="BC63" s="141" t="s">
        <v>21</v>
      </c>
      <c r="BD63" s="141" t="s">
        <v>21</v>
      </c>
      <c r="BE63" s="203">
        <f t="shared" si="6"/>
        <v>1</v>
      </c>
      <c r="BF63" s="203">
        <f t="shared" si="7"/>
        <v>0</v>
      </c>
      <c r="BG63" s="193" t="str">
        <f t="shared" si="17"/>
        <v>Severe</v>
      </c>
      <c r="BH63" s="194"/>
    </row>
    <row r="64" spans="1:60" ht="25.5" x14ac:dyDescent="0.25">
      <c r="A64" s="148">
        <v>62</v>
      </c>
      <c r="B64" s="140" t="s">
        <v>1997</v>
      </c>
      <c r="C64" s="191"/>
      <c r="D64" s="191" t="s">
        <v>1998</v>
      </c>
      <c r="E64" s="191" t="s">
        <v>2254</v>
      </c>
      <c r="F64" s="191"/>
      <c r="G64" s="191" t="s">
        <v>2303</v>
      </c>
      <c r="H64" s="191" t="s">
        <v>579</v>
      </c>
      <c r="I64" s="192" t="s">
        <v>4374</v>
      </c>
      <c r="J64" s="191">
        <v>38</v>
      </c>
      <c r="K64" s="191"/>
      <c r="L64" s="191"/>
      <c r="M64" s="219" t="str">
        <f t="shared" si="13"/>
        <v>19 - 49 yrs</v>
      </c>
      <c r="N64" s="194" t="str">
        <f t="shared" si="14"/>
        <v>F</v>
      </c>
      <c r="O64" s="141">
        <v>1</v>
      </c>
      <c r="P64" s="141">
        <v>1</v>
      </c>
      <c r="Q64" s="141">
        <v>1</v>
      </c>
      <c r="R64" s="141">
        <v>1</v>
      </c>
      <c r="S64" s="141">
        <v>1</v>
      </c>
      <c r="T64" s="141">
        <v>1</v>
      </c>
      <c r="U6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4" s="195">
        <v>46072</v>
      </c>
      <c r="W64" s="141" t="s">
        <v>2235</v>
      </c>
      <c r="X64" s="191" t="s">
        <v>4375</v>
      </c>
      <c r="Y64" s="191" t="s">
        <v>1681</v>
      </c>
      <c r="Z64" s="191"/>
      <c r="AA64" s="192" t="s">
        <v>4376</v>
      </c>
      <c r="AB64" s="195">
        <v>46057</v>
      </c>
      <c r="AC64" s="196">
        <v>46058</v>
      </c>
      <c r="AD64" s="193">
        <f>IF(Referral4[[#This Row],[DOA
(mm-dd-yyy)]]="","",(Referral4[[#This Row],[DOD
(mm-dd-yyy)]]-Referral4[[#This Row],[DOA
(mm-dd-yyy)]])+1)</f>
        <v>2</v>
      </c>
      <c r="AE64" s="191" t="s">
        <v>4375</v>
      </c>
      <c r="AF64" s="191" t="s">
        <v>1688</v>
      </c>
      <c r="AG64" s="141" t="str">
        <f t="array" ref="AG64">IF(AF64="","",
IF(Y64="EmOC",VLOOKUP(AF64,Data_validation!$R$1:$S$93,2,FALSE),
IF(Y64="ECC",VLOOKUP(AF64,Data_validation!$T$1:$U$151,2,FALSE),
IF(Y64="Other",VLOOKUP(AF64,Data_validation!$V$1:$W$19,2,FALSE),
VLOOKUP(AF64,Data_validation!$X$1:$Y$3,2,FALSE)))))</f>
        <v xml:space="preserve">High risk pregnancy </v>
      </c>
      <c r="AH64" s="191"/>
      <c r="AI64" s="191" t="s">
        <v>4377</v>
      </c>
      <c r="AJ64" s="141" t="s">
        <v>654</v>
      </c>
      <c r="AK64" s="141" t="s">
        <v>654</v>
      </c>
      <c r="AL64" s="141" t="s">
        <v>654</v>
      </c>
      <c r="AM64" s="141" t="s">
        <v>654</v>
      </c>
      <c r="AN64" s="195">
        <v>46072</v>
      </c>
      <c r="AO64" s="193" t="str">
        <f t="shared" si="15"/>
        <v>February</v>
      </c>
      <c r="AP64" s="193">
        <f t="shared" si="16"/>
        <v>2026</v>
      </c>
      <c r="AQ64" s="198" t="str">
        <f>IF(Referral4[[#This Row],[Claimed_Date
(mmm-dd-yyy)]]="","",IF(AND(MONTH(Referral4[[#This Row],[Claimed_Date
(mmm-dd-yyy)]])&gt;4,MONTH(Referral4[[#This Row],[Claimed_Date
(mmm-dd-yyy)]])&lt;11),"S1","S2"))</f>
        <v>S2</v>
      </c>
      <c r="AR64"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64" s="145" t="s">
        <v>2227</v>
      </c>
      <c r="AT64" s="199">
        <v>40000</v>
      </c>
      <c r="AU64" s="200">
        <v>100000</v>
      </c>
      <c r="AV64" s="201">
        <f t="shared" si="18"/>
        <v>140000</v>
      </c>
      <c r="AW64" s="202"/>
      <c r="AX64" s="141" t="s">
        <v>21</v>
      </c>
      <c r="AY64" s="141" t="s">
        <v>21</v>
      </c>
      <c r="AZ64" s="141" t="s">
        <v>21</v>
      </c>
      <c r="BA64" s="141" t="s">
        <v>21</v>
      </c>
      <c r="BB64" s="141" t="s">
        <v>21</v>
      </c>
      <c r="BC64" s="141" t="s">
        <v>21</v>
      </c>
      <c r="BD64" s="141" t="s">
        <v>21</v>
      </c>
      <c r="BE64" s="203">
        <f t="shared" si="6"/>
        <v>1</v>
      </c>
      <c r="BF64" s="203">
        <f t="shared" si="7"/>
        <v>0</v>
      </c>
      <c r="BG64" s="193" t="str">
        <f t="shared" si="17"/>
        <v>Severe</v>
      </c>
      <c r="BH64" s="194"/>
    </row>
    <row r="65" spans="1:60" x14ac:dyDescent="0.25">
      <c r="A65" s="140">
        <v>63</v>
      </c>
      <c r="B65" s="140" t="s">
        <v>1997</v>
      </c>
      <c r="C65" s="191"/>
      <c r="D65" s="191" t="s">
        <v>2246</v>
      </c>
      <c r="E65" s="191" t="s">
        <v>2246</v>
      </c>
      <c r="F65" s="191"/>
      <c r="G65" s="191" t="s">
        <v>2272</v>
      </c>
      <c r="H65" s="191" t="s">
        <v>579</v>
      </c>
      <c r="I65" s="192" t="s">
        <v>4445</v>
      </c>
      <c r="J65" s="191">
        <v>55</v>
      </c>
      <c r="K65" s="191"/>
      <c r="L65" s="191"/>
      <c r="M65" s="219" t="str">
        <f t="shared" si="13"/>
        <v>50 yrs +</v>
      </c>
      <c r="N65" s="194" t="str">
        <f t="shared" si="14"/>
        <v>F</v>
      </c>
      <c r="O65" s="141">
        <v>1</v>
      </c>
      <c r="P65" s="141">
        <v>1</v>
      </c>
      <c r="Q65" s="141">
        <v>1</v>
      </c>
      <c r="R65" s="141">
        <v>1</v>
      </c>
      <c r="S65" s="141">
        <v>1</v>
      </c>
      <c r="T65" s="141">
        <v>1</v>
      </c>
      <c r="U6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5" s="195">
        <v>46072</v>
      </c>
      <c r="W65" s="141" t="s">
        <v>2235</v>
      </c>
      <c r="X65" s="191" t="s">
        <v>4446</v>
      </c>
      <c r="Y65" s="191" t="s">
        <v>293</v>
      </c>
      <c r="Z65" s="191"/>
      <c r="AA65" s="192" t="s">
        <v>2249</v>
      </c>
      <c r="AB65" s="195">
        <v>46052</v>
      </c>
      <c r="AC65" s="196">
        <v>46054</v>
      </c>
      <c r="AD65" s="193">
        <f>IF(Referral4[[#This Row],[DOA
(mm-dd-yyy)]]="","",(Referral4[[#This Row],[DOD
(mm-dd-yyy)]]-Referral4[[#This Row],[DOA
(mm-dd-yyy)]])+1)</f>
        <v>3</v>
      </c>
      <c r="AE65" s="191" t="s">
        <v>4446</v>
      </c>
      <c r="AF65" s="191" t="s">
        <v>1775</v>
      </c>
      <c r="AG65" s="141" t="str">
        <f t="array" ref="AG65">IF(AF65="","",
IF(Y65="EmOC",VLOOKUP(AF65,Data_validation!$R$1:$S$93,2,FALSE),
IF(Y65="ECC",VLOOKUP(AF65,Data_validation!$T$1:$U$151,2,FALSE),
IF(Y65="Other",VLOOKUP(AF65,Data_validation!$V$1:$W$19,2,FALSE),
VLOOKUP(AF65,Data_validation!$X$1:$Y$3,2,FALSE)))))</f>
        <v>MDRTB/HIV with complications</v>
      </c>
      <c r="AH65" s="191"/>
      <c r="AI65" s="191" t="s">
        <v>4377</v>
      </c>
      <c r="AJ65" s="141" t="s">
        <v>654</v>
      </c>
      <c r="AK65" s="141" t="s">
        <v>654</v>
      </c>
      <c r="AL65" s="141" t="s">
        <v>654</v>
      </c>
      <c r="AM65" s="141" t="s">
        <v>654</v>
      </c>
      <c r="AN65" s="195">
        <v>46072</v>
      </c>
      <c r="AO65" s="193" t="str">
        <f t="shared" si="15"/>
        <v>February</v>
      </c>
      <c r="AP65" s="193">
        <f t="shared" si="16"/>
        <v>2026</v>
      </c>
      <c r="AQ65" s="198" t="str">
        <f>IF(Referral4[[#This Row],[Claimed_Date
(mmm-dd-yyy)]]="","",IF(AND(MONTH(Referral4[[#This Row],[Claimed_Date
(mmm-dd-yyy)]])&gt;4,MONTH(Referral4[[#This Row],[Claimed_Date
(mmm-dd-yyy)]])&lt;11),"S1","S2"))</f>
        <v>S2</v>
      </c>
      <c r="AR65"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3</v>
      </c>
      <c r="AS65" s="145" t="s">
        <v>2227</v>
      </c>
      <c r="AT65" s="199">
        <v>60000</v>
      </c>
      <c r="AU65" s="200">
        <v>100000</v>
      </c>
      <c r="AV65" s="201">
        <f t="shared" si="18"/>
        <v>160000</v>
      </c>
      <c r="AW65" s="202"/>
      <c r="AX65" s="141" t="s">
        <v>21</v>
      </c>
      <c r="AY65" s="141" t="s">
        <v>21</v>
      </c>
      <c r="AZ65" s="141" t="s">
        <v>21</v>
      </c>
      <c r="BA65" s="141" t="s">
        <v>21</v>
      </c>
      <c r="BB65" s="141" t="s">
        <v>21</v>
      </c>
      <c r="BC65" s="141" t="s">
        <v>21</v>
      </c>
      <c r="BD65" s="141" t="s">
        <v>21</v>
      </c>
      <c r="BE65" s="203">
        <f t="shared" si="6"/>
        <v>1</v>
      </c>
      <c r="BF65" s="203">
        <f t="shared" si="7"/>
        <v>0</v>
      </c>
      <c r="BG65" s="193" t="str">
        <f t="shared" si="17"/>
        <v>Severe</v>
      </c>
      <c r="BH65" s="194"/>
    </row>
    <row r="66" spans="1:60" ht="25.5" x14ac:dyDescent="0.25">
      <c r="A66" s="148">
        <v>64</v>
      </c>
      <c r="B66" s="140" t="s">
        <v>1997</v>
      </c>
      <c r="C66" s="191"/>
      <c r="D66" s="191" t="s">
        <v>1998</v>
      </c>
      <c r="E66" s="191" t="s">
        <v>2254</v>
      </c>
      <c r="F66" s="191"/>
      <c r="G66" s="191" t="s">
        <v>2303</v>
      </c>
      <c r="H66" s="191" t="s">
        <v>579</v>
      </c>
      <c r="I66" s="192" t="s">
        <v>4447</v>
      </c>
      <c r="J66" s="191"/>
      <c r="K66" s="191"/>
      <c r="L66" s="191">
        <v>16</v>
      </c>
      <c r="M66" s="219" t="str">
        <f t="shared" si="13"/>
        <v>&lt;5 yrs</v>
      </c>
      <c r="N66" s="194" t="str">
        <f t="shared" si="14"/>
        <v>F</v>
      </c>
      <c r="O66" s="141">
        <v>1</v>
      </c>
      <c r="P66" s="141">
        <v>1</v>
      </c>
      <c r="Q66" s="141">
        <v>1</v>
      </c>
      <c r="R66" s="141">
        <v>1</v>
      </c>
      <c r="S66" s="141">
        <v>1</v>
      </c>
      <c r="T66" s="141">
        <v>1</v>
      </c>
      <c r="U6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6" s="195">
        <v>46065</v>
      </c>
      <c r="W66" s="141" t="s">
        <v>2235</v>
      </c>
      <c r="X66" s="191" t="s">
        <v>4448</v>
      </c>
      <c r="Y66" s="191" t="s">
        <v>1681</v>
      </c>
      <c r="Z66" s="191"/>
      <c r="AA66" s="192" t="s">
        <v>2258</v>
      </c>
      <c r="AB66" s="195">
        <v>46035</v>
      </c>
      <c r="AC66" s="196">
        <v>46051</v>
      </c>
      <c r="AD66" s="193">
        <f>IF(Referral4[[#This Row],[DOA
(mm-dd-yyy)]]="","",(Referral4[[#This Row],[DOD
(mm-dd-yyy)]]-Referral4[[#This Row],[DOA
(mm-dd-yyy)]])+1)</f>
        <v>17</v>
      </c>
      <c r="AE66" s="191" t="s">
        <v>4448</v>
      </c>
      <c r="AF66" s="191" t="s">
        <v>1710</v>
      </c>
      <c r="AG66" s="141" t="str">
        <f t="array" ref="AG66">IF(AF66="","",
IF(Y66="EmOC",VLOOKUP(AF66,Data_validation!$R$1:$S$93,2,FALSE),
IF(Y66="ECC",VLOOKUP(AF66,Data_validation!$T$1:$U$151,2,FALSE),
IF(Y66="Other",VLOOKUP(AF66,Data_validation!$V$1:$W$19,2,FALSE),
VLOOKUP(AF66,Data_validation!$X$1:$Y$3,2,FALSE)))))</f>
        <v xml:space="preserve">Preterm labour </v>
      </c>
      <c r="AH66" s="191"/>
      <c r="AI66" s="191" t="s">
        <v>4377</v>
      </c>
      <c r="AJ66" s="141" t="s">
        <v>654</v>
      </c>
      <c r="AK66" s="141" t="s">
        <v>654</v>
      </c>
      <c r="AL66" s="141" t="s">
        <v>654</v>
      </c>
      <c r="AM66" s="141" t="s">
        <v>654</v>
      </c>
      <c r="AN66" s="195">
        <v>46065</v>
      </c>
      <c r="AO66" s="193" t="str">
        <f t="shared" si="15"/>
        <v>February</v>
      </c>
      <c r="AP66" s="193">
        <f t="shared" si="16"/>
        <v>2026</v>
      </c>
      <c r="AQ66" s="198" t="str">
        <f>IF(Referral4[[#This Row],[Claimed_Date
(mmm-dd-yyy)]]="","",IF(AND(MONTH(Referral4[[#This Row],[Claimed_Date
(mmm-dd-yyy)]])&gt;4,MONTH(Referral4[[#This Row],[Claimed_Date
(mmm-dd-yyy)]])&lt;11),"S1","S2"))</f>
        <v>S2</v>
      </c>
      <c r="AR66"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17</v>
      </c>
      <c r="AS66" s="145" t="s">
        <v>2227</v>
      </c>
      <c r="AT66" s="199">
        <v>50000</v>
      </c>
      <c r="AU66" s="200">
        <v>200000</v>
      </c>
      <c r="AV66" s="201">
        <f t="shared" si="18"/>
        <v>250000</v>
      </c>
      <c r="AW66" s="202" t="s">
        <v>2361</v>
      </c>
      <c r="AX66" s="141" t="s">
        <v>21</v>
      </c>
      <c r="AY66" s="141" t="s">
        <v>21</v>
      </c>
      <c r="AZ66" s="141" t="s">
        <v>21</v>
      </c>
      <c r="BA66" s="141" t="s">
        <v>21</v>
      </c>
      <c r="BB66" s="141" t="s">
        <v>21</v>
      </c>
      <c r="BC66" s="141" t="s">
        <v>21</v>
      </c>
      <c r="BD66" s="141" t="s">
        <v>21</v>
      </c>
      <c r="BE66" s="203">
        <f t="shared" si="6"/>
        <v>1</v>
      </c>
      <c r="BF66" s="203">
        <f t="shared" si="7"/>
        <v>0</v>
      </c>
      <c r="BG66" s="193" t="str">
        <f t="shared" si="17"/>
        <v>Severe</v>
      </c>
      <c r="BH66" s="194"/>
    </row>
    <row r="67" spans="1:60" ht="25.5" x14ac:dyDescent="0.25">
      <c r="A67" s="140">
        <v>65</v>
      </c>
      <c r="B67" s="140" t="s">
        <v>1997</v>
      </c>
      <c r="C67" s="191"/>
      <c r="D67" s="191" t="s">
        <v>1998</v>
      </c>
      <c r="E67" s="191" t="s">
        <v>2254</v>
      </c>
      <c r="F67" s="191"/>
      <c r="G67" s="191" t="s">
        <v>2303</v>
      </c>
      <c r="H67" s="191" t="s">
        <v>579</v>
      </c>
      <c r="I67" s="192" t="s">
        <v>4449</v>
      </c>
      <c r="J67" s="191">
        <v>29</v>
      </c>
      <c r="K67" s="191"/>
      <c r="L67" s="191"/>
      <c r="M67" s="219" t="str">
        <f t="shared" si="13"/>
        <v>19 - 49 yrs</v>
      </c>
      <c r="N67" s="194" t="str">
        <f t="shared" si="14"/>
        <v>F</v>
      </c>
      <c r="O67" s="141">
        <v>1</v>
      </c>
      <c r="P67" s="141">
        <v>1</v>
      </c>
      <c r="Q67" s="141">
        <v>1</v>
      </c>
      <c r="R67" s="141">
        <v>1</v>
      </c>
      <c r="S67" s="141">
        <v>1</v>
      </c>
      <c r="T67" s="141">
        <v>1</v>
      </c>
      <c r="U6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7" s="195">
        <v>46072</v>
      </c>
      <c r="W67" s="141" t="s">
        <v>2235</v>
      </c>
      <c r="X67" s="191" t="s">
        <v>4450</v>
      </c>
      <c r="Y67" s="191" t="s">
        <v>1681</v>
      </c>
      <c r="Z67" s="191"/>
      <c r="AA67" s="192" t="s">
        <v>4376</v>
      </c>
      <c r="AB67" s="195">
        <v>46050</v>
      </c>
      <c r="AC67" s="196">
        <v>46051</v>
      </c>
      <c r="AD67" s="193">
        <f>IF(Referral4[[#This Row],[DOA
(mm-dd-yyy)]]="","",(Referral4[[#This Row],[DOD
(mm-dd-yyy)]]-Referral4[[#This Row],[DOA
(mm-dd-yyy)]])+1)</f>
        <v>2</v>
      </c>
      <c r="AE67" s="191" t="s">
        <v>4450</v>
      </c>
      <c r="AF67" s="191" t="s">
        <v>1688</v>
      </c>
      <c r="AG67" s="141" t="str">
        <f t="array" ref="AG67">IF(AF67="","",
IF(Y67="EmOC",VLOOKUP(AF67,Data_validation!$R$1:$S$93,2,FALSE),
IF(Y67="ECC",VLOOKUP(AF67,Data_validation!$T$1:$U$151,2,FALSE),
IF(Y67="Other",VLOOKUP(AF67,Data_validation!$V$1:$W$19,2,FALSE),
VLOOKUP(AF67,Data_validation!$X$1:$Y$3,2,FALSE)))))</f>
        <v xml:space="preserve">High risk pregnancy </v>
      </c>
      <c r="AH67" s="191"/>
      <c r="AI67" s="191" t="s">
        <v>4451</v>
      </c>
      <c r="AJ67" s="141" t="s">
        <v>654</v>
      </c>
      <c r="AK67" s="141" t="s">
        <v>654</v>
      </c>
      <c r="AL67" s="141" t="s">
        <v>654</v>
      </c>
      <c r="AM67" s="141" t="s">
        <v>654</v>
      </c>
      <c r="AN67" s="195">
        <v>46072</v>
      </c>
      <c r="AO67" s="193" t="str">
        <f t="shared" si="15"/>
        <v>February</v>
      </c>
      <c r="AP67" s="193">
        <f t="shared" si="16"/>
        <v>2026</v>
      </c>
      <c r="AQ67" s="198" t="str">
        <f>IF(Referral4[[#This Row],[Claimed_Date
(mmm-dd-yyy)]]="","",IF(AND(MONTH(Referral4[[#This Row],[Claimed_Date
(mmm-dd-yyy)]])&gt;4,MONTH(Referral4[[#This Row],[Claimed_Date
(mmm-dd-yyy)]])&lt;11),"S1","S2"))</f>
        <v>S2</v>
      </c>
      <c r="AR67"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67" s="145" t="s">
        <v>2227</v>
      </c>
      <c r="AT67" s="199">
        <v>40000</v>
      </c>
      <c r="AU67" s="200">
        <v>100000</v>
      </c>
      <c r="AV67" s="201">
        <f t="shared" si="18"/>
        <v>140000</v>
      </c>
      <c r="AW67" s="202"/>
      <c r="AX67" s="141" t="s">
        <v>21</v>
      </c>
      <c r="AY67" s="141" t="s">
        <v>21</v>
      </c>
      <c r="AZ67" s="141" t="s">
        <v>21</v>
      </c>
      <c r="BA67" s="141" t="s">
        <v>21</v>
      </c>
      <c r="BB67" s="141" t="s">
        <v>21</v>
      </c>
      <c r="BC67" s="141" t="s">
        <v>21</v>
      </c>
      <c r="BD67" s="141" t="s">
        <v>21</v>
      </c>
      <c r="BE67" s="203">
        <f t="shared" si="6"/>
        <v>1</v>
      </c>
      <c r="BF67" s="203">
        <f t="shared" si="7"/>
        <v>0</v>
      </c>
      <c r="BG67" s="193" t="str">
        <f t="shared" si="17"/>
        <v>Severe</v>
      </c>
      <c r="BH67" s="194"/>
    </row>
    <row r="68" spans="1:60" ht="25.5" x14ac:dyDescent="0.25">
      <c r="A68" s="148">
        <v>66</v>
      </c>
      <c r="B68" s="140" t="s">
        <v>1997</v>
      </c>
      <c r="C68" s="191"/>
      <c r="D68" s="191" t="s">
        <v>1998</v>
      </c>
      <c r="E68" s="191" t="s">
        <v>1999</v>
      </c>
      <c r="F68" s="191"/>
      <c r="G68" s="191" t="s">
        <v>5152</v>
      </c>
      <c r="H68" s="191" t="s">
        <v>579</v>
      </c>
      <c r="I68" s="192" t="s">
        <v>5151</v>
      </c>
      <c r="J68" s="191">
        <v>70</v>
      </c>
      <c r="K68" s="191"/>
      <c r="L68" s="191"/>
      <c r="M68" s="219" t="str">
        <f t="shared" si="13"/>
        <v>50 yrs +</v>
      </c>
      <c r="N68" s="194" t="str">
        <f t="shared" si="14"/>
        <v>M</v>
      </c>
      <c r="O68" s="141">
        <v>1</v>
      </c>
      <c r="P68" s="141">
        <v>1</v>
      </c>
      <c r="Q68" s="141">
        <v>1</v>
      </c>
      <c r="R68" s="141">
        <v>1</v>
      </c>
      <c r="S68" s="141">
        <v>1</v>
      </c>
      <c r="T68" s="141">
        <v>1</v>
      </c>
      <c r="U6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8" s="195">
        <v>46063</v>
      </c>
      <c r="W68" s="141" t="s">
        <v>2235</v>
      </c>
      <c r="X68" s="191" t="s">
        <v>5153</v>
      </c>
      <c r="Y68" s="191" t="s">
        <v>293</v>
      </c>
      <c r="Z68" s="191"/>
      <c r="AA68" s="192" t="s">
        <v>5154</v>
      </c>
      <c r="AB68" s="195">
        <v>46049</v>
      </c>
      <c r="AC68" s="196">
        <v>46053</v>
      </c>
      <c r="AD68" s="193">
        <f>IF(Referral4[[#This Row],[DOA
(mm-dd-yyy)]]="","",(Referral4[[#This Row],[DOD
(mm-dd-yyy)]]-Referral4[[#This Row],[DOA
(mm-dd-yyy)]])+1)</f>
        <v>5</v>
      </c>
      <c r="AE68" s="191" t="s">
        <v>5153</v>
      </c>
      <c r="AF68" s="191" t="s">
        <v>1686</v>
      </c>
      <c r="AG68" s="141" t="str">
        <f t="array" ref="AG68">IF(AF68="","",
IF(Y68="EmOC",VLOOKUP(AF68,Data_validation!$R$1:$S$93,2,FALSE),
IF(Y68="ECC",VLOOKUP(AF68,Data_validation!$T$1:$U$151,2,FALSE),
IF(Y68="Other",VLOOKUP(AF68,Data_validation!$V$1:$W$19,2,FALSE),
VLOOKUP(AF68,Data_validation!$X$1:$Y$3,2,FALSE)))))</f>
        <v>Major Injuries/Trauma</v>
      </c>
      <c r="AH68" s="191"/>
      <c r="AI68" s="191" t="s">
        <v>4377</v>
      </c>
      <c r="AJ68" s="141" t="s">
        <v>654</v>
      </c>
      <c r="AK68" s="141" t="s">
        <v>654</v>
      </c>
      <c r="AL68" s="141" t="s">
        <v>654</v>
      </c>
      <c r="AM68" s="141" t="s">
        <v>654</v>
      </c>
      <c r="AN68" s="195">
        <v>46063</v>
      </c>
      <c r="AO68" s="193" t="str">
        <f t="shared" si="15"/>
        <v>February</v>
      </c>
      <c r="AP68" s="193">
        <f t="shared" si="16"/>
        <v>2026</v>
      </c>
      <c r="AQ68" s="198" t="str">
        <f>IF(Referral4[[#This Row],[Claimed_Date
(mmm-dd-yyy)]]="","",IF(AND(MONTH(Referral4[[#This Row],[Claimed_Date
(mmm-dd-yyy)]])&gt;4,MONTH(Referral4[[#This Row],[Claimed_Date
(mmm-dd-yyy)]])&lt;11),"S1","S2"))</f>
        <v>S2</v>
      </c>
      <c r="AR68"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68" s="145" t="s">
        <v>2227</v>
      </c>
      <c r="AT68" s="199">
        <v>100000</v>
      </c>
      <c r="AU68" s="200">
        <v>100000</v>
      </c>
      <c r="AV68" s="201">
        <f t="shared" si="18"/>
        <v>200000</v>
      </c>
      <c r="AW68" s="202"/>
      <c r="AX68" s="141" t="s">
        <v>21</v>
      </c>
      <c r="AY68" s="141" t="s">
        <v>21</v>
      </c>
      <c r="AZ68" s="141" t="s">
        <v>21</v>
      </c>
      <c r="BA68" s="141" t="s">
        <v>21</v>
      </c>
      <c r="BB68" s="141" t="s">
        <v>21</v>
      </c>
      <c r="BC68" s="141" t="s">
        <v>21</v>
      </c>
      <c r="BD68" s="141" t="s">
        <v>21</v>
      </c>
      <c r="BE68" s="203">
        <f t="shared" ref="BE68:BE72" si="19">IF(AND(AX68="",AY68="",AZ68="",BA68="",BB68="",BC68="",BD68=""),"",COUNTIFS(AX68:BD137,"Severe"))</f>
        <v>1</v>
      </c>
      <c r="BF68" s="203">
        <f t="shared" ref="BF68:BF72" si="20">IF(AND(AX68="",AY68="",AZ68="",BA68="",BB68="",BC68="",BD68=""),"",COUNTIFS(AX68:BD137,"Very Severe"))</f>
        <v>0</v>
      </c>
      <c r="BG68" s="193" t="str">
        <f t="shared" si="17"/>
        <v>Severe</v>
      </c>
      <c r="BH68" s="194"/>
    </row>
    <row r="69" spans="1:60" ht="25.5" x14ac:dyDescent="0.25">
      <c r="A69" s="140">
        <v>67</v>
      </c>
      <c r="B69" s="140" t="s">
        <v>1997</v>
      </c>
      <c r="C69" s="191"/>
      <c r="D69" s="191" t="s">
        <v>1998</v>
      </c>
      <c r="E69" s="191" t="s">
        <v>5155</v>
      </c>
      <c r="F69" s="191"/>
      <c r="G69" s="191" t="s">
        <v>5156</v>
      </c>
      <c r="H69" s="191"/>
      <c r="I69" s="192" t="s">
        <v>5157</v>
      </c>
      <c r="J69" s="191">
        <v>9</v>
      </c>
      <c r="K69" s="191"/>
      <c r="L69" s="191"/>
      <c r="M69" s="219" t="str">
        <f t="shared" si="13"/>
        <v>5 - 14 yrs</v>
      </c>
      <c r="N69" s="194" t="str">
        <f t="shared" si="14"/>
        <v>M</v>
      </c>
      <c r="O69" s="141">
        <v>1</v>
      </c>
      <c r="P69" s="141">
        <v>1</v>
      </c>
      <c r="Q69" s="141">
        <v>1</v>
      </c>
      <c r="R69" s="141">
        <v>1</v>
      </c>
      <c r="S69" s="141">
        <v>1</v>
      </c>
      <c r="T69" s="141">
        <v>1</v>
      </c>
      <c r="U6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69" s="195">
        <v>46070</v>
      </c>
      <c r="W69" s="141" t="s">
        <v>2235</v>
      </c>
      <c r="X69" s="191" t="s">
        <v>5158</v>
      </c>
      <c r="Y69" s="191" t="s">
        <v>293</v>
      </c>
      <c r="Z69" s="191"/>
      <c r="AA69" s="192" t="s">
        <v>2258</v>
      </c>
      <c r="AB69" s="195">
        <v>46032</v>
      </c>
      <c r="AC69" s="196">
        <v>46036</v>
      </c>
      <c r="AD69" s="193">
        <f>IF(Referral4[[#This Row],[DOA
(mm-dd-yyy)]]="","",(Referral4[[#This Row],[DOD
(mm-dd-yyy)]]-Referral4[[#This Row],[DOA
(mm-dd-yyy)]])+1)</f>
        <v>5</v>
      </c>
      <c r="AE69" s="191" t="s">
        <v>5158</v>
      </c>
      <c r="AF69" s="191" t="s">
        <v>1699</v>
      </c>
      <c r="AG69" s="141" t="str">
        <f t="array" ref="AG69">IF(AF69="","",
IF(Y69="EmOC",VLOOKUP(AF69,Data_validation!$R$1:$S$93,2,FALSE),
IF(Y69="ECC",VLOOKUP(AF69,Data_validation!$T$1:$U$151,2,FALSE),
IF(Y69="Other",VLOOKUP(AF69,Data_validation!$V$1:$W$19,2,FALSE),
VLOOKUP(AF69,Data_validation!$X$1:$Y$3,2,FALSE)))))</f>
        <v>Trauma Cases</v>
      </c>
      <c r="AH69" s="191"/>
      <c r="AI69" s="191" t="s">
        <v>4377</v>
      </c>
      <c r="AJ69" s="141" t="s">
        <v>654</v>
      </c>
      <c r="AK69" s="141" t="s">
        <v>654</v>
      </c>
      <c r="AL69" s="141" t="s">
        <v>654</v>
      </c>
      <c r="AM69" s="141" t="s">
        <v>654</v>
      </c>
      <c r="AN69" s="195">
        <v>46070</v>
      </c>
      <c r="AO69" s="193" t="str">
        <f t="shared" si="15"/>
        <v>February</v>
      </c>
      <c r="AP69" s="193">
        <f t="shared" si="16"/>
        <v>2026</v>
      </c>
      <c r="AQ69" s="198" t="str">
        <f>IF(Referral4[[#This Row],[Claimed_Date
(mmm-dd-yyy)]]="","",IF(AND(MONTH(Referral4[[#This Row],[Claimed_Date
(mmm-dd-yyy)]])&gt;4,MONTH(Referral4[[#This Row],[Claimed_Date
(mmm-dd-yyy)]])&lt;11),"S1","S2"))</f>
        <v>S2</v>
      </c>
      <c r="AR69"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5</v>
      </c>
      <c r="AS69" s="145" t="s">
        <v>2227</v>
      </c>
      <c r="AT69" s="199">
        <v>100000</v>
      </c>
      <c r="AU69" s="199">
        <v>100000</v>
      </c>
      <c r="AV69" s="201">
        <f t="shared" si="18"/>
        <v>200000</v>
      </c>
      <c r="AW69" s="202"/>
      <c r="AX69" s="141" t="s">
        <v>21</v>
      </c>
      <c r="AY69" s="141" t="s">
        <v>21</v>
      </c>
      <c r="AZ69" s="141" t="s">
        <v>21</v>
      </c>
      <c r="BA69" s="141" t="s">
        <v>21</v>
      </c>
      <c r="BB69" s="141" t="s">
        <v>21</v>
      </c>
      <c r="BC69" s="141" t="s">
        <v>21</v>
      </c>
      <c r="BD69" s="141" t="s">
        <v>21</v>
      </c>
      <c r="BE69" s="203">
        <f t="shared" si="19"/>
        <v>1</v>
      </c>
      <c r="BF69" s="203">
        <f t="shared" si="20"/>
        <v>0</v>
      </c>
      <c r="BG69" s="193" t="str">
        <f t="shared" si="17"/>
        <v>Severe</v>
      </c>
      <c r="BH69" s="194"/>
    </row>
    <row r="70" spans="1:60" ht="25.5" x14ac:dyDescent="0.25">
      <c r="A70" s="140">
        <v>68</v>
      </c>
      <c r="B70" s="140" t="s">
        <v>1997</v>
      </c>
      <c r="C70" s="191"/>
      <c r="D70" s="191" t="s">
        <v>1998</v>
      </c>
      <c r="E70" s="191" t="s">
        <v>5155</v>
      </c>
      <c r="F70" s="191"/>
      <c r="G70" s="191" t="s">
        <v>5159</v>
      </c>
      <c r="H70" s="191"/>
      <c r="I70" s="192" t="s">
        <v>5160</v>
      </c>
      <c r="J70" s="191">
        <v>6</v>
      </c>
      <c r="K70" s="191"/>
      <c r="L70" s="191"/>
      <c r="M70" s="219" t="str">
        <f t="shared" si="13"/>
        <v>5 - 14 yrs</v>
      </c>
      <c r="N70" s="194" t="str">
        <f t="shared" si="14"/>
        <v>M</v>
      </c>
      <c r="O70" s="141">
        <v>1</v>
      </c>
      <c r="P70" s="141">
        <v>1</v>
      </c>
      <c r="Q70" s="141">
        <v>1</v>
      </c>
      <c r="R70" s="141">
        <v>1</v>
      </c>
      <c r="S70" s="141">
        <v>1</v>
      </c>
      <c r="T70" s="141">
        <v>1</v>
      </c>
      <c r="U7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70" s="195">
        <v>46069</v>
      </c>
      <c r="W70" s="141" t="s">
        <v>2235</v>
      </c>
      <c r="X70" s="191" t="s">
        <v>5161</v>
      </c>
      <c r="Y70" s="191" t="s">
        <v>293</v>
      </c>
      <c r="Z70" s="191"/>
      <c r="AA70" s="192" t="s">
        <v>5162</v>
      </c>
      <c r="AB70" s="195">
        <v>46032</v>
      </c>
      <c r="AC70" s="196">
        <v>46033</v>
      </c>
      <c r="AD70" s="193">
        <f>IF(Referral4[[#This Row],[DOA
(mm-dd-yyy)]]="","",(Referral4[[#This Row],[DOD
(mm-dd-yyy)]]-Referral4[[#This Row],[DOA
(mm-dd-yyy)]])+1)</f>
        <v>2</v>
      </c>
      <c r="AE70" s="191" t="s">
        <v>5161</v>
      </c>
      <c r="AF70" s="191" t="s">
        <v>1699</v>
      </c>
      <c r="AG70" s="141" t="str">
        <f t="array" ref="AG70">IF(AF70="","",
IF(Y70="EmOC",VLOOKUP(AF70,Data_validation!$R$1:$S$93,2,FALSE),
IF(Y70="ECC",VLOOKUP(AF70,Data_validation!$T$1:$U$151,2,FALSE),
IF(Y70="Other",VLOOKUP(AF70,Data_validation!$V$1:$W$19,2,FALSE),
VLOOKUP(AF70,Data_validation!$X$1:$Y$3,2,FALSE)))))</f>
        <v>Trauma Cases</v>
      </c>
      <c r="AH70" s="191"/>
      <c r="AI70" s="191" t="s">
        <v>4377</v>
      </c>
      <c r="AJ70" s="141" t="s">
        <v>654</v>
      </c>
      <c r="AK70" s="141" t="s">
        <v>654</v>
      </c>
      <c r="AL70" s="141" t="s">
        <v>654</v>
      </c>
      <c r="AM70" s="141" t="s">
        <v>654</v>
      </c>
      <c r="AN70" s="195">
        <v>46069</v>
      </c>
      <c r="AO70" s="193" t="str">
        <f t="shared" si="15"/>
        <v>February</v>
      </c>
      <c r="AP70" s="193">
        <f t="shared" si="16"/>
        <v>2026</v>
      </c>
      <c r="AQ70" s="198" t="str">
        <f>IF(Referral4[[#This Row],[Claimed_Date
(mmm-dd-yyy)]]="","",IF(AND(MONTH(Referral4[[#This Row],[Claimed_Date
(mmm-dd-yyy)]])&gt;4,MONTH(Referral4[[#This Row],[Claimed_Date
(mmm-dd-yyy)]])&lt;11),"S1","S2"))</f>
        <v>S2</v>
      </c>
      <c r="AR70"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2</v>
      </c>
      <c r="AS70" s="145" t="s">
        <v>2227</v>
      </c>
      <c r="AT70" s="199">
        <v>40000</v>
      </c>
      <c r="AU70" s="199">
        <v>100000</v>
      </c>
      <c r="AV70" s="201">
        <f t="shared" si="18"/>
        <v>140000</v>
      </c>
      <c r="AW70" s="202"/>
      <c r="AX70" s="141" t="s">
        <v>21</v>
      </c>
      <c r="AY70" s="141" t="s">
        <v>21</v>
      </c>
      <c r="AZ70" s="141" t="s">
        <v>21</v>
      </c>
      <c r="BA70" s="141" t="s">
        <v>21</v>
      </c>
      <c r="BB70" s="141" t="s">
        <v>21</v>
      </c>
      <c r="BC70" s="141" t="s">
        <v>21</v>
      </c>
      <c r="BD70" s="141" t="s">
        <v>21</v>
      </c>
      <c r="BE70" s="203">
        <f t="shared" si="19"/>
        <v>1</v>
      </c>
      <c r="BF70" s="203">
        <f t="shared" si="20"/>
        <v>0</v>
      </c>
      <c r="BG70" s="193" t="str">
        <f t="shared" si="17"/>
        <v>Severe</v>
      </c>
      <c r="BH70" s="194"/>
    </row>
    <row r="71" spans="1:60" ht="25.5" x14ac:dyDescent="0.25">
      <c r="A71" s="148">
        <v>69</v>
      </c>
      <c r="B71" s="140" t="s">
        <v>1997</v>
      </c>
      <c r="C71" s="191"/>
      <c r="D71" s="191" t="s">
        <v>1998</v>
      </c>
      <c r="E71" s="191" t="s">
        <v>5155</v>
      </c>
      <c r="F71" s="191"/>
      <c r="G71" s="191" t="s">
        <v>5193</v>
      </c>
      <c r="H71" s="191"/>
      <c r="I71" s="192" t="s">
        <v>5192</v>
      </c>
      <c r="J71" s="191">
        <v>14</v>
      </c>
      <c r="K71" s="191"/>
      <c r="L71" s="191"/>
      <c r="M71" s="219" t="str">
        <f t="shared" si="13"/>
        <v>5 - 14 yrs</v>
      </c>
      <c r="N71" s="194" t="str">
        <f t="shared" si="14"/>
        <v>M</v>
      </c>
      <c r="O71" s="141">
        <v>1</v>
      </c>
      <c r="P71" s="141">
        <v>1</v>
      </c>
      <c r="Q71" s="141">
        <v>1</v>
      </c>
      <c r="R71" s="141">
        <v>1</v>
      </c>
      <c r="S71" s="141">
        <v>1</v>
      </c>
      <c r="T71" s="141">
        <v>1</v>
      </c>
      <c r="U7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71" s="195">
        <v>46070</v>
      </c>
      <c r="W71" s="141" t="s">
        <v>2235</v>
      </c>
      <c r="X71" s="191" t="s">
        <v>5194</v>
      </c>
      <c r="Y71" s="191" t="s">
        <v>293</v>
      </c>
      <c r="Z71" s="191"/>
      <c r="AA71" s="192" t="s">
        <v>4335</v>
      </c>
      <c r="AB71" s="195">
        <v>46048</v>
      </c>
      <c r="AC71" s="196">
        <v>46048</v>
      </c>
      <c r="AD71" s="193">
        <f>IF(Referral4[[#This Row],[DOA
(mm-dd-yyy)]]="","",(Referral4[[#This Row],[DOD
(mm-dd-yyy)]]-Referral4[[#This Row],[DOA
(mm-dd-yyy)]])+1)</f>
        <v>1</v>
      </c>
      <c r="AE71" s="191" t="s">
        <v>5194</v>
      </c>
      <c r="AF71" s="191" t="s">
        <v>1686</v>
      </c>
      <c r="AG71" s="141" t="str">
        <f t="array" ref="AG71">IF(AF71="","",
IF(Y71="EmOC",VLOOKUP(AF71,Data_validation!$R$1:$S$93,2,FALSE),
IF(Y71="ECC",VLOOKUP(AF71,Data_validation!$T$1:$U$151,2,FALSE),
IF(Y71="Other",VLOOKUP(AF71,Data_validation!$V$1:$W$19,2,FALSE),
VLOOKUP(AF71,Data_validation!$X$1:$Y$3,2,FALSE)))))</f>
        <v>Major Injuries/Trauma</v>
      </c>
      <c r="AH71" s="191"/>
      <c r="AI71" s="191" t="s">
        <v>4377</v>
      </c>
      <c r="AJ71" s="141" t="s">
        <v>654</v>
      </c>
      <c r="AK71" s="141" t="s">
        <v>654</v>
      </c>
      <c r="AL71" s="141" t="s">
        <v>654</v>
      </c>
      <c r="AM71" s="141" t="s">
        <v>654</v>
      </c>
      <c r="AN71" s="195">
        <v>46070</v>
      </c>
      <c r="AO71" s="193" t="str">
        <f t="shared" si="15"/>
        <v>February</v>
      </c>
      <c r="AP71" s="193">
        <f t="shared" si="16"/>
        <v>2026</v>
      </c>
      <c r="AQ71" s="198" t="str">
        <f>IF(Referral4[[#This Row],[Claimed_Date
(mmm-dd-yyy)]]="","",IF(AND(MONTH(Referral4[[#This Row],[Claimed_Date
(mmm-dd-yyy)]])&gt;4,MONTH(Referral4[[#This Row],[Claimed_Date
(mmm-dd-yyy)]])&lt;11),"S1","S2"))</f>
        <v>S2</v>
      </c>
      <c r="AR71"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v>
      </c>
      <c r="AS71" s="145" t="s">
        <v>2227</v>
      </c>
      <c r="AT71" s="199">
        <v>20000</v>
      </c>
      <c r="AU71" s="200">
        <v>100000</v>
      </c>
      <c r="AV71" s="201">
        <f t="shared" si="18"/>
        <v>120000</v>
      </c>
      <c r="AW71" s="202"/>
      <c r="AX71" s="141" t="s">
        <v>21</v>
      </c>
      <c r="AY71" s="141" t="s">
        <v>21</v>
      </c>
      <c r="AZ71" s="141" t="s">
        <v>21</v>
      </c>
      <c r="BA71" s="141" t="s">
        <v>21</v>
      </c>
      <c r="BB71" s="141" t="s">
        <v>21</v>
      </c>
      <c r="BC71" s="141" t="s">
        <v>21</v>
      </c>
      <c r="BD71" s="141" t="s">
        <v>21</v>
      </c>
      <c r="BE71" s="203">
        <f t="shared" si="19"/>
        <v>1</v>
      </c>
      <c r="BF71" s="203">
        <f t="shared" si="20"/>
        <v>0</v>
      </c>
      <c r="BG71" s="193" t="str">
        <f t="shared" si="17"/>
        <v>Severe</v>
      </c>
      <c r="BH71" s="194"/>
    </row>
    <row r="72" spans="1:60" ht="25.5" x14ac:dyDescent="0.25">
      <c r="A72" s="140">
        <v>70</v>
      </c>
      <c r="B72" s="140" t="s">
        <v>1997</v>
      </c>
      <c r="C72" s="191"/>
      <c r="D72" s="191" t="s">
        <v>1998</v>
      </c>
      <c r="E72" s="191" t="s">
        <v>1999</v>
      </c>
      <c r="F72" s="191"/>
      <c r="G72" s="191" t="s">
        <v>2001</v>
      </c>
      <c r="H72" s="191" t="s">
        <v>579</v>
      </c>
      <c r="I72" s="192" t="s">
        <v>2021</v>
      </c>
      <c r="J72" s="191">
        <v>2</v>
      </c>
      <c r="K72" s="191">
        <v>7</v>
      </c>
      <c r="L72" s="191"/>
      <c r="M72" s="219" t="str">
        <f t="shared" ref="M72" si="21">IF(AND(ISBLANK(J72),ISBLANK(K72),ISBLANK(L72))," ",
IF(OR(J72&lt;5,AND(J72=" ",K72&lt;&gt;" ",L72&lt;&gt;" ")),"&lt;5 yrs",
IF(AND(J72&gt;=5,J72&lt;=14),"5 - 14 yrs",
IF(AND(J72&gt;=15,J72&lt;=18),"15 - 18 yrs",
IF(AND(J72&gt;=19,J72&lt;=49),"19 - 49 yrs","50 yrs +")))))</f>
        <v>&lt;5 yrs</v>
      </c>
      <c r="N72" s="194" t="str">
        <f t="shared" si="14"/>
        <v>M</v>
      </c>
      <c r="O72" s="141">
        <v>1</v>
      </c>
      <c r="P72" s="141">
        <v>1</v>
      </c>
      <c r="Q72" s="141">
        <v>4</v>
      </c>
      <c r="R72" s="141">
        <v>3</v>
      </c>
      <c r="S72" s="141">
        <v>4</v>
      </c>
      <c r="T72" s="141">
        <v>4</v>
      </c>
      <c r="U7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Yes</v>
      </c>
      <c r="V72" s="195">
        <v>46063</v>
      </c>
      <c r="W72" s="141" t="s">
        <v>2235</v>
      </c>
      <c r="X72" s="191" t="s">
        <v>5198</v>
      </c>
      <c r="Y72" s="191" t="s">
        <v>1684</v>
      </c>
      <c r="Z72" s="191"/>
      <c r="AA72" s="192" t="s">
        <v>2258</v>
      </c>
      <c r="AB72" s="195">
        <v>46042</v>
      </c>
      <c r="AC72" s="196">
        <v>46042</v>
      </c>
      <c r="AD72" s="193">
        <f>IF(Referral4[[#This Row],[DOA
(mm-dd-yyy)]]="","",(Referral4[[#This Row],[DOD
(mm-dd-yyy)]]-Referral4[[#This Row],[DOA
(mm-dd-yyy)]])+1)</f>
        <v>1</v>
      </c>
      <c r="AE72" s="191" t="s">
        <v>5199</v>
      </c>
      <c r="AF72" s="191" t="s">
        <v>1799</v>
      </c>
      <c r="AG72" s="141" t="str">
        <f t="array" ref="AG72">IF(AF72="","",
IF(Y72="EmOC",VLOOKUP(AF72,Data_validation!$R$1:$S$93,2,FALSE),
IF(Y72="ECC",VLOOKUP(AF72,Data_validation!$T$1:$U$151,2,FALSE),
IF(Y72="Other",VLOOKUP(AF72,Data_validation!$V$1:$W$19,2,FALSE),
VLOOKUP(AF72,Data_validation!$X$1:$Y$3,2,FALSE)))))</f>
        <v>Medical disease</v>
      </c>
      <c r="AH72" s="191"/>
      <c r="AI72" s="191" t="s">
        <v>4377</v>
      </c>
      <c r="AJ72" s="141" t="s">
        <v>654</v>
      </c>
      <c r="AK72" s="141" t="s">
        <v>654</v>
      </c>
      <c r="AL72" s="141" t="s">
        <v>654</v>
      </c>
      <c r="AM72" s="141" t="s">
        <v>654</v>
      </c>
      <c r="AN72" s="195">
        <v>46063</v>
      </c>
      <c r="AO72" s="193" t="str">
        <f t="shared" ref="AO72" si="22">IF(AN72="","",TEXT(AN72,"mmmm"))</f>
        <v>February</v>
      </c>
      <c r="AP72" s="193">
        <f t="shared" si="16"/>
        <v>2026</v>
      </c>
      <c r="AQ72" s="198" t="str">
        <f>IF(Referral4[[#This Row],[Claimed_Date
(mmm-dd-yyy)]]="","",IF(AND(MONTH(Referral4[[#This Row],[Claimed_Date
(mmm-dd-yyy)]])&gt;4,MONTH(Referral4[[#This Row],[Claimed_Date
(mmm-dd-yyy)]])&lt;11),"S1","S2"))</f>
        <v>S2</v>
      </c>
      <c r="AR72"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v>
      </c>
      <c r="AS72" s="145" t="s">
        <v>2227</v>
      </c>
      <c r="AT72" s="199">
        <v>20000</v>
      </c>
      <c r="AU72" s="200">
        <v>400000</v>
      </c>
      <c r="AV72" s="201">
        <f t="shared" ref="AV72" si="23">SUM(AT72,AU72)</f>
        <v>420000</v>
      </c>
      <c r="AW72" s="202"/>
      <c r="AX72" s="141" t="s">
        <v>1667</v>
      </c>
      <c r="AY72" s="141" t="s">
        <v>21</v>
      </c>
      <c r="AZ72" s="141" t="s">
        <v>21</v>
      </c>
      <c r="BA72" s="141" t="s">
        <v>21</v>
      </c>
      <c r="BB72" s="141" t="s">
        <v>21</v>
      </c>
      <c r="BC72" s="141" t="s">
        <v>21</v>
      </c>
      <c r="BD72" s="141" t="s">
        <v>21</v>
      </c>
      <c r="BE72" s="203">
        <f t="shared" si="19"/>
        <v>1</v>
      </c>
      <c r="BF72" s="203">
        <f t="shared" si="20"/>
        <v>0</v>
      </c>
      <c r="BG72" s="193" t="str">
        <f t="shared" ref="BG72" si="24">IF(AND(BE72="",BF72=""),"",IF(AND(BE72&gt;0,BF72&gt;0),"Very Severe",IF(BE72&gt;=2,"Very Severe",IF(BF72&gt;0,"Very Severe",IF(AND(BE72=1,BF72=0),"Severe","Normal")))))</f>
        <v>Severe</v>
      </c>
      <c r="BH72" s="194"/>
    </row>
    <row r="73" spans="1:60" ht="25.5" x14ac:dyDescent="0.25">
      <c r="A73" s="148">
        <v>71</v>
      </c>
      <c r="B73" s="140" t="s">
        <v>1997</v>
      </c>
      <c r="C73" s="191"/>
      <c r="D73" s="191" t="s">
        <v>1998</v>
      </c>
      <c r="E73" s="191" t="s">
        <v>2286</v>
      </c>
      <c r="F73" s="191"/>
      <c r="G73" s="191" t="s">
        <v>5196</v>
      </c>
      <c r="H73" s="191" t="s">
        <v>619</v>
      </c>
      <c r="I73" s="192" t="s">
        <v>5195</v>
      </c>
      <c r="J73" s="191">
        <v>25</v>
      </c>
      <c r="K73" s="191"/>
      <c r="L73" s="191"/>
      <c r="M73" s="219" t="str">
        <f t="shared" ref="M73:M106" si="25">IF(AND(ISBLANK(J73),ISBLANK(K73),ISBLANK(L73))," ",
IF(OR(J73&lt;5,AND(J73=" ",K73&lt;&gt;" ",L73&lt;&gt;" ")),"&lt;5 yrs",
IF(AND(J73&gt;=5,J73&lt;=14),"5 - 14 yrs",
IF(AND(J73&gt;=15,J73&lt;=18),"15 - 18 yrs",
IF(AND(J73&gt;=19,J73&lt;=49),"19 - 49 yrs","50 yrs +")))))</f>
        <v>19 - 49 yrs</v>
      </c>
      <c r="N73" s="194" t="str">
        <f t="shared" ref="N73:N106" si="26">IF(I73="","",IF(OR(LEFT(I73,1)="U",LEFT(I73,2)="Ko",LEFT(I73,2)="Mg"),"M",IF(OR(LEFT(I73,3)="Daw",LEFT(I73,2)="Ma"),"F")))</f>
        <v>F</v>
      </c>
      <c r="O73" s="141">
        <v>1</v>
      </c>
      <c r="P73" s="141">
        <v>1</v>
      </c>
      <c r="Q73" s="141">
        <v>1</v>
      </c>
      <c r="R73" s="141">
        <v>1</v>
      </c>
      <c r="S73" s="141">
        <v>1</v>
      </c>
      <c r="T73" s="141">
        <v>1</v>
      </c>
      <c r="U7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73" s="195">
        <v>46069</v>
      </c>
      <c r="W73" s="141" t="s">
        <v>2235</v>
      </c>
      <c r="X73" s="191" t="s">
        <v>5197</v>
      </c>
      <c r="Y73" s="191" t="s">
        <v>293</v>
      </c>
      <c r="Z73" s="191"/>
      <c r="AA73" s="192" t="s">
        <v>4347</v>
      </c>
      <c r="AB73" s="195">
        <v>45887</v>
      </c>
      <c r="AC73" s="196">
        <v>45897</v>
      </c>
      <c r="AD73" s="193">
        <f>IF(Referral4[[#This Row],[DOA
(mm-dd-yyy)]]="","",(Referral4[[#This Row],[DOD
(mm-dd-yyy)]]-Referral4[[#This Row],[DOA
(mm-dd-yyy)]])+1)</f>
        <v>11</v>
      </c>
      <c r="AE73" s="191" t="s">
        <v>5197</v>
      </c>
      <c r="AF73" s="191" t="s">
        <v>1699</v>
      </c>
      <c r="AG73" s="194" t="str">
        <f t="array" ref="AG73">IF(AF73="","",
IF(Y73="EmOC",VLOOKUP(AF73,Data_validation!$R$1:$S$93,2,FALSE),
IF(Y73="ECC",VLOOKUP(AF73,Data_validation!$T$1:$U$151,2,FALSE),
IF(Y73="Other",VLOOKUP(AF73,Data_validation!$V$1:$W$19,2,FALSE),
VLOOKUP(AF73,Data_validation!$X$1:$Y$3,2,FALSE)))))</f>
        <v>Trauma Cases</v>
      </c>
      <c r="AH73" s="191"/>
      <c r="AI73" s="191" t="s">
        <v>2238</v>
      </c>
      <c r="AJ73" s="141" t="s">
        <v>654</v>
      </c>
      <c r="AK73" s="141" t="s">
        <v>654</v>
      </c>
      <c r="AL73" s="141" t="s">
        <v>654</v>
      </c>
      <c r="AM73" s="141" t="s">
        <v>654</v>
      </c>
      <c r="AN73" s="195">
        <v>46069</v>
      </c>
      <c r="AO73" s="193" t="str">
        <f t="shared" ref="AO73:AO106" si="27">IF(AN73="","",TEXT(AN73,"mmmm"))</f>
        <v>February</v>
      </c>
      <c r="AP73" s="193">
        <f t="shared" ref="AP73:AP106" si="28">IF(AN73="","",YEAR(AN73))</f>
        <v>2026</v>
      </c>
      <c r="AQ73" s="198" t="str">
        <f>IF(Referral4[[#This Row],[Claimed_Date
(mmm-dd-yyy)]]="","",IF(AND(MONTH(Referral4[[#This Row],[Claimed_Date
(mmm-dd-yyy)]])&gt;4,MONTH(Referral4[[#This Row],[Claimed_Date
(mmm-dd-yyy)]])&lt;11),"S1","S2"))</f>
        <v>S2</v>
      </c>
      <c r="AR73" s="193">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11</v>
      </c>
      <c r="AS73" s="280"/>
      <c r="AT73" s="199">
        <v>140000</v>
      </c>
      <c r="AU73" s="200">
        <v>100000</v>
      </c>
      <c r="AV73" s="201">
        <f t="shared" ref="AV73:AV106" si="29">SUM(AT73,AU73)</f>
        <v>240000</v>
      </c>
      <c r="AW73" s="202"/>
      <c r="AX73" s="191"/>
      <c r="AY73" s="191"/>
      <c r="AZ73" s="191"/>
      <c r="BA73" s="191"/>
      <c r="BB73" s="191"/>
      <c r="BC73" s="191"/>
      <c r="BD73" s="191"/>
      <c r="BE73" s="193" t="str">
        <f t="shared" ref="BE73:BE106" si="30">IF(AND(AX73="",AY73="",AZ73="",BA73="",BB73="",BC73="",BD73=""),"",COUNTIFS(AX73:BD176,"Severe"))</f>
        <v/>
      </c>
      <c r="BF73" s="193" t="str">
        <f t="shared" ref="BF73:BF106" si="31">IF(AND(AX73="",AY73="",AZ73="",BA73="",BB73="",BC73="",BD73=""),"",COUNTIFS(AX73:BD176,"Very Severe"))</f>
        <v/>
      </c>
      <c r="BG73" s="193" t="str">
        <f t="shared" ref="BG73:BG106" si="32">IF(AND(BE73="",BF73=""),"",IF(AND(BE73&gt;0,BF73&gt;0),"Very Severe",IF(BE73&gt;=2,"Very Severe",IF(BF73&gt;0,"Very Severe",IF(AND(BE73=1,BF73=0),"Severe","Normal")))))</f>
        <v/>
      </c>
      <c r="BH73" s="194"/>
    </row>
    <row r="74" spans="1:60" x14ac:dyDescent="0.25">
      <c r="A74" s="279"/>
      <c r="B74" s="279"/>
      <c r="C74" s="191"/>
      <c r="D74" s="191"/>
      <c r="E74" s="191"/>
      <c r="F74" s="191"/>
      <c r="G74" s="191"/>
      <c r="H74" s="191"/>
      <c r="I74" s="192"/>
      <c r="J74" s="191"/>
      <c r="K74" s="191"/>
      <c r="L74" s="191"/>
      <c r="M74" s="219" t="str">
        <f t="shared" si="25"/>
        <v xml:space="preserve"> </v>
      </c>
      <c r="N74" s="194" t="str">
        <f t="shared" si="26"/>
        <v/>
      </c>
      <c r="O74" s="141">
        <v>1</v>
      </c>
      <c r="P74" s="141">
        <v>1</v>
      </c>
      <c r="Q74" s="141">
        <v>1</v>
      </c>
      <c r="R74" s="141">
        <v>1</v>
      </c>
      <c r="S74" s="141">
        <v>1</v>
      </c>
      <c r="T74" s="141">
        <v>1</v>
      </c>
      <c r="U7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No</v>
      </c>
      <c r="V74" s="195"/>
      <c r="W74" s="141" t="s">
        <v>2235</v>
      </c>
      <c r="X74" s="191"/>
      <c r="Y74" s="191"/>
      <c r="Z74" s="191"/>
      <c r="AA74" s="192"/>
      <c r="AB74" s="195"/>
      <c r="AC74" s="196"/>
      <c r="AD74" s="193" t="str">
        <f>IF(Referral4[[#This Row],[DOA
(mm-dd-yyy)]]="","",(Referral4[[#This Row],[DOD
(mm-dd-yyy)]]-Referral4[[#This Row],[DOA
(mm-dd-yyy)]])+1)</f>
        <v/>
      </c>
      <c r="AE74" s="197"/>
      <c r="AF74" s="191"/>
      <c r="AG74" s="194" t="str">
        <f t="array" ref="AG74">IF(AF74="","",
IF(Y74="EmOC",VLOOKUP(AF74,Data_validation!$R$1:$S$93,2,FALSE),
IF(Y74="ECC",VLOOKUP(AF74,Data_validation!$T$1:$U$151,2,FALSE),
IF(Y74="Other",VLOOKUP(AF74,Data_validation!$V$1:$W$19,2,FALSE),
VLOOKUP(AF74,Data_validation!$X$1:$Y$3,2,FALSE)))))</f>
        <v/>
      </c>
      <c r="AH74" s="191"/>
      <c r="AI74" s="191"/>
      <c r="AJ74" s="191"/>
      <c r="AK74" s="191"/>
      <c r="AL74" s="191"/>
      <c r="AM74" s="191"/>
      <c r="AN74" s="195"/>
      <c r="AO74" s="193" t="str">
        <f t="shared" si="27"/>
        <v/>
      </c>
      <c r="AP74" s="193" t="str">
        <f t="shared" si="28"/>
        <v/>
      </c>
      <c r="AQ74" s="198" t="str">
        <f>IF(Referral4[[#This Row],[Claimed_Date
(mmm-dd-yyy)]]="","",IF(AND(MONTH(Referral4[[#This Row],[Claimed_Date
(mmm-dd-yyy)]])&gt;4,MONTH(Referral4[[#This Row],[Claimed_Date
(mmm-dd-yyy)]])&lt;11),"S1","S2"))</f>
        <v/>
      </c>
      <c r="AR74"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4" s="280"/>
      <c r="AT74" s="199"/>
      <c r="AU74" s="200"/>
      <c r="AV74" s="201">
        <f t="shared" si="29"/>
        <v>0</v>
      </c>
      <c r="AW74" s="202"/>
      <c r="AX74" s="191"/>
      <c r="AY74" s="191"/>
      <c r="AZ74" s="191"/>
      <c r="BA74" s="191"/>
      <c r="BB74" s="191"/>
      <c r="BC74" s="191"/>
      <c r="BD74" s="191"/>
      <c r="BE74" s="193" t="str">
        <f t="shared" si="30"/>
        <v/>
      </c>
      <c r="BF74" s="193" t="str">
        <f t="shared" si="31"/>
        <v/>
      </c>
      <c r="BG74" s="193" t="str">
        <f t="shared" si="32"/>
        <v/>
      </c>
      <c r="BH74" s="194"/>
    </row>
    <row r="75" spans="1:60" x14ac:dyDescent="0.25">
      <c r="A75" s="279"/>
      <c r="B75" s="279"/>
      <c r="C75" s="191"/>
      <c r="D75" s="191"/>
      <c r="E75" s="191"/>
      <c r="F75" s="191"/>
      <c r="G75" s="191"/>
      <c r="H75" s="191"/>
      <c r="I75" s="192"/>
      <c r="J75" s="191"/>
      <c r="K75" s="191"/>
      <c r="L75" s="191"/>
      <c r="M75" s="219" t="str">
        <f t="shared" si="25"/>
        <v xml:space="preserve"> </v>
      </c>
      <c r="N75" s="194" t="str">
        <f t="shared" si="26"/>
        <v/>
      </c>
      <c r="O75" s="191"/>
      <c r="P75" s="191"/>
      <c r="Q75" s="191"/>
      <c r="R75" s="191"/>
      <c r="S75" s="191"/>
      <c r="T75" s="191"/>
      <c r="U7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75" s="195"/>
      <c r="W75" s="191"/>
      <c r="X75" s="191"/>
      <c r="Y75" s="191"/>
      <c r="Z75" s="191"/>
      <c r="AA75" s="192"/>
      <c r="AB75" s="195"/>
      <c r="AC75" s="196"/>
      <c r="AD75" s="193" t="str">
        <f>IF(Referral4[[#This Row],[DOA
(mm-dd-yyy)]]="","",(Referral4[[#This Row],[DOD
(mm-dd-yyy)]]-Referral4[[#This Row],[DOA
(mm-dd-yyy)]])+1)</f>
        <v/>
      </c>
      <c r="AE75" s="197"/>
      <c r="AF75" s="191"/>
      <c r="AG75" s="194" t="str">
        <f t="array" ref="AG75">IF(AF75="","",
IF(Y75="EmOC",VLOOKUP(AF75,Data_validation!$R$1:$S$93,2,FALSE),
IF(Y75="ECC",VLOOKUP(AF75,Data_validation!$T$1:$U$151,2,FALSE),
IF(Y75="Other",VLOOKUP(AF75,Data_validation!$V$1:$W$19,2,FALSE),
VLOOKUP(AF75,Data_validation!$X$1:$Y$3,2,FALSE)))))</f>
        <v/>
      </c>
      <c r="AH75" s="191"/>
      <c r="AI75" s="191"/>
      <c r="AJ75" s="191"/>
      <c r="AK75" s="191"/>
      <c r="AL75" s="191"/>
      <c r="AM75" s="191"/>
      <c r="AN75" s="195"/>
      <c r="AO75" s="193" t="str">
        <f t="shared" si="27"/>
        <v/>
      </c>
      <c r="AP75" s="193" t="str">
        <f t="shared" si="28"/>
        <v/>
      </c>
      <c r="AQ75" s="198" t="str">
        <f>IF(Referral4[[#This Row],[Claimed_Date
(mmm-dd-yyy)]]="","",IF(AND(MONTH(Referral4[[#This Row],[Claimed_Date
(mmm-dd-yyy)]])&gt;4,MONTH(Referral4[[#This Row],[Claimed_Date
(mmm-dd-yyy)]])&lt;11),"S1","S2"))</f>
        <v/>
      </c>
      <c r="AR75"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5" s="280"/>
      <c r="AT75" s="199"/>
      <c r="AU75" s="200"/>
      <c r="AV75" s="201">
        <f t="shared" si="29"/>
        <v>0</v>
      </c>
      <c r="AW75" s="202"/>
      <c r="AX75" s="191"/>
      <c r="AY75" s="191"/>
      <c r="AZ75" s="191"/>
      <c r="BA75" s="191"/>
      <c r="BB75" s="191"/>
      <c r="BC75" s="191"/>
      <c r="BD75" s="191"/>
      <c r="BE75" s="193" t="str">
        <f t="shared" si="30"/>
        <v/>
      </c>
      <c r="BF75" s="193" t="str">
        <f t="shared" si="31"/>
        <v/>
      </c>
      <c r="BG75" s="193" t="str">
        <f t="shared" si="32"/>
        <v/>
      </c>
      <c r="BH75" s="194"/>
    </row>
    <row r="76" spans="1:60" x14ac:dyDescent="0.25">
      <c r="A76" s="279"/>
      <c r="B76" s="279"/>
      <c r="C76" s="191"/>
      <c r="D76" s="191"/>
      <c r="E76" s="191"/>
      <c r="F76" s="191"/>
      <c r="G76" s="191"/>
      <c r="H76" s="191"/>
      <c r="I76" s="192"/>
      <c r="J76" s="191"/>
      <c r="K76" s="191"/>
      <c r="L76" s="191"/>
      <c r="M76" s="219" t="str">
        <f t="shared" si="25"/>
        <v xml:space="preserve"> </v>
      </c>
      <c r="N76" s="194" t="str">
        <f t="shared" si="26"/>
        <v/>
      </c>
      <c r="O76" s="191"/>
      <c r="P76" s="191"/>
      <c r="Q76" s="191"/>
      <c r="R76" s="191"/>
      <c r="S76" s="191"/>
      <c r="T76" s="191"/>
      <c r="U7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76" s="195"/>
      <c r="W76" s="191"/>
      <c r="X76" s="191"/>
      <c r="Y76" s="191"/>
      <c r="Z76" s="191"/>
      <c r="AA76" s="192"/>
      <c r="AB76" s="195"/>
      <c r="AC76" s="196"/>
      <c r="AD76" s="193" t="str">
        <f>IF(Referral4[[#This Row],[DOA
(mm-dd-yyy)]]="","",(Referral4[[#This Row],[DOD
(mm-dd-yyy)]]-Referral4[[#This Row],[DOA
(mm-dd-yyy)]])+1)</f>
        <v/>
      </c>
      <c r="AE76" s="197"/>
      <c r="AF76" s="191"/>
      <c r="AG76" s="194" t="str">
        <f t="array" ref="AG76">IF(AF76="","",
IF(Y76="EmOC",VLOOKUP(AF76,Data_validation!$R$1:$S$93,2,FALSE),
IF(Y76="ECC",VLOOKUP(AF76,Data_validation!$T$1:$U$151,2,FALSE),
IF(Y76="Other",VLOOKUP(AF76,Data_validation!$V$1:$W$19,2,FALSE),
VLOOKUP(AF76,Data_validation!$X$1:$Y$3,2,FALSE)))))</f>
        <v/>
      </c>
      <c r="AH76" s="191"/>
      <c r="AI76" s="191"/>
      <c r="AJ76" s="191"/>
      <c r="AK76" s="191"/>
      <c r="AL76" s="191"/>
      <c r="AM76" s="191"/>
      <c r="AN76" s="195"/>
      <c r="AO76" s="193" t="str">
        <f t="shared" si="27"/>
        <v/>
      </c>
      <c r="AP76" s="193" t="str">
        <f t="shared" si="28"/>
        <v/>
      </c>
      <c r="AQ76" s="198" t="str">
        <f>IF(Referral4[[#This Row],[Claimed_Date
(mmm-dd-yyy)]]="","",IF(AND(MONTH(Referral4[[#This Row],[Claimed_Date
(mmm-dd-yyy)]])&gt;4,MONTH(Referral4[[#This Row],[Claimed_Date
(mmm-dd-yyy)]])&lt;11),"S1","S2"))</f>
        <v/>
      </c>
      <c r="AR76"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6" s="280"/>
      <c r="AT76" s="199"/>
      <c r="AU76" s="200"/>
      <c r="AV76" s="201">
        <f t="shared" si="29"/>
        <v>0</v>
      </c>
      <c r="AW76" s="202"/>
      <c r="AX76" s="191"/>
      <c r="AY76" s="191"/>
      <c r="AZ76" s="191"/>
      <c r="BA76" s="191"/>
      <c r="BB76" s="191"/>
      <c r="BC76" s="191"/>
      <c r="BD76" s="191"/>
      <c r="BE76" s="193" t="str">
        <f t="shared" si="30"/>
        <v/>
      </c>
      <c r="BF76" s="193" t="str">
        <f t="shared" si="31"/>
        <v/>
      </c>
      <c r="BG76" s="193" t="str">
        <f t="shared" si="32"/>
        <v/>
      </c>
      <c r="BH76" s="194"/>
    </row>
    <row r="77" spans="1:60" x14ac:dyDescent="0.25">
      <c r="A77" s="279"/>
      <c r="B77" s="279"/>
      <c r="C77" s="191"/>
      <c r="D77" s="191"/>
      <c r="E77" s="191"/>
      <c r="F77" s="191"/>
      <c r="G77" s="191"/>
      <c r="H77" s="191"/>
      <c r="I77" s="192"/>
      <c r="J77" s="191"/>
      <c r="K77" s="191"/>
      <c r="L77" s="191"/>
      <c r="M77" s="219" t="str">
        <f t="shared" si="25"/>
        <v xml:space="preserve"> </v>
      </c>
      <c r="N77" s="194" t="str">
        <f t="shared" si="26"/>
        <v/>
      </c>
      <c r="O77" s="191"/>
      <c r="P77" s="191"/>
      <c r="Q77" s="191"/>
      <c r="R77" s="191"/>
      <c r="S77" s="191"/>
      <c r="T77" s="191"/>
      <c r="U7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77" s="195"/>
      <c r="W77" s="191"/>
      <c r="X77" s="191"/>
      <c r="Y77" s="191"/>
      <c r="Z77" s="191"/>
      <c r="AA77" s="192"/>
      <c r="AB77" s="195"/>
      <c r="AC77" s="196"/>
      <c r="AD77" s="193" t="str">
        <f>IF(Referral4[[#This Row],[DOA
(mm-dd-yyy)]]="","",(Referral4[[#This Row],[DOD
(mm-dd-yyy)]]-Referral4[[#This Row],[DOA
(mm-dd-yyy)]])+1)</f>
        <v/>
      </c>
      <c r="AE77" s="197"/>
      <c r="AF77" s="191"/>
      <c r="AG77" s="194" t="str">
        <f t="array" ref="AG77">IF(AF77="","",
IF(Y77="EmOC",VLOOKUP(AF77,Data_validation!$R$1:$S$93,2,FALSE),
IF(Y77="ECC",VLOOKUP(AF77,Data_validation!$T$1:$U$151,2,FALSE),
IF(Y77="Other",VLOOKUP(AF77,Data_validation!$V$1:$W$19,2,FALSE),
VLOOKUP(AF77,Data_validation!$X$1:$Y$3,2,FALSE)))))</f>
        <v/>
      </c>
      <c r="AH77" s="191"/>
      <c r="AI77" s="191"/>
      <c r="AJ77" s="191"/>
      <c r="AK77" s="191"/>
      <c r="AL77" s="191"/>
      <c r="AM77" s="191"/>
      <c r="AN77" s="195"/>
      <c r="AO77" s="193" t="str">
        <f t="shared" si="27"/>
        <v/>
      </c>
      <c r="AP77" s="193" t="str">
        <f t="shared" si="28"/>
        <v/>
      </c>
      <c r="AQ77" s="198" t="str">
        <f>IF(Referral4[[#This Row],[Claimed_Date
(mmm-dd-yyy)]]="","",IF(AND(MONTH(Referral4[[#This Row],[Claimed_Date
(mmm-dd-yyy)]])&gt;4,MONTH(Referral4[[#This Row],[Claimed_Date
(mmm-dd-yyy)]])&lt;11),"S1","S2"))</f>
        <v/>
      </c>
      <c r="AR77"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7" s="280"/>
      <c r="AT77" s="199"/>
      <c r="AU77" s="200"/>
      <c r="AV77" s="201">
        <f t="shared" si="29"/>
        <v>0</v>
      </c>
      <c r="AW77" s="202"/>
      <c r="AX77" s="191"/>
      <c r="AY77" s="191"/>
      <c r="AZ77" s="191"/>
      <c r="BA77" s="191"/>
      <c r="BB77" s="191"/>
      <c r="BC77" s="191"/>
      <c r="BD77" s="191"/>
      <c r="BE77" s="193" t="str">
        <f t="shared" si="30"/>
        <v/>
      </c>
      <c r="BF77" s="193" t="str">
        <f t="shared" si="31"/>
        <v/>
      </c>
      <c r="BG77" s="193" t="str">
        <f t="shared" si="32"/>
        <v/>
      </c>
      <c r="BH77" s="194"/>
    </row>
    <row r="78" spans="1:60" x14ac:dyDescent="0.25">
      <c r="A78" s="279"/>
      <c r="B78" s="279"/>
      <c r="C78" s="191"/>
      <c r="D78" s="191"/>
      <c r="E78" s="191"/>
      <c r="F78" s="191"/>
      <c r="G78" s="191"/>
      <c r="H78" s="191"/>
      <c r="I78" s="192"/>
      <c r="J78" s="191"/>
      <c r="K78" s="191"/>
      <c r="L78" s="191"/>
      <c r="M78" s="219" t="str">
        <f t="shared" si="25"/>
        <v xml:space="preserve"> </v>
      </c>
      <c r="N78" s="194" t="str">
        <f t="shared" si="26"/>
        <v/>
      </c>
      <c r="O78" s="191"/>
      <c r="P78" s="191"/>
      <c r="Q78" s="191"/>
      <c r="R78" s="191"/>
      <c r="S78" s="191"/>
      <c r="T78" s="191"/>
      <c r="U7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78" s="195"/>
      <c r="W78" s="191"/>
      <c r="X78" s="191"/>
      <c r="Y78" s="191"/>
      <c r="Z78" s="191"/>
      <c r="AA78" s="192"/>
      <c r="AB78" s="195"/>
      <c r="AC78" s="196"/>
      <c r="AD78" s="193" t="str">
        <f>IF(Referral4[[#This Row],[DOA
(mm-dd-yyy)]]="","",(Referral4[[#This Row],[DOD
(mm-dd-yyy)]]-Referral4[[#This Row],[DOA
(mm-dd-yyy)]])+1)</f>
        <v/>
      </c>
      <c r="AE78" s="197"/>
      <c r="AF78" s="191"/>
      <c r="AG78" s="194" t="str">
        <f t="array" ref="AG78">IF(AF78="","",
IF(Y78="EmOC",VLOOKUP(AF78,Data_validation!$R$1:$S$93,2,FALSE),
IF(Y78="ECC",VLOOKUP(AF78,Data_validation!$T$1:$U$151,2,FALSE),
IF(Y78="Other",VLOOKUP(AF78,Data_validation!$V$1:$W$19,2,FALSE),
VLOOKUP(AF78,Data_validation!$X$1:$Y$3,2,FALSE)))))</f>
        <v/>
      </c>
      <c r="AH78" s="191"/>
      <c r="AI78" s="191"/>
      <c r="AJ78" s="191"/>
      <c r="AK78" s="191"/>
      <c r="AL78" s="191"/>
      <c r="AM78" s="191"/>
      <c r="AN78" s="195"/>
      <c r="AO78" s="193" t="str">
        <f t="shared" si="27"/>
        <v/>
      </c>
      <c r="AP78" s="193" t="str">
        <f t="shared" si="28"/>
        <v/>
      </c>
      <c r="AQ78" s="198" t="str">
        <f>IF(Referral4[[#This Row],[Claimed_Date
(mmm-dd-yyy)]]="","",IF(AND(MONTH(Referral4[[#This Row],[Claimed_Date
(mmm-dd-yyy)]])&gt;4,MONTH(Referral4[[#This Row],[Claimed_Date
(mmm-dd-yyy)]])&lt;11),"S1","S2"))</f>
        <v/>
      </c>
      <c r="AR78"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8" s="280"/>
      <c r="AT78" s="199"/>
      <c r="AU78" s="200"/>
      <c r="AV78" s="201">
        <f t="shared" si="29"/>
        <v>0</v>
      </c>
      <c r="AW78" s="202"/>
      <c r="AX78" s="191"/>
      <c r="AY78" s="191"/>
      <c r="AZ78" s="191"/>
      <c r="BA78" s="191"/>
      <c r="BB78" s="191"/>
      <c r="BC78" s="191"/>
      <c r="BD78" s="191"/>
      <c r="BE78" s="193" t="str">
        <f t="shared" si="30"/>
        <v/>
      </c>
      <c r="BF78" s="193" t="str">
        <f t="shared" si="31"/>
        <v/>
      </c>
      <c r="BG78" s="193" t="str">
        <f t="shared" si="32"/>
        <v/>
      </c>
      <c r="BH78" s="194"/>
    </row>
    <row r="79" spans="1:60" x14ac:dyDescent="0.25">
      <c r="A79" s="279"/>
      <c r="B79" s="279"/>
      <c r="C79" s="191"/>
      <c r="D79" s="191"/>
      <c r="E79" s="191"/>
      <c r="F79" s="191"/>
      <c r="G79" s="191"/>
      <c r="H79" s="191"/>
      <c r="I79" s="192"/>
      <c r="J79" s="191"/>
      <c r="K79" s="191"/>
      <c r="L79" s="191"/>
      <c r="M79" s="219" t="str">
        <f t="shared" si="25"/>
        <v xml:space="preserve"> </v>
      </c>
      <c r="N79" s="194" t="str">
        <f t="shared" si="26"/>
        <v/>
      </c>
      <c r="O79" s="191"/>
      <c r="P79" s="191"/>
      <c r="Q79" s="191"/>
      <c r="R79" s="191"/>
      <c r="S79" s="191"/>
      <c r="T79" s="191"/>
      <c r="U7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79" s="195"/>
      <c r="W79" s="191"/>
      <c r="X79" s="191"/>
      <c r="Y79" s="191"/>
      <c r="Z79" s="191"/>
      <c r="AA79" s="192"/>
      <c r="AB79" s="195"/>
      <c r="AC79" s="196"/>
      <c r="AD79" s="193" t="str">
        <f>IF(Referral4[[#This Row],[DOA
(mm-dd-yyy)]]="","",(Referral4[[#This Row],[DOD
(mm-dd-yyy)]]-Referral4[[#This Row],[DOA
(mm-dd-yyy)]])+1)</f>
        <v/>
      </c>
      <c r="AE79" s="197"/>
      <c r="AF79" s="191"/>
      <c r="AG79" s="194" t="str">
        <f t="array" ref="AG79">IF(AF79="","",
IF(Y79="EmOC",VLOOKUP(AF79,Data_validation!$R$1:$S$93,2,FALSE),
IF(Y79="ECC",VLOOKUP(AF79,Data_validation!$T$1:$U$151,2,FALSE),
IF(Y79="Other",VLOOKUP(AF79,Data_validation!$V$1:$W$19,2,FALSE),
VLOOKUP(AF79,Data_validation!$X$1:$Y$3,2,FALSE)))))</f>
        <v/>
      </c>
      <c r="AH79" s="191"/>
      <c r="AI79" s="191"/>
      <c r="AJ79" s="191"/>
      <c r="AK79" s="191"/>
      <c r="AL79" s="191"/>
      <c r="AM79" s="191"/>
      <c r="AN79" s="195"/>
      <c r="AO79" s="193" t="str">
        <f t="shared" si="27"/>
        <v/>
      </c>
      <c r="AP79" s="193" t="str">
        <f t="shared" si="28"/>
        <v/>
      </c>
      <c r="AQ79" s="198" t="str">
        <f>IF(Referral4[[#This Row],[Claimed_Date
(mmm-dd-yyy)]]="","",IF(AND(MONTH(Referral4[[#This Row],[Claimed_Date
(mmm-dd-yyy)]])&gt;4,MONTH(Referral4[[#This Row],[Claimed_Date
(mmm-dd-yyy)]])&lt;11),"S1","S2"))</f>
        <v/>
      </c>
      <c r="AR79"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79" s="280"/>
      <c r="AT79" s="199"/>
      <c r="AU79" s="200"/>
      <c r="AV79" s="201">
        <f t="shared" si="29"/>
        <v>0</v>
      </c>
      <c r="AW79" s="202"/>
      <c r="AX79" s="191"/>
      <c r="AY79" s="191"/>
      <c r="AZ79" s="191"/>
      <c r="BA79" s="191"/>
      <c r="BB79" s="191"/>
      <c r="BC79" s="191"/>
      <c r="BD79" s="191"/>
      <c r="BE79" s="193" t="str">
        <f t="shared" si="30"/>
        <v/>
      </c>
      <c r="BF79" s="193" t="str">
        <f t="shared" si="31"/>
        <v/>
      </c>
      <c r="BG79" s="193" t="str">
        <f t="shared" si="32"/>
        <v/>
      </c>
      <c r="BH79" s="194"/>
    </row>
    <row r="80" spans="1:60" x14ac:dyDescent="0.25">
      <c r="A80" s="279"/>
      <c r="B80" s="279"/>
      <c r="C80" s="191"/>
      <c r="D80" s="191"/>
      <c r="E80" s="191"/>
      <c r="F80" s="191"/>
      <c r="G80" s="191"/>
      <c r="H80" s="191"/>
      <c r="I80" s="192"/>
      <c r="J80" s="191"/>
      <c r="K80" s="191"/>
      <c r="L80" s="191"/>
      <c r="M80" s="219" t="str">
        <f t="shared" si="25"/>
        <v xml:space="preserve"> </v>
      </c>
      <c r="N80" s="194" t="str">
        <f t="shared" si="26"/>
        <v/>
      </c>
      <c r="O80" s="191"/>
      <c r="P80" s="191"/>
      <c r="Q80" s="191"/>
      <c r="R80" s="191"/>
      <c r="S80" s="191"/>
      <c r="T80" s="191"/>
      <c r="U8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0" s="195"/>
      <c r="W80" s="191"/>
      <c r="X80" s="191"/>
      <c r="Y80" s="191"/>
      <c r="Z80" s="191"/>
      <c r="AA80" s="192"/>
      <c r="AB80" s="195"/>
      <c r="AC80" s="196"/>
      <c r="AD80" s="193" t="str">
        <f>IF(Referral4[[#This Row],[DOA
(mm-dd-yyy)]]="","",(Referral4[[#This Row],[DOD
(mm-dd-yyy)]]-Referral4[[#This Row],[DOA
(mm-dd-yyy)]])+1)</f>
        <v/>
      </c>
      <c r="AE80" s="197"/>
      <c r="AF80" s="191"/>
      <c r="AG80" s="194" t="str">
        <f t="array" ref="AG80">IF(AF80="","",
IF(Y80="EmOC",VLOOKUP(AF80,Data_validation!$R$1:$S$93,2,FALSE),
IF(Y80="ECC",VLOOKUP(AF80,Data_validation!$T$1:$U$151,2,FALSE),
IF(Y80="Other",VLOOKUP(AF80,Data_validation!$V$1:$W$19,2,FALSE),
VLOOKUP(AF80,Data_validation!$X$1:$Y$3,2,FALSE)))))</f>
        <v/>
      </c>
      <c r="AH80" s="191"/>
      <c r="AI80" s="191"/>
      <c r="AJ80" s="191"/>
      <c r="AK80" s="191"/>
      <c r="AL80" s="191"/>
      <c r="AM80" s="191"/>
      <c r="AN80" s="195"/>
      <c r="AO80" s="193" t="str">
        <f t="shared" si="27"/>
        <v/>
      </c>
      <c r="AP80" s="193" t="str">
        <f t="shared" si="28"/>
        <v/>
      </c>
      <c r="AQ80" s="198" t="str">
        <f>IF(Referral4[[#This Row],[Claimed_Date
(mmm-dd-yyy)]]="","",IF(AND(MONTH(Referral4[[#This Row],[Claimed_Date
(mmm-dd-yyy)]])&gt;4,MONTH(Referral4[[#This Row],[Claimed_Date
(mmm-dd-yyy)]])&lt;11),"S1","S2"))</f>
        <v/>
      </c>
      <c r="AR80"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0" s="280"/>
      <c r="AT80" s="199"/>
      <c r="AU80" s="200"/>
      <c r="AV80" s="201">
        <f t="shared" si="29"/>
        <v>0</v>
      </c>
      <c r="AW80" s="202"/>
      <c r="AX80" s="191"/>
      <c r="AY80" s="191"/>
      <c r="AZ80" s="191"/>
      <c r="BA80" s="191"/>
      <c r="BB80" s="191"/>
      <c r="BC80" s="191"/>
      <c r="BD80" s="191"/>
      <c r="BE80" s="193" t="str">
        <f t="shared" si="30"/>
        <v/>
      </c>
      <c r="BF80" s="193" t="str">
        <f t="shared" si="31"/>
        <v/>
      </c>
      <c r="BG80" s="193" t="str">
        <f t="shared" si="32"/>
        <v/>
      </c>
      <c r="BH80" s="194"/>
    </row>
    <row r="81" spans="1:60" x14ac:dyDescent="0.25">
      <c r="A81" s="279"/>
      <c r="B81" s="279"/>
      <c r="C81" s="191"/>
      <c r="D81" s="191"/>
      <c r="E81" s="191"/>
      <c r="F81" s="191"/>
      <c r="G81" s="191"/>
      <c r="H81" s="191"/>
      <c r="I81" s="192"/>
      <c r="J81" s="191"/>
      <c r="K81" s="191"/>
      <c r="L81" s="191"/>
      <c r="M81" s="219" t="str">
        <f t="shared" si="25"/>
        <v xml:space="preserve"> </v>
      </c>
      <c r="N81" s="194" t="str">
        <f t="shared" si="26"/>
        <v/>
      </c>
      <c r="O81" s="191"/>
      <c r="P81" s="191"/>
      <c r="Q81" s="191"/>
      <c r="R81" s="191"/>
      <c r="S81" s="191"/>
      <c r="T81" s="191"/>
      <c r="U8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1" s="195"/>
      <c r="W81" s="191"/>
      <c r="X81" s="191"/>
      <c r="Y81" s="191"/>
      <c r="Z81" s="191"/>
      <c r="AA81" s="192"/>
      <c r="AB81" s="195"/>
      <c r="AC81" s="196"/>
      <c r="AD81" s="193" t="str">
        <f>IF(Referral4[[#This Row],[DOA
(mm-dd-yyy)]]="","",(Referral4[[#This Row],[DOD
(mm-dd-yyy)]]-Referral4[[#This Row],[DOA
(mm-dd-yyy)]])+1)</f>
        <v/>
      </c>
      <c r="AE81" s="197"/>
      <c r="AF81" s="191"/>
      <c r="AG81" s="194" t="str">
        <f t="array" ref="AG81">IF(AF81="","",
IF(Y81="EmOC",VLOOKUP(AF81,Data_validation!$R$1:$S$93,2,FALSE),
IF(Y81="ECC",VLOOKUP(AF81,Data_validation!$T$1:$U$151,2,FALSE),
IF(Y81="Other",VLOOKUP(AF81,Data_validation!$V$1:$W$19,2,FALSE),
VLOOKUP(AF81,Data_validation!$X$1:$Y$3,2,FALSE)))))</f>
        <v/>
      </c>
      <c r="AH81" s="191"/>
      <c r="AI81" s="191"/>
      <c r="AJ81" s="191"/>
      <c r="AK81" s="191"/>
      <c r="AL81" s="191"/>
      <c r="AM81" s="191"/>
      <c r="AN81" s="195"/>
      <c r="AO81" s="193" t="str">
        <f t="shared" si="27"/>
        <v/>
      </c>
      <c r="AP81" s="193" t="str">
        <f t="shared" si="28"/>
        <v/>
      </c>
      <c r="AQ81" s="198" t="str">
        <f>IF(Referral4[[#This Row],[Claimed_Date
(mmm-dd-yyy)]]="","",IF(AND(MONTH(Referral4[[#This Row],[Claimed_Date
(mmm-dd-yyy)]])&gt;4,MONTH(Referral4[[#This Row],[Claimed_Date
(mmm-dd-yyy)]])&lt;11),"S1","S2"))</f>
        <v/>
      </c>
      <c r="AR81"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1" s="280"/>
      <c r="AT81" s="199"/>
      <c r="AU81" s="200"/>
      <c r="AV81" s="201">
        <f t="shared" si="29"/>
        <v>0</v>
      </c>
      <c r="AW81" s="202"/>
      <c r="AX81" s="191"/>
      <c r="AY81" s="191"/>
      <c r="AZ81" s="191"/>
      <c r="BA81" s="191"/>
      <c r="BB81" s="191"/>
      <c r="BC81" s="191"/>
      <c r="BD81" s="191"/>
      <c r="BE81" s="193" t="str">
        <f t="shared" si="30"/>
        <v/>
      </c>
      <c r="BF81" s="193" t="str">
        <f t="shared" si="31"/>
        <v/>
      </c>
      <c r="BG81" s="193" t="str">
        <f t="shared" si="32"/>
        <v/>
      </c>
      <c r="BH81" s="194"/>
    </row>
    <row r="82" spans="1:60" x14ac:dyDescent="0.25">
      <c r="A82" s="279"/>
      <c r="B82" s="279"/>
      <c r="C82" s="191"/>
      <c r="D82" s="191"/>
      <c r="E82" s="191"/>
      <c r="F82" s="191"/>
      <c r="G82" s="191"/>
      <c r="H82" s="191"/>
      <c r="I82" s="192"/>
      <c r="J82" s="191"/>
      <c r="K82" s="191"/>
      <c r="L82" s="191"/>
      <c r="M82" s="219" t="str">
        <f t="shared" si="25"/>
        <v xml:space="preserve"> </v>
      </c>
      <c r="N82" s="194" t="str">
        <f t="shared" si="26"/>
        <v/>
      </c>
      <c r="O82" s="191"/>
      <c r="P82" s="191"/>
      <c r="Q82" s="191"/>
      <c r="R82" s="191"/>
      <c r="S82" s="191"/>
      <c r="T82" s="191"/>
      <c r="U8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2" s="195"/>
      <c r="W82" s="191"/>
      <c r="X82" s="191"/>
      <c r="Y82" s="191"/>
      <c r="Z82" s="191"/>
      <c r="AA82" s="192"/>
      <c r="AB82" s="195"/>
      <c r="AC82" s="196"/>
      <c r="AD82" s="193" t="str">
        <f>IF(Referral4[[#This Row],[DOA
(mm-dd-yyy)]]="","",(Referral4[[#This Row],[DOD
(mm-dd-yyy)]]-Referral4[[#This Row],[DOA
(mm-dd-yyy)]])+1)</f>
        <v/>
      </c>
      <c r="AE82" s="197"/>
      <c r="AF82" s="191"/>
      <c r="AG82" s="194" t="str">
        <f t="array" ref="AG82">IF(AF82="","",
IF(Y82="EmOC",VLOOKUP(AF82,Data_validation!$R$1:$S$93,2,FALSE),
IF(Y82="ECC",VLOOKUP(AF82,Data_validation!$T$1:$U$151,2,FALSE),
IF(Y82="Other",VLOOKUP(AF82,Data_validation!$V$1:$W$19,2,FALSE),
VLOOKUP(AF82,Data_validation!$X$1:$Y$3,2,FALSE)))))</f>
        <v/>
      </c>
      <c r="AH82" s="191"/>
      <c r="AI82" s="191"/>
      <c r="AJ82" s="191"/>
      <c r="AK82" s="191"/>
      <c r="AL82" s="191"/>
      <c r="AM82" s="191"/>
      <c r="AN82" s="195"/>
      <c r="AO82" s="193" t="str">
        <f t="shared" si="27"/>
        <v/>
      </c>
      <c r="AP82" s="193" t="str">
        <f t="shared" si="28"/>
        <v/>
      </c>
      <c r="AQ82" s="198" t="str">
        <f>IF(Referral4[[#This Row],[Claimed_Date
(mmm-dd-yyy)]]="","",IF(AND(MONTH(Referral4[[#This Row],[Claimed_Date
(mmm-dd-yyy)]])&gt;4,MONTH(Referral4[[#This Row],[Claimed_Date
(mmm-dd-yyy)]])&lt;11),"S1","S2"))</f>
        <v/>
      </c>
      <c r="AR82"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2" s="280"/>
      <c r="AT82" s="199"/>
      <c r="AU82" s="200"/>
      <c r="AV82" s="201">
        <f t="shared" si="29"/>
        <v>0</v>
      </c>
      <c r="AW82" s="202"/>
      <c r="AX82" s="191"/>
      <c r="AY82" s="191"/>
      <c r="AZ82" s="191"/>
      <c r="BA82" s="191"/>
      <c r="BB82" s="191"/>
      <c r="BC82" s="191"/>
      <c r="BD82" s="191"/>
      <c r="BE82" s="193" t="str">
        <f t="shared" si="30"/>
        <v/>
      </c>
      <c r="BF82" s="193" t="str">
        <f t="shared" si="31"/>
        <v/>
      </c>
      <c r="BG82" s="193" t="str">
        <f t="shared" si="32"/>
        <v/>
      </c>
      <c r="BH82" s="194"/>
    </row>
    <row r="83" spans="1:60" x14ac:dyDescent="0.25">
      <c r="A83" s="279"/>
      <c r="B83" s="279"/>
      <c r="C83" s="191"/>
      <c r="D83" s="191"/>
      <c r="E83" s="191"/>
      <c r="F83" s="191"/>
      <c r="G83" s="191"/>
      <c r="H83" s="191"/>
      <c r="I83" s="192"/>
      <c r="J83" s="191"/>
      <c r="K83" s="191"/>
      <c r="L83" s="191"/>
      <c r="M83" s="219" t="str">
        <f t="shared" si="25"/>
        <v xml:space="preserve"> </v>
      </c>
      <c r="N83" s="194" t="str">
        <f t="shared" si="26"/>
        <v/>
      </c>
      <c r="O83" s="191"/>
      <c r="P83" s="191"/>
      <c r="Q83" s="191"/>
      <c r="R83" s="191"/>
      <c r="S83" s="191"/>
      <c r="T83" s="191"/>
      <c r="U8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3" s="195"/>
      <c r="W83" s="191"/>
      <c r="X83" s="191"/>
      <c r="Y83" s="191"/>
      <c r="Z83" s="191"/>
      <c r="AA83" s="192"/>
      <c r="AB83" s="195"/>
      <c r="AC83" s="196"/>
      <c r="AD83" s="193" t="str">
        <f>IF(Referral4[[#This Row],[DOA
(mm-dd-yyy)]]="","",(Referral4[[#This Row],[DOD
(mm-dd-yyy)]]-Referral4[[#This Row],[DOA
(mm-dd-yyy)]])+1)</f>
        <v/>
      </c>
      <c r="AE83" s="197"/>
      <c r="AF83" s="191"/>
      <c r="AG83" s="194" t="str">
        <f t="array" ref="AG83">IF(AF83="","",
IF(Y83="EmOC",VLOOKUP(AF83,Data_validation!$R$1:$S$93,2,FALSE),
IF(Y83="ECC",VLOOKUP(AF83,Data_validation!$T$1:$U$151,2,FALSE),
IF(Y83="Other",VLOOKUP(AF83,Data_validation!$V$1:$W$19,2,FALSE),
VLOOKUP(AF83,Data_validation!$X$1:$Y$3,2,FALSE)))))</f>
        <v/>
      </c>
      <c r="AH83" s="191"/>
      <c r="AI83" s="191"/>
      <c r="AJ83" s="191"/>
      <c r="AK83" s="191"/>
      <c r="AL83" s="191"/>
      <c r="AM83" s="191"/>
      <c r="AN83" s="195"/>
      <c r="AO83" s="193" t="str">
        <f t="shared" si="27"/>
        <v/>
      </c>
      <c r="AP83" s="193" t="str">
        <f t="shared" si="28"/>
        <v/>
      </c>
      <c r="AQ83" s="198" t="str">
        <f>IF(Referral4[[#This Row],[Claimed_Date
(mmm-dd-yyy)]]="","",IF(AND(MONTH(Referral4[[#This Row],[Claimed_Date
(mmm-dd-yyy)]])&gt;4,MONTH(Referral4[[#This Row],[Claimed_Date
(mmm-dd-yyy)]])&lt;11),"S1","S2"))</f>
        <v/>
      </c>
      <c r="AR83"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3" s="280"/>
      <c r="AT83" s="199"/>
      <c r="AU83" s="200"/>
      <c r="AV83" s="201">
        <f t="shared" si="29"/>
        <v>0</v>
      </c>
      <c r="AW83" s="202"/>
      <c r="AX83" s="191"/>
      <c r="AY83" s="191"/>
      <c r="AZ83" s="191"/>
      <c r="BA83" s="191"/>
      <c r="BB83" s="191"/>
      <c r="BC83" s="191"/>
      <c r="BD83" s="191"/>
      <c r="BE83" s="193" t="str">
        <f t="shared" si="30"/>
        <v/>
      </c>
      <c r="BF83" s="193" t="str">
        <f t="shared" si="31"/>
        <v/>
      </c>
      <c r="BG83" s="193" t="str">
        <f t="shared" si="32"/>
        <v/>
      </c>
      <c r="BH83" s="194"/>
    </row>
    <row r="84" spans="1:60" x14ac:dyDescent="0.25">
      <c r="A84" s="279"/>
      <c r="B84" s="279"/>
      <c r="C84" s="191"/>
      <c r="D84" s="191"/>
      <c r="E84" s="191"/>
      <c r="F84" s="191"/>
      <c r="G84" s="191"/>
      <c r="H84" s="191"/>
      <c r="I84" s="192"/>
      <c r="J84" s="191"/>
      <c r="K84" s="191"/>
      <c r="L84" s="191"/>
      <c r="M84" s="219" t="str">
        <f t="shared" si="25"/>
        <v xml:space="preserve"> </v>
      </c>
      <c r="N84" s="194" t="str">
        <f t="shared" si="26"/>
        <v/>
      </c>
      <c r="O84" s="191"/>
      <c r="P84" s="191"/>
      <c r="Q84" s="191"/>
      <c r="R84" s="191"/>
      <c r="S84" s="191"/>
      <c r="T84" s="191"/>
      <c r="U8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4" s="195"/>
      <c r="W84" s="191"/>
      <c r="X84" s="191"/>
      <c r="Y84" s="191"/>
      <c r="Z84" s="191"/>
      <c r="AA84" s="192"/>
      <c r="AB84" s="195"/>
      <c r="AC84" s="196"/>
      <c r="AD84" s="193" t="str">
        <f>IF(Referral4[[#This Row],[DOA
(mm-dd-yyy)]]="","",(Referral4[[#This Row],[DOD
(mm-dd-yyy)]]-Referral4[[#This Row],[DOA
(mm-dd-yyy)]])+1)</f>
        <v/>
      </c>
      <c r="AE84" s="197"/>
      <c r="AF84" s="191"/>
      <c r="AG84" s="194" t="str">
        <f t="array" ref="AG84">IF(AF84="","",
IF(Y84="EmOC",VLOOKUP(AF84,Data_validation!$R$1:$S$93,2,FALSE),
IF(Y84="ECC",VLOOKUP(AF84,Data_validation!$T$1:$U$151,2,FALSE),
IF(Y84="Other",VLOOKUP(AF84,Data_validation!$V$1:$W$19,2,FALSE),
VLOOKUP(AF84,Data_validation!$X$1:$Y$3,2,FALSE)))))</f>
        <v/>
      </c>
      <c r="AH84" s="191"/>
      <c r="AI84" s="191"/>
      <c r="AJ84" s="191"/>
      <c r="AK84" s="191"/>
      <c r="AL84" s="191"/>
      <c r="AM84" s="191"/>
      <c r="AN84" s="195"/>
      <c r="AO84" s="193" t="str">
        <f t="shared" si="27"/>
        <v/>
      </c>
      <c r="AP84" s="193" t="str">
        <f t="shared" si="28"/>
        <v/>
      </c>
      <c r="AQ84" s="198" t="str">
        <f>IF(Referral4[[#This Row],[Claimed_Date
(mmm-dd-yyy)]]="","",IF(AND(MONTH(Referral4[[#This Row],[Claimed_Date
(mmm-dd-yyy)]])&gt;4,MONTH(Referral4[[#This Row],[Claimed_Date
(mmm-dd-yyy)]])&lt;11),"S1","S2"))</f>
        <v/>
      </c>
      <c r="AR84"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4" s="280"/>
      <c r="AT84" s="199"/>
      <c r="AU84" s="200"/>
      <c r="AV84" s="201">
        <f t="shared" si="29"/>
        <v>0</v>
      </c>
      <c r="AW84" s="202"/>
      <c r="AX84" s="191"/>
      <c r="AY84" s="191"/>
      <c r="AZ84" s="191"/>
      <c r="BA84" s="191"/>
      <c r="BB84" s="191"/>
      <c r="BC84" s="191"/>
      <c r="BD84" s="191"/>
      <c r="BE84" s="193" t="str">
        <f t="shared" si="30"/>
        <v/>
      </c>
      <c r="BF84" s="193" t="str">
        <f t="shared" si="31"/>
        <v/>
      </c>
      <c r="BG84" s="193" t="str">
        <f t="shared" si="32"/>
        <v/>
      </c>
      <c r="BH84" s="194"/>
    </row>
    <row r="85" spans="1:60" x14ac:dyDescent="0.25">
      <c r="A85" s="279"/>
      <c r="B85" s="279"/>
      <c r="C85" s="191"/>
      <c r="D85" s="191"/>
      <c r="E85" s="191"/>
      <c r="F85" s="191"/>
      <c r="G85" s="191"/>
      <c r="H85" s="191"/>
      <c r="I85" s="192"/>
      <c r="J85" s="191"/>
      <c r="K85" s="191"/>
      <c r="L85" s="191"/>
      <c r="M85" s="219" t="str">
        <f t="shared" si="25"/>
        <v xml:space="preserve"> </v>
      </c>
      <c r="N85" s="194" t="str">
        <f t="shared" si="26"/>
        <v/>
      </c>
      <c r="O85" s="191"/>
      <c r="P85" s="191"/>
      <c r="Q85" s="191"/>
      <c r="R85" s="191"/>
      <c r="S85" s="191"/>
      <c r="T85" s="191"/>
      <c r="U8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5" s="195"/>
      <c r="W85" s="191"/>
      <c r="X85" s="191"/>
      <c r="Y85" s="191"/>
      <c r="Z85" s="191"/>
      <c r="AA85" s="192"/>
      <c r="AB85" s="195"/>
      <c r="AC85" s="196"/>
      <c r="AD85" s="193" t="str">
        <f>IF(Referral4[[#This Row],[DOA
(mm-dd-yyy)]]="","",(Referral4[[#This Row],[DOD
(mm-dd-yyy)]]-Referral4[[#This Row],[DOA
(mm-dd-yyy)]])+1)</f>
        <v/>
      </c>
      <c r="AE85" s="197"/>
      <c r="AF85" s="191"/>
      <c r="AG85" s="194" t="str">
        <f t="array" ref="AG85">IF(AF85="","",
IF(Y85="EmOC",VLOOKUP(AF85,Data_validation!$R$1:$S$93,2,FALSE),
IF(Y85="ECC",VLOOKUP(AF85,Data_validation!$T$1:$U$151,2,FALSE),
IF(Y85="Other",VLOOKUP(AF85,Data_validation!$V$1:$W$19,2,FALSE),
VLOOKUP(AF85,Data_validation!$X$1:$Y$3,2,FALSE)))))</f>
        <v/>
      </c>
      <c r="AH85" s="191"/>
      <c r="AI85" s="191"/>
      <c r="AJ85" s="191"/>
      <c r="AK85" s="191"/>
      <c r="AL85" s="191"/>
      <c r="AM85" s="191"/>
      <c r="AN85" s="195"/>
      <c r="AO85" s="193" t="str">
        <f t="shared" si="27"/>
        <v/>
      </c>
      <c r="AP85" s="193" t="str">
        <f t="shared" si="28"/>
        <v/>
      </c>
      <c r="AQ85" s="198" t="str">
        <f>IF(Referral4[[#This Row],[Claimed_Date
(mmm-dd-yyy)]]="","",IF(AND(MONTH(Referral4[[#This Row],[Claimed_Date
(mmm-dd-yyy)]])&gt;4,MONTH(Referral4[[#This Row],[Claimed_Date
(mmm-dd-yyy)]])&lt;11),"S1","S2"))</f>
        <v/>
      </c>
      <c r="AR85"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5" s="280"/>
      <c r="AT85" s="199"/>
      <c r="AU85" s="200"/>
      <c r="AV85" s="201">
        <f t="shared" si="29"/>
        <v>0</v>
      </c>
      <c r="AW85" s="202"/>
      <c r="AX85" s="191"/>
      <c r="AY85" s="191"/>
      <c r="AZ85" s="191"/>
      <c r="BA85" s="191"/>
      <c r="BB85" s="191"/>
      <c r="BC85" s="191"/>
      <c r="BD85" s="191"/>
      <c r="BE85" s="193" t="str">
        <f t="shared" si="30"/>
        <v/>
      </c>
      <c r="BF85" s="193" t="str">
        <f t="shared" si="31"/>
        <v/>
      </c>
      <c r="BG85" s="193" t="str">
        <f t="shared" si="32"/>
        <v/>
      </c>
      <c r="BH85" s="194"/>
    </row>
    <row r="86" spans="1:60" x14ac:dyDescent="0.25">
      <c r="A86" s="279"/>
      <c r="B86" s="279"/>
      <c r="C86" s="191"/>
      <c r="D86" s="191"/>
      <c r="E86" s="191"/>
      <c r="F86" s="191"/>
      <c r="G86" s="191"/>
      <c r="H86" s="191"/>
      <c r="I86" s="192"/>
      <c r="J86" s="191"/>
      <c r="K86" s="191"/>
      <c r="L86" s="191"/>
      <c r="M86" s="219" t="str">
        <f t="shared" si="25"/>
        <v xml:space="preserve"> </v>
      </c>
      <c r="N86" s="194" t="str">
        <f t="shared" si="26"/>
        <v/>
      </c>
      <c r="O86" s="191"/>
      <c r="P86" s="191"/>
      <c r="Q86" s="191"/>
      <c r="R86" s="191"/>
      <c r="S86" s="191"/>
      <c r="T86" s="191"/>
      <c r="U8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6" s="195"/>
      <c r="W86" s="191"/>
      <c r="X86" s="191"/>
      <c r="Y86" s="191"/>
      <c r="Z86" s="191"/>
      <c r="AA86" s="192"/>
      <c r="AB86" s="195"/>
      <c r="AC86" s="196"/>
      <c r="AD86" s="193" t="str">
        <f>IF(Referral4[[#This Row],[DOA
(mm-dd-yyy)]]="","",(Referral4[[#This Row],[DOD
(mm-dd-yyy)]]-Referral4[[#This Row],[DOA
(mm-dd-yyy)]])+1)</f>
        <v/>
      </c>
      <c r="AE86" s="197"/>
      <c r="AF86" s="191"/>
      <c r="AG86" s="194" t="str">
        <f t="array" ref="AG86">IF(AF86="","",
IF(Y86="EmOC",VLOOKUP(AF86,Data_validation!$R$1:$S$93,2,FALSE),
IF(Y86="ECC",VLOOKUP(AF86,Data_validation!$T$1:$U$151,2,FALSE),
IF(Y86="Other",VLOOKUP(AF86,Data_validation!$V$1:$W$19,2,FALSE),
VLOOKUP(AF86,Data_validation!$X$1:$Y$3,2,FALSE)))))</f>
        <v/>
      </c>
      <c r="AH86" s="191"/>
      <c r="AI86" s="191"/>
      <c r="AJ86" s="191"/>
      <c r="AK86" s="191"/>
      <c r="AL86" s="191"/>
      <c r="AM86" s="191"/>
      <c r="AN86" s="195"/>
      <c r="AO86" s="193" t="str">
        <f t="shared" si="27"/>
        <v/>
      </c>
      <c r="AP86" s="193" t="str">
        <f t="shared" si="28"/>
        <v/>
      </c>
      <c r="AQ86" s="198" t="str">
        <f>IF(Referral4[[#This Row],[Claimed_Date
(mmm-dd-yyy)]]="","",IF(AND(MONTH(Referral4[[#This Row],[Claimed_Date
(mmm-dd-yyy)]])&gt;4,MONTH(Referral4[[#This Row],[Claimed_Date
(mmm-dd-yyy)]])&lt;11),"S1","S2"))</f>
        <v/>
      </c>
      <c r="AR86"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6" s="280"/>
      <c r="AT86" s="199"/>
      <c r="AU86" s="200"/>
      <c r="AV86" s="201">
        <f t="shared" si="29"/>
        <v>0</v>
      </c>
      <c r="AW86" s="202"/>
      <c r="AX86" s="191"/>
      <c r="AY86" s="191"/>
      <c r="AZ86" s="191"/>
      <c r="BA86" s="191"/>
      <c r="BB86" s="191"/>
      <c r="BC86" s="191"/>
      <c r="BD86" s="191"/>
      <c r="BE86" s="193" t="str">
        <f t="shared" si="30"/>
        <v/>
      </c>
      <c r="BF86" s="193" t="str">
        <f t="shared" si="31"/>
        <v/>
      </c>
      <c r="BG86" s="193" t="str">
        <f t="shared" si="32"/>
        <v/>
      </c>
      <c r="BH86" s="194"/>
    </row>
    <row r="87" spans="1:60" x14ac:dyDescent="0.25">
      <c r="A87" s="279"/>
      <c r="B87" s="279"/>
      <c r="C87" s="191"/>
      <c r="D87" s="191"/>
      <c r="E87" s="191"/>
      <c r="F87" s="191"/>
      <c r="G87" s="191"/>
      <c r="H87" s="191"/>
      <c r="I87" s="192"/>
      <c r="J87" s="191"/>
      <c r="K87" s="191"/>
      <c r="L87" s="191"/>
      <c r="M87" s="219" t="str">
        <f t="shared" si="25"/>
        <v xml:space="preserve"> </v>
      </c>
      <c r="N87" s="194" t="str">
        <f t="shared" si="26"/>
        <v/>
      </c>
      <c r="O87" s="191"/>
      <c r="P87" s="191"/>
      <c r="Q87" s="191"/>
      <c r="R87" s="191"/>
      <c r="S87" s="191"/>
      <c r="T87" s="191"/>
      <c r="U8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7" s="195"/>
      <c r="W87" s="191"/>
      <c r="X87" s="191"/>
      <c r="Y87" s="191"/>
      <c r="Z87" s="191"/>
      <c r="AA87" s="192"/>
      <c r="AB87" s="195"/>
      <c r="AC87" s="196"/>
      <c r="AD87" s="193" t="str">
        <f>IF(Referral4[[#This Row],[DOA
(mm-dd-yyy)]]="","",(Referral4[[#This Row],[DOD
(mm-dd-yyy)]]-Referral4[[#This Row],[DOA
(mm-dd-yyy)]])+1)</f>
        <v/>
      </c>
      <c r="AE87" s="197"/>
      <c r="AF87" s="191"/>
      <c r="AG87" s="194" t="str">
        <f t="array" ref="AG87">IF(AF87="","",
IF(Y87="EmOC",VLOOKUP(AF87,Data_validation!$R$1:$S$93,2,FALSE),
IF(Y87="ECC",VLOOKUP(AF87,Data_validation!$T$1:$U$151,2,FALSE),
IF(Y87="Other",VLOOKUP(AF87,Data_validation!$V$1:$W$19,2,FALSE),
VLOOKUP(AF87,Data_validation!$X$1:$Y$3,2,FALSE)))))</f>
        <v/>
      </c>
      <c r="AH87" s="191"/>
      <c r="AI87" s="191"/>
      <c r="AJ87" s="191"/>
      <c r="AK87" s="191"/>
      <c r="AL87" s="191"/>
      <c r="AM87" s="191"/>
      <c r="AN87" s="195"/>
      <c r="AO87" s="193" t="str">
        <f t="shared" si="27"/>
        <v/>
      </c>
      <c r="AP87" s="193" t="str">
        <f t="shared" si="28"/>
        <v/>
      </c>
      <c r="AQ87" s="198" t="str">
        <f>IF(Referral4[[#This Row],[Claimed_Date
(mmm-dd-yyy)]]="","",IF(AND(MONTH(Referral4[[#This Row],[Claimed_Date
(mmm-dd-yyy)]])&gt;4,MONTH(Referral4[[#This Row],[Claimed_Date
(mmm-dd-yyy)]])&lt;11),"S1","S2"))</f>
        <v/>
      </c>
      <c r="AR87"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7" s="280"/>
      <c r="AT87" s="199"/>
      <c r="AU87" s="200"/>
      <c r="AV87" s="201">
        <f t="shared" si="29"/>
        <v>0</v>
      </c>
      <c r="AW87" s="202"/>
      <c r="AX87" s="191"/>
      <c r="AY87" s="191"/>
      <c r="AZ87" s="191"/>
      <c r="BA87" s="191"/>
      <c r="BB87" s="191"/>
      <c r="BC87" s="191"/>
      <c r="BD87" s="191"/>
      <c r="BE87" s="193" t="str">
        <f t="shared" si="30"/>
        <v/>
      </c>
      <c r="BF87" s="193" t="str">
        <f t="shared" si="31"/>
        <v/>
      </c>
      <c r="BG87" s="193" t="str">
        <f t="shared" si="32"/>
        <v/>
      </c>
      <c r="BH87" s="194"/>
    </row>
    <row r="88" spans="1:60" x14ac:dyDescent="0.25">
      <c r="A88" s="279"/>
      <c r="B88" s="279"/>
      <c r="C88" s="191"/>
      <c r="D88" s="191"/>
      <c r="E88" s="191"/>
      <c r="F88" s="191"/>
      <c r="G88" s="191"/>
      <c r="H88" s="191"/>
      <c r="I88" s="192"/>
      <c r="J88" s="191"/>
      <c r="K88" s="191"/>
      <c r="L88" s="191"/>
      <c r="M88" s="219" t="str">
        <f t="shared" si="25"/>
        <v xml:space="preserve"> </v>
      </c>
      <c r="N88" s="194" t="str">
        <f t="shared" si="26"/>
        <v/>
      </c>
      <c r="O88" s="191"/>
      <c r="P88" s="191"/>
      <c r="Q88" s="191"/>
      <c r="R88" s="191"/>
      <c r="S88" s="191"/>
      <c r="T88" s="191"/>
      <c r="U8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8" s="195"/>
      <c r="W88" s="191"/>
      <c r="X88" s="191"/>
      <c r="Y88" s="191"/>
      <c r="Z88" s="191"/>
      <c r="AA88" s="192"/>
      <c r="AB88" s="195"/>
      <c r="AC88" s="196"/>
      <c r="AD88" s="193" t="str">
        <f>IF(Referral4[[#This Row],[DOA
(mm-dd-yyy)]]="","",(Referral4[[#This Row],[DOD
(mm-dd-yyy)]]-Referral4[[#This Row],[DOA
(mm-dd-yyy)]])+1)</f>
        <v/>
      </c>
      <c r="AE88" s="197"/>
      <c r="AF88" s="191"/>
      <c r="AG88" s="194" t="str">
        <f t="array" ref="AG88">IF(AF88="","",
IF(Y88="EmOC",VLOOKUP(AF88,Data_validation!$R$1:$S$93,2,FALSE),
IF(Y88="ECC",VLOOKUP(AF88,Data_validation!$T$1:$U$151,2,FALSE),
IF(Y88="Other",VLOOKUP(AF88,Data_validation!$V$1:$W$19,2,FALSE),
VLOOKUP(AF88,Data_validation!$X$1:$Y$3,2,FALSE)))))</f>
        <v/>
      </c>
      <c r="AH88" s="191"/>
      <c r="AI88" s="191"/>
      <c r="AJ88" s="191"/>
      <c r="AK88" s="191"/>
      <c r="AL88" s="191"/>
      <c r="AM88" s="191"/>
      <c r="AN88" s="195"/>
      <c r="AO88" s="193" t="str">
        <f t="shared" si="27"/>
        <v/>
      </c>
      <c r="AP88" s="193" t="str">
        <f t="shared" si="28"/>
        <v/>
      </c>
      <c r="AQ88" s="198" t="str">
        <f>IF(Referral4[[#This Row],[Claimed_Date
(mmm-dd-yyy)]]="","",IF(AND(MONTH(Referral4[[#This Row],[Claimed_Date
(mmm-dd-yyy)]])&gt;4,MONTH(Referral4[[#This Row],[Claimed_Date
(mmm-dd-yyy)]])&lt;11),"S1","S2"))</f>
        <v/>
      </c>
      <c r="AR88"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8" s="280"/>
      <c r="AT88" s="199"/>
      <c r="AU88" s="200"/>
      <c r="AV88" s="201">
        <f t="shared" si="29"/>
        <v>0</v>
      </c>
      <c r="AW88" s="202"/>
      <c r="AX88" s="191"/>
      <c r="AY88" s="191"/>
      <c r="AZ88" s="191"/>
      <c r="BA88" s="191"/>
      <c r="BB88" s="191"/>
      <c r="BC88" s="191"/>
      <c r="BD88" s="191"/>
      <c r="BE88" s="193" t="str">
        <f t="shared" si="30"/>
        <v/>
      </c>
      <c r="BF88" s="193" t="str">
        <f t="shared" si="31"/>
        <v/>
      </c>
      <c r="BG88" s="193" t="str">
        <f t="shared" si="32"/>
        <v/>
      </c>
      <c r="BH88" s="194"/>
    </row>
    <row r="89" spans="1:60" x14ac:dyDescent="0.25">
      <c r="A89" s="279"/>
      <c r="B89" s="279"/>
      <c r="C89" s="191"/>
      <c r="D89" s="191"/>
      <c r="E89" s="191"/>
      <c r="F89" s="191"/>
      <c r="G89" s="191"/>
      <c r="H89" s="191"/>
      <c r="I89" s="192"/>
      <c r="J89" s="191"/>
      <c r="K89" s="191"/>
      <c r="L89" s="191"/>
      <c r="M89" s="219" t="str">
        <f t="shared" si="25"/>
        <v xml:space="preserve"> </v>
      </c>
      <c r="N89" s="194" t="str">
        <f t="shared" si="26"/>
        <v/>
      </c>
      <c r="O89" s="191"/>
      <c r="P89" s="191"/>
      <c r="Q89" s="191"/>
      <c r="R89" s="191"/>
      <c r="S89" s="191"/>
      <c r="T89" s="191"/>
      <c r="U8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89" s="195"/>
      <c r="W89" s="191"/>
      <c r="X89" s="191"/>
      <c r="Y89" s="191"/>
      <c r="Z89" s="191"/>
      <c r="AA89" s="192"/>
      <c r="AB89" s="195"/>
      <c r="AC89" s="196"/>
      <c r="AD89" s="193" t="str">
        <f>IF(Referral4[[#This Row],[DOA
(mm-dd-yyy)]]="","",(Referral4[[#This Row],[DOD
(mm-dd-yyy)]]-Referral4[[#This Row],[DOA
(mm-dd-yyy)]])+1)</f>
        <v/>
      </c>
      <c r="AE89" s="197"/>
      <c r="AF89" s="191"/>
      <c r="AG89" s="194" t="str">
        <f t="array" ref="AG89">IF(AF89="","",
IF(Y89="EmOC",VLOOKUP(AF89,Data_validation!$R$1:$S$93,2,FALSE),
IF(Y89="ECC",VLOOKUP(AF89,Data_validation!$T$1:$U$151,2,FALSE),
IF(Y89="Other",VLOOKUP(AF89,Data_validation!$V$1:$W$19,2,FALSE),
VLOOKUP(AF89,Data_validation!$X$1:$Y$3,2,FALSE)))))</f>
        <v/>
      </c>
      <c r="AH89" s="191"/>
      <c r="AI89" s="191"/>
      <c r="AJ89" s="191"/>
      <c r="AK89" s="191"/>
      <c r="AL89" s="191"/>
      <c r="AM89" s="191"/>
      <c r="AN89" s="195"/>
      <c r="AO89" s="193" t="str">
        <f t="shared" si="27"/>
        <v/>
      </c>
      <c r="AP89" s="193" t="str">
        <f t="shared" si="28"/>
        <v/>
      </c>
      <c r="AQ89" s="198" t="str">
        <f>IF(Referral4[[#This Row],[Claimed_Date
(mmm-dd-yyy)]]="","",IF(AND(MONTH(Referral4[[#This Row],[Claimed_Date
(mmm-dd-yyy)]])&gt;4,MONTH(Referral4[[#This Row],[Claimed_Date
(mmm-dd-yyy)]])&lt;11),"S1","S2"))</f>
        <v/>
      </c>
      <c r="AR89"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89" s="280"/>
      <c r="AT89" s="199"/>
      <c r="AU89" s="200"/>
      <c r="AV89" s="201">
        <f t="shared" si="29"/>
        <v>0</v>
      </c>
      <c r="AW89" s="202"/>
      <c r="AX89" s="191"/>
      <c r="AY89" s="191"/>
      <c r="AZ89" s="191"/>
      <c r="BA89" s="191"/>
      <c r="BB89" s="191"/>
      <c r="BC89" s="191"/>
      <c r="BD89" s="191"/>
      <c r="BE89" s="193" t="str">
        <f t="shared" si="30"/>
        <v/>
      </c>
      <c r="BF89" s="193" t="str">
        <f t="shared" si="31"/>
        <v/>
      </c>
      <c r="BG89" s="193" t="str">
        <f t="shared" si="32"/>
        <v/>
      </c>
      <c r="BH89" s="194"/>
    </row>
    <row r="90" spans="1:60" x14ac:dyDescent="0.25">
      <c r="A90" s="279"/>
      <c r="B90" s="279"/>
      <c r="C90" s="191"/>
      <c r="D90" s="191"/>
      <c r="E90" s="191"/>
      <c r="F90" s="191"/>
      <c r="G90" s="191"/>
      <c r="H90" s="191"/>
      <c r="I90" s="192"/>
      <c r="J90" s="191"/>
      <c r="K90" s="191"/>
      <c r="L90" s="191"/>
      <c r="M90" s="219" t="str">
        <f t="shared" si="25"/>
        <v xml:space="preserve"> </v>
      </c>
      <c r="N90" s="194" t="str">
        <f t="shared" si="26"/>
        <v/>
      </c>
      <c r="O90" s="191"/>
      <c r="P90" s="191"/>
      <c r="Q90" s="191"/>
      <c r="R90" s="191"/>
      <c r="S90" s="191"/>
      <c r="T90" s="191"/>
      <c r="U9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0" s="195"/>
      <c r="W90" s="191"/>
      <c r="X90" s="191"/>
      <c r="Y90" s="191"/>
      <c r="Z90" s="191"/>
      <c r="AA90" s="192"/>
      <c r="AB90" s="195"/>
      <c r="AC90" s="196"/>
      <c r="AD90" s="193" t="str">
        <f>IF(Referral4[[#This Row],[DOA
(mm-dd-yyy)]]="","",(Referral4[[#This Row],[DOD
(mm-dd-yyy)]]-Referral4[[#This Row],[DOA
(mm-dd-yyy)]])+1)</f>
        <v/>
      </c>
      <c r="AE90" s="197"/>
      <c r="AF90" s="191"/>
      <c r="AG90" s="194" t="str">
        <f t="array" ref="AG90">IF(AF90="","",
IF(Y90="EmOC",VLOOKUP(AF90,Data_validation!$R$1:$S$93,2,FALSE),
IF(Y90="ECC",VLOOKUP(AF90,Data_validation!$T$1:$U$151,2,FALSE),
IF(Y90="Other",VLOOKUP(AF90,Data_validation!$V$1:$W$19,2,FALSE),
VLOOKUP(AF90,Data_validation!$X$1:$Y$3,2,FALSE)))))</f>
        <v/>
      </c>
      <c r="AH90" s="191"/>
      <c r="AI90" s="191"/>
      <c r="AJ90" s="191"/>
      <c r="AK90" s="191"/>
      <c r="AL90" s="191"/>
      <c r="AM90" s="191"/>
      <c r="AN90" s="195"/>
      <c r="AO90" s="193" t="str">
        <f t="shared" si="27"/>
        <v/>
      </c>
      <c r="AP90" s="193" t="str">
        <f t="shared" si="28"/>
        <v/>
      </c>
      <c r="AQ90" s="198" t="str">
        <f>IF(Referral4[[#This Row],[Claimed_Date
(mmm-dd-yyy)]]="","",IF(AND(MONTH(Referral4[[#This Row],[Claimed_Date
(mmm-dd-yyy)]])&gt;4,MONTH(Referral4[[#This Row],[Claimed_Date
(mmm-dd-yyy)]])&lt;11),"S1","S2"))</f>
        <v/>
      </c>
      <c r="AR90"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0" s="280"/>
      <c r="AT90" s="199"/>
      <c r="AU90" s="200"/>
      <c r="AV90" s="201">
        <f t="shared" si="29"/>
        <v>0</v>
      </c>
      <c r="AW90" s="202"/>
      <c r="AX90" s="191"/>
      <c r="AY90" s="191"/>
      <c r="AZ90" s="191"/>
      <c r="BA90" s="191"/>
      <c r="BB90" s="191"/>
      <c r="BC90" s="191"/>
      <c r="BD90" s="191"/>
      <c r="BE90" s="193" t="str">
        <f t="shared" si="30"/>
        <v/>
      </c>
      <c r="BF90" s="193" t="str">
        <f t="shared" si="31"/>
        <v/>
      </c>
      <c r="BG90" s="193" t="str">
        <f t="shared" si="32"/>
        <v/>
      </c>
      <c r="BH90" s="194"/>
    </row>
    <row r="91" spans="1:60" x14ac:dyDescent="0.25">
      <c r="A91" s="279"/>
      <c r="B91" s="279"/>
      <c r="C91" s="191"/>
      <c r="D91" s="191"/>
      <c r="E91" s="191"/>
      <c r="F91" s="191"/>
      <c r="G91" s="191"/>
      <c r="H91" s="191"/>
      <c r="I91" s="192"/>
      <c r="J91" s="191"/>
      <c r="K91" s="191"/>
      <c r="L91" s="191"/>
      <c r="M91" s="219" t="str">
        <f t="shared" si="25"/>
        <v xml:space="preserve"> </v>
      </c>
      <c r="N91" s="194" t="str">
        <f t="shared" si="26"/>
        <v/>
      </c>
      <c r="O91" s="191"/>
      <c r="P91" s="191"/>
      <c r="Q91" s="191"/>
      <c r="R91" s="191"/>
      <c r="S91" s="191"/>
      <c r="T91" s="191"/>
      <c r="U9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1" s="195"/>
      <c r="W91" s="191"/>
      <c r="X91" s="191"/>
      <c r="Y91" s="191"/>
      <c r="Z91" s="191"/>
      <c r="AA91" s="192"/>
      <c r="AB91" s="195"/>
      <c r="AC91" s="196"/>
      <c r="AD91" s="193" t="str">
        <f>IF(Referral4[[#This Row],[DOA
(mm-dd-yyy)]]="","",(Referral4[[#This Row],[DOD
(mm-dd-yyy)]]-Referral4[[#This Row],[DOA
(mm-dd-yyy)]])+1)</f>
        <v/>
      </c>
      <c r="AE91" s="197"/>
      <c r="AF91" s="191"/>
      <c r="AG91" s="194" t="str">
        <f t="array" ref="AG91">IF(AF91="","",
IF(Y91="EmOC",VLOOKUP(AF91,Data_validation!$R$1:$S$93,2,FALSE),
IF(Y91="ECC",VLOOKUP(AF91,Data_validation!$T$1:$U$151,2,FALSE),
IF(Y91="Other",VLOOKUP(AF91,Data_validation!$V$1:$W$19,2,FALSE),
VLOOKUP(AF91,Data_validation!$X$1:$Y$3,2,FALSE)))))</f>
        <v/>
      </c>
      <c r="AH91" s="191"/>
      <c r="AI91" s="191"/>
      <c r="AJ91" s="191"/>
      <c r="AK91" s="191"/>
      <c r="AL91" s="191"/>
      <c r="AM91" s="191"/>
      <c r="AN91" s="195"/>
      <c r="AO91" s="193" t="str">
        <f t="shared" si="27"/>
        <v/>
      </c>
      <c r="AP91" s="193" t="str">
        <f t="shared" si="28"/>
        <v/>
      </c>
      <c r="AQ91" s="198" t="str">
        <f>IF(Referral4[[#This Row],[Claimed_Date
(mmm-dd-yyy)]]="","",IF(AND(MONTH(Referral4[[#This Row],[Claimed_Date
(mmm-dd-yyy)]])&gt;4,MONTH(Referral4[[#This Row],[Claimed_Date
(mmm-dd-yyy)]])&lt;11),"S1","S2"))</f>
        <v/>
      </c>
      <c r="AR91"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1" s="280"/>
      <c r="AT91" s="199"/>
      <c r="AU91" s="200"/>
      <c r="AV91" s="201">
        <f t="shared" si="29"/>
        <v>0</v>
      </c>
      <c r="AW91" s="202"/>
      <c r="AX91" s="191"/>
      <c r="AY91" s="191"/>
      <c r="AZ91" s="191"/>
      <c r="BA91" s="191"/>
      <c r="BB91" s="191"/>
      <c r="BC91" s="191"/>
      <c r="BD91" s="191"/>
      <c r="BE91" s="193" t="str">
        <f t="shared" si="30"/>
        <v/>
      </c>
      <c r="BF91" s="193" t="str">
        <f t="shared" si="31"/>
        <v/>
      </c>
      <c r="BG91" s="193" t="str">
        <f t="shared" si="32"/>
        <v/>
      </c>
      <c r="BH91" s="194"/>
    </row>
    <row r="92" spans="1:60" x14ac:dyDescent="0.25">
      <c r="A92" s="279"/>
      <c r="B92" s="279"/>
      <c r="C92" s="191"/>
      <c r="D92" s="191"/>
      <c r="E92" s="191"/>
      <c r="F92" s="191"/>
      <c r="G92" s="191"/>
      <c r="H92" s="191"/>
      <c r="I92" s="192"/>
      <c r="J92" s="191"/>
      <c r="K92" s="191"/>
      <c r="L92" s="191"/>
      <c r="M92" s="219" t="str">
        <f t="shared" si="25"/>
        <v xml:space="preserve"> </v>
      </c>
      <c r="N92" s="194" t="str">
        <f t="shared" si="26"/>
        <v/>
      </c>
      <c r="O92" s="191"/>
      <c r="P92" s="191"/>
      <c r="Q92" s="191"/>
      <c r="R92" s="191"/>
      <c r="S92" s="191"/>
      <c r="T92" s="191"/>
      <c r="U9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2" s="195"/>
      <c r="W92" s="191"/>
      <c r="X92" s="191"/>
      <c r="Y92" s="191"/>
      <c r="Z92" s="191"/>
      <c r="AA92" s="192"/>
      <c r="AB92" s="195"/>
      <c r="AC92" s="196"/>
      <c r="AD92" s="193" t="str">
        <f>IF(Referral4[[#This Row],[DOA
(mm-dd-yyy)]]="","",(Referral4[[#This Row],[DOD
(mm-dd-yyy)]]-Referral4[[#This Row],[DOA
(mm-dd-yyy)]])+1)</f>
        <v/>
      </c>
      <c r="AE92" s="197"/>
      <c r="AF92" s="191"/>
      <c r="AG92" s="194" t="str">
        <f t="array" ref="AG92">IF(AF92="","",
IF(Y92="EmOC",VLOOKUP(AF92,Data_validation!$R$1:$S$93,2,FALSE),
IF(Y92="ECC",VLOOKUP(AF92,Data_validation!$T$1:$U$151,2,FALSE),
IF(Y92="Other",VLOOKUP(AF92,Data_validation!$V$1:$W$19,2,FALSE),
VLOOKUP(AF92,Data_validation!$X$1:$Y$3,2,FALSE)))))</f>
        <v/>
      </c>
      <c r="AH92" s="191"/>
      <c r="AI92" s="191"/>
      <c r="AJ92" s="191"/>
      <c r="AK92" s="191"/>
      <c r="AL92" s="191"/>
      <c r="AM92" s="191"/>
      <c r="AN92" s="195"/>
      <c r="AO92" s="193" t="str">
        <f t="shared" si="27"/>
        <v/>
      </c>
      <c r="AP92" s="193" t="str">
        <f t="shared" si="28"/>
        <v/>
      </c>
      <c r="AQ92" s="198" t="str">
        <f>IF(Referral4[[#This Row],[Claimed_Date
(mmm-dd-yyy)]]="","",IF(AND(MONTH(Referral4[[#This Row],[Claimed_Date
(mmm-dd-yyy)]])&gt;4,MONTH(Referral4[[#This Row],[Claimed_Date
(mmm-dd-yyy)]])&lt;11),"S1","S2"))</f>
        <v/>
      </c>
      <c r="AR92"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2" s="280"/>
      <c r="AT92" s="199"/>
      <c r="AU92" s="200"/>
      <c r="AV92" s="201">
        <f t="shared" si="29"/>
        <v>0</v>
      </c>
      <c r="AW92" s="202"/>
      <c r="AX92" s="191"/>
      <c r="AY92" s="191"/>
      <c r="AZ92" s="191"/>
      <c r="BA92" s="191"/>
      <c r="BB92" s="191"/>
      <c r="BC92" s="191"/>
      <c r="BD92" s="191"/>
      <c r="BE92" s="193" t="str">
        <f t="shared" si="30"/>
        <v/>
      </c>
      <c r="BF92" s="193" t="str">
        <f t="shared" si="31"/>
        <v/>
      </c>
      <c r="BG92" s="193" t="str">
        <f t="shared" si="32"/>
        <v/>
      </c>
      <c r="BH92" s="194"/>
    </row>
    <row r="93" spans="1:60" x14ac:dyDescent="0.25">
      <c r="A93" s="279"/>
      <c r="B93" s="279"/>
      <c r="C93" s="191"/>
      <c r="D93" s="191"/>
      <c r="E93" s="191"/>
      <c r="F93" s="191"/>
      <c r="G93" s="191"/>
      <c r="H93" s="191"/>
      <c r="I93" s="192"/>
      <c r="J93" s="191"/>
      <c r="K93" s="191"/>
      <c r="L93" s="191"/>
      <c r="M93" s="219" t="str">
        <f t="shared" si="25"/>
        <v xml:space="preserve"> </v>
      </c>
      <c r="N93" s="194" t="str">
        <f t="shared" si="26"/>
        <v/>
      </c>
      <c r="O93" s="191"/>
      <c r="P93" s="191"/>
      <c r="Q93" s="191"/>
      <c r="R93" s="191"/>
      <c r="S93" s="191"/>
      <c r="T93" s="191"/>
      <c r="U9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3" s="195"/>
      <c r="W93" s="191"/>
      <c r="X93" s="191"/>
      <c r="Y93" s="191"/>
      <c r="Z93" s="191"/>
      <c r="AA93" s="192"/>
      <c r="AB93" s="195"/>
      <c r="AC93" s="196"/>
      <c r="AD93" s="193" t="str">
        <f>IF(Referral4[[#This Row],[DOA
(mm-dd-yyy)]]="","",(Referral4[[#This Row],[DOD
(mm-dd-yyy)]]-Referral4[[#This Row],[DOA
(mm-dd-yyy)]])+1)</f>
        <v/>
      </c>
      <c r="AE93" s="197"/>
      <c r="AF93" s="191"/>
      <c r="AG93" s="194" t="str">
        <f t="array" ref="AG93">IF(AF93="","",
IF(Y93="EmOC",VLOOKUP(AF93,Data_validation!$R$1:$S$93,2,FALSE),
IF(Y93="ECC",VLOOKUP(AF93,Data_validation!$T$1:$U$151,2,FALSE),
IF(Y93="Other",VLOOKUP(AF93,Data_validation!$V$1:$W$19,2,FALSE),
VLOOKUP(AF93,Data_validation!$X$1:$Y$3,2,FALSE)))))</f>
        <v/>
      </c>
      <c r="AH93" s="191"/>
      <c r="AI93" s="191"/>
      <c r="AJ93" s="191"/>
      <c r="AK93" s="191"/>
      <c r="AL93" s="191"/>
      <c r="AM93" s="191"/>
      <c r="AN93" s="195"/>
      <c r="AO93" s="193" t="str">
        <f t="shared" si="27"/>
        <v/>
      </c>
      <c r="AP93" s="193" t="str">
        <f t="shared" si="28"/>
        <v/>
      </c>
      <c r="AQ93" s="198" t="str">
        <f>IF(Referral4[[#This Row],[Claimed_Date
(mmm-dd-yyy)]]="","",IF(AND(MONTH(Referral4[[#This Row],[Claimed_Date
(mmm-dd-yyy)]])&gt;4,MONTH(Referral4[[#This Row],[Claimed_Date
(mmm-dd-yyy)]])&lt;11),"S1","S2"))</f>
        <v/>
      </c>
      <c r="AR93"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3" s="280"/>
      <c r="AT93" s="199"/>
      <c r="AU93" s="200"/>
      <c r="AV93" s="201">
        <f t="shared" si="29"/>
        <v>0</v>
      </c>
      <c r="AW93" s="202"/>
      <c r="AX93" s="191"/>
      <c r="AY93" s="191"/>
      <c r="AZ93" s="191"/>
      <c r="BA93" s="191"/>
      <c r="BB93" s="191"/>
      <c r="BC93" s="191"/>
      <c r="BD93" s="191"/>
      <c r="BE93" s="193" t="str">
        <f t="shared" si="30"/>
        <v/>
      </c>
      <c r="BF93" s="193" t="str">
        <f t="shared" si="31"/>
        <v/>
      </c>
      <c r="BG93" s="193" t="str">
        <f t="shared" si="32"/>
        <v/>
      </c>
      <c r="BH93" s="194"/>
    </row>
    <row r="94" spans="1:60" x14ac:dyDescent="0.25">
      <c r="A94" s="279"/>
      <c r="B94" s="279"/>
      <c r="C94" s="191"/>
      <c r="D94" s="191"/>
      <c r="E94" s="191"/>
      <c r="F94" s="191"/>
      <c r="G94" s="191"/>
      <c r="H94" s="191"/>
      <c r="I94" s="192"/>
      <c r="J94" s="191"/>
      <c r="K94" s="191"/>
      <c r="L94" s="191"/>
      <c r="M94" s="219" t="str">
        <f t="shared" si="25"/>
        <v xml:space="preserve"> </v>
      </c>
      <c r="N94" s="194" t="str">
        <f t="shared" si="26"/>
        <v/>
      </c>
      <c r="O94" s="191"/>
      <c r="P94" s="191"/>
      <c r="Q94" s="191"/>
      <c r="R94" s="191"/>
      <c r="S94" s="191"/>
      <c r="T94" s="191"/>
      <c r="U9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4" s="195"/>
      <c r="W94" s="191"/>
      <c r="X94" s="191"/>
      <c r="Y94" s="191"/>
      <c r="Z94" s="191"/>
      <c r="AA94" s="192"/>
      <c r="AB94" s="195"/>
      <c r="AC94" s="196"/>
      <c r="AD94" s="193" t="str">
        <f>IF(Referral4[[#This Row],[DOA
(mm-dd-yyy)]]="","",(Referral4[[#This Row],[DOD
(mm-dd-yyy)]]-Referral4[[#This Row],[DOA
(mm-dd-yyy)]])+1)</f>
        <v/>
      </c>
      <c r="AE94" s="197"/>
      <c r="AF94" s="191"/>
      <c r="AG94" s="194" t="str">
        <f t="array" ref="AG94">IF(AF94="","",
IF(Y94="EmOC",VLOOKUP(AF94,Data_validation!$R$1:$S$93,2,FALSE),
IF(Y94="ECC",VLOOKUP(AF94,Data_validation!$T$1:$U$151,2,FALSE),
IF(Y94="Other",VLOOKUP(AF94,Data_validation!$V$1:$W$19,2,FALSE),
VLOOKUP(AF94,Data_validation!$X$1:$Y$3,2,FALSE)))))</f>
        <v/>
      </c>
      <c r="AH94" s="191"/>
      <c r="AI94" s="191"/>
      <c r="AJ94" s="191"/>
      <c r="AK94" s="191"/>
      <c r="AL94" s="191"/>
      <c r="AM94" s="191"/>
      <c r="AN94" s="195"/>
      <c r="AO94" s="193" t="str">
        <f t="shared" si="27"/>
        <v/>
      </c>
      <c r="AP94" s="193" t="str">
        <f t="shared" si="28"/>
        <v/>
      </c>
      <c r="AQ94" s="198" t="str">
        <f>IF(Referral4[[#This Row],[Claimed_Date
(mmm-dd-yyy)]]="","",IF(AND(MONTH(Referral4[[#This Row],[Claimed_Date
(mmm-dd-yyy)]])&gt;4,MONTH(Referral4[[#This Row],[Claimed_Date
(mmm-dd-yyy)]])&lt;11),"S1","S2"))</f>
        <v/>
      </c>
      <c r="AR94"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4" s="280"/>
      <c r="AT94" s="199"/>
      <c r="AU94" s="200"/>
      <c r="AV94" s="201">
        <f t="shared" si="29"/>
        <v>0</v>
      </c>
      <c r="AW94" s="202"/>
      <c r="AX94" s="191"/>
      <c r="AY94" s="191"/>
      <c r="AZ94" s="191"/>
      <c r="BA94" s="191"/>
      <c r="BB94" s="191"/>
      <c r="BC94" s="191"/>
      <c r="BD94" s="191"/>
      <c r="BE94" s="193" t="str">
        <f t="shared" si="30"/>
        <v/>
      </c>
      <c r="BF94" s="193" t="str">
        <f t="shared" si="31"/>
        <v/>
      </c>
      <c r="BG94" s="193" t="str">
        <f t="shared" si="32"/>
        <v/>
      </c>
      <c r="BH94" s="194"/>
    </row>
    <row r="95" spans="1:60" x14ac:dyDescent="0.25">
      <c r="A95" s="279"/>
      <c r="B95" s="279"/>
      <c r="C95" s="191"/>
      <c r="D95" s="191"/>
      <c r="E95" s="191"/>
      <c r="F95" s="191"/>
      <c r="G95" s="191"/>
      <c r="H95" s="191"/>
      <c r="I95" s="192"/>
      <c r="J95" s="191"/>
      <c r="K95" s="191"/>
      <c r="L95" s="191"/>
      <c r="M95" s="219" t="str">
        <f t="shared" si="25"/>
        <v xml:space="preserve"> </v>
      </c>
      <c r="N95" s="194" t="str">
        <f t="shared" si="26"/>
        <v/>
      </c>
      <c r="O95" s="191"/>
      <c r="P95" s="191"/>
      <c r="Q95" s="191"/>
      <c r="R95" s="191"/>
      <c r="S95" s="191"/>
      <c r="T95" s="191"/>
      <c r="U9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5" s="195"/>
      <c r="W95" s="191"/>
      <c r="X95" s="191"/>
      <c r="Y95" s="191"/>
      <c r="Z95" s="191"/>
      <c r="AA95" s="192"/>
      <c r="AB95" s="195"/>
      <c r="AC95" s="196"/>
      <c r="AD95" s="193" t="str">
        <f>IF(Referral4[[#This Row],[DOA
(mm-dd-yyy)]]="","",(Referral4[[#This Row],[DOD
(mm-dd-yyy)]]-Referral4[[#This Row],[DOA
(mm-dd-yyy)]])+1)</f>
        <v/>
      </c>
      <c r="AE95" s="197"/>
      <c r="AF95" s="191"/>
      <c r="AG95" s="194" t="str">
        <f t="array" ref="AG95">IF(AF95="","",
IF(Y95="EmOC",VLOOKUP(AF95,Data_validation!$R$1:$S$93,2,FALSE),
IF(Y95="ECC",VLOOKUP(AF95,Data_validation!$T$1:$U$151,2,FALSE),
IF(Y95="Other",VLOOKUP(AF95,Data_validation!$V$1:$W$19,2,FALSE),
VLOOKUP(AF95,Data_validation!$X$1:$Y$3,2,FALSE)))))</f>
        <v/>
      </c>
      <c r="AH95" s="191"/>
      <c r="AI95" s="191"/>
      <c r="AJ95" s="191"/>
      <c r="AK95" s="191"/>
      <c r="AL95" s="191"/>
      <c r="AM95" s="191"/>
      <c r="AN95" s="195"/>
      <c r="AO95" s="193" t="str">
        <f t="shared" si="27"/>
        <v/>
      </c>
      <c r="AP95" s="193" t="str">
        <f t="shared" si="28"/>
        <v/>
      </c>
      <c r="AQ95" s="198" t="str">
        <f>IF(Referral4[[#This Row],[Claimed_Date
(mmm-dd-yyy)]]="","",IF(AND(MONTH(Referral4[[#This Row],[Claimed_Date
(mmm-dd-yyy)]])&gt;4,MONTH(Referral4[[#This Row],[Claimed_Date
(mmm-dd-yyy)]])&lt;11),"S1","S2"))</f>
        <v/>
      </c>
      <c r="AR95"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5" s="280"/>
      <c r="AT95" s="199"/>
      <c r="AU95" s="200"/>
      <c r="AV95" s="201">
        <f t="shared" si="29"/>
        <v>0</v>
      </c>
      <c r="AW95" s="202"/>
      <c r="AX95" s="191"/>
      <c r="AY95" s="191"/>
      <c r="AZ95" s="191"/>
      <c r="BA95" s="191"/>
      <c r="BB95" s="191"/>
      <c r="BC95" s="191"/>
      <c r="BD95" s="191"/>
      <c r="BE95" s="193" t="str">
        <f t="shared" si="30"/>
        <v/>
      </c>
      <c r="BF95" s="193" t="str">
        <f t="shared" si="31"/>
        <v/>
      </c>
      <c r="BG95" s="193" t="str">
        <f t="shared" si="32"/>
        <v/>
      </c>
      <c r="BH95" s="194"/>
    </row>
    <row r="96" spans="1:60" x14ac:dyDescent="0.25">
      <c r="A96" s="279"/>
      <c r="B96" s="279"/>
      <c r="C96" s="191"/>
      <c r="D96" s="191"/>
      <c r="E96" s="191"/>
      <c r="F96" s="191"/>
      <c r="G96" s="191"/>
      <c r="H96" s="191"/>
      <c r="I96" s="192"/>
      <c r="J96" s="191"/>
      <c r="K96" s="191"/>
      <c r="L96" s="191"/>
      <c r="M96" s="219" t="str">
        <f t="shared" si="25"/>
        <v xml:space="preserve"> </v>
      </c>
      <c r="N96" s="194" t="str">
        <f t="shared" si="26"/>
        <v/>
      </c>
      <c r="O96" s="191"/>
      <c r="P96" s="191"/>
      <c r="Q96" s="191"/>
      <c r="R96" s="191"/>
      <c r="S96" s="191"/>
      <c r="T96" s="191"/>
      <c r="U9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6" s="195"/>
      <c r="W96" s="191"/>
      <c r="X96" s="191"/>
      <c r="Y96" s="191"/>
      <c r="Z96" s="191"/>
      <c r="AA96" s="192"/>
      <c r="AB96" s="195"/>
      <c r="AC96" s="196"/>
      <c r="AD96" s="193" t="str">
        <f>IF(Referral4[[#This Row],[DOA
(mm-dd-yyy)]]="","",(Referral4[[#This Row],[DOD
(mm-dd-yyy)]]-Referral4[[#This Row],[DOA
(mm-dd-yyy)]])+1)</f>
        <v/>
      </c>
      <c r="AE96" s="197"/>
      <c r="AF96" s="191"/>
      <c r="AG96" s="194" t="str">
        <f t="array" ref="AG96">IF(AF96="","",
IF(Y96="EmOC",VLOOKUP(AF96,Data_validation!$R$1:$S$93,2,FALSE),
IF(Y96="ECC",VLOOKUP(AF96,Data_validation!$T$1:$U$151,2,FALSE),
IF(Y96="Other",VLOOKUP(AF96,Data_validation!$V$1:$W$19,2,FALSE),
VLOOKUP(AF96,Data_validation!$X$1:$Y$3,2,FALSE)))))</f>
        <v/>
      </c>
      <c r="AH96" s="191"/>
      <c r="AI96" s="191"/>
      <c r="AJ96" s="191"/>
      <c r="AK96" s="191"/>
      <c r="AL96" s="191"/>
      <c r="AM96" s="191"/>
      <c r="AN96" s="195"/>
      <c r="AO96" s="193" t="str">
        <f t="shared" si="27"/>
        <v/>
      </c>
      <c r="AP96" s="193" t="str">
        <f t="shared" si="28"/>
        <v/>
      </c>
      <c r="AQ96" s="198" t="str">
        <f>IF(Referral4[[#This Row],[Claimed_Date
(mmm-dd-yyy)]]="","",IF(AND(MONTH(Referral4[[#This Row],[Claimed_Date
(mmm-dd-yyy)]])&gt;4,MONTH(Referral4[[#This Row],[Claimed_Date
(mmm-dd-yyy)]])&lt;11),"S1","S2"))</f>
        <v/>
      </c>
      <c r="AR96"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6" s="280"/>
      <c r="AT96" s="199"/>
      <c r="AU96" s="200"/>
      <c r="AV96" s="201">
        <f t="shared" si="29"/>
        <v>0</v>
      </c>
      <c r="AW96" s="202"/>
      <c r="AX96" s="191"/>
      <c r="AY96" s="191"/>
      <c r="AZ96" s="191"/>
      <c r="BA96" s="191"/>
      <c r="BB96" s="191"/>
      <c r="BC96" s="191"/>
      <c r="BD96" s="191"/>
      <c r="BE96" s="193" t="str">
        <f t="shared" si="30"/>
        <v/>
      </c>
      <c r="BF96" s="193" t="str">
        <f t="shared" si="31"/>
        <v/>
      </c>
      <c r="BG96" s="193" t="str">
        <f t="shared" si="32"/>
        <v/>
      </c>
      <c r="BH96" s="194"/>
    </row>
    <row r="97" spans="1:60" x14ac:dyDescent="0.25">
      <c r="A97" s="279"/>
      <c r="B97" s="279"/>
      <c r="C97" s="191"/>
      <c r="D97" s="191"/>
      <c r="E97" s="191"/>
      <c r="F97" s="191"/>
      <c r="G97" s="191"/>
      <c r="H97" s="191"/>
      <c r="I97" s="192"/>
      <c r="J97" s="191"/>
      <c r="K97" s="191"/>
      <c r="L97" s="191"/>
      <c r="M97" s="219" t="str">
        <f t="shared" si="25"/>
        <v xml:space="preserve"> </v>
      </c>
      <c r="N97" s="194" t="str">
        <f t="shared" si="26"/>
        <v/>
      </c>
      <c r="O97" s="191"/>
      <c r="P97" s="191"/>
      <c r="Q97" s="191"/>
      <c r="R97" s="191"/>
      <c r="S97" s="191"/>
      <c r="T97" s="191"/>
      <c r="U97"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7" s="195"/>
      <c r="W97" s="191"/>
      <c r="X97" s="191"/>
      <c r="Y97" s="191"/>
      <c r="Z97" s="191"/>
      <c r="AA97" s="192"/>
      <c r="AB97" s="195"/>
      <c r="AC97" s="196"/>
      <c r="AD97" s="193" t="str">
        <f>IF(Referral4[[#This Row],[DOA
(mm-dd-yyy)]]="","",(Referral4[[#This Row],[DOD
(mm-dd-yyy)]]-Referral4[[#This Row],[DOA
(mm-dd-yyy)]])+1)</f>
        <v/>
      </c>
      <c r="AE97" s="197"/>
      <c r="AF97" s="191"/>
      <c r="AG97" s="194" t="str">
        <f t="array" ref="AG97">IF(AF97="","",
IF(Y97="EmOC",VLOOKUP(AF97,Data_validation!$R$1:$S$93,2,FALSE),
IF(Y97="ECC",VLOOKUP(AF97,Data_validation!$T$1:$U$151,2,FALSE),
IF(Y97="Other",VLOOKUP(AF97,Data_validation!$V$1:$W$19,2,FALSE),
VLOOKUP(AF97,Data_validation!$X$1:$Y$3,2,FALSE)))))</f>
        <v/>
      </c>
      <c r="AH97" s="191"/>
      <c r="AI97" s="191"/>
      <c r="AJ97" s="191"/>
      <c r="AK97" s="191"/>
      <c r="AL97" s="191"/>
      <c r="AM97" s="191"/>
      <c r="AN97" s="195"/>
      <c r="AO97" s="193" t="str">
        <f t="shared" si="27"/>
        <v/>
      </c>
      <c r="AP97" s="193" t="str">
        <f t="shared" si="28"/>
        <v/>
      </c>
      <c r="AQ97" s="198" t="str">
        <f>IF(Referral4[[#This Row],[Claimed_Date
(mmm-dd-yyy)]]="","",IF(AND(MONTH(Referral4[[#This Row],[Claimed_Date
(mmm-dd-yyy)]])&gt;4,MONTH(Referral4[[#This Row],[Claimed_Date
(mmm-dd-yyy)]])&lt;11),"S1","S2"))</f>
        <v/>
      </c>
      <c r="AR97"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7" s="280"/>
      <c r="AT97" s="199"/>
      <c r="AU97" s="200"/>
      <c r="AV97" s="201">
        <f t="shared" si="29"/>
        <v>0</v>
      </c>
      <c r="AW97" s="202"/>
      <c r="AX97" s="191"/>
      <c r="AY97" s="191"/>
      <c r="AZ97" s="191"/>
      <c r="BA97" s="191"/>
      <c r="BB97" s="191"/>
      <c r="BC97" s="191"/>
      <c r="BD97" s="191"/>
      <c r="BE97" s="193" t="str">
        <f t="shared" si="30"/>
        <v/>
      </c>
      <c r="BF97" s="193" t="str">
        <f t="shared" si="31"/>
        <v/>
      </c>
      <c r="BG97" s="193" t="str">
        <f t="shared" si="32"/>
        <v/>
      </c>
      <c r="BH97" s="194"/>
    </row>
    <row r="98" spans="1:60" x14ac:dyDescent="0.25">
      <c r="A98" s="279"/>
      <c r="B98" s="279"/>
      <c r="C98" s="191"/>
      <c r="D98" s="191"/>
      <c r="E98" s="191"/>
      <c r="F98" s="191"/>
      <c r="G98" s="191"/>
      <c r="H98" s="191"/>
      <c r="I98" s="192"/>
      <c r="J98" s="191"/>
      <c r="K98" s="191"/>
      <c r="L98" s="191"/>
      <c r="M98" s="219" t="str">
        <f t="shared" si="25"/>
        <v xml:space="preserve"> </v>
      </c>
      <c r="N98" s="194" t="str">
        <f t="shared" si="26"/>
        <v/>
      </c>
      <c r="O98" s="191"/>
      <c r="P98" s="191"/>
      <c r="Q98" s="191"/>
      <c r="R98" s="191"/>
      <c r="S98" s="191"/>
      <c r="T98" s="191"/>
      <c r="U98"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8" s="195"/>
      <c r="W98" s="191"/>
      <c r="X98" s="191"/>
      <c r="Y98" s="191"/>
      <c r="Z98" s="191"/>
      <c r="AA98" s="192"/>
      <c r="AB98" s="195"/>
      <c r="AC98" s="196"/>
      <c r="AD98" s="193" t="str">
        <f>IF(Referral4[[#This Row],[DOA
(mm-dd-yyy)]]="","",(Referral4[[#This Row],[DOD
(mm-dd-yyy)]]-Referral4[[#This Row],[DOA
(mm-dd-yyy)]])+1)</f>
        <v/>
      </c>
      <c r="AE98" s="197"/>
      <c r="AF98" s="191"/>
      <c r="AG98" s="194" t="str">
        <f t="array" ref="AG98">IF(AF98="","",
IF(Y98="EmOC",VLOOKUP(AF98,Data_validation!$R$1:$S$93,2,FALSE),
IF(Y98="ECC",VLOOKUP(AF98,Data_validation!$T$1:$U$151,2,FALSE),
IF(Y98="Other",VLOOKUP(AF98,Data_validation!$V$1:$W$19,2,FALSE),
VLOOKUP(AF98,Data_validation!$X$1:$Y$3,2,FALSE)))))</f>
        <v/>
      </c>
      <c r="AH98" s="191"/>
      <c r="AI98" s="191"/>
      <c r="AJ98" s="191"/>
      <c r="AK98" s="191"/>
      <c r="AL98" s="191"/>
      <c r="AM98" s="191"/>
      <c r="AN98" s="195"/>
      <c r="AO98" s="193" t="str">
        <f t="shared" si="27"/>
        <v/>
      </c>
      <c r="AP98" s="193" t="str">
        <f t="shared" si="28"/>
        <v/>
      </c>
      <c r="AQ98" s="198" t="str">
        <f>IF(Referral4[[#This Row],[Claimed_Date
(mmm-dd-yyy)]]="","",IF(AND(MONTH(Referral4[[#This Row],[Claimed_Date
(mmm-dd-yyy)]])&gt;4,MONTH(Referral4[[#This Row],[Claimed_Date
(mmm-dd-yyy)]])&lt;11),"S1","S2"))</f>
        <v/>
      </c>
      <c r="AR98"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8" s="280"/>
      <c r="AT98" s="199"/>
      <c r="AU98" s="200"/>
      <c r="AV98" s="201">
        <f t="shared" si="29"/>
        <v>0</v>
      </c>
      <c r="AW98" s="202"/>
      <c r="AX98" s="191"/>
      <c r="AY98" s="191"/>
      <c r="AZ98" s="191"/>
      <c r="BA98" s="191"/>
      <c r="BB98" s="191"/>
      <c r="BC98" s="191"/>
      <c r="BD98" s="191"/>
      <c r="BE98" s="193" t="str">
        <f t="shared" si="30"/>
        <v/>
      </c>
      <c r="BF98" s="193" t="str">
        <f t="shared" si="31"/>
        <v/>
      </c>
      <c r="BG98" s="193" t="str">
        <f t="shared" si="32"/>
        <v/>
      </c>
      <c r="BH98" s="194"/>
    </row>
    <row r="99" spans="1:60" x14ac:dyDescent="0.25">
      <c r="A99" s="279"/>
      <c r="B99" s="279"/>
      <c r="C99" s="191"/>
      <c r="D99" s="191"/>
      <c r="E99" s="191"/>
      <c r="F99" s="191"/>
      <c r="G99" s="191"/>
      <c r="H99" s="191"/>
      <c r="I99" s="192"/>
      <c r="J99" s="191"/>
      <c r="K99" s="191"/>
      <c r="L99" s="191"/>
      <c r="M99" s="219" t="str">
        <f t="shared" si="25"/>
        <v xml:space="preserve"> </v>
      </c>
      <c r="N99" s="194" t="str">
        <f t="shared" si="26"/>
        <v/>
      </c>
      <c r="O99" s="191"/>
      <c r="P99" s="191"/>
      <c r="Q99" s="191"/>
      <c r="R99" s="191"/>
      <c r="S99" s="191"/>
      <c r="T99" s="191"/>
      <c r="U99"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99" s="195"/>
      <c r="W99" s="191"/>
      <c r="X99" s="191"/>
      <c r="Y99" s="191"/>
      <c r="Z99" s="191"/>
      <c r="AA99" s="192"/>
      <c r="AB99" s="195"/>
      <c r="AC99" s="196"/>
      <c r="AD99" s="193" t="str">
        <f>IF(Referral4[[#This Row],[DOA
(mm-dd-yyy)]]="","",(Referral4[[#This Row],[DOD
(mm-dd-yyy)]]-Referral4[[#This Row],[DOA
(mm-dd-yyy)]])+1)</f>
        <v/>
      </c>
      <c r="AE99" s="197"/>
      <c r="AF99" s="191"/>
      <c r="AG99" s="194" t="str">
        <f t="array" ref="AG99">IF(AF99="","",
IF(Y99="EmOC",VLOOKUP(AF99,Data_validation!$R$1:$S$93,2,FALSE),
IF(Y99="ECC",VLOOKUP(AF99,Data_validation!$T$1:$U$151,2,FALSE),
IF(Y99="Other",VLOOKUP(AF99,Data_validation!$V$1:$W$19,2,FALSE),
VLOOKUP(AF99,Data_validation!$X$1:$Y$3,2,FALSE)))))</f>
        <v/>
      </c>
      <c r="AH99" s="191"/>
      <c r="AI99" s="191"/>
      <c r="AJ99" s="191"/>
      <c r="AK99" s="191"/>
      <c r="AL99" s="191"/>
      <c r="AM99" s="191"/>
      <c r="AN99" s="195"/>
      <c r="AO99" s="193" t="str">
        <f t="shared" si="27"/>
        <v/>
      </c>
      <c r="AP99" s="193" t="str">
        <f t="shared" si="28"/>
        <v/>
      </c>
      <c r="AQ99" s="198" t="str">
        <f>IF(Referral4[[#This Row],[Claimed_Date
(mmm-dd-yyy)]]="","",IF(AND(MONTH(Referral4[[#This Row],[Claimed_Date
(mmm-dd-yyy)]])&gt;4,MONTH(Referral4[[#This Row],[Claimed_Date
(mmm-dd-yyy)]])&lt;11),"S1","S2"))</f>
        <v/>
      </c>
      <c r="AR99"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99" s="280"/>
      <c r="AT99" s="199"/>
      <c r="AU99" s="200"/>
      <c r="AV99" s="201">
        <f t="shared" si="29"/>
        <v>0</v>
      </c>
      <c r="AW99" s="202"/>
      <c r="AX99" s="191"/>
      <c r="AY99" s="191"/>
      <c r="AZ99" s="191"/>
      <c r="BA99" s="191"/>
      <c r="BB99" s="191"/>
      <c r="BC99" s="191"/>
      <c r="BD99" s="191"/>
      <c r="BE99" s="193" t="str">
        <f t="shared" si="30"/>
        <v/>
      </c>
      <c r="BF99" s="193" t="str">
        <f t="shared" si="31"/>
        <v/>
      </c>
      <c r="BG99" s="193" t="str">
        <f t="shared" si="32"/>
        <v/>
      </c>
      <c r="BH99" s="194"/>
    </row>
    <row r="100" spans="1:60" x14ac:dyDescent="0.25">
      <c r="A100" s="279"/>
      <c r="B100" s="279"/>
      <c r="C100" s="191"/>
      <c r="D100" s="191"/>
      <c r="E100" s="191"/>
      <c r="F100" s="191"/>
      <c r="G100" s="191"/>
      <c r="H100" s="191"/>
      <c r="I100" s="192"/>
      <c r="J100" s="191"/>
      <c r="K100" s="191"/>
      <c r="L100" s="191"/>
      <c r="M100" s="219" t="str">
        <f t="shared" si="25"/>
        <v xml:space="preserve"> </v>
      </c>
      <c r="N100" s="194" t="str">
        <f t="shared" si="26"/>
        <v/>
      </c>
      <c r="O100" s="191"/>
      <c r="P100" s="191"/>
      <c r="Q100" s="191"/>
      <c r="R100" s="191"/>
      <c r="S100" s="191"/>
      <c r="T100" s="191"/>
      <c r="U100"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0" s="195"/>
      <c r="W100" s="191"/>
      <c r="X100" s="191"/>
      <c r="Y100" s="191"/>
      <c r="Z100" s="191"/>
      <c r="AA100" s="192"/>
      <c r="AB100" s="195"/>
      <c r="AC100" s="196"/>
      <c r="AD100" s="193" t="str">
        <f>IF(Referral4[[#This Row],[DOA
(mm-dd-yyy)]]="","",(Referral4[[#This Row],[DOD
(mm-dd-yyy)]]-Referral4[[#This Row],[DOA
(mm-dd-yyy)]])+1)</f>
        <v/>
      </c>
      <c r="AE100" s="197"/>
      <c r="AF100" s="191"/>
      <c r="AG100" s="194" t="str">
        <f t="array" ref="AG100">IF(AF100="","",
IF(Y100="EmOC",VLOOKUP(AF100,Data_validation!$R$1:$S$93,2,FALSE),
IF(Y100="ECC",VLOOKUP(AF100,Data_validation!$T$1:$U$151,2,FALSE),
IF(Y100="Other",VLOOKUP(AF100,Data_validation!$V$1:$W$19,2,FALSE),
VLOOKUP(AF100,Data_validation!$X$1:$Y$3,2,FALSE)))))</f>
        <v/>
      </c>
      <c r="AH100" s="191"/>
      <c r="AI100" s="191"/>
      <c r="AJ100" s="191"/>
      <c r="AK100" s="191"/>
      <c r="AL100" s="191"/>
      <c r="AM100" s="191"/>
      <c r="AN100" s="195"/>
      <c r="AO100" s="193" t="str">
        <f t="shared" si="27"/>
        <v/>
      </c>
      <c r="AP100" s="193" t="str">
        <f t="shared" si="28"/>
        <v/>
      </c>
      <c r="AQ100" s="198" t="str">
        <f>IF(Referral4[[#This Row],[Claimed_Date
(mmm-dd-yyy)]]="","",IF(AND(MONTH(Referral4[[#This Row],[Claimed_Date
(mmm-dd-yyy)]])&gt;4,MONTH(Referral4[[#This Row],[Claimed_Date
(mmm-dd-yyy)]])&lt;11),"S1","S2"))</f>
        <v/>
      </c>
      <c r="AR100"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0" s="280"/>
      <c r="AT100" s="199"/>
      <c r="AU100" s="200"/>
      <c r="AV100" s="201">
        <f t="shared" si="29"/>
        <v>0</v>
      </c>
      <c r="AW100" s="202"/>
      <c r="AX100" s="191"/>
      <c r="AY100" s="191"/>
      <c r="AZ100" s="191"/>
      <c r="BA100" s="191"/>
      <c r="BB100" s="191"/>
      <c r="BC100" s="191"/>
      <c r="BD100" s="191"/>
      <c r="BE100" s="193" t="str">
        <f t="shared" si="30"/>
        <v/>
      </c>
      <c r="BF100" s="193" t="str">
        <f t="shared" si="31"/>
        <v/>
      </c>
      <c r="BG100" s="193" t="str">
        <f t="shared" si="32"/>
        <v/>
      </c>
      <c r="BH100" s="194"/>
    </row>
    <row r="101" spans="1:60" x14ac:dyDescent="0.25">
      <c r="A101" s="279"/>
      <c r="B101" s="279"/>
      <c r="C101" s="191"/>
      <c r="D101" s="191"/>
      <c r="E101" s="191"/>
      <c r="F101" s="191"/>
      <c r="G101" s="191"/>
      <c r="H101" s="191"/>
      <c r="I101" s="192"/>
      <c r="J101" s="191"/>
      <c r="K101" s="191"/>
      <c r="L101" s="191"/>
      <c r="M101" s="219" t="str">
        <f t="shared" si="25"/>
        <v xml:space="preserve"> </v>
      </c>
      <c r="N101" s="194" t="str">
        <f t="shared" si="26"/>
        <v/>
      </c>
      <c r="O101" s="191"/>
      <c r="P101" s="191"/>
      <c r="Q101" s="191"/>
      <c r="R101" s="191"/>
      <c r="S101" s="191"/>
      <c r="T101" s="191"/>
      <c r="U101"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1" s="195"/>
      <c r="W101" s="191"/>
      <c r="X101" s="191"/>
      <c r="Y101" s="191"/>
      <c r="Z101" s="191"/>
      <c r="AA101" s="192"/>
      <c r="AB101" s="195"/>
      <c r="AC101" s="196"/>
      <c r="AD101" s="193" t="str">
        <f>IF(Referral4[[#This Row],[DOA
(mm-dd-yyy)]]="","",(Referral4[[#This Row],[DOD
(mm-dd-yyy)]]-Referral4[[#This Row],[DOA
(mm-dd-yyy)]])+1)</f>
        <v/>
      </c>
      <c r="AE101" s="197"/>
      <c r="AF101" s="191"/>
      <c r="AG101" s="194" t="str">
        <f t="array" ref="AG101">IF(AF101="","",
IF(Y101="EmOC",VLOOKUP(AF101,Data_validation!$R$1:$S$93,2,FALSE),
IF(Y101="ECC",VLOOKUP(AF101,Data_validation!$T$1:$U$151,2,FALSE),
IF(Y101="Other",VLOOKUP(AF101,Data_validation!$V$1:$W$19,2,FALSE),
VLOOKUP(AF101,Data_validation!$X$1:$Y$3,2,FALSE)))))</f>
        <v/>
      </c>
      <c r="AH101" s="191"/>
      <c r="AI101" s="191"/>
      <c r="AJ101" s="191"/>
      <c r="AK101" s="191"/>
      <c r="AL101" s="191"/>
      <c r="AM101" s="191"/>
      <c r="AN101" s="195"/>
      <c r="AO101" s="193" t="str">
        <f t="shared" si="27"/>
        <v/>
      </c>
      <c r="AP101" s="193" t="str">
        <f t="shared" si="28"/>
        <v/>
      </c>
      <c r="AQ101" s="198" t="str">
        <f>IF(Referral4[[#This Row],[Claimed_Date
(mmm-dd-yyy)]]="","",IF(AND(MONTH(Referral4[[#This Row],[Claimed_Date
(mmm-dd-yyy)]])&gt;4,MONTH(Referral4[[#This Row],[Claimed_Date
(mmm-dd-yyy)]])&lt;11),"S1","S2"))</f>
        <v/>
      </c>
      <c r="AR101"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1" s="280"/>
      <c r="AT101" s="199"/>
      <c r="AU101" s="200"/>
      <c r="AV101" s="201">
        <f t="shared" si="29"/>
        <v>0</v>
      </c>
      <c r="AW101" s="202"/>
      <c r="AX101" s="191"/>
      <c r="AY101" s="191"/>
      <c r="AZ101" s="191"/>
      <c r="BA101" s="191"/>
      <c r="BB101" s="191"/>
      <c r="BC101" s="191"/>
      <c r="BD101" s="191"/>
      <c r="BE101" s="193" t="str">
        <f t="shared" si="30"/>
        <v/>
      </c>
      <c r="BF101" s="193" t="str">
        <f t="shared" si="31"/>
        <v/>
      </c>
      <c r="BG101" s="193" t="str">
        <f t="shared" si="32"/>
        <v/>
      </c>
      <c r="BH101" s="194"/>
    </row>
    <row r="102" spans="1:60" x14ac:dyDescent="0.25">
      <c r="A102" s="279"/>
      <c r="B102" s="279"/>
      <c r="C102" s="191"/>
      <c r="D102" s="191"/>
      <c r="E102" s="191"/>
      <c r="F102" s="191"/>
      <c r="G102" s="191"/>
      <c r="H102" s="191"/>
      <c r="I102" s="192"/>
      <c r="J102" s="191"/>
      <c r="K102" s="191"/>
      <c r="L102" s="191"/>
      <c r="M102" s="219" t="str">
        <f t="shared" si="25"/>
        <v xml:space="preserve"> </v>
      </c>
      <c r="N102" s="194" t="str">
        <f t="shared" si="26"/>
        <v/>
      </c>
      <c r="O102" s="191"/>
      <c r="P102" s="191"/>
      <c r="Q102" s="191"/>
      <c r="R102" s="191"/>
      <c r="S102" s="191"/>
      <c r="T102" s="191"/>
      <c r="U102"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2" s="195"/>
      <c r="W102" s="191"/>
      <c r="X102" s="191"/>
      <c r="Y102" s="191"/>
      <c r="Z102" s="191"/>
      <c r="AA102" s="192"/>
      <c r="AB102" s="195"/>
      <c r="AC102" s="196"/>
      <c r="AD102" s="193" t="str">
        <f>IF(Referral4[[#This Row],[DOA
(mm-dd-yyy)]]="","",(Referral4[[#This Row],[DOD
(mm-dd-yyy)]]-Referral4[[#This Row],[DOA
(mm-dd-yyy)]])+1)</f>
        <v/>
      </c>
      <c r="AE102" s="197"/>
      <c r="AF102" s="191"/>
      <c r="AG102" s="194" t="str">
        <f t="array" ref="AG102">IF(AF102="","",
IF(Y102="EmOC",VLOOKUP(AF102,Data_validation!$R$1:$S$93,2,FALSE),
IF(Y102="ECC",VLOOKUP(AF102,Data_validation!$T$1:$U$151,2,FALSE),
IF(Y102="Other",VLOOKUP(AF102,Data_validation!$V$1:$W$19,2,FALSE),
VLOOKUP(AF102,Data_validation!$X$1:$Y$3,2,FALSE)))))</f>
        <v/>
      </c>
      <c r="AH102" s="191"/>
      <c r="AI102" s="191"/>
      <c r="AJ102" s="191"/>
      <c r="AK102" s="191"/>
      <c r="AL102" s="191"/>
      <c r="AM102" s="191"/>
      <c r="AN102" s="195"/>
      <c r="AO102" s="193" t="str">
        <f t="shared" si="27"/>
        <v/>
      </c>
      <c r="AP102" s="193" t="str">
        <f t="shared" si="28"/>
        <v/>
      </c>
      <c r="AQ102" s="198" t="str">
        <f>IF(Referral4[[#This Row],[Claimed_Date
(mmm-dd-yyy)]]="","",IF(AND(MONTH(Referral4[[#This Row],[Claimed_Date
(mmm-dd-yyy)]])&gt;4,MONTH(Referral4[[#This Row],[Claimed_Date
(mmm-dd-yyy)]])&lt;11),"S1","S2"))</f>
        <v/>
      </c>
      <c r="AR102"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2" s="280"/>
      <c r="AT102" s="199"/>
      <c r="AU102" s="200"/>
      <c r="AV102" s="201">
        <f t="shared" si="29"/>
        <v>0</v>
      </c>
      <c r="AW102" s="202"/>
      <c r="AX102" s="191"/>
      <c r="AY102" s="191"/>
      <c r="AZ102" s="191"/>
      <c r="BA102" s="191"/>
      <c r="BB102" s="191"/>
      <c r="BC102" s="191"/>
      <c r="BD102" s="191"/>
      <c r="BE102" s="193" t="str">
        <f t="shared" si="30"/>
        <v/>
      </c>
      <c r="BF102" s="193" t="str">
        <f t="shared" si="31"/>
        <v/>
      </c>
      <c r="BG102" s="193" t="str">
        <f t="shared" si="32"/>
        <v/>
      </c>
      <c r="BH102" s="194"/>
    </row>
    <row r="103" spans="1:60" x14ac:dyDescent="0.25">
      <c r="A103" s="279"/>
      <c r="B103" s="279"/>
      <c r="C103" s="191"/>
      <c r="D103" s="191"/>
      <c r="E103" s="191"/>
      <c r="F103" s="191"/>
      <c r="G103" s="191"/>
      <c r="H103" s="191"/>
      <c r="I103" s="192"/>
      <c r="J103" s="191"/>
      <c r="K103" s="191"/>
      <c r="L103" s="191"/>
      <c r="M103" s="219" t="str">
        <f t="shared" si="25"/>
        <v xml:space="preserve"> </v>
      </c>
      <c r="N103" s="194" t="str">
        <f t="shared" si="26"/>
        <v/>
      </c>
      <c r="O103" s="191"/>
      <c r="P103" s="191"/>
      <c r="Q103" s="191"/>
      <c r="R103" s="191"/>
      <c r="S103" s="191"/>
      <c r="T103" s="191"/>
      <c r="U103"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3" s="195"/>
      <c r="W103" s="191"/>
      <c r="X103" s="191"/>
      <c r="Y103" s="191"/>
      <c r="Z103" s="191"/>
      <c r="AA103" s="192"/>
      <c r="AB103" s="195"/>
      <c r="AC103" s="196"/>
      <c r="AD103" s="193" t="str">
        <f>IF(Referral4[[#This Row],[DOA
(mm-dd-yyy)]]="","",(Referral4[[#This Row],[DOD
(mm-dd-yyy)]]-Referral4[[#This Row],[DOA
(mm-dd-yyy)]])+1)</f>
        <v/>
      </c>
      <c r="AE103" s="197"/>
      <c r="AF103" s="191"/>
      <c r="AG103" s="194" t="str">
        <f t="array" ref="AG103">IF(AF103="","",
IF(Y103="EmOC",VLOOKUP(AF103,Data_validation!$R$1:$S$93,2,FALSE),
IF(Y103="ECC",VLOOKUP(AF103,Data_validation!$T$1:$U$151,2,FALSE),
IF(Y103="Other",VLOOKUP(AF103,Data_validation!$V$1:$W$19,2,FALSE),
VLOOKUP(AF103,Data_validation!$X$1:$Y$3,2,FALSE)))))</f>
        <v/>
      </c>
      <c r="AH103" s="191"/>
      <c r="AI103" s="191"/>
      <c r="AJ103" s="191"/>
      <c r="AK103" s="191"/>
      <c r="AL103" s="191"/>
      <c r="AM103" s="191"/>
      <c r="AN103" s="195"/>
      <c r="AO103" s="193" t="str">
        <f t="shared" si="27"/>
        <v/>
      </c>
      <c r="AP103" s="193" t="str">
        <f t="shared" si="28"/>
        <v/>
      </c>
      <c r="AQ103" s="198" t="str">
        <f>IF(Referral4[[#This Row],[Claimed_Date
(mmm-dd-yyy)]]="","",IF(AND(MONTH(Referral4[[#This Row],[Claimed_Date
(mmm-dd-yyy)]])&gt;4,MONTH(Referral4[[#This Row],[Claimed_Date
(mmm-dd-yyy)]])&lt;11),"S1","S2"))</f>
        <v/>
      </c>
      <c r="AR103"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3" s="280"/>
      <c r="AT103" s="199"/>
      <c r="AU103" s="200"/>
      <c r="AV103" s="201">
        <f t="shared" si="29"/>
        <v>0</v>
      </c>
      <c r="AW103" s="202"/>
      <c r="AX103" s="191"/>
      <c r="AY103" s="191"/>
      <c r="AZ103" s="191"/>
      <c r="BA103" s="191"/>
      <c r="BB103" s="191"/>
      <c r="BC103" s="191"/>
      <c r="BD103" s="191"/>
      <c r="BE103" s="193" t="str">
        <f t="shared" si="30"/>
        <v/>
      </c>
      <c r="BF103" s="193" t="str">
        <f t="shared" si="31"/>
        <v/>
      </c>
      <c r="BG103" s="193" t="str">
        <f t="shared" si="32"/>
        <v/>
      </c>
      <c r="BH103" s="194"/>
    </row>
    <row r="104" spans="1:60" x14ac:dyDescent="0.25">
      <c r="A104" s="279"/>
      <c r="B104" s="279"/>
      <c r="C104" s="191"/>
      <c r="D104" s="191"/>
      <c r="E104" s="191"/>
      <c r="F104" s="191"/>
      <c r="G104" s="191"/>
      <c r="H104" s="191"/>
      <c r="I104" s="192"/>
      <c r="J104" s="191"/>
      <c r="K104" s="191"/>
      <c r="L104" s="191"/>
      <c r="M104" s="219" t="str">
        <f t="shared" si="25"/>
        <v xml:space="preserve"> </v>
      </c>
      <c r="N104" s="194" t="str">
        <f t="shared" si="26"/>
        <v/>
      </c>
      <c r="O104" s="191"/>
      <c r="P104" s="191"/>
      <c r="Q104" s="191"/>
      <c r="R104" s="191"/>
      <c r="S104" s="191"/>
      <c r="T104" s="191"/>
      <c r="U104"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4" s="195"/>
      <c r="W104" s="191"/>
      <c r="X104" s="191"/>
      <c r="Y104" s="191"/>
      <c r="Z104" s="191"/>
      <c r="AA104" s="192"/>
      <c r="AB104" s="195"/>
      <c r="AC104" s="196"/>
      <c r="AD104" s="193" t="str">
        <f>IF(Referral4[[#This Row],[DOA
(mm-dd-yyy)]]="","",(Referral4[[#This Row],[DOD
(mm-dd-yyy)]]-Referral4[[#This Row],[DOA
(mm-dd-yyy)]])+1)</f>
        <v/>
      </c>
      <c r="AE104" s="197"/>
      <c r="AF104" s="191"/>
      <c r="AG104" s="194" t="str">
        <f t="array" ref="AG104">IF(AF104="","",
IF(Y104="EmOC",VLOOKUP(AF104,Data_validation!$R$1:$S$93,2,FALSE),
IF(Y104="ECC",VLOOKUP(AF104,Data_validation!$T$1:$U$151,2,FALSE),
IF(Y104="Other",VLOOKUP(AF104,Data_validation!$V$1:$W$19,2,FALSE),
VLOOKUP(AF104,Data_validation!$X$1:$Y$3,2,FALSE)))))</f>
        <v/>
      </c>
      <c r="AH104" s="191"/>
      <c r="AI104" s="191"/>
      <c r="AJ104" s="191"/>
      <c r="AK104" s="191"/>
      <c r="AL104" s="191"/>
      <c r="AM104" s="191"/>
      <c r="AN104" s="195"/>
      <c r="AO104" s="193" t="str">
        <f t="shared" si="27"/>
        <v/>
      </c>
      <c r="AP104" s="193" t="str">
        <f t="shared" si="28"/>
        <v/>
      </c>
      <c r="AQ104" s="198" t="str">
        <f>IF(Referral4[[#This Row],[Claimed_Date
(mmm-dd-yyy)]]="","",IF(AND(MONTH(Referral4[[#This Row],[Claimed_Date
(mmm-dd-yyy)]])&gt;4,MONTH(Referral4[[#This Row],[Claimed_Date
(mmm-dd-yyy)]])&lt;11),"S1","S2"))</f>
        <v/>
      </c>
      <c r="AR104"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4" s="280"/>
      <c r="AT104" s="199"/>
      <c r="AU104" s="200"/>
      <c r="AV104" s="201">
        <f t="shared" si="29"/>
        <v>0</v>
      </c>
      <c r="AW104" s="202"/>
      <c r="AX104" s="191"/>
      <c r="AY104" s="191"/>
      <c r="AZ104" s="191"/>
      <c r="BA104" s="191"/>
      <c r="BB104" s="191"/>
      <c r="BC104" s="191"/>
      <c r="BD104" s="191"/>
      <c r="BE104" s="193" t="str">
        <f t="shared" si="30"/>
        <v/>
      </c>
      <c r="BF104" s="193" t="str">
        <f t="shared" si="31"/>
        <v/>
      </c>
      <c r="BG104" s="193" t="str">
        <f t="shared" si="32"/>
        <v/>
      </c>
      <c r="BH104" s="194"/>
    </row>
    <row r="105" spans="1:60" x14ac:dyDescent="0.25">
      <c r="A105" s="279"/>
      <c r="B105" s="279"/>
      <c r="C105" s="191"/>
      <c r="D105" s="191"/>
      <c r="E105" s="191"/>
      <c r="F105" s="191"/>
      <c r="G105" s="191"/>
      <c r="H105" s="191"/>
      <c r="I105" s="192"/>
      <c r="J105" s="191"/>
      <c r="K105" s="191"/>
      <c r="L105" s="191"/>
      <c r="M105" s="219" t="str">
        <f t="shared" si="25"/>
        <v xml:space="preserve"> </v>
      </c>
      <c r="N105" s="194" t="str">
        <f t="shared" si="26"/>
        <v/>
      </c>
      <c r="O105" s="191"/>
      <c r="P105" s="191"/>
      <c r="Q105" s="191"/>
      <c r="R105" s="191"/>
      <c r="S105" s="191"/>
      <c r="T105" s="191"/>
      <c r="U105"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5" s="195"/>
      <c r="W105" s="191"/>
      <c r="X105" s="191"/>
      <c r="Y105" s="191"/>
      <c r="Z105" s="191"/>
      <c r="AA105" s="192"/>
      <c r="AB105" s="195"/>
      <c r="AC105" s="196"/>
      <c r="AD105" s="193" t="str">
        <f>IF(Referral4[[#This Row],[DOA
(mm-dd-yyy)]]="","",(Referral4[[#This Row],[DOD
(mm-dd-yyy)]]-Referral4[[#This Row],[DOA
(mm-dd-yyy)]])+1)</f>
        <v/>
      </c>
      <c r="AE105" s="197"/>
      <c r="AF105" s="191"/>
      <c r="AG105" s="194" t="str">
        <f t="array" ref="AG105">IF(AF105="","",
IF(Y105="EmOC",VLOOKUP(AF105,Data_validation!$R$1:$S$93,2,FALSE),
IF(Y105="ECC",VLOOKUP(AF105,Data_validation!$T$1:$U$151,2,FALSE),
IF(Y105="Other",VLOOKUP(AF105,Data_validation!$V$1:$W$19,2,FALSE),
VLOOKUP(AF105,Data_validation!$X$1:$Y$3,2,FALSE)))))</f>
        <v/>
      </c>
      <c r="AH105" s="191"/>
      <c r="AI105" s="191"/>
      <c r="AJ105" s="191"/>
      <c r="AK105" s="191"/>
      <c r="AL105" s="191"/>
      <c r="AM105" s="191"/>
      <c r="AN105" s="195"/>
      <c r="AO105" s="193" t="str">
        <f t="shared" si="27"/>
        <v/>
      </c>
      <c r="AP105" s="193" t="str">
        <f t="shared" si="28"/>
        <v/>
      </c>
      <c r="AQ105" s="198" t="str">
        <f>IF(Referral4[[#This Row],[Claimed_Date
(mmm-dd-yyy)]]="","",IF(AND(MONTH(Referral4[[#This Row],[Claimed_Date
(mmm-dd-yyy)]])&gt;4,MONTH(Referral4[[#This Row],[Claimed_Date
(mmm-dd-yyy)]])&lt;11),"S1","S2"))</f>
        <v/>
      </c>
      <c r="AR105"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5" s="280"/>
      <c r="AT105" s="199"/>
      <c r="AU105" s="200"/>
      <c r="AV105" s="201">
        <f t="shared" si="29"/>
        <v>0</v>
      </c>
      <c r="AW105" s="202"/>
      <c r="AX105" s="191"/>
      <c r="AY105" s="191"/>
      <c r="AZ105" s="191"/>
      <c r="BA105" s="191"/>
      <c r="BB105" s="191"/>
      <c r="BC105" s="191"/>
      <c r="BD105" s="191"/>
      <c r="BE105" s="193" t="str">
        <f t="shared" si="30"/>
        <v/>
      </c>
      <c r="BF105" s="193" t="str">
        <f t="shared" si="31"/>
        <v/>
      </c>
      <c r="BG105" s="193" t="str">
        <f t="shared" si="32"/>
        <v/>
      </c>
      <c r="BH105" s="194"/>
    </row>
    <row r="106" spans="1:60" x14ac:dyDescent="0.25">
      <c r="A106" s="279"/>
      <c r="B106" s="279"/>
      <c r="C106" s="191"/>
      <c r="D106" s="191"/>
      <c r="E106" s="191"/>
      <c r="F106" s="191"/>
      <c r="G106" s="191"/>
      <c r="H106" s="191"/>
      <c r="I106" s="192"/>
      <c r="J106" s="191"/>
      <c r="K106" s="191"/>
      <c r="L106" s="191"/>
      <c r="M106" s="219" t="str">
        <f t="shared" si="25"/>
        <v xml:space="preserve"> </v>
      </c>
      <c r="N106" s="194" t="str">
        <f t="shared" si="26"/>
        <v/>
      </c>
      <c r="O106" s="191"/>
      <c r="P106" s="191"/>
      <c r="Q106" s="191"/>
      <c r="R106" s="191"/>
      <c r="S106" s="191"/>
      <c r="T106" s="191"/>
      <c r="U106" s="191" t="str">
        <f>IF(AND(Referral4[[#This Row],[Seeing]]="",Referral4[[#This Row],[Hearing]]="",Referral4[[#This Row],[Walking]]="",Referral4[[#This Row],[Concentration]]="",Referral4[[#This Row],[Self-Care]]="",Referral4[[#This Row],[Communication]]=""),"",IF(OR(Referral4[[#This Row],[Seeing]]&gt;2,Referral4[[#This Row],[Hearing]]&gt;2,Referral4[[#This Row],[Walking]]&gt;2,Referral4[[#This Row],[Concentration]]&gt;2,Referral4[[#This Row],[Self-Care]]&gt;2,Referral4[[#This Row],[Communication]]&gt;2),"Yes","No"))</f>
        <v/>
      </c>
      <c r="V106" s="195"/>
      <c r="W106" s="191"/>
      <c r="X106" s="191"/>
      <c r="Y106" s="191"/>
      <c r="Z106" s="191"/>
      <c r="AA106" s="192"/>
      <c r="AB106" s="195"/>
      <c r="AC106" s="196"/>
      <c r="AD106" s="193" t="str">
        <f>IF(Referral4[[#This Row],[DOA
(mm-dd-yyy)]]="","",(Referral4[[#This Row],[DOD
(mm-dd-yyy)]]-Referral4[[#This Row],[DOA
(mm-dd-yyy)]])+1)</f>
        <v/>
      </c>
      <c r="AE106" s="197"/>
      <c r="AF106" s="191"/>
      <c r="AG106" s="194" t="str">
        <f t="array" ref="AG106">IF(AF106="","",
IF(Y106="EmOC",VLOOKUP(AF106,Data_validation!$R$1:$S$93,2,FALSE),
IF(Y106="ECC",VLOOKUP(AF106,Data_validation!$T$1:$U$151,2,FALSE),
IF(Y106="Other",VLOOKUP(AF106,Data_validation!$V$1:$W$19,2,FALSE),
VLOOKUP(AF106,Data_validation!$X$1:$Y$3,2,FALSE)))))</f>
        <v/>
      </c>
      <c r="AH106" s="191"/>
      <c r="AI106" s="191"/>
      <c r="AJ106" s="191"/>
      <c r="AK106" s="191"/>
      <c r="AL106" s="191"/>
      <c r="AM106" s="191"/>
      <c r="AN106" s="195"/>
      <c r="AO106" s="193" t="str">
        <f t="shared" si="27"/>
        <v/>
      </c>
      <c r="AP106" s="193" t="str">
        <f t="shared" si="28"/>
        <v/>
      </c>
      <c r="AQ106" s="198" t="str">
        <f>IF(Referral4[[#This Row],[Claimed_Date
(mmm-dd-yyy)]]="","",IF(AND(MONTH(Referral4[[#This Row],[Claimed_Date
(mmm-dd-yyy)]])&gt;4,MONTH(Referral4[[#This Row],[Claimed_Date
(mmm-dd-yyy)]])&lt;11),"S1","S2"))</f>
        <v/>
      </c>
      <c r="AR106" s="193" t="str">
        <f>IF(Referral4[[#This Row],[Hospitalization
days]]="","",IF(OR(AND(Referral4[[#This Row],[Referral Type]]="EmOC",Referral4[[#This Row],[Type of Delivery/Types of Case]]="EmLSCS",Referral4[[#This Row],[Hospitalization
days]]&gt;=7),AND(Referral4[[#This Row],[Referral Type]]="Other",Referral4[[#This Row],[Type of Delivery/Types of Case]]="Surgical",Referral4[[#This Row],[Hospitalization
days]]&gt;=7)),7,
IF(AND(Referral4[[#This Row],[Referral Type]]="EmOC",OR(Referral4[[#This Row],[Type of Delivery/Types of Case]]="Instru.Delivery",Referral4[[#This Row],[Type of Delivery/Types of Case]]="Normal Delivery",Referral4[[#This Row],[Type of Delivery/Types of Case]]="Others"),Referral4[[#This Row],[Hospitalization
days]]&gt;5),5,IF(AND(Referral4[[#This Row],[Referral Type]]="ECC",Referral4[[#This Row],[Hospitalization
days]]&gt;5),5,
IF(AND(Referral4[[#This Row],[Referral Type]]="Other",Referral4[[#This Row],[Type of Delivery/Types of Case]]="Medical",Referral4[[#This Row],[Hospitalization
days]]&gt;5),5,Referral4[Hospitalization
days])))))</f>
        <v/>
      </c>
      <c r="AS106" s="280"/>
      <c r="AT106" s="199"/>
      <c r="AU106" s="200"/>
      <c r="AV106" s="201">
        <f t="shared" si="29"/>
        <v>0</v>
      </c>
      <c r="AW106" s="202"/>
      <c r="AX106" s="191"/>
      <c r="AY106" s="191"/>
      <c r="AZ106" s="191"/>
      <c r="BA106" s="191"/>
      <c r="BB106" s="191"/>
      <c r="BC106" s="191"/>
      <c r="BD106" s="191"/>
      <c r="BE106" s="193" t="str">
        <f t="shared" si="30"/>
        <v/>
      </c>
      <c r="BF106" s="193" t="str">
        <f t="shared" si="31"/>
        <v/>
      </c>
      <c r="BG106" s="193" t="str">
        <f t="shared" si="32"/>
        <v/>
      </c>
      <c r="BH106" s="194"/>
    </row>
  </sheetData>
  <mergeCells count="2">
    <mergeCell ref="A1:D1"/>
    <mergeCell ref="AX1:BG1"/>
  </mergeCells>
  <phoneticPr fontId="44" type="noConversion"/>
  <conditionalFormatting sqref="U3:U106">
    <cfRule type="expression" dxfId="8" priority="12">
      <formula>U3="Yes"</formula>
    </cfRule>
  </conditionalFormatting>
  <conditionalFormatting sqref="BG3:BG106">
    <cfRule type="expression" dxfId="7" priority="11">
      <formula>OR(BG3="Severe",BG3="Very Severe")</formula>
    </cfRule>
  </conditionalFormatting>
  <conditionalFormatting sqref="A3:A106">
    <cfRule type="duplicateValues" dxfId="6" priority="15"/>
  </conditionalFormatting>
  <conditionalFormatting sqref="AT3:AT106">
    <cfRule type="expression" dxfId="5" priority="2">
      <formula>AR3*20000&lt;&gt;AT3</formula>
    </cfRule>
  </conditionalFormatting>
  <conditionalFormatting sqref="AU69:AU70">
    <cfRule type="expression" dxfId="4" priority="1">
      <formula>AS69*20000&lt;&gt;AU69</formula>
    </cfRule>
  </conditionalFormatting>
  <dataValidations xWindow="761" yWindow="593" count="9">
    <dataValidation type="list" allowBlank="1" showInputMessage="1" showErrorMessage="1" sqref="BH3:BH106" xr:uid="{C76F03BA-A884-4F32-8D74-A8235286300F}">
      <formula1>"Sep-2025,Oct-2025,Nov-2025,Dec-2025,Jan-2026,Feb-2026,Mar-2026"</formula1>
    </dataValidation>
    <dataValidation allowBlank="1" showInputMessage="1" showErrorMessage="1" prompt="Referral Type နှင့် Type of delivery/Type of Case ထဲရှိ variable ကို ဖြည့်မှသာ_x000a_maximum supported day ရပါသည်" sqref="AR3:AR106" xr:uid="{7124EF69-3520-4AB9-8A40-E223B8D95602}"/>
    <dataValidation allowBlank="1" showInputMessage="1" showErrorMessage="1" prompt="Cross Township Referral ဖြစ်ပါက မှတ်ချက်တွင် ရေးရန်" sqref="AU3:AU68 AU71:AU106" xr:uid="{E48B542C-38CC-4522-88AC-B6C17D5438BF}"/>
    <dataValidation type="list" allowBlank="1" showInputMessage="1" showErrorMessage="1" sqref="Y3:Y106" xr:uid="{5533869B-6BEE-444C-871F-13F2637BE9BD}">
      <formula1>"EmOC, ECC, Malnutrition, Other"</formula1>
    </dataValidation>
    <dataValidation type="list" allowBlank="1" showInputMessage="1" showErrorMessage="1" sqref="AJ3:AM106" xr:uid="{0B627A5A-A3B5-401E-BBD5-945EFE7667DF}">
      <formula1>"Yes, No"</formula1>
    </dataValidation>
    <dataValidation type="list" allowBlank="1" showInputMessage="1" showErrorMessage="1" sqref="AX3:BD106" xr:uid="{5E25B00F-EF69-436C-AADF-866F6B7DB8AC}">
      <formula1>"Normal, Severe, Very Severe"</formula1>
    </dataValidation>
    <dataValidation type="list" allowBlank="1" showInputMessage="1" showErrorMessage="1" sqref="O3:T106" xr:uid="{AF83A7BE-D4EA-4940-B0F9-E0CFCC1A4059}">
      <formula1>"1,2,3,4"</formula1>
    </dataValidation>
    <dataValidation type="list" allowBlank="1" showInputMessage="1" showErrorMessage="1" sqref="AF3:AF106" xr:uid="{381FEE1D-CA2D-4CD7-9F93-9CBDCA17E98E}">
      <formula1>INDIRECT(Y3)</formula1>
    </dataValidation>
    <dataValidation type="list" allowBlank="1" showInputMessage="1" showErrorMessage="1" sqref="AH3:AH106" xr:uid="{13F6E198-C88E-41E5-8470-B99CCCBC2961}">
      <formula1>types_of_delivery_cases</formula1>
    </dataValidation>
  </dataValidations>
  <pageMargins left="0.7" right="0.7" top="0.75" bottom="0.75" header="0.3" footer="0.3"/>
  <pageSetup orientation="portrait"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dimension ref="A1:AA151"/>
  <sheetViews>
    <sheetView topLeftCell="R1" workbookViewId="0">
      <selection activeCell="K8" sqref="K8"/>
    </sheetView>
  </sheetViews>
  <sheetFormatPr defaultRowHeight="15" x14ac:dyDescent="0.25"/>
  <cols>
    <col min="2" max="2" width="5.42578125" customWidth="1"/>
    <col min="3" max="3" width="10" bestFit="1" customWidth="1"/>
    <col min="4" max="4" width="4.5703125" customWidth="1"/>
    <col min="5" max="5" width="9.85546875" bestFit="1" customWidth="1"/>
    <col min="6" max="6" width="4.42578125" customWidth="1"/>
    <col min="7" max="7" width="11.5703125" customWidth="1"/>
    <col min="8" max="8" width="4.140625" customWidth="1"/>
    <col min="18" max="25" width="48.85546875" customWidth="1"/>
    <col min="27" max="27" width="18.42578125" customWidth="1"/>
  </cols>
  <sheetData>
    <row r="1" spans="1:27" x14ac:dyDescent="0.25">
      <c r="A1" t="s">
        <v>723</v>
      </c>
      <c r="C1" t="s">
        <v>724</v>
      </c>
      <c r="E1" t="s">
        <v>725</v>
      </c>
      <c r="G1" t="s">
        <v>726</v>
      </c>
      <c r="I1" t="s">
        <v>727</v>
      </c>
      <c r="K1" t="s">
        <v>8</v>
      </c>
      <c r="N1" t="s">
        <v>728</v>
      </c>
      <c r="R1" t="s">
        <v>1681</v>
      </c>
      <c r="S1" t="s">
        <v>343</v>
      </c>
      <c r="T1" t="s">
        <v>1684</v>
      </c>
      <c r="U1" t="s">
        <v>1742</v>
      </c>
      <c r="V1" t="s">
        <v>1743</v>
      </c>
      <c r="W1" t="s">
        <v>1744</v>
      </c>
      <c r="X1" t="s">
        <v>1745</v>
      </c>
      <c r="Y1" t="s">
        <v>1746</v>
      </c>
      <c r="AA1" s="158" t="s">
        <v>1967</v>
      </c>
    </row>
    <row r="2" spans="1:27" x14ac:dyDescent="0.25">
      <c r="A2" t="s">
        <v>729</v>
      </c>
      <c r="C2" t="s">
        <v>729</v>
      </c>
      <c r="E2" t="s">
        <v>619</v>
      </c>
      <c r="G2" t="s">
        <v>636</v>
      </c>
      <c r="I2" t="s">
        <v>730</v>
      </c>
      <c r="K2" t="s">
        <v>19</v>
      </c>
      <c r="N2" t="s">
        <v>593</v>
      </c>
      <c r="R2" t="s">
        <v>1712</v>
      </c>
      <c r="S2" t="s">
        <v>1712</v>
      </c>
      <c r="T2" t="s">
        <v>1747</v>
      </c>
      <c r="U2" t="s">
        <v>1748</v>
      </c>
      <c r="V2" t="s">
        <v>1695</v>
      </c>
      <c r="W2" t="s">
        <v>1695</v>
      </c>
      <c r="X2" t="s">
        <v>327</v>
      </c>
      <c r="Y2" t="s">
        <v>156</v>
      </c>
      <c r="AA2" t="s">
        <v>1706</v>
      </c>
    </row>
    <row r="3" spans="1:27" x14ac:dyDescent="0.25">
      <c r="A3" t="s">
        <v>400</v>
      </c>
      <c r="C3" t="s">
        <v>400</v>
      </c>
      <c r="E3" t="s">
        <v>579</v>
      </c>
      <c r="G3" t="s">
        <v>731</v>
      </c>
      <c r="I3" t="s">
        <v>732</v>
      </c>
      <c r="K3" t="s">
        <v>29</v>
      </c>
      <c r="N3" t="s">
        <v>733</v>
      </c>
      <c r="R3" t="s">
        <v>1749</v>
      </c>
      <c r="S3" t="s">
        <v>1750</v>
      </c>
      <c r="T3" t="s">
        <v>1751</v>
      </c>
      <c r="U3" t="s">
        <v>1748</v>
      </c>
      <c r="V3" t="s">
        <v>1686</v>
      </c>
      <c r="W3" t="s">
        <v>1686</v>
      </c>
      <c r="X3" t="s">
        <v>329</v>
      </c>
      <c r="Y3" t="s">
        <v>156</v>
      </c>
      <c r="AA3" t="s">
        <v>1683</v>
      </c>
    </row>
    <row r="4" spans="1:27" x14ac:dyDescent="0.25">
      <c r="A4" t="s">
        <v>734</v>
      </c>
      <c r="C4" t="s">
        <v>576</v>
      </c>
      <c r="E4" t="s">
        <v>618</v>
      </c>
      <c r="I4" t="s">
        <v>615</v>
      </c>
      <c r="K4" t="s">
        <v>39</v>
      </c>
      <c r="N4" t="s">
        <v>13</v>
      </c>
      <c r="R4" t="s">
        <v>1752</v>
      </c>
      <c r="S4" t="s">
        <v>1753</v>
      </c>
      <c r="T4" t="s">
        <v>1754</v>
      </c>
      <c r="U4" t="s">
        <v>1755</v>
      </c>
      <c r="V4" t="s">
        <v>1691</v>
      </c>
      <c r="W4" t="s">
        <v>1691</v>
      </c>
      <c r="AA4" t="s">
        <v>1704</v>
      </c>
    </row>
    <row r="5" spans="1:27" x14ac:dyDescent="0.25">
      <c r="A5" t="s">
        <v>735</v>
      </c>
      <c r="C5" t="s">
        <v>736</v>
      </c>
      <c r="I5" t="s">
        <v>737</v>
      </c>
      <c r="K5" t="s">
        <v>49</v>
      </c>
      <c r="N5" t="s">
        <v>738</v>
      </c>
      <c r="R5" t="s">
        <v>1756</v>
      </c>
      <c r="S5" t="s">
        <v>1753</v>
      </c>
      <c r="T5" t="s">
        <v>1757</v>
      </c>
      <c r="U5" t="s">
        <v>1748</v>
      </c>
      <c r="V5" t="s">
        <v>1690</v>
      </c>
      <c r="W5" t="s">
        <v>1690</v>
      </c>
      <c r="AA5" t="s">
        <v>758</v>
      </c>
    </row>
    <row r="6" spans="1:27" x14ac:dyDescent="0.25">
      <c r="A6" t="s">
        <v>739</v>
      </c>
      <c r="C6" t="s">
        <v>740</v>
      </c>
      <c r="I6" t="s">
        <v>741</v>
      </c>
      <c r="K6" t="s">
        <v>58</v>
      </c>
      <c r="N6" t="s">
        <v>742</v>
      </c>
      <c r="R6" t="s">
        <v>1758</v>
      </c>
      <c r="S6" t="s">
        <v>1759</v>
      </c>
      <c r="T6" t="s">
        <v>1760</v>
      </c>
      <c r="U6" t="s">
        <v>1761</v>
      </c>
      <c r="V6" t="s">
        <v>1762</v>
      </c>
      <c r="W6" t="s">
        <v>1762</v>
      </c>
      <c r="AA6" t="s">
        <v>1677</v>
      </c>
    </row>
    <row r="7" spans="1:27" x14ac:dyDescent="0.25">
      <c r="A7" t="s">
        <v>743</v>
      </c>
      <c r="C7" t="s">
        <v>744</v>
      </c>
      <c r="I7" t="s">
        <v>745</v>
      </c>
      <c r="K7" t="s">
        <v>63</v>
      </c>
      <c r="N7" t="s">
        <v>746</v>
      </c>
      <c r="R7" t="s">
        <v>1763</v>
      </c>
      <c r="S7" t="s">
        <v>1753</v>
      </c>
      <c r="T7" t="s">
        <v>1764</v>
      </c>
      <c r="U7" t="s">
        <v>1765</v>
      </c>
      <c r="V7" t="s">
        <v>1678</v>
      </c>
      <c r="W7" t="s">
        <v>1678</v>
      </c>
      <c r="AA7" t="s">
        <v>1679</v>
      </c>
    </row>
    <row r="8" spans="1:27" x14ac:dyDescent="0.25">
      <c r="A8" t="s">
        <v>747</v>
      </c>
      <c r="I8" t="s">
        <v>748</v>
      </c>
      <c r="K8" t="s">
        <v>68</v>
      </c>
      <c r="N8" t="s">
        <v>749</v>
      </c>
      <c r="R8" t="s">
        <v>1766</v>
      </c>
      <c r="S8" t="s">
        <v>1767</v>
      </c>
      <c r="T8" t="s">
        <v>1768</v>
      </c>
      <c r="U8" t="s">
        <v>112</v>
      </c>
      <c r="V8" t="s">
        <v>1689</v>
      </c>
      <c r="W8" t="s">
        <v>1689</v>
      </c>
    </row>
    <row r="9" spans="1:27" x14ac:dyDescent="0.25">
      <c r="A9" t="s">
        <v>576</v>
      </c>
      <c r="I9" t="s">
        <v>750</v>
      </c>
      <c r="K9" t="s">
        <v>72</v>
      </c>
      <c r="N9" t="s">
        <v>751</v>
      </c>
      <c r="R9" t="s">
        <v>1769</v>
      </c>
      <c r="S9" t="s">
        <v>1759</v>
      </c>
      <c r="T9" t="s">
        <v>1733</v>
      </c>
      <c r="U9" t="s">
        <v>1761</v>
      </c>
      <c r="V9" t="s">
        <v>1693</v>
      </c>
      <c r="W9" t="s">
        <v>1693</v>
      </c>
    </row>
    <row r="10" spans="1:27" x14ac:dyDescent="0.25">
      <c r="A10" t="s">
        <v>736</v>
      </c>
      <c r="I10" t="s">
        <v>752</v>
      </c>
      <c r="K10" t="s">
        <v>78</v>
      </c>
      <c r="N10" t="s">
        <v>753</v>
      </c>
      <c r="R10" t="s">
        <v>1770</v>
      </c>
      <c r="S10" t="s">
        <v>1771</v>
      </c>
      <c r="T10" t="s">
        <v>1772</v>
      </c>
      <c r="U10" t="s">
        <v>1761</v>
      </c>
      <c r="V10" t="s">
        <v>1773</v>
      </c>
      <c r="W10" t="s">
        <v>1773</v>
      </c>
    </row>
    <row r="11" spans="1:27" x14ac:dyDescent="0.25">
      <c r="A11" t="s">
        <v>740</v>
      </c>
      <c r="I11" t="s">
        <v>754</v>
      </c>
      <c r="R11" t="s">
        <v>1774</v>
      </c>
      <c r="S11" t="s">
        <v>1767</v>
      </c>
      <c r="T11" t="s">
        <v>1696</v>
      </c>
      <c r="U11" t="s">
        <v>1755</v>
      </c>
      <c r="V11" t="s">
        <v>1775</v>
      </c>
      <c r="W11" t="s">
        <v>1775</v>
      </c>
    </row>
    <row r="12" spans="1:27" x14ac:dyDescent="0.25">
      <c r="A12" t="s">
        <v>744</v>
      </c>
      <c r="I12" t="s">
        <v>755</v>
      </c>
      <c r="R12" t="s">
        <v>1776</v>
      </c>
      <c r="S12" t="s">
        <v>1759</v>
      </c>
      <c r="T12" t="s">
        <v>1777</v>
      </c>
      <c r="U12" t="s">
        <v>1761</v>
      </c>
      <c r="V12" t="s">
        <v>1737</v>
      </c>
      <c r="W12" t="s">
        <v>1737</v>
      </c>
    </row>
    <row r="13" spans="1:27" x14ac:dyDescent="0.25">
      <c r="I13" t="s">
        <v>756</v>
      </c>
      <c r="R13" t="s">
        <v>1778</v>
      </c>
      <c r="S13" t="s">
        <v>1767</v>
      </c>
      <c r="T13" t="s">
        <v>1779</v>
      </c>
      <c r="U13" t="s">
        <v>112</v>
      </c>
      <c r="V13" t="s">
        <v>1680</v>
      </c>
      <c r="W13" t="s">
        <v>1680</v>
      </c>
    </row>
    <row r="14" spans="1:27" x14ac:dyDescent="0.25">
      <c r="I14" t="s">
        <v>757</v>
      </c>
      <c r="R14" t="s">
        <v>1780</v>
      </c>
      <c r="S14" t="s">
        <v>1767</v>
      </c>
      <c r="T14" t="s">
        <v>1730</v>
      </c>
      <c r="U14" t="s">
        <v>1781</v>
      </c>
      <c r="V14" t="s">
        <v>1676</v>
      </c>
      <c r="W14" t="s">
        <v>1676</v>
      </c>
    </row>
    <row r="15" spans="1:27" x14ac:dyDescent="0.25">
      <c r="I15" t="s">
        <v>758</v>
      </c>
      <c r="R15" t="s">
        <v>1703</v>
      </c>
      <c r="S15" t="s">
        <v>1767</v>
      </c>
      <c r="T15" t="s">
        <v>1782</v>
      </c>
      <c r="U15" t="s">
        <v>128</v>
      </c>
      <c r="V15" t="s">
        <v>1783</v>
      </c>
      <c r="W15" t="s">
        <v>1783</v>
      </c>
    </row>
    <row r="16" spans="1:27" x14ac:dyDescent="0.25">
      <c r="R16" t="s">
        <v>1784</v>
      </c>
      <c r="S16" t="s">
        <v>1785</v>
      </c>
      <c r="T16" t="s">
        <v>1786</v>
      </c>
      <c r="U16" t="s">
        <v>1787</v>
      </c>
      <c r="V16" t="s">
        <v>1699</v>
      </c>
      <c r="W16" t="s">
        <v>1699</v>
      </c>
    </row>
    <row r="17" spans="18:23" x14ac:dyDescent="0.25">
      <c r="R17" t="s">
        <v>1727</v>
      </c>
      <c r="S17" t="s">
        <v>1788</v>
      </c>
      <c r="T17" t="s">
        <v>1789</v>
      </c>
      <c r="U17" t="s">
        <v>1761</v>
      </c>
      <c r="V17" t="s">
        <v>1790</v>
      </c>
      <c r="W17" t="s">
        <v>1790</v>
      </c>
    </row>
    <row r="18" spans="18:23" x14ac:dyDescent="0.25">
      <c r="R18" t="s">
        <v>1791</v>
      </c>
      <c r="S18" t="s">
        <v>1791</v>
      </c>
      <c r="T18" t="s">
        <v>1741</v>
      </c>
      <c r="U18" t="s">
        <v>48</v>
      </c>
      <c r="V18" t="s">
        <v>1697</v>
      </c>
      <c r="W18" t="s">
        <v>1697</v>
      </c>
    </row>
    <row r="19" spans="18:23" x14ac:dyDescent="0.25">
      <c r="R19" t="s">
        <v>1724</v>
      </c>
      <c r="S19" t="s">
        <v>1753</v>
      </c>
      <c r="T19" t="s">
        <v>332</v>
      </c>
      <c r="U19" t="s">
        <v>48</v>
      </c>
      <c r="V19" t="s">
        <v>1687</v>
      </c>
      <c r="W19" t="s">
        <v>1687</v>
      </c>
    </row>
    <row r="20" spans="18:23" x14ac:dyDescent="0.25">
      <c r="R20" t="s">
        <v>1792</v>
      </c>
      <c r="S20" t="s">
        <v>1767</v>
      </c>
      <c r="T20" t="s">
        <v>1793</v>
      </c>
      <c r="U20" t="s">
        <v>1755</v>
      </c>
    </row>
    <row r="21" spans="18:23" x14ac:dyDescent="0.25">
      <c r="R21" t="s">
        <v>1794</v>
      </c>
      <c r="S21" t="s">
        <v>1767</v>
      </c>
      <c r="T21" t="s">
        <v>1795</v>
      </c>
      <c r="U21" t="s">
        <v>1748</v>
      </c>
    </row>
    <row r="22" spans="18:23" x14ac:dyDescent="0.25">
      <c r="R22" t="s">
        <v>1736</v>
      </c>
      <c r="S22" t="s">
        <v>1767</v>
      </c>
      <c r="T22" t="s">
        <v>1796</v>
      </c>
      <c r="U22" t="s">
        <v>1797</v>
      </c>
    </row>
    <row r="23" spans="18:23" x14ac:dyDescent="0.25">
      <c r="R23" t="s">
        <v>1719</v>
      </c>
      <c r="S23" t="s">
        <v>1798</v>
      </c>
      <c r="T23" t="s">
        <v>1799</v>
      </c>
      <c r="U23" t="s">
        <v>1765</v>
      </c>
    </row>
    <row r="24" spans="18:23" x14ac:dyDescent="0.25">
      <c r="R24" t="s">
        <v>1723</v>
      </c>
      <c r="S24" t="s">
        <v>1753</v>
      </c>
      <c r="T24" t="s">
        <v>1800</v>
      </c>
      <c r="U24" t="s">
        <v>167</v>
      </c>
    </row>
    <row r="25" spans="18:23" x14ac:dyDescent="0.25">
      <c r="R25" t="s">
        <v>1801</v>
      </c>
      <c r="S25" t="s">
        <v>1759</v>
      </c>
      <c r="T25" t="s">
        <v>1802</v>
      </c>
      <c r="U25" t="s">
        <v>48</v>
      </c>
    </row>
    <row r="26" spans="18:23" x14ac:dyDescent="0.25">
      <c r="R26" t="s">
        <v>1803</v>
      </c>
      <c r="S26" t="s">
        <v>1759</v>
      </c>
      <c r="T26" t="s">
        <v>1804</v>
      </c>
      <c r="U26" t="s">
        <v>112</v>
      </c>
    </row>
    <row r="27" spans="18:23" x14ac:dyDescent="0.25">
      <c r="R27" t="s">
        <v>1682</v>
      </c>
      <c r="S27" t="s">
        <v>1767</v>
      </c>
      <c r="T27" t="s">
        <v>1726</v>
      </c>
      <c r="U27" t="s">
        <v>1805</v>
      </c>
    </row>
    <row r="28" spans="18:23" x14ac:dyDescent="0.25">
      <c r="R28" t="s">
        <v>1806</v>
      </c>
      <c r="S28" t="s">
        <v>1788</v>
      </c>
      <c r="T28" t="s">
        <v>1807</v>
      </c>
      <c r="U28" t="s">
        <v>1748</v>
      </c>
    </row>
    <row r="29" spans="18:23" x14ac:dyDescent="0.25">
      <c r="R29" t="s">
        <v>1808</v>
      </c>
      <c r="S29" t="s">
        <v>1712</v>
      </c>
      <c r="T29" t="s">
        <v>1809</v>
      </c>
      <c r="U29" t="s">
        <v>1748</v>
      </c>
    </row>
    <row r="30" spans="18:23" x14ac:dyDescent="0.25">
      <c r="R30" t="s">
        <v>1810</v>
      </c>
      <c r="S30" t="s">
        <v>1702</v>
      </c>
      <c r="T30" t="s">
        <v>1811</v>
      </c>
      <c r="U30" t="s">
        <v>48</v>
      </c>
    </row>
    <row r="31" spans="18:23" x14ac:dyDescent="0.25">
      <c r="R31" t="s">
        <v>1718</v>
      </c>
      <c r="S31" t="s">
        <v>1812</v>
      </c>
      <c r="T31" t="s">
        <v>1813</v>
      </c>
      <c r="U31" t="s">
        <v>1814</v>
      </c>
    </row>
    <row r="32" spans="18:23" x14ac:dyDescent="0.25">
      <c r="R32" t="s">
        <v>1815</v>
      </c>
      <c r="S32" t="s">
        <v>1759</v>
      </c>
      <c r="T32" t="s">
        <v>1813</v>
      </c>
      <c r="U32" t="s">
        <v>1816</v>
      </c>
    </row>
    <row r="33" spans="18:21" x14ac:dyDescent="0.25">
      <c r="R33" t="s">
        <v>1705</v>
      </c>
      <c r="S33" t="s">
        <v>1759</v>
      </c>
      <c r="T33" t="s">
        <v>1817</v>
      </c>
      <c r="U33" t="s">
        <v>1814</v>
      </c>
    </row>
    <row r="34" spans="18:21" x14ac:dyDescent="0.25">
      <c r="R34" t="s">
        <v>1818</v>
      </c>
      <c r="S34" t="s">
        <v>1753</v>
      </c>
      <c r="T34" t="s">
        <v>1819</v>
      </c>
      <c r="U34" t="s">
        <v>1748</v>
      </c>
    </row>
    <row r="35" spans="18:21" x14ac:dyDescent="0.25">
      <c r="R35" t="s">
        <v>1692</v>
      </c>
      <c r="S35" t="s">
        <v>1767</v>
      </c>
      <c r="T35" t="s">
        <v>1734</v>
      </c>
      <c r="U35" t="s">
        <v>1814</v>
      </c>
    </row>
    <row r="36" spans="18:21" x14ac:dyDescent="0.25">
      <c r="R36" t="s">
        <v>1820</v>
      </c>
      <c r="S36" t="s">
        <v>1821</v>
      </c>
      <c r="T36" t="s">
        <v>1734</v>
      </c>
      <c r="U36" t="s">
        <v>1748</v>
      </c>
    </row>
    <row r="37" spans="18:21" x14ac:dyDescent="0.25">
      <c r="R37" t="s">
        <v>1822</v>
      </c>
      <c r="S37" t="s">
        <v>1822</v>
      </c>
      <c r="T37" t="s">
        <v>1823</v>
      </c>
      <c r="U37" t="s">
        <v>1816</v>
      </c>
    </row>
    <row r="38" spans="18:21" x14ac:dyDescent="0.25">
      <c r="R38" t="s">
        <v>1821</v>
      </c>
      <c r="S38" t="s">
        <v>1821</v>
      </c>
      <c r="T38" t="s">
        <v>1824</v>
      </c>
      <c r="U38" t="s">
        <v>1765</v>
      </c>
    </row>
    <row r="39" spans="18:21" x14ac:dyDescent="0.25">
      <c r="R39" t="s">
        <v>1740</v>
      </c>
      <c r="S39" t="s">
        <v>1712</v>
      </c>
      <c r="T39" t="s">
        <v>1825</v>
      </c>
      <c r="U39" t="s">
        <v>1781</v>
      </c>
    </row>
    <row r="40" spans="18:21" x14ac:dyDescent="0.25">
      <c r="R40" t="s">
        <v>1826</v>
      </c>
      <c r="S40" t="s">
        <v>1753</v>
      </c>
      <c r="T40" t="s">
        <v>1827</v>
      </c>
      <c r="U40" t="s">
        <v>1814</v>
      </c>
    </row>
    <row r="41" spans="18:21" x14ac:dyDescent="0.25">
      <c r="R41" t="s">
        <v>1722</v>
      </c>
      <c r="S41" t="s">
        <v>1767</v>
      </c>
      <c r="T41" t="s">
        <v>1685</v>
      </c>
      <c r="U41" t="s">
        <v>136</v>
      </c>
    </row>
    <row r="42" spans="18:21" x14ac:dyDescent="0.25">
      <c r="R42" t="s">
        <v>1828</v>
      </c>
      <c r="S42" t="s">
        <v>1753</v>
      </c>
      <c r="T42" t="s">
        <v>1829</v>
      </c>
      <c r="U42" t="s">
        <v>136</v>
      </c>
    </row>
    <row r="43" spans="18:21" x14ac:dyDescent="0.25">
      <c r="R43" t="s">
        <v>1830</v>
      </c>
      <c r="S43" t="s">
        <v>1750</v>
      </c>
      <c r="T43" t="s">
        <v>1831</v>
      </c>
      <c r="U43" t="s">
        <v>136</v>
      </c>
    </row>
    <row r="44" spans="18:21" x14ac:dyDescent="0.25">
      <c r="R44" t="s">
        <v>1698</v>
      </c>
      <c r="S44" t="s">
        <v>1753</v>
      </c>
      <c r="T44" t="s">
        <v>1832</v>
      </c>
      <c r="U44" t="s">
        <v>1781</v>
      </c>
    </row>
    <row r="45" spans="18:21" x14ac:dyDescent="0.25">
      <c r="R45" t="s">
        <v>1833</v>
      </c>
      <c r="S45" t="s">
        <v>1771</v>
      </c>
      <c r="T45" t="s">
        <v>1834</v>
      </c>
      <c r="U45" t="s">
        <v>18</v>
      </c>
    </row>
    <row r="46" spans="18:21" x14ac:dyDescent="0.25">
      <c r="R46" t="s">
        <v>1835</v>
      </c>
      <c r="S46" t="s">
        <v>1771</v>
      </c>
      <c r="T46" t="s">
        <v>1728</v>
      </c>
      <c r="U46" t="s">
        <v>1814</v>
      </c>
    </row>
    <row r="47" spans="18:21" x14ac:dyDescent="0.25">
      <c r="R47" t="s">
        <v>1707</v>
      </c>
      <c r="S47" t="s">
        <v>1836</v>
      </c>
      <c r="T47" t="s">
        <v>1837</v>
      </c>
      <c r="U47" t="s">
        <v>1755</v>
      </c>
    </row>
    <row r="48" spans="18:21" x14ac:dyDescent="0.25">
      <c r="R48" t="s">
        <v>1838</v>
      </c>
      <c r="S48" t="s">
        <v>1788</v>
      </c>
      <c r="T48" t="s">
        <v>1839</v>
      </c>
      <c r="U48" t="s">
        <v>167</v>
      </c>
    </row>
    <row r="49" spans="18:21" x14ac:dyDescent="0.25">
      <c r="R49" t="s">
        <v>1694</v>
      </c>
      <c r="S49" t="s">
        <v>1788</v>
      </c>
      <c r="T49" t="s">
        <v>1840</v>
      </c>
      <c r="U49" t="s">
        <v>1765</v>
      </c>
    </row>
    <row r="50" spans="18:21" x14ac:dyDescent="0.25">
      <c r="R50" t="s">
        <v>1841</v>
      </c>
      <c r="S50" t="s">
        <v>1771</v>
      </c>
      <c r="T50" t="s">
        <v>1842</v>
      </c>
      <c r="U50" t="s">
        <v>1755</v>
      </c>
    </row>
    <row r="51" spans="18:21" x14ac:dyDescent="0.25">
      <c r="R51" t="s">
        <v>1843</v>
      </c>
      <c r="S51" t="s">
        <v>1771</v>
      </c>
      <c r="T51" t="s">
        <v>1844</v>
      </c>
      <c r="U51" t="s">
        <v>1845</v>
      </c>
    </row>
    <row r="52" spans="18:21" x14ac:dyDescent="0.25">
      <c r="R52" t="s">
        <v>1843</v>
      </c>
      <c r="S52" t="s">
        <v>1771</v>
      </c>
      <c r="T52" t="s">
        <v>1735</v>
      </c>
      <c r="U52" t="s">
        <v>1761</v>
      </c>
    </row>
    <row r="53" spans="18:21" x14ac:dyDescent="0.25">
      <c r="R53" t="s">
        <v>1846</v>
      </c>
      <c r="S53" t="s">
        <v>1771</v>
      </c>
      <c r="T53" t="s">
        <v>1847</v>
      </c>
      <c r="U53" t="s">
        <v>1755</v>
      </c>
    </row>
    <row r="54" spans="18:21" x14ac:dyDescent="0.25">
      <c r="R54" t="s">
        <v>1848</v>
      </c>
      <c r="S54" t="s">
        <v>1771</v>
      </c>
      <c r="T54" t="s">
        <v>1849</v>
      </c>
      <c r="U54" t="s">
        <v>1748</v>
      </c>
    </row>
    <row r="55" spans="18:21" x14ac:dyDescent="0.25">
      <c r="R55" t="s">
        <v>1850</v>
      </c>
      <c r="S55" t="s">
        <v>1771</v>
      </c>
      <c r="T55" t="s">
        <v>1851</v>
      </c>
      <c r="U55" t="s">
        <v>190</v>
      </c>
    </row>
    <row r="56" spans="18:21" x14ac:dyDescent="0.25">
      <c r="R56" t="s">
        <v>1852</v>
      </c>
      <c r="S56" t="s">
        <v>1714</v>
      </c>
      <c r="T56" t="s">
        <v>1853</v>
      </c>
      <c r="U56" t="s">
        <v>1748</v>
      </c>
    </row>
    <row r="57" spans="18:21" x14ac:dyDescent="0.25">
      <c r="R57" t="s">
        <v>1854</v>
      </c>
      <c r="S57" t="s">
        <v>1771</v>
      </c>
      <c r="T57" t="s">
        <v>1855</v>
      </c>
      <c r="U57" t="s">
        <v>1781</v>
      </c>
    </row>
    <row r="58" spans="18:21" x14ac:dyDescent="0.25">
      <c r="R58" t="s">
        <v>1856</v>
      </c>
      <c r="S58" t="s">
        <v>1771</v>
      </c>
      <c r="T58" t="s">
        <v>1857</v>
      </c>
      <c r="U58" t="s">
        <v>1761</v>
      </c>
    </row>
    <row r="59" spans="18:21" x14ac:dyDescent="0.25">
      <c r="R59" t="s">
        <v>1858</v>
      </c>
      <c r="S59" t="s">
        <v>1771</v>
      </c>
      <c r="T59" t="s">
        <v>1859</v>
      </c>
      <c r="U59" t="s">
        <v>1748</v>
      </c>
    </row>
    <row r="60" spans="18:21" x14ac:dyDescent="0.25">
      <c r="R60" t="s">
        <v>1860</v>
      </c>
      <c r="S60" t="s">
        <v>1714</v>
      </c>
      <c r="T60" t="s">
        <v>1861</v>
      </c>
      <c r="U60" t="s">
        <v>1765</v>
      </c>
    </row>
    <row r="61" spans="18:21" x14ac:dyDescent="0.25">
      <c r="R61" t="s">
        <v>1862</v>
      </c>
      <c r="S61" t="s">
        <v>1714</v>
      </c>
      <c r="T61" t="s">
        <v>1863</v>
      </c>
      <c r="U61" t="s">
        <v>190</v>
      </c>
    </row>
    <row r="62" spans="18:21" x14ac:dyDescent="0.25">
      <c r="R62" t="s">
        <v>1864</v>
      </c>
      <c r="S62" t="s">
        <v>1771</v>
      </c>
      <c r="T62" t="s">
        <v>1865</v>
      </c>
      <c r="U62" t="s">
        <v>1748</v>
      </c>
    </row>
    <row r="63" spans="18:21" x14ac:dyDescent="0.25">
      <c r="R63" t="s">
        <v>1714</v>
      </c>
      <c r="S63" t="s">
        <v>1714</v>
      </c>
      <c r="T63" t="s">
        <v>1866</v>
      </c>
      <c r="U63" t="s">
        <v>190</v>
      </c>
    </row>
    <row r="64" spans="18:21" x14ac:dyDescent="0.25">
      <c r="R64" t="s">
        <v>1715</v>
      </c>
      <c r="S64" t="s">
        <v>1714</v>
      </c>
      <c r="T64" t="s">
        <v>1709</v>
      </c>
      <c r="U64" t="s">
        <v>190</v>
      </c>
    </row>
    <row r="65" spans="18:21" x14ac:dyDescent="0.25">
      <c r="R65" t="s">
        <v>1867</v>
      </c>
      <c r="S65" t="s">
        <v>1771</v>
      </c>
      <c r="T65" t="s">
        <v>1868</v>
      </c>
      <c r="U65" t="s">
        <v>1761</v>
      </c>
    </row>
    <row r="66" spans="18:21" x14ac:dyDescent="0.25">
      <c r="R66" t="s">
        <v>1869</v>
      </c>
      <c r="S66" t="s">
        <v>1771</v>
      </c>
      <c r="T66" t="s">
        <v>1870</v>
      </c>
      <c r="U66" t="s">
        <v>1765</v>
      </c>
    </row>
    <row r="67" spans="18:21" x14ac:dyDescent="0.25">
      <c r="R67" t="s">
        <v>1871</v>
      </c>
      <c r="S67" t="s">
        <v>1771</v>
      </c>
      <c r="T67" t="s">
        <v>1872</v>
      </c>
      <c r="U67" t="s">
        <v>1765</v>
      </c>
    </row>
    <row r="68" spans="18:21" x14ac:dyDescent="0.25">
      <c r="R68" t="s">
        <v>1873</v>
      </c>
      <c r="S68" t="s">
        <v>1771</v>
      </c>
      <c r="T68" t="s">
        <v>1874</v>
      </c>
      <c r="U68" t="s">
        <v>1761</v>
      </c>
    </row>
    <row r="69" spans="18:21" x14ac:dyDescent="0.25">
      <c r="R69" t="s">
        <v>1875</v>
      </c>
      <c r="S69" t="s">
        <v>1771</v>
      </c>
      <c r="T69" t="s">
        <v>1876</v>
      </c>
      <c r="U69" t="s">
        <v>1765</v>
      </c>
    </row>
    <row r="70" spans="18:21" x14ac:dyDescent="0.25">
      <c r="R70" t="s">
        <v>1877</v>
      </c>
      <c r="S70" t="s">
        <v>1785</v>
      </c>
      <c r="T70" t="s">
        <v>1878</v>
      </c>
      <c r="U70" t="s">
        <v>1761</v>
      </c>
    </row>
    <row r="71" spans="18:21" x14ac:dyDescent="0.25">
      <c r="R71" t="s">
        <v>1879</v>
      </c>
      <c r="S71" t="s">
        <v>1729</v>
      </c>
      <c r="T71" t="s">
        <v>1880</v>
      </c>
      <c r="U71" t="s">
        <v>1748</v>
      </c>
    </row>
    <row r="72" spans="18:21" x14ac:dyDescent="0.25">
      <c r="R72" t="s">
        <v>1710</v>
      </c>
      <c r="S72" t="s">
        <v>1729</v>
      </c>
      <c r="T72" t="s">
        <v>1881</v>
      </c>
      <c r="U72" t="s">
        <v>1761</v>
      </c>
    </row>
    <row r="73" spans="18:21" x14ac:dyDescent="0.25">
      <c r="R73" t="s">
        <v>1729</v>
      </c>
      <c r="S73" t="s">
        <v>1729</v>
      </c>
      <c r="T73" t="s">
        <v>1882</v>
      </c>
      <c r="U73" t="s">
        <v>1748</v>
      </c>
    </row>
    <row r="74" spans="18:21" x14ac:dyDescent="0.25">
      <c r="R74" t="s">
        <v>1883</v>
      </c>
      <c r="S74" t="s">
        <v>1729</v>
      </c>
      <c r="T74" t="s">
        <v>1884</v>
      </c>
      <c r="U74" t="s">
        <v>1748</v>
      </c>
    </row>
    <row r="75" spans="18:21" x14ac:dyDescent="0.25">
      <c r="R75" t="s">
        <v>1688</v>
      </c>
      <c r="S75" t="s">
        <v>1753</v>
      </c>
      <c r="T75" t="s">
        <v>1885</v>
      </c>
      <c r="U75" t="s">
        <v>1755</v>
      </c>
    </row>
    <row r="76" spans="18:21" x14ac:dyDescent="0.25">
      <c r="R76" t="s">
        <v>1713</v>
      </c>
      <c r="S76" t="s">
        <v>1753</v>
      </c>
      <c r="T76" t="s">
        <v>1886</v>
      </c>
      <c r="U76" t="s">
        <v>1748</v>
      </c>
    </row>
    <row r="77" spans="18:21" x14ac:dyDescent="0.25">
      <c r="R77" t="s">
        <v>1701</v>
      </c>
      <c r="S77" t="s">
        <v>1767</v>
      </c>
      <c r="T77" t="s">
        <v>1887</v>
      </c>
      <c r="U77" t="s">
        <v>1748</v>
      </c>
    </row>
    <row r="78" spans="18:21" x14ac:dyDescent="0.25">
      <c r="R78" t="s">
        <v>1888</v>
      </c>
      <c r="S78" t="s">
        <v>1702</v>
      </c>
      <c r="T78" t="s">
        <v>1889</v>
      </c>
      <c r="U78" t="s">
        <v>1748</v>
      </c>
    </row>
    <row r="79" spans="18:21" x14ac:dyDescent="0.25">
      <c r="R79" t="s">
        <v>1890</v>
      </c>
      <c r="S79" t="s">
        <v>1771</v>
      </c>
      <c r="T79" t="s">
        <v>1891</v>
      </c>
      <c r="U79" t="s">
        <v>1761</v>
      </c>
    </row>
    <row r="80" spans="18:21" x14ac:dyDescent="0.25">
      <c r="R80" t="s">
        <v>1892</v>
      </c>
      <c r="S80" t="s">
        <v>1892</v>
      </c>
      <c r="T80" t="s">
        <v>1720</v>
      </c>
      <c r="U80" t="s">
        <v>1765</v>
      </c>
    </row>
    <row r="81" spans="18:21" x14ac:dyDescent="0.25">
      <c r="R81" t="s">
        <v>1893</v>
      </c>
      <c r="S81" t="s">
        <v>1791</v>
      </c>
      <c r="T81" t="s">
        <v>1894</v>
      </c>
      <c r="U81" t="s">
        <v>1748</v>
      </c>
    </row>
    <row r="82" spans="18:21" x14ac:dyDescent="0.25">
      <c r="R82" t="s">
        <v>1895</v>
      </c>
      <c r="S82" t="s">
        <v>1896</v>
      </c>
      <c r="T82" t="s">
        <v>1732</v>
      </c>
      <c r="U82" t="s">
        <v>1816</v>
      </c>
    </row>
    <row r="83" spans="18:21" x14ac:dyDescent="0.25">
      <c r="R83" t="s">
        <v>1702</v>
      </c>
      <c r="S83" t="s">
        <v>1702</v>
      </c>
      <c r="T83" t="s">
        <v>1897</v>
      </c>
      <c r="U83" t="s">
        <v>1748</v>
      </c>
    </row>
    <row r="84" spans="18:21" x14ac:dyDescent="0.25">
      <c r="R84" t="s">
        <v>1898</v>
      </c>
      <c r="S84" t="s">
        <v>1714</v>
      </c>
      <c r="T84" t="s">
        <v>1899</v>
      </c>
      <c r="U84" t="s">
        <v>1748</v>
      </c>
    </row>
    <row r="85" spans="18:21" x14ac:dyDescent="0.25">
      <c r="R85" t="s">
        <v>1900</v>
      </c>
      <c r="S85" t="s">
        <v>1753</v>
      </c>
      <c r="T85" t="s">
        <v>1901</v>
      </c>
      <c r="U85" t="s">
        <v>1765</v>
      </c>
    </row>
    <row r="86" spans="18:21" x14ac:dyDescent="0.25">
      <c r="R86" t="s">
        <v>1902</v>
      </c>
      <c r="S86" t="s">
        <v>1712</v>
      </c>
      <c r="T86" t="s">
        <v>1903</v>
      </c>
      <c r="U86" t="s">
        <v>1904</v>
      </c>
    </row>
    <row r="87" spans="18:21" x14ac:dyDescent="0.25">
      <c r="R87" t="s">
        <v>1905</v>
      </c>
      <c r="S87" t="s">
        <v>1759</v>
      </c>
      <c r="T87" t="s">
        <v>1906</v>
      </c>
      <c r="U87" t="s">
        <v>1816</v>
      </c>
    </row>
    <row r="88" spans="18:21" x14ac:dyDescent="0.25">
      <c r="R88" t="s">
        <v>1725</v>
      </c>
      <c r="S88" t="s">
        <v>1753</v>
      </c>
      <c r="T88" t="s">
        <v>1907</v>
      </c>
      <c r="U88" t="s">
        <v>1797</v>
      </c>
    </row>
    <row r="89" spans="18:21" x14ac:dyDescent="0.25">
      <c r="R89" t="s">
        <v>1908</v>
      </c>
      <c r="S89" t="s">
        <v>1753</v>
      </c>
      <c r="T89" t="s">
        <v>1909</v>
      </c>
      <c r="U89" t="s">
        <v>1910</v>
      </c>
    </row>
    <row r="90" spans="18:21" x14ac:dyDescent="0.25">
      <c r="R90" t="s">
        <v>1738</v>
      </c>
      <c r="S90" t="s">
        <v>1753</v>
      </c>
      <c r="T90" t="s">
        <v>1911</v>
      </c>
      <c r="U90" t="s">
        <v>1765</v>
      </c>
    </row>
    <row r="91" spans="18:21" x14ac:dyDescent="0.25">
      <c r="R91" t="s">
        <v>1912</v>
      </c>
      <c r="S91" t="s">
        <v>1759</v>
      </c>
      <c r="T91" t="s">
        <v>1913</v>
      </c>
      <c r="U91" t="s">
        <v>1761</v>
      </c>
    </row>
    <row r="92" spans="18:21" x14ac:dyDescent="0.25">
      <c r="R92" t="s">
        <v>1896</v>
      </c>
      <c r="S92" t="s">
        <v>1896</v>
      </c>
      <c r="T92" t="s">
        <v>1914</v>
      </c>
      <c r="U92" t="s">
        <v>1765</v>
      </c>
    </row>
    <row r="93" spans="18:21" x14ac:dyDescent="0.25">
      <c r="R93" t="s">
        <v>1915</v>
      </c>
      <c r="S93" t="s">
        <v>1759</v>
      </c>
      <c r="T93" t="s">
        <v>1916</v>
      </c>
      <c r="U93" t="s">
        <v>167</v>
      </c>
    </row>
    <row r="94" spans="18:21" x14ac:dyDescent="0.25">
      <c r="T94" t="s">
        <v>1917</v>
      </c>
      <c r="U94" t="s">
        <v>1761</v>
      </c>
    </row>
    <row r="95" spans="18:21" x14ac:dyDescent="0.25">
      <c r="T95" t="s">
        <v>1918</v>
      </c>
      <c r="U95" t="s">
        <v>1748</v>
      </c>
    </row>
    <row r="96" spans="18:21" x14ac:dyDescent="0.25">
      <c r="T96" t="s">
        <v>1731</v>
      </c>
      <c r="U96" t="s">
        <v>1816</v>
      </c>
    </row>
    <row r="97" spans="20:21" x14ac:dyDescent="0.25">
      <c r="T97" t="s">
        <v>1919</v>
      </c>
      <c r="U97" t="s">
        <v>1816</v>
      </c>
    </row>
    <row r="98" spans="20:21" x14ac:dyDescent="0.25">
      <c r="T98" t="s">
        <v>1920</v>
      </c>
      <c r="U98" t="s">
        <v>1765</v>
      </c>
    </row>
    <row r="99" spans="20:21" x14ac:dyDescent="0.25">
      <c r="T99" t="s">
        <v>1921</v>
      </c>
      <c r="U99" t="s">
        <v>1765</v>
      </c>
    </row>
    <row r="100" spans="20:21" x14ac:dyDescent="0.25">
      <c r="T100" t="s">
        <v>1922</v>
      </c>
      <c r="U100" t="s">
        <v>1761</v>
      </c>
    </row>
    <row r="101" spans="20:21" x14ac:dyDescent="0.25">
      <c r="T101" t="s">
        <v>1923</v>
      </c>
      <c r="U101" t="s">
        <v>1748</v>
      </c>
    </row>
    <row r="102" spans="20:21" x14ac:dyDescent="0.25">
      <c r="T102" t="s">
        <v>1924</v>
      </c>
      <c r="U102" t="s">
        <v>1755</v>
      </c>
    </row>
    <row r="103" spans="20:21" x14ac:dyDescent="0.25">
      <c r="T103" t="s">
        <v>1925</v>
      </c>
      <c r="U103" t="s">
        <v>48</v>
      </c>
    </row>
    <row r="104" spans="20:21" x14ac:dyDescent="0.25">
      <c r="T104" t="s">
        <v>1926</v>
      </c>
      <c r="U104" t="s">
        <v>1748</v>
      </c>
    </row>
    <row r="105" spans="20:21" x14ac:dyDescent="0.25">
      <c r="T105" t="s">
        <v>1927</v>
      </c>
      <c r="U105" t="s">
        <v>167</v>
      </c>
    </row>
    <row r="106" spans="20:21" x14ac:dyDescent="0.25">
      <c r="T106" t="s">
        <v>1700</v>
      </c>
      <c r="U106" t="s">
        <v>18</v>
      </c>
    </row>
    <row r="107" spans="20:21" x14ac:dyDescent="0.25">
      <c r="T107" t="s">
        <v>1928</v>
      </c>
      <c r="U107" t="s">
        <v>1755</v>
      </c>
    </row>
    <row r="108" spans="20:21" x14ac:dyDescent="0.25">
      <c r="T108" t="s">
        <v>1929</v>
      </c>
      <c r="U108" t="s">
        <v>1748</v>
      </c>
    </row>
    <row r="109" spans="20:21" x14ac:dyDescent="0.25">
      <c r="T109" t="s">
        <v>1930</v>
      </c>
      <c r="U109" t="s">
        <v>1765</v>
      </c>
    </row>
    <row r="110" spans="20:21" x14ac:dyDescent="0.25">
      <c r="T110" t="s">
        <v>1879</v>
      </c>
      <c r="U110" t="s">
        <v>1904</v>
      </c>
    </row>
    <row r="111" spans="20:21" x14ac:dyDescent="0.25">
      <c r="T111" t="s">
        <v>1739</v>
      </c>
      <c r="U111" t="s">
        <v>1904</v>
      </c>
    </row>
    <row r="112" spans="20:21" x14ac:dyDescent="0.25">
      <c r="T112" t="s">
        <v>1931</v>
      </c>
      <c r="U112" t="s">
        <v>1805</v>
      </c>
    </row>
    <row r="113" spans="20:21" x14ac:dyDescent="0.25">
      <c r="T113" t="s">
        <v>1717</v>
      </c>
      <c r="U113" t="s">
        <v>1761</v>
      </c>
    </row>
    <row r="114" spans="20:21" x14ac:dyDescent="0.25">
      <c r="T114" t="s">
        <v>1932</v>
      </c>
      <c r="U114" t="s">
        <v>1910</v>
      </c>
    </row>
    <row r="115" spans="20:21" x14ac:dyDescent="0.25">
      <c r="T115" t="s">
        <v>1933</v>
      </c>
      <c r="U115" t="s">
        <v>48</v>
      </c>
    </row>
    <row r="116" spans="20:21" x14ac:dyDescent="0.25">
      <c r="T116" t="s">
        <v>1934</v>
      </c>
      <c r="U116" t="s">
        <v>1765</v>
      </c>
    </row>
    <row r="117" spans="20:21" x14ac:dyDescent="0.25">
      <c r="T117" t="s">
        <v>1935</v>
      </c>
      <c r="U117" t="s">
        <v>1765</v>
      </c>
    </row>
    <row r="118" spans="20:21" x14ac:dyDescent="0.25">
      <c r="T118" t="s">
        <v>1936</v>
      </c>
      <c r="U118" t="s">
        <v>1765</v>
      </c>
    </row>
    <row r="119" spans="20:21" x14ac:dyDescent="0.25">
      <c r="T119" t="s">
        <v>1937</v>
      </c>
      <c r="U119" t="s">
        <v>18</v>
      </c>
    </row>
    <row r="120" spans="20:21" x14ac:dyDescent="0.25">
      <c r="T120" t="s">
        <v>1938</v>
      </c>
      <c r="U120" t="s">
        <v>48</v>
      </c>
    </row>
    <row r="121" spans="20:21" x14ac:dyDescent="0.25">
      <c r="T121" t="s">
        <v>1939</v>
      </c>
      <c r="U121" t="s">
        <v>48</v>
      </c>
    </row>
    <row r="122" spans="20:21" x14ac:dyDescent="0.25">
      <c r="T122" t="s">
        <v>1940</v>
      </c>
      <c r="U122" t="s">
        <v>1765</v>
      </c>
    </row>
    <row r="123" spans="20:21" x14ac:dyDescent="0.25">
      <c r="T123" t="s">
        <v>1941</v>
      </c>
      <c r="U123" t="s">
        <v>1755</v>
      </c>
    </row>
    <row r="124" spans="20:21" x14ac:dyDescent="0.25">
      <c r="T124" t="s">
        <v>1942</v>
      </c>
      <c r="U124" t="s">
        <v>1748</v>
      </c>
    </row>
    <row r="125" spans="20:21" x14ac:dyDescent="0.25">
      <c r="T125" t="s">
        <v>1711</v>
      </c>
      <c r="U125" t="s">
        <v>1755</v>
      </c>
    </row>
    <row r="126" spans="20:21" x14ac:dyDescent="0.25">
      <c r="T126" t="s">
        <v>1943</v>
      </c>
      <c r="U126" t="s">
        <v>1765</v>
      </c>
    </row>
    <row r="127" spans="20:21" x14ac:dyDescent="0.25">
      <c r="T127" t="s">
        <v>1702</v>
      </c>
      <c r="U127" t="s">
        <v>1748</v>
      </c>
    </row>
    <row r="128" spans="20:21" x14ac:dyDescent="0.25">
      <c r="T128" t="s">
        <v>1944</v>
      </c>
      <c r="U128" t="s">
        <v>1945</v>
      </c>
    </row>
    <row r="129" spans="20:21" x14ac:dyDescent="0.25">
      <c r="T129" t="s">
        <v>1946</v>
      </c>
      <c r="U129" t="s">
        <v>1945</v>
      </c>
    </row>
    <row r="130" spans="20:21" x14ac:dyDescent="0.25">
      <c r="T130" t="s">
        <v>1947</v>
      </c>
      <c r="U130" t="s">
        <v>1781</v>
      </c>
    </row>
    <row r="131" spans="20:21" x14ac:dyDescent="0.25">
      <c r="T131" t="s">
        <v>1948</v>
      </c>
      <c r="U131" t="s">
        <v>1910</v>
      </c>
    </row>
    <row r="132" spans="20:21" x14ac:dyDescent="0.25">
      <c r="T132" t="s">
        <v>1716</v>
      </c>
      <c r="U132" t="s">
        <v>18</v>
      </c>
    </row>
    <row r="133" spans="20:21" x14ac:dyDescent="0.25">
      <c r="T133" t="s">
        <v>1949</v>
      </c>
      <c r="U133" t="s">
        <v>1816</v>
      </c>
    </row>
    <row r="134" spans="20:21" x14ac:dyDescent="0.25">
      <c r="T134" t="s">
        <v>1950</v>
      </c>
      <c r="U134" t="s">
        <v>1761</v>
      </c>
    </row>
    <row r="135" spans="20:21" x14ac:dyDescent="0.25">
      <c r="T135" t="s">
        <v>1951</v>
      </c>
      <c r="U135" t="s">
        <v>1748</v>
      </c>
    </row>
    <row r="136" spans="20:21" x14ac:dyDescent="0.25">
      <c r="T136" t="s">
        <v>1952</v>
      </c>
      <c r="U136" t="s">
        <v>1755</v>
      </c>
    </row>
    <row r="137" spans="20:21" x14ac:dyDescent="0.25">
      <c r="T137" t="s">
        <v>1953</v>
      </c>
      <c r="U137" t="s">
        <v>1761</v>
      </c>
    </row>
    <row r="138" spans="20:21" x14ac:dyDescent="0.25">
      <c r="T138" t="s">
        <v>1954</v>
      </c>
      <c r="U138" t="s">
        <v>1748</v>
      </c>
    </row>
    <row r="139" spans="20:21" x14ac:dyDescent="0.25">
      <c r="T139" t="s">
        <v>1955</v>
      </c>
      <c r="U139" t="s">
        <v>1748</v>
      </c>
    </row>
    <row r="140" spans="20:21" x14ac:dyDescent="0.25">
      <c r="T140" t="s">
        <v>1708</v>
      </c>
      <c r="U140" t="s">
        <v>1748</v>
      </c>
    </row>
    <row r="141" spans="20:21" x14ac:dyDescent="0.25">
      <c r="T141" t="s">
        <v>1956</v>
      </c>
      <c r="U141" t="s">
        <v>1748</v>
      </c>
    </row>
    <row r="142" spans="20:21" x14ac:dyDescent="0.25">
      <c r="T142" t="s">
        <v>1721</v>
      </c>
      <c r="U142" t="s">
        <v>1805</v>
      </c>
    </row>
    <row r="143" spans="20:21" x14ac:dyDescent="0.25">
      <c r="T143" t="s">
        <v>1957</v>
      </c>
      <c r="U143" t="s">
        <v>190</v>
      </c>
    </row>
    <row r="144" spans="20:21" x14ac:dyDescent="0.25">
      <c r="T144" t="s">
        <v>1958</v>
      </c>
      <c r="U144" t="s">
        <v>48</v>
      </c>
    </row>
    <row r="145" spans="20:21" x14ac:dyDescent="0.25">
      <c r="T145" t="s">
        <v>1959</v>
      </c>
      <c r="U145" t="s">
        <v>48</v>
      </c>
    </row>
    <row r="146" spans="20:21" x14ac:dyDescent="0.25">
      <c r="T146" t="s">
        <v>1960</v>
      </c>
      <c r="U146" t="s">
        <v>48</v>
      </c>
    </row>
    <row r="147" spans="20:21" x14ac:dyDescent="0.25">
      <c r="T147" t="s">
        <v>1961</v>
      </c>
      <c r="U147" t="s">
        <v>1816</v>
      </c>
    </row>
    <row r="148" spans="20:21" x14ac:dyDescent="0.25">
      <c r="T148" t="s">
        <v>1962</v>
      </c>
      <c r="U148" t="s">
        <v>1765</v>
      </c>
    </row>
    <row r="149" spans="20:21" x14ac:dyDescent="0.25">
      <c r="T149" t="s">
        <v>1963</v>
      </c>
      <c r="U149" t="s">
        <v>1761</v>
      </c>
    </row>
    <row r="150" spans="20:21" x14ac:dyDescent="0.25">
      <c r="T150" t="s">
        <v>1964</v>
      </c>
      <c r="U150" t="s">
        <v>1761</v>
      </c>
    </row>
    <row r="151" spans="20:21" x14ac:dyDescent="0.25">
      <c r="T151" t="s">
        <v>1965</v>
      </c>
      <c r="U151" t="s">
        <v>1748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AQ500"/>
  <sheetViews>
    <sheetView topLeftCell="E1" zoomScale="115" zoomScaleNormal="115" workbookViewId="0">
      <selection activeCell="J5" sqref="J5"/>
    </sheetView>
  </sheetViews>
  <sheetFormatPr defaultRowHeight="15" x14ac:dyDescent="0.25"/>
  <cols>
    <col min="3" max="3" width="18.140625" customWidth="1"/>
    <col min="4" max="4" width="14.85546875" customWidth="1"/>
    <col min="5" max="5" width="13.5703125" customWidth="1"/>
    <col min="6" max="6" width="15.140625" customWidth="1"/>
    <col min="7" max="7" width="19.85546875" customWidth="1"/>
    <col min="8" max="8" width="16.140625" customWidth="1"/>
    <col min="9" max="9" width="19.140625" customWidth="1"/>
    <col min="10" max="10" width="20.140625" customWidth="1"/>
    <col min="11" max="11" width="22.5703125" bestFit="1" customWidth="1"/>
    <col min="12" max="12" width="30.140625" customWidth="1"/>
    <col min="13" max="13" width="11.5703125" customWidth="1"/>
    <col min="14" max="14" width="12.5703125" customWidth="1"/>
    <col min="15" max="15" width="12.85546875" customWidth="1"/>
    <col min="16" max="16" width="14.5703125" customWidth="1"/>
    <col min="17" max="17" width="10.5703125" customWidth="1"/>
    <col min="18" max="19" width="13.42578125" customWidth="1"/>
    <col min="20" max="20" width="18.42578125" customWidth="1"/>
    <col min="21" max="21" width="19.140625" customWidth="1"/>
    <col min="22" max="22" width="0.140625" hidden="1" customWidth="1"/>
    <col min="23" max="23" width="1.140625" hidden="1" customWidth="1"/>
    <col min="43" max="43" width="21.42578125" customWidth="1"/>
  </cols>
  <sheetData>
    <row r="1" spans="1:43" s="89" customFormat="1" ht="36" customHeight="1" x14ac:dyDescent="0.25">
      <c r="A1" s="88" t="s">
        <v>594</v>
      </c>
      <c r="B1" s="88"/>
      <c r="C1" s="88"/>
      <c r="E1" s="88"/>
      <c r="F1" s="88"/>
      <c r="G1" s="88"/>
      <c r="H1" s="88"/>
      <c r="I1" s="88"/>
      <c r="J1" s="88"/>
      <c r="K1" s="88"/>
      <c r="L1" s="88"/>
      <c r="M1" s="90"/>
      <c r="N1" s="90"/>
      <c r="O1" s="90"/>
      <c r="P1" s="90"/>
      <c r="Q1" s="90"/>
      <c r="R1" s="90"/>
      <c r="S1" s="90"/>
      <c r="T1" s="90"/>
      <c r="U1" s="90"/>
      <c r="AP1" s="91"/>
      <c r="AQ1" s="91"/>
    </row>
    <row r="2" spans="1:43" s="89" customFormat="1" ht="21" x14ac:dyDescent="0.25">
      <c r="A2" s="92"/>
      <c r="B2" s="92"/>
      <c r="C2" s="92"/>
      <c r="D2" s="92"/>
      <c r="E2" s="92"/>
      <c r="F2" s="92"/>
      <c r="G2" s="92"/>
      <c r="H2" s="92"/>
      <c r="I2" s="92"/>
      <c r="J2" s="308"/>
      <c r="K2" s="309"/>
      <c r="L2" s="92"/>
      <c r="M2" s="310" t="s">
        <v>595</v>
      </c>
      <c r="N2" s="310"/>
      <c r="O2" s="310"/>
      <c r="P2" s="98"/>
      <c r="Q2" s="310" t="s">
        <v>596</v>
      </c>
      <c r="R2" s="310"/>
      <c r="S2" s="311"/>
      <c r="T2" s="93"/>
      <c r="U2" s="93"/>
    </row>
    <row r="3" spans="1:43" s="50" customFormat="1" ht="51" customHeight="1" x14ac:dyDescent="0.25">
      <c r="A3" s="94" t="s">
        <v>597</v>
      </c>
      <c r="B3" s="94" t="s">
        <v>363</v>
      </c>
      <c r="C3" s="95" t="s">
        <v>364</v>
      </c>
      <c r="D3" s="94" t="s">
        <v>366</v>
      </c>
      <c r="E3" s="94" t="s">
        <v>0</v>
      </c>
      <c r="F3" s="95" t="s">
        <v>367</v>
      </c>
      <c r="G3" s="95" t="s">
        <v>598</v>
      </c>
      <c r="H3" s="95" t="s">
        <v>599</v>
      </c>
      <c r="I3" s="95" t="s">
        <v>415</v>
      </c>
      <c r="J3" s="95" t="s">
        <v>600</v>
      </c>
      <c r="K3" s="95" t="s">
        <v>601</v>
      </c>
      <c r="L3" s="56" t="s">
        <v>602</v>
      </c>
      <c r="M3" s="55" t="s">
        <v>402</v>
      </c>
      <c r="N3" s="55" t="s">
        <v>603</v>
      </c>
      <c r="O3" s="55" t="s">
        <v>604</v>
      </c>
      <c r="P3" s="56" t="s">
        <v>605</v>
      </c>
      <c r="Q3" s="55" t="s">
        <v>606</v>
      </c>
      <c r="R3" s="55" t="s">
        <v>607</v>
      </c>
      <c r="S3" s="56" t="s">
        <v>608</v>
      </c>
      <c r="T3" s="96" t="s">
        <v>609</v>
      </c>
      <c r="U3" s="97" t="s">
        <v>396</v>
      </c>
      <c r="V3" s="55" t="s">
        <v>610</v>
      </c>
      <c r="AQ3" t="s">
        <v>611</v>
      </c>
    </row>
    <row r="4" spans="1:43" ht="19.5" customHeight="1" x14ac:dyDescent="0.25">
      <c r="A4" s="8">
        <v>1</v>
      </c>
      <c r="B4" s="8" t="s">
        <v>399</v>
      </c>
      <c r="C4" s="8" t="s">
        <v>1997</v>
      </c>
      <c r="D4" s="8" t="s">
        <v>1998</v>
      </c>
      <c r="E4" s="9" t="s">
        <v>1998</v>
      </c>
      <c r="F4" s="9"/>
      <c r="G4" s="9" t="s">
        <v>2415</v>
      </c>
      <c r="H4" s="9"/>
      <c r="I4" s="9"/>
      <c r="J4" s="10">
        <v>46028</v>
      </c>
      <c r="K4" s="10"/>
      <c r="L4" s="10" t="s">
        <v>2414</v>
      </c>
      <c r="M4" s="9">
        <v>6</v>
      </c>
      <c r="N4" s="9">
        <v>8</v>
      </c>
      <c r="O4" s="9"/>
      <c r="P4" s="9">
        <f>SUM(training77[[#This Row],[Male]:[Other Gender]])</f>
        <v>14</v>
      </c>
      <c r="Q4" s="9"/>
      <c r="R4" s="9"/>
      <c r="S4" s="9"/>
      <c r="T4" s="9"/>
      <c r="U4" s="9"/>
      <c r="V4" s="9"/>
      <c r="AQ4" t="s">
        <v>612</v>
      </c>
    </row>
    <row r="5" spans="1:43" ht="19.5" customHeight="1" x14ac:dyDescent="0.25">
      <c r="A5" s="8">
        <v>2</v>
      </c>
      <c r="B5" s="8" t="s">
        <v>399</v>
      </c>
      <c r="C5" s="8" t="s">
        <v>1997</v>
      </c>
      <c r="D5" s="8"/>
      <c r="E5" s="9"/>
      <c r="F5" s="9"/>
      <c r="G5" s="9"/>
      <c r="H5" s="9"/>
      <c r="I5" s="9"/>
      <c r="J5" s="10"/>
      <c r="K5" s="10"/>
      <c r="L5" s="10"/>
      <c r="M5" s="9"/>
      <c r="N5" s="9"/>
      <c r="O5" s="9"/>
      <c r="P5" s="9">
        <f>SUM(training77[[#This Row],[Male]:[Other Gender]])</f>
        <v>0</v>
      </c>
      <c r="Q5" s="9"/>
      <c r="R5" s="9"/>
      <c r="S5" s="9"/>
      <c r="T5" s="9"/>
      <c r="U5" s="9"/>
      <c r="V5" s="9"/>
      <c r="AQ5" t="s">
        <v>613</v>
      </c>
    </row>
    <row r="6" spans="1:43" x14ac:dyDescent="0.25">
      <c r="A6" s="8">
        <v>3</v>
      </c>
      <c r="B6" s="8" t="s">
        <v>399</v>
      </c>
      <c r="C6" s="8" t="s">
        <v>1997</v>
      </c>
      <c r="D6" s="8"/>
      <c r="E6" s="9"/>
      <c r="F6" s="9"/>
      <c r="G6" s="9"/>
      <c r="H6" s="9"/>
      <c r="I6" s="9"/>
      <c r="J6" s="10"/>
      <c r="K6" s="10"/>
      <c r="L6" s="10"/>
      <c r="M6" s="9"/>
      <c r="N6" s="9"/>
      <c r="O6" s="9"/>
      <c r="P6" s="9">
        <f>SUM(training77[[#This Row],[Male]:[Other Gender]])</f>
        <v>0</v>
      </c>
      <c r="Q6" s="9"/>
      <c r="R6" s="9"/>
      <c r="S6" s="9"/>
      <c r="T6" s="9"/>
      <c r="U6" s="9"/>
      <c r="V6" s="9"/>
      <c r="AQ6" t="s">
        <v>614</v>
      </c>
    </row>
    <row r="7" spans="1:43" ht="20.100000000000001" customHeight="1" x14ac:dyDescent="0.25">
      <c r="A7" s="8">
        <v>4</v>
      </c>
      <c r="B7" s="8" t="s">
        <v>399</v>
      </c>
      <c r="C7" s="8" t="s">
        <v>1997</v>
      </c>
      <c r="D7" s="8"/>
      <c r="E7" s="9"/>
      <c r="F7" s="9"/>
      <c r="G7" s="9"/>
      <c r="H7" s="9"/>
      <c r="I7" s="9"/>
      <c r="J7" s="10"/>
      <c r="K7" s="10"/>
      <c r="L7" s="10"/>
      <c r="M7" s="9"/>
      <c r="N7" s="9"/>
      <c r="O7" s="9"/>
      <c r="P7" s="234">
        <f>SUM(training77[[#This Row],[Male]:[Other Gender]])</f>
        <v>0</v>
      </c>
      <c r="Q7" s="9"/>
      <c r="R7" s="9"/>
      <c r="S7" s="9"/>
      <c r="T7" s="9"/>
      <c r="U7" s="9"/>
      <c r="V7" s="9"/>
    </row>
    <row r="8" spans="1:43" ht="20.100000000000001" customHeight="1" x14ac:dyDescent="0.25">
      <c r="A8" s="8"/>
      <c r="B8" s="8"/>
      <c r="C8" s="8"/>
      <c r="D8" s="8"/>
      <c r="E8" s="9"/>
      <c r="F8" s="9"/>
      <c r="G8" s="9"/>
      <c r="H8" s="9"/>
      <c r="I8" s="9"/>
      <c r="J8" s="10"/>
      <c r="K8" s="10"/>
      <c r="L8" s="10"/>
      <c r="M8" s="9"/>
      <c r="N8" s="9"/>
      <c r="O8" s="9"/>
      <c r="P8" s="234">
        <f>SUM(training77[[#This Row],[Male]:[Other Gender]])</f>
        <v>0</v>
      </c>
      <c r="Q8" s="9"/>
      <c r="R8" s="9"/>
      <c r="S8" s="9"/>
      <c r="T8" s="9"/>
      <c r="U8" s="9"/>
      <c r="V8" s="9"/>
    </row>
    <row r="9" spans="1:43" ht="20.100000000000001" customHeight="1" x14ac:dyDescent="0.25">
      <c r="A9" s="8"/>
      <c r="B9" s="8"/>
      <c r="C9" s="8"/>
      <c r="D9" s="8"/>
      <c r="E9" s="9"/>
      <c r="F9" s="9"/>
      <c r="G9" s="9"/>
      <c r="H9" s="9"/>
      <c r="I9" s="9"/>
      <c r="J9" s="10"/>
      <c r="K9" s="10"/>
      <c r="L9" s="10"/>
      <c r="M9" s="9"/>
      <c r="N9" s="9"/>
      <c r="O9" s="9"/>
      <c r="P9" s="234">
        <f>SUM(training77[[#This Row],[Male]:[Other Gender]])</f>
        <v>0</v>
      </c>
      <c r="Q9" s="9"/>
      <c r="R9" s="9"/>
      <c r="S9" s="9"/>
      <c r="T9" s="9"/>
      <c r="U9" s="9"/>
      <c r="V9" s="9"/>
      <c r="AQ9" t="s">
        <v>366</v>
      </c>
    </row>
    <row r="10" spans="1:43" ht="20.100000000000001" customHeight="1" x14ac:dyDescent="0.25">
      <c r="A10" s="8"/>
      <c r="B10" s="8"/>
      <c r="C10" s="8"/>
      <c r="D10" s="8"/>
      <c r="E10" s="9"/>
      <c r="F10" s="9"/>
      <c r="G10" s="9"/>
      <c r="H10" s="9"/>
      <c r="I10" s="9"/>
      <c r="J10" s="10"/>
      <c r="K10" s="10"/>
      <c r="L10" s="10"/>
      <c r="M10" s="9"/>
      <c r="N10" s="9"/>
      <c r="O10" s="9"/>
      <c r="P10" s="234">
        <f>SUM(training77[[#This Row],[Male]:[Other Gender]])</f>
        <v>0</v>
      </c>
      <c r="Q10" s="9"/>
      <c r="R10" s="9"/>
      <c r="S10" s="9"/>
      <c r="T10" s="9"/>
      <c r="U10" s="9"/>
      <c r="V10" s="9"/>
      <c r="AQ10" t="s">
        <v>615</v>
      </c>
    </row>
    <row r="11" spans="1:43" ht="20.100000000000001" customHeight="1" x14ac:dyDescent="0.25">
      <c r="A11" s="8"/>
      <c r="B11" s="8"/>
      <c r="C11" s="8"/>
      <c r="D11" s="8"/>
      <c r="E11" s="9"/>
      <c r="F11" s="9"/>
      <c r="G11" s="9"/>
      <c r="H11" s="9"/>
      <c r="I11" s="9"/>
      <c r="J11" s="10"/>
      <c r="K11" s="10"/>
      <c r="L11" s="10"/>
      <c r="M11" s="9"/>
      <c r="N11" s="9"/>
      <c r="O11" s="9"/>
      <c r="P11" s="234">
        <f>SUM(training77[[#This Row],[Male]:[Other Gender]])</f>
        <v>0</v>
      </c>
      <c r="Q11" s="9"/>
      <c r="R11" s="9"/>
      <c r="S11" s="9"/>
      <c r="T11" s="9"/>
      <c r="U11" s="9"/>
      <c r="V11" s="9"/>
      <c r="AQ11" t="s">
        <v>616</v>
      </c>
    </row>
    <row r="12" spans="1:43" ht="20.100000000000001" customHeight="1" x14ac:dyDescent="0.25">
      <c r="A12" s="8"/>
      <c r="B12" s="8"/>
      <c r="C12" s="8"/>
      <c r="D12" s="8"/>
      <c r="E12" s="9"/>
      <c r="F12" s="9"/>
      <c r="G12" s="9"/>
      <c r="H12" s="9"/>
      <c r="I12" s="9"/>
      <c r="J12" s="10"/>
      <c r="K12" s="10"/>
      <c r="L12" s="10"/>
      <c r="M12" s="9"/>
      <c r="N12" s="9"/>
      <c r="O12" s="9"/>
      <c r="P12" s="234">
        <f>SUM(training77[[#This Row],[Male]:[Other Gender]])</f>
        <v>0</v>
      </c>
      <c r="Q12" s="9"/>
      <c r="R12" s="9"/>
      <c r="S12" s="9"/>
      <c r="T12" s="9"/>
      <c r="U12" s="9"/>
      <c r="V12" s="9"/>
      <c r="AQ12" t="s">
        <v>617</v>
      </c>
    </row>
    <row r="13" spans="1:43" ht="20.100000000000001" customHeight="1" x14ac:dyDescent="0.25">
      <c r="A13" s="8"/>
      <c r="B13" s="8"/>
      <c r="C13" s="8"/>
      <c r="D13" s="8"/>
      <c r="E13" s="9"/>
      <c r="F13" s="9"/>
      <c r="G13" s="9"/>
      <c r="H13" s="9"/>
      <c r="I13" s="9"/>
      <c r="J13" s="10"/>
      <c r="K13" s="10"/>
      <c r="L13" s="10"/>
      <c r="M13" s="9"/>
      <c r="N13" s="9"/>
      <c r="O13" s="9"/>
      <c r="P13" s="234">
        <f>SUM(training77[[#This Row],[Male]:[Other Gender]])</f>
        <v>0</v>
      </c>
      <c r="Q13" s="9"/>
      <c r="R13" s="9"/>
      <c r="S13" s="9"/>
      <c r="T13" s="9"/>
      <c r="U13" s="9"/>
      <c r="V13" s="9"/>
    </row>
    <row r="14" spans="1:43" ht="20.100000000000001" customHeight="1" x14ac:dyDescent="0.25">
      <c r="A14" s="8"/>
      <c r="B14" s="8"/>
      <c r="C14" s="8"/>
      <c r="D14" s="8"/>
      <c r="E14" s="9"/>
      <c r="F14" s="9"/>
      <c r="G14" s="9"/>
      <c r="H14" s="9"/>
      <c r="I14" s="9"/>
      <c r="J14" s="10"/>
      <c r="K14" s="10"/>
      <c r="L14" s="10"/>
      <c r="M14" s="9"/>
      <c r="N14" s="9"/>
      <c r="O14" s="9"/>
      <c r="P14" s="234">
        <f>SUM(training77[[#This Row],[Male]:[Other Gender]])</f>
        <v>0</v>
      </c>
      <c r="Q14" s="9"/>
      <c r="R14" s="9"/>
      <c r="S14" s="9"/>
      <c r="T14" s="9"/>
      <c r="U14" s="9"/>
      <c r="V14" s="9"/>
    </row>
    <row r="15" spans="1:43" ht="20.100000000000001" customHeight="1" x14ac:dyDescent="0.25">
      <c r="A15" s="8"/>
      <c r="B15" s="8"/>
      <c r="C15" s="8"/>
      <c r="D15" s="8"/>
      <c r="E15" s="9"/>
      <c r="F15" s="9"/>
      <c r="G15" s="9"/>
      <c r="H15" s="9"/>
      <c r="I15" s="9"/>
      <c r="J15" s="10"/>
      <c r="K15" s="10"/>
      <c r="L15" s="10"/>
      <c r="M15" s="9"/>
      <c r="N15" s="9"/>
      <c r="O15" s="9"/>
      <c r="P15" s="234">
        <f>SUM(training77[[#This Row],[Male]:[Other Gender]])</f>
        <v>0</v>
      </c>
      <c r="Q15" s="9"/>
      <c r="R15" s="9"/>
      <c r="S15" s="9"/>
      <c r="T15" s="9"/>
      <c r="U15" s="9"/>
      <c r="V15" s="9"/>
      <c r="AQ15" t="s">
        <v>599</v>
      </c>
    </row>
    <row r="16" spans="1:43" ht="20.100000000000001" customHeight="1" x14ac:dyDescent="0.25">
      <c r="A16" s="8"/>
      <c r="B16" s="8"/>
      <c r="C16" s="8"/>
      <c r="D16" s="8"/>
      <c r="E16" s="9"/>
      <c r="F16" s="9"/>
      <c r="G16" s="9"/>
      <c r="H16" s="9"/>
      <c r="I16" s="9"/>
      <c r="J16" s="10"/>
      <c r="K16" s="10"/>
      <c r="L16" s="10"/>
      <c r="M16" s="9"/>
      <c r="N16" s="9"/>
      <c r="O16" s="9"/>
      <c r="P16" s="234">
        <f>SUM(training77[[#This Row],[Male]:[Other Gender]])</f>
        <v>0</v>
      </c>
      <c r="Q16" s="9"/>
      <c r="R16" s="9"/>
      <c r="S16" s="9"/>
      <c r="T16" s="9"/>
      <c r="U16" s="9"/>
      <c r="V16" s="9"/>
      <c r="AQ16" t="s">
        <v>618</v>
      </c>
    </row>
    <row r="17" spans="1:43" ht="20.100000000000001" customHeight="1" x14ac:dyDescent="0.25">
      <c r="A17" s="8"/>
      <c r="B17" s="8"/>
      <c r="C17" s="8"/>
      <c r="D17" s="8"/>
      <c r="E17" s="9"/>
      <c r="F17" s="9"/>
      <c r="G17" s="9"/>
      <c r="H17" s="9"/>
      <c r="I17" s="9"/>
      <c r="J17" s="10"/>
      <c r="K17" s="10"/>
      <c r="L17" s="10"/>
      <c r="M17" s="9"/>
      <c r="N17" s="9"/>
      <c r="O17" s="9"/>
      <c r="P17" s="234">
        <f>SUM(training77[[#This Row],[Male]:[Other Gender]])</f>
        <v>0</v>
      </c>
      <c r="Q17" s="9"/>
      <c r="R17" s="9"/>
      <c r="S17" s="9"/>
      <c r="T17" s="9"/>
      <c r="U17" s="9"/>
      <c r="V17" s="9"/>
      <c r="AQ17" t="s">
        <v>579</v>
      </c>
    </row>
    <row r="18" spans="1:43" ht="20.100000000000001" customHeight="1" x14ac:dyDescent="0.25">
      <c r="A18" s="8"/>
      <c r="B18" s="8"/>
      <c r="C18" s="8"/>
      <c r="D18" s="8"/>
      <c r="E18" s="9"/>
      <c r="F18" s="9"/>
      <c r="G18" s="9"/>
      <c r="H18" s="9"/>
      <c r="I18" s="9"/>
      <c r="J18" s="10"/>
      <c r="K18" s="10"/>
      <c r="L18" s="10"/>
      <c r="M18" s="9"/>
      <c r="N18" s="9"/>
      <c r="O18" s="9"/>
      <c r="P18" s="234">
        <f>SUM(training77[[#This Row],[Male]:[Other Gender]])</f>
        <v>0</v>
      </c>
      <c r="Q18" s="9"/>
      <c r="R18" s="9"/>
      <c r="S18" s="9"/>
      <c r="T18" s="9"/>
      <c r="U18" s="9"/>
      <c r="V18" s="9"/>
      <c r="AQ18" t="s">
        <v>619</v>
      </c>
    </row>
    <row r="19" spans="1:43" ht="20.100000000000001" customHeight="1" x14ac:dyDescent="0.25">
      <c r="A19" s="8"/>
      <c r="B19" s="8"/>
      <c r="C19" s="8"/>
      <c r="D19" s="8"/>
      <c r="E19" s="9"/>
      <c r="F19" s="9"/>
      <c r="G19" s="9"/>
      <c r="H19" s="9"/>
      <c r="I19" s="9"/>
      <c r="J19" s="10"/>
      <c r="K19" s="10"/>
      <c r="L19" s="10"/>
      <c r="M19" s="9"/>
      <c r="N19" s="9"/>
      <c r="O19" s="9"/>
      <c r="P19" s="234">
        <f>SUM(training77[[#This Row],[Male]:[Other Gender]])</f>
        <v>0</v>
      </c>
      <c r="Q19" s="9"/>
      <c r="R19" s="9"/>
      <c r="S19" s="9"/>
      <c r="T19" s="9"/>
      <c r="U19" s="9"/>
      <c r="V19" s="9"/>
    </row>
    <row r="20" spans="1:43" ht="20.100000000000001" customHeight="1" x14ac:dyDescent="0.25">
      <c r="A20" s="8"/>
      <c r="B20" s="8"/>
      <c r="C20" s="8"/>
      <c r="D20" s="8"/>
      <c r="E20" s="9"/>
      <c r="F20" s="9"/>
      <c r="G20" s="9"/>
      <c r="H20" s="9"/>
      <c r="I20" s="9"/>
      <c r="J20" s="10"/>
      <c r="K20" s="10"/>
      <c r="L20" s="10"/>
      <c r="M20" s="9"/>
      <c r="N20" s="9"/>
      <c r="O20" s="9"/>
      <c r="P20" s="234">
        <f>SUM(training77[[#This Row],[Male]:[Other Gender]])</f>
        <v>0</v>
      </c>
      <c r="Q20" s="9"/>
      <c r="R20" s="9"/>
      <c r="S20" s="9"/>
      <c r="T20" s="9"/>
      <c r="U20" s="9"/>
      <c r="V20" s="9"/>
    </row>
    <row r="21" spans="1:43" ht="20.100000000000001" customHeight="1" x14ac:dyDescent="0.25">
      <c r="A21" s="8"/>
      <c r="B21" s="8"/>
      <c r="C21" s="8"/>
      <c r="D21" s="8"/>
      <c r="E21" s="9"/>
      <c r="F21" s="9"/>
      <c r="G21" s="9"/>
      <c r="H21" s="9"/>
      <c r="I21" s="9"/>
      <c r="J21" s="10"/>
      <c r="K21" s="10"/>
      <c r="L21" s="10"/>
      <c r="M21" s="9"/>
      <c r="N21" s="9"/>
      <c r="O21" s="9"/>
      <c r="P21" s="234">
        <f>SUM(training77[[#This Row],[Male]:[Other Gender]])</f>
        <v>0</v>
      </c>
      <c r="Q21" s="9"/>
      <c r="R21" s="9"/>
      <c r="S21" s="9"/>
      <c r="T21" s="9"/>
      <c r="U21" s="9"/>
      <c r="V21" s="9"/>
    </row>
    <row r="22" spans="1:43" ht="20.100000000000001" customHeight="1" x14ac:dyDescent="0.25">
      <c r="A22" s="8"/>
      <c r="B22" s="8"/>
      <c r="C22" s="8"/>
      <c r="D22" s="8"/>
      <c r="E22" s="9"/>
      <c r="F22" s="9"/>
      <c r="G22" s="9"/>
      <c r="H22" s="9"/>
      <c r="I22" s="9"/>
      <c r="J22" s="10"/>
      <c r="K22" s="10"/>
      <c r="L22" s="10"/>
      <c r="M22" s="9"/>
      <c r="N22" s="9"/>
      <c r="O22" s="9"/>
      <c r="P22" s="234">
        <f>SUM(training77[[#This Row],[Male]:[Other Gender]])</f>
        <v>0</v>
      </c>
      <c r="Q22" s="9"/>
      <c r="R22" s="9"/>
      <c r="S22" s="9"/>
      <c r="T22" s="9"/>
      <c r="U22" s="9"/>
      <c r="V22" s="9"/>
    </row>
    <row r="23" spans="1:43" ht="20.100000000000001" customHeight="1" x14ac:dyDescent="0.25"/>
    <row r="24" spans="1:43" ht="20.100000000000001" customHeight="1" x14ac:dyDescent="0.25"/>
    <row r="25" spans="1:43" ht="20.100000000000001" customHeight="1" x14ac:dyDescent="0.25"/>
    <row r="26" spans="1:43" ht="20.100000000000001" customHeight="1" x14ac:dyDescent="0.25"/>
    <row r="27" spans="1:43" ht="20.100000000000001" customHeight="1" x14ac:dyDescent="0.25"/>
    <row r="28" spans="1:43" ht="20.100000000000001" customHeight="1" x14ac:dyDescent="0.25"/>
    <row r="29" spans="1:43" ht="20.100000000000001" customHeight="1" x14ac:dyDescent="0.25"/>
    <row r="30" spans="1:43" ht="20.100000000000001" customHeight="1" x14ac:dyDescent="0.25"/>
    <row r="31" spans="1:43" ht="20.100000000000001" customHeight="1" x14ac:dyDescent="0.25"/>
    <row r="32" spans="1:43"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row r="292" ht="20.100000000000001" customHeight="1" x14ac:dyDescent="0.25"/>
    <row r="293" ht="20.100000000000001" customHeight="1" x14ac:dyDescent="0.25"/>
    <row r="294" ht="20.100000000000001" customHeight="1" x14ac:dyDescent="0.25"/>
    <row r="295" ht="20.100000000000001" customHeight="1" x14ac:dyDescent="0.25"/>
    <row r="296" ht="20.100000000000001" customHeight="1" x14ac:dyDescent="0.25"/>
    <row r="297" ht="20.100000000000001" customHeight="1" x14ac:dyDescent="0.25"/>
    <row r="298" ht="20.100000000000001" customHeight="1" x14ac:dyDescent="0.25"/>
    <row r="299" ht="20.100000000000001" customHeight="1" x14ac:dyDescent="0.25"/>
    <row r="300" ht="20.100000000000001" customHeight="1" x14ac:dyDescent="0.25"/>
    <row r="301" ht="20.100000000000001" customHeight="1" x14ac:dyDescent="0.25"/>
    <row r="302" ht="20.100000000000001" customHeight="1" x14ac:dyDescent="0.25"/>
    <row r="303" ht="20.100000000000001" customHeight="1" x14ac:dyDescent="0.25"/>
    <row r="304" ht="20.100000000000001" customHeight="1" x14ac:dyDescent="0.25"/>
    <row r="305" ht="20.100000000000001" customHeight="1" x14ac:dyDescent="0.25"/>
    <row r="306" ht="20.100000000000001" customHeight="1" x14ac:dyDescent="0.25"/>
    <row r="307" ht="20.100000000000001" customHeight="1" x14ac:dyDescent="0.25"/>
    <row r="308" ht="20.100000000000001" customHeight="1" x14ac:dyDescent="0.25"/>
    <row r="309" ht="20.100000000000001" customHeight="1" x14ac:dyDescent="0.25"/>
    <row r="310" ht="20.100000000000001" customHeight="1" x14ac:dyDescent="0.25"/>
    <row r="311" ht="20.100000000000001" customHeight="1" x14ac:dyDescent="0.25"/>
    <row r="312" ht="20.100000000000001" customHeight="1" x14ac:dyDescent="0.25"/>
    <row r="313" ht="20.100000000000001" customHeight="1" x14ac:dyDescent="0.25"/>
    <row r="314" ht="20.100000000000001" customHeight="1" x14ac:dyDescent="0.25"/>
    <row r="315" ht="20.100000000000001" customHeight="1" x14ac:dyDescent="0.25"/>
    <row r="316" ht="20.100000000000001" customHeight="1" x14ac:dyDescent="0.25"/>
    <row r="317" ht="20.100000000000001" customHeight="1" x14ac:dyDescent="0.25"/>
    <row r="318" ht="20.100000000000001" customHeight="1" x14ac:dyDescent="0.25"/>
    <row r="319" ht="20.100000000000001" customHeight="1" x14ac:dyDescent="0.25"/>
    <row r="320" ht="20.100000000000001" customHeight="1" x14ac:dyDescent="0.25"/>
    <row r="321" ht="20.100000000000001" customHeight="1" x14ac:dyDescent="0.25"/>
    <row r="322" ht="20.100000000000001" customHeight="1" x14ac:dyDescent="0.25"/>
    <row r="323" ht="20.100000000000001" customHeight="1" x14ac:dyDescent="0.25"/>
    <row r="324" ht="20.100000000000001" customHeight="1" x14ac:dyDescent="0.25"/>
    <row r="325" ht="20.100000000000001" customHeight="1" x14ac:dyDescent="0.25"/>
    <row r="326" ht="20.100000000000001" customHeight="1" x14ac:dyDescent="0.25"/>
    <row r="327" ht="20.100000000000001" customHeight="1" x14ac:dyDescent="0.25"/>
    <row r="328" ht="20.100000000000001" customHeight="1" x14ac:dyDescent="0.25"/>
    <row r="329" ht="20.100000000000001" customHeight="1" x14ac:dyDescent="0.25"/>
    <row r="330" ht="20.100000000000001" customHeight="1" x14ac:dyDescent="0.25"/>
    <row r="331" ht="20.100000000000001" customHeight="1" x14ac:dyDescent="0.25"/>
    <row r="332" ht="20.100000000000001" customHeight="1" x14ac:dyDescent="0.25"/>
    <row r="333" ht="20.100000000000001" customHeight="1" x14ac:dyDescent="0.25"/>
    <row r="334" ht="20.100000000000001" customHeight="1" x14ac:dyDescent="0.25"/>
    <row r="335" ht="20.100000000000001" customHeight="1" x14ac:dyDescent="0.25"/>
    <row r="336" ht="20.100000000000001" customHeight="1" x14ac:dyDescent="0.25"/>
    <row r="337" ht="20.100000000000001" customHeight="1" x14ac:dyDescent="0.25"/>
    <row r="338" ht="20.100000000000001" customHeight="1" x14ac:dyDescent="0.25"/>
    <row r="339" ht="20.100000000000001" customHeight="1" x14ac:dyDescent="0.25"/>
    <row r="340" ht="20.100000000000001" customHeight="1" x14ac:dyDescent="0.25"/>
    <row r="341" ht="20.100000000000001" customHeight="1" x14ac:dyDescent="0.25"/>
    <row r="342" ht="20.100000000000001" customHeight="1" x14ac:dyDescent="0.25"/>
    <row r="343" ht="20.100000000000001" customHeight="1" x14ac:dyDescent="0.25"/>
    <row r="344" ht="20.100000000000001" customHeight="1" x14ac:dyDescent="0.25"/>
    <row r="345" ht="20.100000000000001" customHeight="1" x14ac:dyDescent="0.25"/>
    <row r="346" ht="20.100000000000001" customHeight="1" x14ac:dyDescent="0.25"/>
    <row r="347" ht="20.100000000000001" customHeight="1" x14ac:dyDescent="0.25"/>
    <row r="348" ht="20.100000000000001" customHeight="1" x14ac:dyDescent="0.25"/>
    <row r="349" ht="20.100000000000001" customHeight="1" x14ac:dyDescent="0.25"/>
    <row r="350" ht="20.100000000000001" customHeight="1" x14ac:dyDescent="0.25"/>
    <row r="351" ht="20.100000000000001" customHeight="1" x14ac:dyDescent="0.25"/>
    <row r="352" ht="20.100000000000001" customHeight="1" x14ac:dyDescent="0.25"/>
    <row r="353" ht="20.100000000000001" customHeight="1" x14ac:dyDescent="0.25"/>
    <row r="354" ht="20.100000000000001" customHeight="1" x14ac:dyDescent="0.25"/>
    <row r="355" ht="20.100000000000001" customHeight="1" x14ac:dyDescent="0.25"/>
    <row r="356" ht="20.100000000000001" customHeight="1" x14ac:dyDescent="0.25"/>
    <row r="357" ht="20.100000000000001" customHeight="1" x14ac:dyDescent="0.25"/>
    <row r="358" ht="20.100000000000001" customHeight="1" x14ac:dyDescent="0.25"/>
    <row r="359" ht="20.100000000000001" customHeight="1" x14ac:dyDescent="0.25"/>
    <row r="360" ht="20.100000000000001" customHeight="1" x14ac:dyDescent="0.25"/>
    <row r="361" ht="20.100000000000001" customHeight="1" x14ac:dyDescent="0.25"/>
    <row r="362" ht="20.100000000000001" customHeight="1" x14ac:dyDescent="0.25"/>
    <row r="363" ht="20.100000000000001" customHeight="1" x14ac:dyDescent="0.25"/>
    <row r="364" ht="20.100000000000001" customHeight="1" x14ac:dyDescent="0.25"/>
    <row r="365" ht="20.100000000000001" customHeight="1" x14ac:dyDescent="0.25"/>
    <row r="366" ht="20.100000000000001" customHeight="1" x14ac:dyDescent="0.25"/>
    <row r="367" ht="20.100000000000001" customHeight="1" x14ac:dyDescent="0.25"/>
    <row r="368" ht="20.100000000000001" customHeight="1" x14ac:dyDescent="0.25"/>
    <row r="369" ht="20.100000000000001" customHeight="1" x14ac:dyDescent="0.25"/>
    <row r="370" ht="20.100000000000001" customHeight="1" x14ac:dyDescent="0.25"/>
    <row r="371" ht="20.100000000000001" customHeight="1" x14ac:dyDescent="0.25"/>
    <row r="372" ht="20.100000000000001" customHeight="1" x14ac:dyDescent="0.25"/>
    <row r="373" ht="20.100000000000001" customHeight="1" x14ac:dyDescent="0.25"/>
    <row r="374" ht="20.100000000000001" customHeight="1" x14ac:dyDescent="0.25"/>
    <row r="375" ht="20.100000000000001" customHeight="1" x14ac:dyDescent="0.25"/>
    <row r="376" ht="20.100000000000001" customHeight="1" x14ac:dyDescent="0.25"/>
    <row r="377" ht="20.100000000000001" customHeight="1" x14ac:dyDescent="0.25"/>
    <row r="378" ht="20.100000000000001" customHeight="1" x14ac:dyDescent="0.25"/>
    <row r="379" ht="20.100000000000001" customHeight="1" x14ac:dyDescent="0.25"/>
    <row r="380" ht="20.100000000000001" customHeight="1" x14ac:dyDescent="0.25"/>
    <row r="381" ht="20.100000000000001" customHeight="1" x14ac:dyDescent="0.25"/>
    <row r="382" ht="20.100000000000001" customHeight="1" x14ac:dyDescent="0.25"/>
    <row r="383" ht="20.100000000000001" customHeight="1" x14ac:dyDescent="0.25"/>
    <row r="384" ht="20.100000000000001" customHeight="1" x14ac:dyDescent="0.25"/>
    <row r="385" ht="20.100000000000001" customHeight="1" x14ac:dyDescent="0.25"/>
    <row r="386" ht="20.100000000000001" customHeight="1" x14ac:dyDescent="0.25"/>
    <row r="387" ht="20.100000000000001" customHeight="1" x14ac:dyDescent="0.25"/>
    <row r="388" ht="20.100000000000001" customHeight="1" x14ac:dyDescent="0.25"/>
    <row r="389" ht="20.100000000000001" customHeight="1" x14ac:dyDescent="0.25"/>
    <row r="390" ht="20.100000000000001" customHeight="1" x14ac:dyDescent="0.25"/>
    <row r="391" ht="20.100000000000001" customHeight="1" x14ac:dyDescent="0.25"/>
    <row r="392" ht="20.100000000000001" customHeight="1" x14ac:dyDescent="0.25"/>
    <row r="393" ht="20.100000000000001" customHeight="1" x14ac:dyDescent="0.25"/>
    <row r="394" ht="20.100000000000001" customHeight="1" x14ac:dyDescent="0.25"/>
    <row r="395" ht="20.100000000000001" customHeight="1" x14ac:dyDescent="0.25"/>
    <row r="396" ht="20.100000000000001" customHeight="1" x14ac:dyDescent="0.25"/>
    <row r="397" ht="20.100000000000001" customHeight="1" x14ac:dyDescent="0.25"/>
    <row r="398" ht="20.100000000000001" customHeight="1" x14ac:dyDescent="0.25"/>
    <row r="399" ht="20.100000000000001" customHeight="1" x14ac:dyDescent="0.25"/>
    <row r="400" ht="20.100000000000001" customHeight="1" x14ac:dyDescent="0.25"/>
    <row r="401" ht="20.100000000000001" customHeight="1" x14ac:dyDescent="0.25"/>
    <row r="402" ht="20.100000000000001" customHeight="1" x14ac:dyDescent="0.25"/>
    <row r="403" ht="20.100000000000001" customHeight="1" x14ac:dyDescent="0.25"/>
    <row r="404" ht="20.100000000000001" customHeight="1" x14ac:dyDescent="0.25"/>
    <row r="405" ht="20.100000000000001" customHeight="1" x14ac:dyDescent="0.25"/>
    <row r="406" ht="20.100000000000001" customHeight="1" x14ac:dyDescent="0.25"/>
    <row r="407" ht="20.100000000000001" customHeight="1" x14ac:dyDescent="0.25"/>
    <row r="408" ht="20.100000000000001" customHeight="1" x14ac:dyDescent="0.25"/>
    <row r="409" ht="20.100000000000001" customHeight="1" x14ac:dyDescent="0.25"/>
    <row r="410" ht="20.100000000000001" customHeight="1" x14ac:dyDescent="0.25"/>
    <row r="411" ht="20.100000000000001" customHeight="1" x14ac:dyDescent="0.25"/>
    <row r="412" ht="20.100000000000001" customHeight="1" x14ac:dyDescent="0.25"/>
    <row r="413" ht="20.100000000000001" customHeight="1" x14ac:dyDescent="0.25"/>
    <row r="414" ht="20.100000000000001" customHeight="1" x14ac:dyDescent="0.25"/>
    <row r="415" ht="20.100000000000001" customHeight="1" x14ac:dyDescent="0.25"/>
    <row r="416" ht="20.100000000000001" customHeight="1" x14ac:dyDescent="0.25"/>
    <row r="417" ht="20.100000000000001" customHeight="1" x14ac:dyDescent="0.25"/>
    <row r="418" ht="20.100000000000001" customHeight="1" x14ac:dyDescent="0.25"/>
    <row r="419" ht="20.100000000000001" customHeight="1" x14ac:dyDescent="0.25"/>
    <row r="420" ht="20.100000000000001" customHeight="1" x14ac:dyDescent="0.25"/>
    <row r="421" ht="20.100000000000001" customHeight="1" x14ac:dyDescent="0.25"/>
    <row r="422" ht="20.100000000000001" customHeight="1" x14ac:dyDescent="0.25"/>
    <row r="423" ht="20.100000000000001" customHeight="1" x14ac:dyDescent="0.25"/>
    <row r="424" ht="20.100000000000001" customHeight="1" x14ac:dyDescent="0.25"/>
    <row r="425" ht="20.100000000000001" customHeight="1" x14ac:dyDescent="0.25"/>
    <row r="426" ht="20.100000000000001" customHeight="1" x14ac:dyDescent="0.25"/>
    <row r="427" ht="20.100000000000001" customHeight="1" x14ac:dyDescent="0.25"/>
    <row r="428" ht="20.100000000000001" customHeight="1" x14ac:dyDescent="0.25"/>
    <row r="429" ht="20.100000000000001" customHeight="1" x14ac:dyDescent="0.25"/>
    <row r="430" ht="20.100000000000001" customHeight="1" x14ac:dyDescent="0.25"/>
    <row r="431" ht="20.100000000000001" customHeight="1" x14ac:dyDescent="0.25"/>
    <row r="432" ht="20.100000000000001" customHeight="1" x14ac:dyDescent="0.25"/>
    <row r="433" ht="20.100000000000001" customHeight="1" x14ac:dyDescent="0.25"/>
    <row r="434" ht="20.100000000000001" customHeight="1" x14ac:dyDescent="0.25"/>
    <row r="435" ht="20.100000000000001" customHeight="1" x14ac:dyDescent="0.25"/>
    <row r="436" ht="20.100000000000001" customHeight="1" x14ac:dyDescent="0.25"/>
    <row r="437" ht="20.100000000000001" customHeight="1" x14ac:dyDescent="0.25"/>
    <row r="438" ht="20.100000000000001" customHeight="1" x14ac:dyDescent="0.25"/>
    <row r="439" ht="20.100000000000001" customHeight="1" x14ac:dyDescent="0.25"/>
    <row r="440" ht="20.100000000000001" customHeight="1" x14ac:dyDescent="0.25"/>
    <row r="441" ht="20.100000000000001" customHeight="1" x14ac:dyDescent="0.25"/>
    <row r="442" ht="20.100000000000001" customHeight="1" x14ac:dyDescent="0.25"/>
    <row r="443" ht="20.100000000000001" customHeight="1" x14ac:dyDescent="0.25"/>
    <row r="444" ht="20.100000000000001" customHeight="1" x14ac:dyDescent="0.25"/>
    <row r="445" ht="20.100000000000001" customHeight="1" x14ac:dyDescent="0.25"/>
    <row r="446" ht="20.100000000000001" customHeight="1" x14ac:dyDescent="0.25"/>
    <row r="447" ht="20.100000000000001" customHeight="1" x14ac:dyDescent="0.25"/>
    <row r="448" ht="20.100000000000001" customHeight="1" x14ac:dyDescent="0.25"/>
    <row r="449" ht="20.100000000000001" customHeight="1" x14ac:dyDescent="0.25"/>
    <row r="450" ht="20.100000000000001" customHeight="1" x14ac:dyDescent="0.25"/>
    <row r="451" ht="20.100000000000001" customHeight="1" x14ac:dyDescent="0.25"/>
    <row r="452" ht="20.100000000000001" customHeight="1" x14ac:dyDescent="0.25"/>
    <row r="453" ht="20.100000000000001" customHeight="1" x14ac:dyDescent="0.25"/>
    <row r="454" ht="20.100000000000001" customHeight="1" x14ac:dyDescent="0.25"/>
    <row r="455" ht="20.100000000000001" customHeight="1" x14ac:dyDescent="0.25"/>
    <row r="456" ht="20.100000000000001" customHeight="1" x14ac:dyDescent="0.25"/>
    <row r="457" ht="20.100000000000001" customHeight="1" x14ac:dyDescent="0.25"/>
    <row r="458" ht="20.100000000000001" customHeight="1" x14ac:dyDescent="0.25"/>
    <row r="459" ht="20.100000000000001" customHeight="1" x14ac:dyDescent="0.25"/>
    <row r="460" ht="20.100000000000001" customHeight="1" x14ac:dyDescent="0.25"/>
    <row r="461" ht="20.100000000000001" customHeight="1" x14ac:dyDescent="0.25"/>
    <row r="462" ht="20.100000000000001" customHeight="1" x14ac:dyDescent="0.25"/>
    <row r="463" ht="20.100000000000001" customHeight="1" x14ac:dyDescent="0.25"/>
    <row r="464" ht="20.100000000000001" customHeight="1" x14ac:dyDescent="0.25"/>
    <row r="465" ht="20.100000000000001" customHeight="1" x14ac:dyDescent="0.25"/>
    <row r="466" ht="20.100000000000001" customHeight="1" x14ac:dyDescent="0.25"/>
    <row r="467" ht="20.100000000000001" customHeight="1" x14ac:dyDescent="0.25"/>
    <row r="468" ht="20.100000000000001" customHeight="1" x14ac:dyDescent="0.25"/>
    <row r="469" ht="20.100000000000001" customHeight="1" x14ac:dyDescent="0.25"/>
    <row r="470" ht="20.100000000000001" customHeight="1" x14ac:dyDescent="0.25"/>
    <row r="471" ht="20.100000000000001" customHeight="1" x14ac:dyDescent="0.25"/>
    <row r="472" ht="20.100000000000001" customHeight="1" x14ac:dyDescent="0.25"/>
    <row r="473" ht="20.100000000000001" customHeight="1" x14ac:dyDescent="0.25"/>
    <row r="474" ht="20.100000000000001" customHeight="1" x14ac:dyDescent="0.25"/>
    <row r="475" ht="20.100000000000001" customHeight="1" x14ac:dyDescent="0.25"/>
    <row r="476" ht="20.100000000000001" customHeight="1" x14ac:dyDescent="0.25"/>
    <row r="477" ht="20.100000000000001" customHeight="1" x14ac:dyDescent="0.25"/>
    <row r="478" ht="20.100000000000001" customHeight="1" x14ac:dyDescent="0.25"/>
    <row r="479" ht="20.100000000000001" customHeight="1" x14ac:dyDescent="0.25"/>
    <row r="480" ht="20.100000000000001" customHeight="1" x14ac:dyDescent="0.25"/>
    <row r="481" ht="20.100000000000001" customHeight="1" x14ac:dyDescent="0.25"/>
    <row r="482" ht="20.100000000000001" customHeight="1" x14ac:dyDescent="0.25"/>
    <row r="483" ht="20.100000000000001" customHeight="1" x14ac:dyDescent="0.25"/>
    <row r="484" ht="20.100000000000001" customHeight="1" x14ac:dyDescent="0.25"/>
    <row r="485" ht="20.100000000000001" customHeight="1" x14ac:dyDescent="0.25"/>
    <row r="486" ht="20.100000000000001" customHeight="1" x14ac:dyDescent="0.25"/>
    <row r="487" ht="20.100000000000001" customHeight="1" x14ac:dyDescent="0.25"/>
    <row r="488" ht="20.100000000000001" customHeight="1" x14ac:dyDescent="0.25"/>
    <row r="489" ht="20.100000000000001" customHeight="1" x14ac:dyDescent="0.25"/>
    <row r="490" ht="20.100000000000001" customHeight="1" x14ac:dyDescent="0.25"/>
    <row r="491" ht="20.100000000000001" customHeight="1" x14ac:dyDescent="0.25"/>
    <row r="492" ht="20.100000000000001" customHeight="1" x14ac:dyDescent="0.25"/>
    <row r="493" ht="20.100000000000001" customHeight="1" x14ac:dyDescent="0.25"/>
    <row r="494" ht="20.100000000000001" customHeight="1" x14ac:dyDescent="0.25"/>
    <row r="495" ht="20.100000000000001" customHeight="1" x14ac:dyDescent="0.25"/>
    <row r="496" ht="20.100000000000001" customHeight="1" x14ac:dyDescent="0.25"/>
    <row r="497" ht="20.100000000000001" customHeight="1" x14ac:dyDescent="0.25"/>
    <row r="498" ht="20.100000000000001" customHeight="1" x14ac:dyDescent="0.25"/>
    <row r="499" ht="20.100000000000001" customHeight="1" x14ac:dyDescent="0.25"/>
    <row r="500" ht="20.100000000000001" customHeight="1" x14ac:dyDescent="0.25"/>
  </sheetData>
  <mergeCells count="3">
    <mergeCell ref="J2:K2"/>
    <mergeCell ref="M2:O2"/>
    <mergeCell ref="Q2:S2"/>
  </mergeCells>
  <conditionalFormatting sqref="R4:T22">
    <cfRule type="expression" dxfId="3" priority="1">
      <formula>R4="Yes"</formula>
    </cfRule>
  </conditionalFormatting>
  <dataValidations count="1">
    <dataValidation type="list" allowBlank="1" showInputMessage="1" showErrorMessage="1" sqref="H4:H22" xr:uid="{00000000-0002-0000-0500-000002000000}">
      <formula1>$AQ$16:$AQ$18</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V128"/>
  <sheetViews>
    <sheetView topLeftCell="E43" zoomScale="130" zoomScaleNormal="130" workbookViewId="0">
      <selection activeCell="I49" sqref="I49:I51"/>
    </sheetView>
  </sheetViews>
  <sheetFormatPr defaultRowHeight="15" x14ac:dyDescent="0.25"/>
  <cols>
    <col min="2" max="2" width="12.85546875" customWidth="1"/>
    <col min="3" max="3" width="14.42578125" customWidth="1"/>
    <col min="4" max="4" width="10.5703125" customWidth="1"/>
    <col min="5" max="5" width="12.85546875" customWidth="1"/>
    <col min="6" max="6" width="15.5703125" customWidth="1"/>
    <col min="7" max="7" width="20.140625" customWidth="1"/>
    <col min="8" max="8" width="23.140625" customWidth="1"/>
    <col min="9" max="9" width="16.85546875" customWidth="1"/>
    <col min="11" max="11" width="9.42578125" customWidth="1"/>
    <col min="13" max="13" width="16" customWidth="1"/>
    <col min="14" max="16" width="10.85546875" customWidth="1"/>
    <col min="17" max="18" width="16.140625" customWidth="1"/>
    <col min="19" max="19" width="13.42578125" customWidth="1"/>
    <col min="20" max="20" width="20.140625" customWidth="1"/>
    <col min="21" max="21" width="15.140625" customWidth="1"/>
    <col min="22" max="22" width="10.140625" customWidth="1"/>
  </cols>
  <sheetData>
    <row r="1" spans="1:22" ht="33" customHeight="1" x14ac:dyDescent="0.25">
      <c r="A1" s="70" t="s">
        <v>675</v>
      </c>
    </row>
    <row r="2" spans="1:22" ht="45.6" customHeight="1" thickBot="1" x14ac:dyDescent="0.3">
      <c r="A2" s="74" t="s">
        <v>362</v>
      </c>
      <c r="B2" s="74" t="s">
        <v>676</v>
      </c>
      <c r="C2" s="75" t="s">
        <v>364</v>
      </c>
      <c r="D2" s="76" t="s">
        <v>366</v>
      </c>
      <c r="E2" s="76" t="s">
        <v>0</v>
      </c>
      <c r="F2" s="76" t="s">
        <v>656</v>
      </c>
      <c r="G2" s="77" t="s">
        <v>677</v>
      </c>
      <c r="H2" s="77" t="s">
        <v>415</v>
      </c>
      <c r="I2" s="77" t="s">
        <v>665</v>
      </c>
      <c r="J2" s="76" t="s">
        <v>419</v>
      </c>
      <c r="K2" s="76" t="s">
        <v>420</v>
      </c>
      <c r="L2" s="76" t="s">
        <v>421</v>
      </c>
      <c r="M2" s="76" t="s">
        <v>678</v>
      </c>
      <c r="N2" s="76" t="s">
        <v>668</v>
      </c>
      <c r="O2" s="76" t="s">
        <v>679</v>
      </c>
      <c r="P2" s="76" t="s">
        <v>680</v>
      </c>
      <c r="Q2" s="77" t="s">
        <v>669</v>
      </c>
      <c r="R2" s="76" t="s">
        <v>681</v>
      </c>
      <c r="S2" s="76" t="s">
        <v>671</v>
      </c>
      <c r="T2" s="76" t="s">
        <v>682</v>
      </c>
      <c r="U2" s="76" t="s">
        <v>683</v>
      </c>
      <c r="V2" s="78" t="s">
        <v>396</v>
      </c>
    </row>
    <row r="3" spans="1:22" ht="15.75" thickTop="1" x14ac:dyDescent="0.25">
      <c r="G3" t="s">
        <v>2001</v>
      </c>
      <c r="H3" t="s">
        <v>1999</v>
      </c>
      <c r="I3" s="69">
        <v>46037</v>
      </c>
      <c r="J3" t="str">
        <f t="shared" ref="J3:J7" si="0">IF(I3="","",TEXT(I3,"mmmm"))</f>
        <v>January</v>
      </c>
      <c r="K3" t="str">
        <f t="shared" ref="K3:K7" si="1">IF(I3="","","Q"&amp;ROUNDUP(MONTH(I3)/3,0))</f>
        <v>Q1</v>
      </c>
      <c r="L3" t="str">
        <f t="shared" ref="L3:L7" si="2">IF(I3="","",TEXT(I3,"yyyy"))</f>
        <v>2026</v>
      </c>
      <c r="M3" t="s">
        <v>2113</v>
      </c>
      <c r="N3">
        <v>26</v>
      </c>
      <c r="O3" t="s">
        <v>1982</v>
      </c>
      <c r="P3" t="s">
        <v>5168</v>
      </c>
      <c r="Q3" t="s">
        <v>654</v>
      </c>
      <c r="S3">
        <v>265</v>
      </c>
      <c r="T3" t="str">
        <f t="shared" ref="T3:T7" si="3">IF(S3="","",IF(S3&gt;=210,"Normal","Malnourished"))</f>
        <v>Normal</v>
      </c>
      <c r="U3" t="s">
        <v>654</v>
      </c>
    </row>
    <row r="4" spans="1:22" x14ac:dyDescent="0.25">
      <c r="A4">
        <v>2</v>
      </c>
      <c r="G4" t="s">
        <v>2001</v>
      </c>
      <c r="H4" t="s">
        <v>1999</v>
      </c>
      <c r="I4" s="69">
        <v>46037</v>
      </c>
      <c r="J4" t="str">
        <f t="shared" si="0"/>
        <v>January</v>
      </c>
      <c r="K4" t="str">
        <f t="shared" si="1"/>
        <v>Q1</v>
      </c>
      <c r="L4" t="str">
        <f t="shared" si="2"/>
        <v>2026</v>
      </c>
      <c r="M4" t="s">
        <v>2124</v>
      </c>
      <c r="N4">
        <v>27</v>
      </c>
      <c r="O4" t="s">
        <v>1982</v>
      </c>
      <c r="P4" t="s">
        <v>5169</v>
      </c>
      <c r="S4">
        <v>215</v>
      </c>
      <c r="T4" t="str">
        <f t="shared" si="3"/>
        <v>Normal</v>
      </c>
    </row>
    <row r="5" spans="1:22" x14ac:dyDescent="0.25">
      <c r="A5">
        <v>3</v>
      </c>
      <c r="G5" t="s">
        <v>2001</v>
      </c>
      <c r="H5" t="s">
        <v>1999</v>
      </c>
      <c r="I5" s="69">
        <v>46037</v>
      </c>
      <c r="J5" t="str">
        <f t="shared" si="0"/>
        <v>January</v>
      </c>
      <c r="K5" t="str">
        <f t="shared" si="1"/>
        <v>Q1</v>
      </c>
      <c r="L5" t="str">
        <f t="shared" si="2"/>
        <v>2026</v>
      </c>
      <c r="M5" t="s">
        <v>2161</v>
      </c>
      <c r="N5">
        <v>26</v>
      </c>
      <c r="O5" t="s">
        <v>1982</v>
      </c>
      <c r="P5" t="s">
        <v>5170</v>
      </c>
      <c r="S5">
        <v>225</v>
      </c>
      <c r="T5" t="str">
        <f t="shared" si="3"/>
        <v>Normal</v>
      </c>
    </row>
    <row r="6" spans="1:22" x14ac:dyDescent="0.25">
      <c r="G6" t="s">
        <v>2001</v>
      </c>
      <c r="H6" t="s">
        <v>1999</v>
      </c>
      <c r="I6" s="69">
        <v>46037</v>
      </c>
      <c r="J6" t="str">
        <f t="shared" si="0"/>
        <v>January</v>
      </c>
      <c r="K6" t="str">
        <f t="shared" si="1"/>
        <v>Q1</v>
      </c>
      <c r="L6" t="str">
        <f t="shared" si="2"/>
        <v>2026</v>
      </c>
      <c r="M6" t="s">
        <v>5171</v>
      </c>
      <c r="N6">
        <v>28</v>
      </c>
      <c r="O6" t="s">
        <v>1982</v>
      </c>
      <c r="P6" t="s">
        <v>5172</v>
      </c>
      <c r="S6">
        <v>245</v>
      </c>
      <c r="T6" t="str">
        <f t="shared" si="3"/>
        <v>Normal</v>
      </c>
    </row>
    <row r="7" spans="1:22" x14ac:dyDescent="0.25">
      <c r="G7" t="s">
        <v>2001</v>
      </c>
      <c r="H7" t="s">
        <v>1999</v>
      </c>
      <c r="I7" s="69">
        <v>46037</v>
      </c>
      <c r="J7" t="str">
        <f t="shared" si="0"/>
        <v>January</v>
      </c>
      <c r="K7" t="str">
        <f t="shared" si="1"/>
        <v>Q1</v>
      </c>
      <c r="L7" t="str">
        <f t="shared" si="2"/>
        <v>2026</v>
      </c>
      <c r="M7" t="s">
        <v>2196</v>
      </c>
      <c r="N7">
        <v>26</v>
      </c>
      <c r="O7" t="s">
        <v>1981</v>
      </c>
      <c r="R7">
        <v>24</v>
      </c>
      <c r="S7">
        <v>285</v>
      </c>
      <c r="T7" t="str">
        <f t="shared" si="3"/>
        <v>Normal</v>
      </c>
    </row>
    <row r="8" spans="1:22" x14ac:dyDescent="0.25">
      <c r="G8" t="s">
        <v>5173</v>
      </c>
      <c r="H8" t="s">
        <v>2222</v>
      </c>
      <c r="I8" s="69">
        <v>46038</v>
      </c>
      <c r="J8" s="237" t="str">
        <f t="shared" ref="J8:J18" si="4">IF(I8="","",TEXT(I8,"mmmm"))</f>
        <v>January</v>
      </c>
      <c r="K8" s="237" t="str">
        <f t="shared" ref="K8:K18" si="5">IF(I8="","","Q"&amp;ROUNDUP(MONTH(I8)/3,0))</f>
        <v>Q1</v>
      </c>
      <c r="L8" s="237" t="str">
        <f t="shared" ref="L8:L18" si="6">IF(I8="","",TEXT(I8,"yyyy"))</f>
        <v>2026</v>
      </c>
      <c r="M8" t="s">
        <v>3189</v>
      </c>
      <c r="N8">
        <v>21</v>
      </c>
      <c r="O8" t="s">
        <v>1982</v>
      </c>
      <c r="P8" t="s">
        <v>5174</v>
      </c>
      <c r="S8">
        <v>235</v>
      </c>
      <c r="T8" s="237" t="str">
        <f t="shared" ref="T8:T18" si="7">IF(S8="","",IF(S8&gt;=210,"Normal","Malnourished"))</f>
        <v>Normal</v>
      </c>
    </row>
    <row r="9" spans="1:22" x14ac:dyDescent="0.25">
      <c r="G9" t="s">
        <v>5173</v>
      </c>
      <c r="H9" t="s">
        <v>2222</v>
      </c>
      <c r="I9" s="69">
        <v>46038</v>
      </c>
      <c r="J9" s="237" t="str">
        <f t="shared" si="4"/>
        <v>January</v>
      </c>
      <c r="K9" s="237" t="str">
        <f t="shared" si="5"/>
        <v>Q1</v>
      </c>
      <c r="L9" s="237" t="str">
        <f t="shared" si="6"/>
        <v>2026</v>
      </c>
      <c r="M9" t="s">
        <v>2394</v>
      </c>
      <c r="N9">
        <v>25</v>
      </c>
      <c r="O9" t="s">
        <v>1982</v>
      </c>
      <c r="P9" t="s">
        <v>5175</v>
      </c>
      <c r="S9">
        <v>285</v>
      </c>
      <c r="T9" s="237" t="str">
        <f t="shared" si="7"/>
        <v>Normal</v>
      </c>
    </row>
    <row r="10" spans="1:22" x14ac:dyDescent="0.25">
      <c r="G10" t="s">
        <v>5173</v>
      </c>
      <c r="H10" t="s">
        <v>2222</v>
      </c>
      <c r="I10" s="69">
        <v>46038</v>
      </c>
      <c r="J10" s="237" t="str">
        <f t="shared" si="4"/>
        <v>January</v>
      </c>
      <c r="K10" s="237" t="str">
        <f t="shared" si="5"/>
        <v>Q1</v>
      </c>
      <c r="L10" s="237" t="str">
        <f t="shared" si="6"/>
        <v>2026</v>
      </c>
      <c r="M10" t="s">
        <v>5176</v>
      </c>
      <c r="N10">
        <v>39</v>
      </c>
      <c r="O10" t="s">
        <v>1982</v>
      </c>
      <c r="P10" t="s">
        <v>5177</v>
      </c>
      <c r="S10">
        <v>265</v>
      </c>
      <c r="T10" s="237" t="str">
        <f t="shared" si="7"/>
        <v>Normal</v>
      </c>
    </row>
    <row r="11" spans="1:22" x14ac:dyDescent="0.25">
      <c r="G11" t="s">
        <v>5173</v>
      </c>
      <c r="H11" t="s">
        <v>2222</v>
      </c>
      <c r="I11" s="69">
        <v>46038</v>
      </c>
      <c r="J11" s="237" t="str">
        <f t="shared" si="4"/>
        <v>January</v>
      </c>
      <c r="K11" s="237" t="str">
        <f t="shared" si="5"/>
        <v>Q1</v>
      </c>
      <c r="L11" s="237" t="str">
        <f t="shared" si="6"/>
        <v>2026</v>
      </c>
      <c r="M11" t="s">
        <v>2229</v>
      </c>
      <c r="N11">
        <v>36</v>
      </c>
      <c r="O11" t="s">
        <v>1982</v>
      </c>
      <c r="P11" t="s">
        <v>5178</v>
      </c>
      <c r="S11">
        <v>295</v>
      </c>
      <c r="T11" s="237" t="str">
        <f t="shared" si="7"/>
        <v>Normal</v>
      </c>
    </row>
    <row r="12" spans="1:22" x14ac:dyDescent="0.25">
      <c r="G12" t="s">
        <v>2424</v>
      </c>
      <c r="H12" t="s">
        <v>2222</v>
      </c>
      <c r="I12" s="69">
        <v>46041</v>
      </c>
      <c r="J12" s="237" t="str">
        <f t="shared" si="4"/>
        <v>January</v>
      </c>
      <c r="K12" s="237" t="str">
        <f t="shared" si="5"/>
        <v>Q1</v>
      </c>
      <c r="L12" s="237" t="str">
        <f t="shared" si="6"/>
        <v>2026</v>
      </c>
      <c r="M12" t="s">
        <v>3459</v>
      </c>
      <c r="N12">
        <v>33</v>
      </c>
      <c r="O12" t="s">
        <v>1981</v>
      </c>
      <c r="R12">
        <v>8</v>
      </c>
      <c r="S12">
        <v>275</v>
      </c>
      <c r="T12" s="237" t="str">
        <f t="shared" si="7"/>
        <v>Normal</v>
      </c>
    </row>
    <row r="13" spans="1:22" x14ac:dyDescent="0.25">
      <c r="G13" t="s">
        <v>2424</v>
      </c>
      <c r="H13" t="s">
        <v>2222</v>
      </c>
      <c r="I13" s="69">
        <v>46041</v>
      </c>
      <c r="J13" s="237" t="str">
        <f t="shared" si="4"/>
        <v>January</v>
      </c>
      <c r="K13" s="237" t="str">
        <f t="shared" si="5"/>
        <v>Q1</v>
      </c>
      <c r="L13" s="237" t="str">
        <f t="shared" si="6"/>
        <v>2026</v>
      </c>
      <c r="M13" t="s">
        <v>5179</v>
      </c>
      <c r="N13">
        <v>19</v>
      </c>
      <c r="O13" t="s">
        <v>1981</v>
      </c>
      <c r="S13">
        <v>265</v>
      </c>
      <c r="T13" s="237" t="str">
        <f t="shared" si="7"/>
        <v>Normal</v>
      </c>
    </row>
    <row r="14" spans="1:22" x14ac:dyDescent="0.25">
      <c r="G14" t="s">
        <v>2424</v>
      </c>
      <c r="H14" t="s">
        <v>2222</v>
      </c>
      <c r="I14" s="69">
        <v>46041</v>
      </c>
      <c r="J14" s="237" t="str">
        <f t="shared" si="4"/>
        <v>January</v>
      </c>
      <c r="K14" s="237" t="str">
        <f t="shared" si="5"/>
        <v>Q1</v>
      </c>
      <c r="L14" s="237" t="str">
        <f t="shared" si="6"/>
        <v>2026</v>
      </c>
      <c r="M14" t="s">
        <v>3591</v>
      </c>
      <c r="N14">
        <v>29</v>
      </c>
      <c r="O14" t="s">
        <v>1981</v>
      </c>
      <c r="S14">
        <v>272</v>
      </c>
      <c r="T14" s="237" t="str">
        <f t="shared" si="7"/>
        <v>Normal</v>
      </c>
    </row>
    <row r="15" spans="1:22" x14ac:dyDescent="0.25">
      <c r="G15" t="s">
        <v>2424</v>
      </c>
      <c r="H15" t="s">
        <v>2222</v>
      </c>
      <c r="I15" s="69">
        <v>46041</v>
      </c>
      <c r="J15" s="237" t="str">
        <f t="shared" si="4"/>
        <v>January</v>
      </c>
      <c r="K15" s="237" t="str">
        <f t="shared" si="5"/>
        <v>Q1</v>
      </c>
      <c r="L15" s="237" t="str">
        <f t="shared" si="6"/>
        <v>2026</v>
      </c>
      <c r="M15" t="s">
        <v>3603</v>
      </c>
      <c r="N15">
        <v>36</v>
      </c>
      <c r="O15" t="s">
        <v>1981</v>
      </c>
      <c r="T15" s="237" t="str">
        <f t="shared" si="7"/>
        <v/>
      </c>
    </row>
    <row r="16" spans="1:22" x14ac:dyDescent="0.25">
      <c r="G16" t="s">
        <v>2298</v>
      </c>
      <c r="H16" t="s">
        <v>2297</v>
      </c>
      <c r="I16" s="69">
        <v>46042</v>
      </c>
      <c r="J16" s="237" t="str">
        <f t="shared" si="4"/>
        <v>January</v>
      </c>
      <c r="K16" s="237" t="str">
        <f t="shared" si="5"/>
        <v>Q1</v>
      </c>
      <c r="L16" s="237" t="str">
        <f t="shared" si="6"/>
        <v>2026</v>
      </c>
      <c r="M16" t="s">
        <v>3775</v>
      </c>
      <c r="N16">
        <v>29</v>
      </c>
      <c r="O16" t="s">
        <v>1982</v>
      </c>
      <c r="P16" t="s">
        <v>5140</v>
      </c>
      <c r="S16">
        <v>275</v>
      </c>
      <c r="T16" s="237" t="str">
        <f t="shared" si="7"/>
        <v>Normal</v>
      </c>
    </row>
    <row r="17" spans="7:20" x14ac:dyDescent="0.25">
      <c r="G17" t="s">
        <v>2298</v>
      </c>
      <c r="H17" t="s">
        <v>2297</v>
      </c>
      <c r="I17" s="69">
        <v>46042</v>
      </c>
      <c r="J17" s="237" t="str">
        <f t="shared" si="4"/>
        <v>January</v>
      </c>
      <c r="K17" s="237" t="str">
        <f t="shared" si="5"/>
        <v>Q1</v>
      </c>
      <c r="L17" s="237" t="str">
        <f t="shared" si="6"/>
        <v>2026</v>
      </c>
      <c r="M17" t="s">
        <v>3799</v>
      </c>
      <c r="N17">
        <v>33</v>
      </c>
      <c r="O17" t="s">
        <v>1981</v>
      </c>
      <c r="R17">
        <v>32</v>
      </c>
      <c r="T17" s="237" t="str">
        <f t="shared" si="7"/>
        <v/>
      </c>
    </row>
    <row r="18" spans="7:20" x14ac:dyDescent="0.25">
      <c r="G18" t="s">
        <v>2298</v>
      </c>
      <c r="H18" t="s">
        <v>2297</v>
      </c>
      <c r="I18" s="69">
        <v>46042</v>
      </c>
      <c r="J18" s="237" t="str">
        <f t="shared" si="4"/>
        <v>January</v>
      </c>
      <c r="K18" s="237" t="str">
        <f t="shared" si="5"/>
        <v>Q1</v>
      </c>
      <c r="L18" s="237" t="str">
        <f t="shared" si="6"/>
        <v>2026</v>
      </c>
      <c r="M18" t="s">
        <v>3928</v>
      </c>
      <c r="N18">
        <v>22</v>
      </c>
      <c r="O18" t="s">
        <v>1981</v>
      </c>
      <c r="S18">
        <v>280</v>
      </c>
      <c r="T18" s="237" t="str">
        <f t="shared" si="7"/>
        <v>Normal</v>
      </c>
    </row>
    <row r="19" spans="7:20" x14ac:dyDescent="0.25">
      <c r="G19" t="s">
        <v>2298</v>
      </c>
      <c r="H19" t="s">
        <v>2297</v>
      </c>
      <c r="I19" s="69">
        <v>46042</v>
      </c>
      <c r="J19" s="237" t="str">
        <f t="shared" ref="J19:J40" si="8">IF(I19="","",TEXT(I19,"mmmm"))</f>
        <v>January</v>
      </c>
      <c r="K19" s="237" t="str">
        <f t="shared" ref="K19:K40" si="9">IF(I19="","","Q"&amp;ROUNDUP(MONTH(I19)/3,0))</f>
        <v>Q1</v>
      </c>
      <c r="L19" s="237" t="str">
        <f t="shared" ref="L19:L40" si="10">IF(I19="","",TEXT(I19,"yyyy"))</f>
        <v>2026</v>
      </c>
      <c r="M19" t="s">
        <v>3930</v>
      </c>
      <c r="N19">
        <v>32</v>
      </c>
      <c r="O19" t="s">
        <v>1981</v>
      </c>
      <c r="S19">
        <v>275</v>
      </c>
      <c r="T19" s="237" t="str">
        <f t="shared" ref="T19:T40" si="11">IF(S19="","",IF(S19&gt;=210,"Normal","Malnourished"))</f>
        <v>Normal</v>
      </c>
    </row>
    <row r="20" spans="7:20" x14ac:dyDescent="0.25">
      <c r="G20" t="s">
        <v>2298</v>
      </c>
      <c r="H20" t="s">
        <v>2297</v>
      </c>
      <c r="I20" s="69">
        <v>46042</v>
      </c>
      <c r="J20" s="237" t="str">
        <f t="shared" si="8"/>
        <v>January</v>
      </c>
      <c r="K20" s="237" t="str">
        <f t="shared" si="9"/>
        <v>Q1</v>
      </c>
      <c r="L20" s="237" t="str">
        <f t="shared" si="10"/>
        <v>2026</v>
      </c>
      <c r="M20" t="s">
        <v>3931</v>
      </c>
      <c r="N20">
        <v>22</v>
      </c>
      <c r="O20" t="s">
        <v>1981</v>
      </c>
      <c r="R20">
        <v>35</v>
      </c>
      <c r="S20">
        <v>295</v>
      </c>
      <c r="T20" s="237" t="str">
        <f t="shared" si="11"/>
        <v>Normal</v>
      </c>
    </row>
    <row r="21" spans="7:20" x14ac:dyDescent="0.25">
      <c r="G21" t="s">
        <v>2298</v>
      </c>
      <c r="H21" t="s">
        <v>2297</v>
      </c>
      <c r="I21" s="69">
        <v>46042</v>
      </c>
      <c r="J21" s="237" t="str">
        <f t="shared" si="8"/>
        <v>January</v>
      </c>
      <c r="K21" s="237" t="str">
        <f t="shared" si="9"/>
        <v>Q1</v>
      </c>
      <c r="L21" s="237" t="str">
        <f t="shared" si="10"/>
        <v>2026</v>
      </c>
      <c r="M21" t="s">
        <v>3932</v>
      </c>
      <c r="N21">
        <v>30</v>
      </c>
      <c r="O21" t="s">
        <v>1981</v>
      </c>
      <c r="R21">
        <v>21</v>
      </c>
      <c r="S21">
        <v>215</v>
      </c>
      <c r="T21" s="237" t="str">
        <f t="shared" si="11"/>
        <v>Normal</v>
      </c>
    </row>
    <row r="22" spans="7:20" x14ac:dyDescent="0.25">
      <c r="G22" t="s">
        <v>2298</v>
      </c>
      <c r="H22" t="s">
        <v>2297</v>
      </c>
      <c r="I22" s="69">
        <v>46042</v>
      </c>
      <c r="J22" s="237" t="str">
        <f t="shared" si="8"/>
        <v>January</v>
      </c>
      <c r="K22" s="237" t="str">
        <f t="shared" si="9"/>
        <v>Q1</v>
      </c>
      <c r="L22" s="237" t="str">
        <f t="shared" si="10"/>
        <v>2026</v>
      </c>
      <c r="M22" t="s">
        <v>3950</v>
      </c>
      <c r="N22">
        <v>20</v>
      </c>
      <c r="O22" t="s">
        <v>1982</v>
      </c>
      <c r="P22" t="s">
        <v>5180</v>
      </c>
      <c r="S22">
        <v>260</v>
      </c>
      <c r="T22" s="237" t="str">
        <f t="shared" si="11"/>
        <v>Normal</v>
      </c>
    </row>
    <row r="23" spans="7:20" x14ac:dyDescent="0.25">
      <c r="G23" t="s">
        <v>2298</v>
      </c>
      <c r="H23" t="s">
        <v>2297</v>
      </c>
      <c r="I23" s="69">
        <v>46042</v>
      </c>
      <c r="J23" s="237" t="str">
        <f t="shared" si="8"/>
        <v>January</v>
      </c>
      <c r="K23" s="237" t="str">
        <f t="shared" si="9"/>
        <v>Q1</v>
      </c>
      <c r="L23" s="237" t="str">
        <f t="shared" si="10"/>
        <v>2026</v>
      </c>
      <c r="M23" t="s">
        <v>3957</v>
      </c>
      <c r="N23">
        <v>25</v>
      </c>
      <c r="O23" t="s">
        <v>1981</v>
      </c>
      <c r="R23">
        <v>20</v>
      </c>
      <c r="S23">
        <v>300</v>
      </c>
      <c r="T23" s="237" t="str">
        <f t="shared" si="11"/>
        <v>Normal</v>
      </c>
    </row>
    <row r="24" spans="7:20" x14ac:dyDescent="0.25">
      <c r="G24" t="s">
        <v>2298</v>
      </c>
      <c r="H24" t="s">
        <v>2297</v>
      </c>
      <c r="I24" s="69">
        <v>46042</v>
      </c>
      <c r="J24" s="237" t="str">
        <f t="shared" si="8"/>
        <v>January</v>
      </c>
      <c r="K24" s="237" t="str">
        <f t="shared" si="9"/>
        <v>Q1</v>
      </c>
      <c r="L24" s="237" t="str">
        <f t="shared" si="10"/>
        <v>2026</v>
      </c>
      <c r="M24" t="s">
        <v>3979</v>
      </c>
      <c r="N24">
        <v>33</v>
      </c>
      <c r="O24" t="s">
        <v>1982</v>
      </c>
      <c r="P24" t="s">
        <v>5178</v>
      </c>
      <c r="S24">
        <v>280</v>
      </c>
      <c r="T24" s="237" t="str">
        <f t="shared" si="11"/>
        <v>Normal</v>
      </c>
    </row>
    <row r="25" spans="7:20" x14ac:dyDescent="0.25">
      <c r="G25" t="s">
        <v>2298</v>
      </c>
      <c r="H25" t="s">
        <v>2297</v>
      </c>
      <c r="I25" s="69">
        <v>46042</v>
      </c>
      <c r="J25" s="237" t="str">
        <f t="shared" si="8"/>
        <v>January</v>
      </c>
      <c r="K25" s="237" t="str">
        <f t="shared" si="9"/>
        <v>Q1</v>
      </c>
      <c r="L25" s="237" t="str">
        <f t="shared" si="10"/>
        <v>2026</v>
      </c>
      <c r="M25" t="s">
        <v>4002</v>
      </c>
      <c r="N25">
        <v>27</v>
      </c>
      <c r="O25" t="s">
        <v>1981</v>
      </c>
      <c r="R25">
        <v>28</v>
      </c>
      <c r="S25">
        <v>325</v>
      </c>
      <c r="T25" s="237" t="str">
        <f t="shared" si="11"/>
        <v>Normal</v>
      </c>
    </row>
    <row r="26" spans="7:20" x14ac:dyDescent="0.25">
      <c r="G26" t="s">
        <v>2298</v>
      </c>
      <c r="H26" t="s">
        <v>2297</v>
      </c>
      <c r="I26" s="69">
        <v>46042</v>
      </c>
      <c r="J26" s="237" t="str">
        <f t="shared" si="8"/>
        <v>January</v>
      </c>
      <c r="K26" s="237" t="str">
        <f t="shared" si="9"/>
        <v>Q1</v>
      </c>
      <c r="L26" s="237" t="str">
        <f t="shared" si="10"/>
        <v>2026</v>
      </c>
      <c r="M26" t="s">
        <v>5181</v>
      </c>
      <c r="N26">
        <v>27</v>
      </c>
      <c r="O26" t="s">
        <v>1981</v>
      </c>
      <c r="R26">
        <v>24</v>
      </c>
      <c r="S26">
        <v>246</v>
      </c>
      <c r="T26" s="237" t="str">
        <f t="shared" si="11"/>
        <v>Normal</v>
      </c>
    </row>
    <row r="27" spans="7:20" x14ac:dyDescent="0.25">
      <c r="G27" t="s">
        <v>2298</v>
      </c>
      <c r="H27" t="s">
        <v>2297</v>
      </c>
      <c r="I27" s="69">
        <v>46042</v>
      </c>
      <c r="J27" s="237" t="str">
        <f t="shared" si="8"/>
        <v>January</v>
      </c>
      <c r="K27" s="237" t="str">
        <f t="shared" si="9"/>
        <v>Q1</v>
      </c>
      <c r="L27" s="237" t="str">
        <f t="shared" si="10"/>
        <v>2026</v>
      </c>
      <c r="M27" t="s">
        <v>4010</v>
      </c>
      <c r="N27">
        <v>32</v>
      </c>
      <c r="O27" t="s">
        <v>1981</v>
      </c>
      <c r="R27">
        <v>15</v>
      </c>
      <c r="S27">
        <v>335</v>
      </c>
      <c r="T27" s="237" t="str">
        <f t="shared" si="11"/>
        <v>Normal</v>
      </c>
    </row>
    <row r="28" spans="7:20" x14ac:dyDescent="0.25">
      <c r="G28" t="s">
        <v>2298</v>
      </c>
      <c r="H28" t="s">
        <v>2297</v>
      </c>
      <c r="I28" s="69">
        <v>46042</v>
      </c>
      <c r="J28" s="237" t="str">
        <f t="shared" si="8"/>
        <v>January</v>
      </c>
      <c r="K28" s="237" t="str">
        <f t="shared" si="9"/>
        <v>Q1</v>
      </c>
      <c r="L28" s="237" t="str">
        <f t="shared" si="10"/>
        <v>2026</v>
      </c>
      <c r="M28" t="s">
        <v>5182</v>
      </c>
      <c r="N28">
        <v>35</v>
      </c>
      <c r="O28" t="s">
        <v>1982</v>
      </c>
      <c r="P28" t="s">
        <v>5183</v>
      </c>
      <c r="T28" s="237" t="str">
        <f t="shared" si="11"/>
        <v/>
      </c>
    </row>
    <row r="29" spans="7:20" x14ac:dyDescent="0.25">
      <c r="G29" t="s">
        <v>5184</v>
      </c>
      <c r="H29" t="s">
        <v>2478</v>
      </c>
      <c r="I29" s="69">
        <v>46064</v>
      </c>
      <c r="J29" s="237" t="str">
        <f t="shared" si="8"/>
        <v>February</v>
      </c>
      <c r="K29" s="237" t="str">
        <f t="shared" si="9"/>
        <v>Q1</v>
      </c>
      <c r="L29" s="237" t="str">
        <f t="shared" si="10"/>
        <v>2026</v>
      </c>
      <c r="M29" t="s">
        <v>5130</v>
      </c>
      <c r="N29">
        <v>28</v>
      </c>
      <c r="O29" t="s">
        <v>1981</v>
      </c>
      <c r="R29">
        <v>28</v>
      </c>
      <c r="S29">
        <v>280</v>
      </c>
      <c r="T29" s="237" t="str">
        <f t="shared" si="11"/>
        <v>Normal</v>
      </c>
    </row>
    <row r="30" spans="7:20" x14ac:dyDescent="0.25">
      <c r="G30" t="s">
        <v>5184</v>
      </c>
      <c r="H30" t="s">
        <v>2478</v>
      </c>
      <c r="I30" s="69">
        <v>46064</v>
      </c>
      <c r="J30" s="237" t="str">
        <f t="shared" si="8"/>
        <v>February</v>
      </c>
      <c r="K30" s="237" t="str">
        <f t="shared" si="9"/>
        <v>Q1</v>
      </c>
      <c r="L30" s="237" t="str">
        <f t="shared" si="10"/>
        <v>2026</v>
      </c>
      <c r="M30" t="s">
        <v>5004</v>
      </c>
      <c r="N30">
        <v>27</v>
      </c>
      <c r="O30" t="s">
        <v>1982</v>
      </c>
      <c r="P30" t="s">
        <v>5185</v>
      </c>
      <c r="S30">
        <v>250</v>
      </c>
      <c r="T30" s="237" t="str">
        <f t="shared" si="11"/>
        <v>Normal</v>
      </c>
    </row>
    <row r="31" spans="7:20" x14ac:dyDescent="0.25">
      <c r="G31" t="s">
        <v>5184</v>
      </c>
      <c r="H31" t="s">
        <v>2478</v>
      </c>
      <c r="I31" s="69">
        <v>46064</v>
      </c>
      <c r="J31" s="237" t="str">
        <f t="shared" si="8"/>
        <v>February</v>
      </c>
      <c r="K31" s="237" t="str">
        <f t="shared" si="9"/>
        <v>Q1</v>
      </c>
      <c r="L31" s="237" t="str">
        <f t="shared" si="10"/>
        <v>2026</v>
      </c>
      <c r="M31" t="s">
        <v>5007</v>
      </c>
      <c r="N31">
        <v>27</v>
      </c>
      <c r="O31" t="s">
        <v>1982</v>
      </c>
      <c r="P31" t="s">
        <v>5186</v>
      </c>
      <c r="S31">
        <v>310</v>
      </c>
      <c r="T31" s="237" t="str">
        <f t="shared" si="11"/>
        <v>Normal</v>
      </c>
    </row>
    <row r="32" spans="7:20" x14ac:dyDescent="0.25">
      <c r="G32" t="s">
        <v>5184</v>
      </c>
      <c r="H32" t="s">
        <v>2478</v>
      </c>
      <c r="I32" s="69">
        <v>46064</v>
      </c>
      <c r="J32" s="237" t="str">
        <f t="shared" si="8"/>
        <v>February</v>
      </c>
      <c r="K32" s="237" t="str">
        <f t="shared" si="9"/>
        <v>Q1</v>
      </c>
      <c r="L32" s="237" t="str">
        <f t="shared" si="10"/>
        <v>2026</v>
      </c>
      <c r="M32" t="s">
        <v>5008</v>
      </c>
      <c r="N32">
        <v>21</v>
      </c>
      <c r="O32" t="s">
        <v>1982</v>
      </c>
      <c r="P32" t="s">
        <v>5187</v>
      </c>
      <c r="S32">
        <v>210</v>
      </c>
      <c r="T32" s="237" t="str">
        <f t="shared" si="11"/>
        <v>Normal</v>
      </c>
    </row>
    <row r="33" spans="7:20" x14ac:dyDescent="0.25">
      <c r="G33" t="s">
        <v>5184</v>
      </c>
      <c r="H33" t="s">
        <v>2478</v>
      </c>
      <c r="I33" s="69">
        <v>46064</v>
      </c>
      <c r="J33" s="237" t="str">
        <f t="shared" si="8"/>
        <v>February</v>
      </c>
      <c r="K33" s="237" t="str">
        <f t="shared" si="9"/>
        <v>Q1</v>
      </c>
      <c r="L33" s="237" t="str">
        <f t="shared" si="10"/>
        <v>2026</v>
      </c>
      <c r="M33" t="s">
        <v>4845</v>
      </c>
      <c r="N33">
        <v>28</v>
      </c>
      <c r="O33" t="s">
        <v>1982</v>
      </c>
      <c r="P33" t="s">
        <v>5186</v>
      </c>
      <c r="S33">
        <v>290</v>
      </c>
      <c r="T33" s="237" t="str">
        <f t="shared" si="11"/>
        <v>Normal</v>
      </c>
    </row>
    <row r="34" spans="7:20" x14ac:dyDescent="0.25">
      <c r="G34" t="s">
        <v>5184</v>
      </c>
      <c r="H34" t="s">
        <v>2478</v>
      </c>
      <c r="I34" s="69">
        <v>46064</v>
      </c>
      <c r="J34" s="237" t="str">
        <f t="shared" si="8"/>
        <v>February</v>
      </c>
      <c r="K34" s="237" t="str">
        <f t="shared" si="9"/>
        <v>Q1</v>
      </c>
      <c r="L34" s="237" t="str">
        <f t="shared" si="10"/>
        <v>2026</v>
      </c>
      <c r="M34" t="s">
        <v>5131</v>
      </c>
      <c r="N34">
        <v>42</v>
      </c>
      <c r="O34" t="s">
        <v>1982</v>
      </c>
      <c r="P34" t="s">
        <v>5132</v>
      </c>
      <c r="S34">
        <v>310</v>
      </c>
      <c r="T34" s="237" t="str">
        <f t="shared" si="11"/>
        <v>Normal</v>
      </c>
    </row>
    <row r="35" spans="7:20" x14ac:dyDescent="0.25">
      <c r="G35" t="s">
        <v>5184</v>
      </c>
      <c r="H35" t="s">
        <v>2478</v>
      </c>
      <c r="I35" s="69">
        <v>46064</v>
      </c>
      <c r="J35" s="237" t="str">
        <f t="shared" si="8"/>
        <v>February</v>
      </c>
      <c r="K35" s="237" t="str">
        <f t="shared" si="9"/>
        <v>Q1</v>
      </c>
      <c r="L35" s="237" t="str">
        <f t="shared" si="10"/>
        <v>2026</v>
      </c>
      <c r="M35" t="s">
        <v>4235</v>
      </c>
      <c r="N35">
        <v>24</v>
      </c>
      <c r="O35" t="s">
        <v>1982</v>
      </c>
      <c r="P35" t="s">
        <v>5188</v>
      </c>
      <c r="S35">
        <v>220</v>
      </c>
      <c r="T35" s="237" t="str">
        <f t="shared" si="11"/>
        <v>Normal</v>
      </c>
    </row>
    <row r="36" spans="7:20" x14ac:dyDescent="0.25">
      <c r="G36" t="s">
        <v>4392</v>
      </c>
      <c r="H36" t="s">
        <v>2222</v>
      </c>
      <c r="I36" s="69">
        <v>46069</v>
      </c>
      <c r="J36" s="237" t="str">
        <f t="shared" si="8"/>
        <v>February</v>
      </c>
      <c r="K36" s="237" t="str">
        <f t="shared" si="9"/>
        <v>Q1</v>
      </c>
      <c r="L36" s="237" t="str">
        <f t="shared" si="10"/>
        <v>2026</v>
      </c>
      <c r="M36" t="s">
        <v>5098</v>
      </c>
      <c r="N36">
        <v>29</v>
      </c>
      <c r="O36" t="s">
        <v>1982</v>
      </c>
      <c r="P36" t="s">
        <v>5136</v>
      </c>
      <c r="S36">
        <v>220</v>
      </c>
      <c r="T36" s="237" t="str">
        <f t="shared" si="11"/>
        <v>Normal</v>
      </c>
    </row>
    <row r="37" spans="7:20" x14ac:dyDescent="0.25">
      <c r="G37" t="s">
        <v>4392</v>
      </c>
      <c r="H37" t="s">
        <v>2222</v>
      </c>
      <c r="I37" s="69">
        <v>46069</v>
      </c>
      <c r="J37" s="237" t="str">
        <f t="shared" si="8"/>
        <v>February</v>
      </c>
      <c r="K37" s="237" t="str">
        <f t="shared" si="9"/>
        <v>Q1</v>
      </c>
      <c r="L37" s="237" t="str">
        <f t="shared" si="10"/>
        <v>2026</v>
      </c>
      <c r="M37" t="s">
        <v>4263</v>
      </c>
      <c r="N37">
        <v>31</v>
      </c>
      <c r="O37" t="s">
        <v>1982</v>
      </c>
      <c r="P37" t="s">
        <v>5135</v>
      </c>
      <c r="S37">
        <v>300</v>
      </c>
      <c r="T37" s="237" t="str">
        <f t="shared" si="11"/>
        <v>Normal</v>
      </c>
    </row>
    <row r="38" spans="7:20" x14ac:dyDescent="0.25">
      <c r="G38" t="s">
        <v>4392</v>
      </c>
      <c r="H38" t="s">
        <v>2222</v>
      </c>
      <c r="I38" s="69">
        <v>46069</v>
      </c>
      <c r="J38" s="237" t="str">
        <f t="shared" si="8"/>
        <v>February</v>
      </c>
      <c r="K38" s="237" t="str">
        <f t="shared" si="9"/>
        <v>Q1</v>
      </c>
      <c r="L38" s="237" t="str">
        <f t="shared" si="10"/>
        <v>2026</v>
      </c>
      <c r="M38" t="s">
        <v>2196</v>
      </c>
      <c r="N38">
        <v>33</v>
      </c>
      <c r="O38" t="s">
        <v>1982</v>
      </c>
      <c r="P38" t="s">
        <v>5137</v>
      </c>
      <c r="S38">
        <v>315</v>
      </c>
      <c r="T38" s="237" t="str">
        <f t="shared" si="11"/>
        <v>Normal</v>
      </c>
    </row>
    <row r="39" spans="7:20" x14ac:dyDescent="0.25">
      <c r="G39" t="s">
        <v>4392</v>
      </c>
      <c r="H39" t="s">
        <v>2222</v>
      </c>
      <c r="I39" s="69">
        <v>46069</v>
      </c>
      <c r="J39" s="237" t="str">
        <f t="shared" si="8"/>
        <v>February</v>
      </c>
      <c r="K39" s="237" t="str">
        <f t="shared" si="9"/>
        <v>Q1</v>
      </c>
      <c r="L39" s="237" t="str">
        <f t="shared" si="10"/>
        <v>2026</v>
      </c>
      <c r="M39" t="s">
        <v>4261</v>
      </c>
      <c r="N39">
        <v>29</v>
      </c>
      <c r="O39" t="s">
        <v>1981</v>
      </c>
      <c r="R39">
        <v>24</v>
      </c>
      <c r="S39">
        <v>260</v>
      </c>
      <c r="T39" s="237" t="str">
        <f t="shared" si="11"/>
        <v>Normal</v>
      </c>
    </row>
    <row r="40" spans="7:20" x14ac:dyDescent="0.25">
      <c r="G40" t="s">
        <v>4392</v>
      </c>
      <c r="H40" t="s">
        <v>2222</v>
      </c>
      <c r="I40" s="69">
        <v>46069</v>
      </c>
      <c r="J40" s="237" t="str">
        <f t="shared" si="8"/>
        <v>February</v>
      </c>
      <c r="K40" s="237" t="str">
        <f t="shared" si="9"/>
        <v>Q1</v>
      </c>
      <c r="L40" s="237" t="str">
        <f t="shared" si="10"/>
        <v>2026</v>
      </c>
      <c r="M40" t="s">
        <v>4038</v>
      </c>
      <c r="N40">
        <v>28</v>
      </c>
      <c r="O40" t="s">
        <v>1982</v>
      </c>
      <c r="P40" t="s">
        <v>5139</v>
      </c>
      <c r="S40">
        <v>255</v>
      </c>
      <c r="T40" s="237" t="str">
        <f t="shared" si="11"/>
        <v>Normal</v>
      </c>
    </row>
    <row r="41" spans="7:20" x14ac:dyDescent="0.25">
      <c r="G41" t="s">
        <v>4392</v>
      </c>
      <c r="H41" t="s">
        <v>2222</v>
      </c>
      <c r="I41" s="69">
        <v>46069</v>
      </c>
      <c r="J41" s="237" t="str">
        <f t="shared" ref="J41:J52" si="12">IF(I41="","",TEXT(I41,"mmmm"))</f>
        <v>February</v>
      </c>
      <c r="K41" s="237" t="str">
        <f t="shared" ref="K41:K52" si="13">IF(I41="","","Q"&amp;ROUNDUP(MONTH(I41)/3,0))</f>
        <v>Q1</v>
      </c>
      <c r="L41" s="237" t="str">
        <f t="shared" ref="L41:L52" si="14">IF(I41="","",TEXT(I41,"yyyy"))</f>
        <v>2026</v>
      </c>
      <c r="M41" t="s">
        <v>5099</v>
      </c>
      <c r="N41">
        <v>25</v>
      </c>
      <c r="O41" t="s">
        <v>1982</v>
      </c>
      <c r="P41" t="s">
        <v>5140</v>
      </c>
      <c r="S41">
        <v>200</v>
      </c>
      <c r="T41" s="237" t="str">
        <f t="shared" ref="T41:T52" si="15">IF(S41="","",IF(S41&gt;=210,"Normal","Malnourished"))</f>
        <v>Malnourished</v>
      </c>
    </row>
    <row r="42" spans="7:20" x14ac:dyDescent="0.25">
      <c r="G42" t="s">
        <v>4392</v>
      </c>
      <c r="H42" t="s">
        <v>2222</v>
      </c>
      <c r="I42" s="69">
        <v>46069</v>
      </c>
      <c r="J42" s="237" t="str">
        <f t="shared" si="12"/>
        <v>February</v>
      </c>
      <c r="K42" s="237" t="str">
        <f t="shared" si="13"/>
        <v>Q1</v>
      </c>
      <c r="L42" s="237" t="str">
        <f t="shared" si="14"/>
        <v>2026</v>
      </c>
      <c r="M42" t="s">
        <v>5100</v>
      </c>
      <c r="N42">
        <v>32</v>
      </c>
      <c r="O42" t="s">
        <v>1982</v>
      </c>
      <c r="P42" t="s">
        <v>5141</v>
      </c>
      <c r="S42">
        <v>195</v>
      </c>
      <c r="T42" s="237" t="str">
        <f t="shared" si="15"/>
        <v>Malnourished</v>
      </c>
    </row>
    <row r="43" spans="7:20" x14ac:dyDescent="0.25">
      <c r="G43" t="s">
        <v>4392</v>
      </c>
      <c r="H43" t="s">
        <v>2222</v>
      </c>
      <c r="I43" s="69">
        <v>46069</v>
      </c>
      <c r="J43" s="237" t="str">
        <f t="shared" si="12"/>
        <v>February</v>
      </c>
      <c r="K43" s="237" t="str">
        <f t="shared" si="13"/>
        <v>Q1</v>
      </c>
      <c r="L43" s="237" t="str">
        <f t="shared" si="14"/>
        <v>2026</v>
      </c>
      <c r="M43" t="s">
        <v>4753</v>
      </c>
      <c r="N43">
        <v>34</v>
      </c>
      <c r="O43" t="s">
        <v>1982</v>
      </c>
      <c r="P43" t="s">
        <v>5185</v>
      </c>
      <c r="S43">
        <v>240</v>
      </c>
      <c r="T43" s="237" t="str">
        <f t="shared" si="15"/>
        <v>Normal</v>
      </c>
    </row>
    <row r="44" spans="7:20" x14ac:dyDescent="0.25">
      <c r="G44" t="s">
        <v>5121</v>
      </c>
      <c r="H44" t="s">
        <v>2222</v>
      </c>
      <c r="I44" s="69">
        <v>46070</v>
      </c>
      <c r="J44" s="237" t="str">
        <f t="shared" si="12"/>
        <v>February</v>
      </c>
      <c r="K44" s="237" t="str">
        <f t="shared" si="13"/>
        <v>Q1</v>
      </c>
      <c r="L44" s="237" t="str">
        <f t="shared" si="14"/>
        <v>2026</v>
      </c>
      <c r="M44" t="s">
        <v>4483</v>
      </c>
      <c r="N44">
        <v>32</v>
      </c>
      <c r="O44" t="s">
        <v>1982</v>
      </c>
      <c r="P44" t="s">
        <v>5132</v>
      </c>
      <c r="S44">
        <v>310</v>
      </c>
      <c r="T44" s="237" t="str">
        <f t="shared" si="15"/>
        <v>Normal</v>
      </c>
    </row>
    <row r="45" spans="7:20" x14ac:dyDescent="0.25">
      <c r="G45" t="s">
        <v>5121</v>
      </c>
      <c r="H45" t="s">
        <v>2222</v>
      </c>
      <c r="I45" s="69">
        <v>46070</v>
      </c>
      <c r="J45" s="237" t="str">
        <f t="shared" si="12"/>
        <v>February</v>
      </c>
      <c r="K45" s="237" t="str">
        <f t="shared" si="13"/>
        <v>Q1</v>
      </c>
      <c r="L45" s="237" t="str">
        <f t="shared" si="14"/>
        <v>2026</v>
      </c>
      <c r="M45" t="s">
        <v>5142</v>
      </c>
      <c r="N45">
        <v>42</v>
      </c>
      <c r="O45" t="s">
        <v>1982</v>
      </c>
      <c r="P45" t="s">
        <v>5189</v>
      </c>
      <c r="S45">
        <v>300</v>
      </c>
      <c r="T45" s="237" t="str">
        <f t="shared" si="15"/>
        <v>Normal</v>
      </c>
    </row>
    <row r="46" spans="7:20" x14ac:dyDescent="0.25">
      <c r="G46" t="s">
        <v>5121</v>
      </c>
      <c r="H46" t="s">
        <v>2222</v>
      </c>
      <c r="I46" s="69">
        <v>46070</v>
      </c>
      <c r="J46" s="237" t="str">
        <f t="shared" si="12"/>
        <v>February</v>
      </c>
      <c r="K46" s="237" t="str">
        <f t="shared" si="13"/>
        <v>Q1</v>
      </c>
      <c r="L46" s="237" t="str">
        <f t="shared" si="14"/>
        <v>2026</v>
      </c>
      <c r="M46" t="s">
        <v>5113</v>
      </c>
      <c r="N46">
        <v>21</v>
      </c>
      <c r="O46" t="s">
        <v>1982</v>
      </c>
      <c r="P46" t="s">
        <v>5132</v>
      </c>
      <c r="S46">
        <v>195</v>
      </c>
      <c r="T46" s="237" t="str">
        <f t="shared" si="15"/>
        <v>Malnourished</v>
      </c>
    </row>
    <row r="47" spans="7:20" x14ac:dyDescent="0.25">
      <c r="G47" t="s">
        <v>5121</v>
      </c>
      <c r="H47" t="s">
        <v>2222</v>
      </c>
      <c r="I47" s="69">
        <v>46070</v>
      </c>
      <c r="J47" s="237" t="str">
        <f t="shared" si="12"/>
        <v>February</v>
      </c>
      <c r="K47" s="237" t="str">
        <f t="shared" si="13"/>
        <v>Q1</v>
      </c>
      <c r="L47" s="237" t="str">
        <f t="shared" si="14"/>
        <v>2026</v>
      </c>
      <c r="M47" t="s">
        <v>5114</v>
      </c>
      <c r="N47">
        <v>38</v>
      </c>
      <c r="O47" t="s">
        <v>1982</v>
      </c>
      <c r="P47" t="s">
        <v>5175</v>
      </c>
      <c r="S47">
        <v>220</v>
      </c>
      <c r="T47" s="237" t="str">
        <f t="shared" si="15"/>
        <v>Normal</v>
      </c>
    </row>
    <row r="48" spans="7:20" x14ac:dyDescent="0.25">
      <c r="G48" t="s">
        <v>5121</v>
      </c>
      <c r="H48" t="s">
        <v>2222</v>
      </c>
      <c r="I48" s="69">
        <v>46070</v>
      </c>
      <c r="J48" s="237" t="str">
        <f t="shared" si="12"/>
        <v>February</v>
      </c>
      <c r="K48" s="237" t="str">
        <f t="shared" si="13"/>
        <v>Q1</v>
      </c>
      <c r="L48" s="237" t="str">
        <f t="shared" si="14"/>
        <v>2026</v>
      </c>
      <c r="M48" t="s">
        <v>5115</v>
      </c>
      <c r="N48">
        <v>34</v>
      </c>
      <c r="O48" t="s">
        <v>1982</v>
      </c>
      <c r="P48" t="s">
        <v>5190</v>
      </c>
      <c r="S48">
        <v>315</v>
      </c>
      <c r="T48" s="237" t="str">
        <f t="shared" si="15"/>
        <v>Normal</v>
      </c>
    </row>
    <row r="49" spans="7:20" x14ac:dyDescent="0.25">
      <c r="G49" t="s">
        <v>2254</v>
      </c>
      <c r="H49" t="s">
        <v>5147</v>
      </c>
      <c r="I49" s="69">
        <v>46072</v>
      </c>
      <c r="J49" s="237" t="str">
        <f t="shared" si="12"/>
        <v>February</v>
      </c>
      <c r="K49" s="237" t="str">
        <f t="shared" si="13"/>
        <v>Q1</v>
      </c>
      <c r="L49" s="237" t="str">
        <f t="shared" si="14"/>
        <v>2026</v>
      </c>
      <c r="M49" t="s">
        <v>5148</v>
      </c>
      <c r="N49">
        <v>39</v>
      </c>
      <c r="O49" t="s">
        <v>1982</v>
      </c>
      <c r="P49" t="s">
        <v>5191</v>
      </c>
      <c r="S49">
        <v>215</v>
      </c>
      <c r="T49" s="237" t="str">
        <f t="shared" si="15"/>
        <v>Normal</v>
      </c>
    </row>
    <row r="50" spans="7:20" x14ac:dyDescent="0.25">
      <c r="G50" t="s">
        <v>2254</v>
      </c>
      <c r="H50" t="s">
        <v>5147</v>
      </c>
      <c r="I50" s="69">
        <v>46072</v>
      </c>
      <c r="J50" s="237" t="str">
        <f t="shared" si="12"/>
        <v>February</v>
      </c>
      <c r="K50" s="237" t="str">
        <f t="shared" si="13"/>
        <v>Q1</v>
      </c>
      <c r="L50" s="237" t="str">
        <f t="shared" si="14"/>
        <v>2026</v>
      </c>
      <c r="M50" t="s">
        <v>5117</v>
      </c>
      <c r="N50">
        <v>39</v>
      </c>
      <c r="O50" t="s">
        <v>1982</v>
      </c>
      <c r="P50" t="s">
        <v>5139</v>
      </c>
      <c r="S50">
        <v>210</v>
      </c>
      <c r="T50" s="237" t="str">
        <f t="shared" si="15"/>
        <v>Normal</v>
      </c>
    </row>
    <row r="51" spans="7:20" x14ac:dyDescent="0.25">
      <c r="G51" t="s">
        <v>2254</v>
      </c>
      <c r="H51" t="s">
        <v>5147</v>
      </c>
      <c r="I51" s="69">
        <v>46072</v>
      </c>
      <c r="J51" s="237" t="str">
        <f t="shared" si="12"/>
        <v>February</v>
      </c>
      <c r="K51" s="237" t="str">
        <f t="shared" si="13"/>
        <v>Q1</v>
      </c>
      <c r="L51" s="237" t="str">
        <f t="shared" si="14"/>
        <v>2026</v>
      </c>
      <c r="M51" t="s">
        <v>5119</v>
      </c>
      <c r="N51">
        <v>26</v>
      </c>
      <c r="O51" t="s">
        <v>1982</v>
      </c>
      <c r="P51" t="s">
        <v>5150</v>
      </c>
      <c r="S51">
        <v>305</v>
      </c>
      <c r="T51" s="237" t="str">
        <f t="shared" si="15"/>
        <v>Normal</v>
      </c>
    </row>
    <row r="52" spans="7:20" x14ac:dyDescent="0.25">
      <c r="J52" s="237" t="str">
        <f t="shared" si="12"/>
        <v/>
      </c>
      <c r="K52" s="237" t="str">
        <f t="shared" si="13"/>
        <v/>
      </c>
      <c r="L52" s="237" t="str">
        <f t="shared" si="14"/>
        <v/>
      </c>
      <c r="T52" s="237" t="str">
        <f t="shared" si="15"/>
        <v/>
      </c>
    </row>
    <row r="53" spans="7:20" x14ac:dyDescent="0.25">
      <c r="J53" s="237" t="str">
        <f t="shared" ref="J53:J84" si="16">IF(I53="","",TEXT(I53,"mmmm"))</f>
        <v/>
      </c>
      <c r="K53" s="237" t="str">
        <f t="shared" ref="K53:K84" si="17">IF(I53="","","Q"&amp;ROUNDUP(MONTH(I53)/3,0))</f>
        <v/>
      </c>
      <c r="L53" s="237" t="str">
        <f t="shared" ref="L53:L84" si="18">IF(I53="","",TEXT(I53,"yyyy"))</f>
        <v/>
      </c>
      <c r="T53" s="237" t="str">
        <f t="shared" ref="T53:T84" si="19">IF(S53="","",IF(S53&gt;=210,"Normal","Malnourished"))</f>
        <v/>
      </c>
    </row>
    <row r="54" spans="7:20" x14ac:dyDescent="0.25">
      <c r="J54" s="237" t="str">
        <f t="shared" si="16"/>
        <v/>
      </c>
      <c r="K54" s="237" t="str">
        <f t="shared" si="17"/>
        <v/>
      </c>
      <c r="L54" s="237" t="str">
        <f t="shared" si="18"/>
        <v/>
      </c>
      <c r="T54" s="237" t="str">
        <f t="shared" si="19"/>
        <v/>
      </c>
    </row>
    <row r="55" spans="7:20" x14ac:dyDescent="0.25">
      <c r="J55" s="237" t="str">
        <f t="shared" si="16"/>
        <v/>
      </c>
      <c r="K55" s="237" t="str">
        <f t="shared" si="17"/>
        <v/>
      </c>
      <c r="L55" s="237" t="str">
        <f t="shared" si="18"/>
        <v/>
      </c>
      <c r="T55" s="237" t="str">
        <f t="shared" si="19"/>
        <v/>
      </c>
    </row>
    <row r="56" spans="7:20" x14ac:dyDescent="0.25">
      <c r="J56" s="237" t="str">
        <f t="shared" si="16"/>
        <v/>
      </c>
      <c r="K56" s="237" t="str">
        <f t="shared" si="17"/>
        <v/>
      </c>
      <c r="L56" s="237" t="str">
        <f t="shared" si="18"/>
        <v/>
      </c>
      <c r="T56" s="237" t="str">
        <f t="shared" si="19"/>
        <v/>
      </c>
    </row>
    <row r="57" spans="7:20" x14ac:dyDescent="0.25">
      <c r="J57" s="237" t="str">
        <f t="shared" si="16"/>
        <v/>
      </c>
      <c r="K57" s="237" t="str">
        <f t="shared" si="17"/>
        <v/>
      </c>
      <c r="L57" s="237" t="str">
        <f t="shared" si="18"/>
        <v/>
      </c>
      <c r="T57" s="237" t="str">
        <f t="shared" si="19"/>
        <v/>
      </c>
    </row>
    <row r="58" spans="7:20" x14ac:dyDescent="0.25">
      <c r="J58" s="237" t="str">
        <f t="shared" si="16"/>
        <v/>
      </c>
      <c r="K58" s="237" t="str">
        <f t="shared" si="17"/>
        <v/>
      </c>
      <c r="L58" s="237" t="str">
        <f t="shared" si="18"/>
        <v/>
      </c>
      <c r="T58" s="237" t="str">
        <f t="shared" si="19"/>
        <v/>
      </c>
    </row>
    <row r="59" spans="7:20" x14ac:dyDescent="0.25">
      <c r="J59" s="237" t="str">
        <f t="shared" si="16"/>
        <v/>
      </c>
      <c r="K59" s="237" t="str">
        <f t="shared" si="17"/>
        <v/>
      </c>
      <c r="L59" s="237" t="str">
        <f t="shared" si="18"/>
        <v/>
      </c>
      <c r="T59" s="237" t="str">
        <f t="shared" si="19"/>
        <v/>
      </c>
    </row>
    <row r="60" spans="7:20" x14ac:dyDescent="0.25">
      <c r="J60" s="237" t="str">
        <f t="shared" si="16"/>
        <v/>
      </c>
      <c r="K60" s="237" t="str">
        <f t="shared" si="17"/>
        <v/>
      </c>
      <c r="L60" s="237" t="str">
        <f t="shared" si="18"/>
        <v/>
      </c>
      <c r="T60" s="237" t="str">
        <f t="shared" si="19"/>
        <v/>
      </c>
    </row>
    <row r="61" spans="7:20" x14ac:dyDescent="0.25">
      <c r="J61" s="237" t="str">
        <f t="shared" si="16"/>
        <v/>
      </c>
      <c r="K61" s="237" t="str">
        <f t="shared" si="17"/>
        <v/>
      </c>
      <c r="L61" s="237" t="str">
        <f t="shared" si="18"/>
        <v/>
      </c>
      <c r="T61" s="237" t="str">
        <f t="shared" si="19"/>
        <v/>
      </c>
    </row>
    <row r="62" spans="7:20" x14ac:dyDescent="0.25">
      <c r="J62" s="237" t="str">
        <f t="shared" si="16"/>
        <v/>
      </c>
      <c r="K62" s="237" t="str">
        <f t="shared" si="17"/>
        <v/>
      </c>
      <c r="L62" s="237" t="str">
        <f t="shared" si="18"/>
        <v/>
      </c>
      <c r="T62" s="237" t="str">
        <f t="shared" si="19"/>
        <v/>
      </c>
    </row>
    <row r="63" spans="7:20" x14ac:dyDescent="0.25">
      <c r="J63" s="237" t="str">
        <f t="shared" si="16"/>
        <v/>
      </c>
      <c r="K63" s="237" t="str">
        <f t="shared" si="17"/>
        <v/>
      </c>
      <c r="L63" s="237" t="str">
        <f t="shared" si="18"/>
        <v/>
      </c>
      <c r="T63" s="237" t="str">
        <f t="shared" si="19"/>
        <v/>
      </c>
    </row>
    <row r="64" spans="7:20" x14ac:dyDescent="0.25">
      <c r="J64" s="237" t="str">
        <f t="shared" si="16"/>
        <v/>
      </c>
      <c r="K64" s="237" t="str">
        <f t="shared" si="17"/>
        <v/>
      </c>
      <c r="L64" s="237" t="str">
        <f t="shared" si="18"/>
        <v/>
      </c>
      <c r="T64" s="237" t="str">
        <f t="shared" si="19"/>
        <v/>
      </c>
    </row>
    <row r="65" spans="10:20" x14ac:dyDescent="0.25">
      <c r="J65" s="237" t="str">
        <f t="shared" si="16"/>
        <v/>
      </c>
      <c r="K65" s="237" t="str">
        <f t="shared" si="17"/>
        <v/>
      </c>
      <c r="L65" s="237" t="str">
        <f t="shared" si="18"/>
        <v/>
      </c>
      <c r="T65" s="237" t="str">
        <f t="shared" si="19"/>
        <v/>
      </c>
    </row>
    <row r="66" spans="10:20" x14ac:dyDescent="0.25">
      <c r="J66" s="237" t="str">
        <f t="shared" si="16"/>
        <v/>
      </c>
      <c r="K66" s="237" t="str">
        <f t="shared" si="17"/>
        <v/>
      </c>
      <c r="L66" s="237" t="str">
        <f t="shared" si="18"/>
        <v/>
      </c>
      <c r="T66" s="237" t="str">
        <f t="shared" si="19"/>
        <v/>
      </c>
    </row>
    <row r="67" spans="10:20" x14ac:dyDescent="0.25">
      <c r="J67" s="237" t="str">
        <f t="shared" si="16"/>
        <v/>
      </c>
      <c r="K67" s="237" t="str">
        <f t="shared" si="17"/>
        <v/>
      </c>
      <c r="L67" s="237" t="str">
        <f t="shared" si="18"/>
        <v/>
      </c>
      <c r="T67" s="237" t="str">
        <f t="shared" si="19"/>
        <v/>
      </c>
    </row>
    <row r="68" spans="10:20" x14ac:dyDescent="0.25">
      <c r="J68" s="237" t="str">
        <f t="shared" si="16"/>
        <v/>
      </c>
      <c r="K68" s="237" t="str">
        <f t="shared" si="17"/>
        <v/>
      </c>
      <c r="L68" s="237" t="str">
        <f t="shared" si="18"/>
        <v/>
      </c>
      <c r="T68" s="237" t="str">
        <f t="shared" si="19"/>
        <v/>
      </c>
    </row>
    <row r="69" spans="10:20" x14ac:dyDescent="0.25">
      <c r="J69" s="237" t="str">
        <f t="shared" si="16"/>
        <v/>
      </c>
      <c r="K69" s="237" t="str">
        <f t="shared" si="17"/>
        <v/>
      </c>
      <c r="L69" s="237" t="str">
        <f t="shared" si="18"/>
        <v/>
      </c>
      <c r="T69" s="237" t="str">
        <f t="shared" si="19"/>
        <v/>
      </c>
    </row>
    <row r="70" spans="10:20" x14ac:dyDescent="0.25">
      <c r="J70" s="237" t="str">
        <f t="shared" si="16"/>
        <v/>
      </c>
      <c r="K70" s="237" t="str">
        <f t="shared" si="17"/>
        <v/>
      </c>
      <c r="L70" s="237" t="str">
        <f t="shared" si="18"/>
        <v/>
      </c>
      <c r="T70" s="237" t="str">
        <f t="shared" si="19"/>
        <v/>
      </c>
    </row>
    <row r="71" spans="10:20" x14ac:dyDescent="0.25">
      <c r="J71" s="237" t="str">
        <f t="shared" si="16"/>
        <v/>
      </c>
      <c r="K71" s="237" t="str">
        <f t="shared" si="17"/>
        <v/>
      </c>
      <c r="L71" s="237" t="str">
        <f t="shared" si="18"/>
        <v/>
      </c>
      <c r="T71" s="237" t="str">
        <f t="shared" si="19"/>
        <v/>
      </c>
    </row>
    <row r="72" spans="10:20" x14ac:dyDescent="0.25">
      <c r="J72" s="237" t="str">
        <f t="shared" si="16"/>
        <v/>
      </c>
      <c r="K72" s="237" t="str">
        <f t="shared" si="17"/>
        <v/>
      </c>
      <c r="L72" s="237" t="str">
        <f t="shared" si="18"/>
        <v/>
      </c>
      <c r="T72" s="237" t="str">
        <f t="shared" si="19"/>
        <v/>
      </c>
    </row>
    <row r="73" spans="10:20" x14ac:dyDescent="0.25">
      <c r="J73" s="237" t="str">
        <f t="shared" si="16"/>
        <v/>
      </c>
      <c r="K73" s="237" t="str">
        <f t="shared" si="17"/>
        <v/>
      </c>
      <c r="L73" s="237" t="str">
        <f t="shared" si="18"/>
        <v/>
      </c>
      <c r="T73" s="237" t="str">
        <f t="shared" si="19"/>
        <v/>
      </c>
    </row>
    <row r="74" spans="10:20" x14ac:dyDescent="0.25">
      <c r="J74" s="237" t="str">
        <f t="shared" si="16"/>
        <v/>
      </c>
      <c r="K74" s="237" t="str">
        <f t="shared" si="17"/>
        <v/>
      </c>
      <c r="L74" s="237" t="str">
        <f t="shared" si="18"/>
        <v/>
      </c>
      <c r="T74" s="237" t="str">
        <f t="shared" si="19"/>
        <v/>
      </c>
    </row>
    <row r="75" spans="10:20" x14ac:dyDescent="0.25">
      <c r="J75" s="237" t="str">
        <f t="shared" si="16"/>
        <v/>
      </c>
      <c r="K75" s="237" t="str">
        <f t="shared" si="17"/>
        <v/>
      </c>
      <c r="L75" s="237" t="str">
        <f t="shared" si="18"/>
        <v/>
      </c>
      <c r="T75" s="237" t="str">
        <f t="shared" si="19"/>
        <v/>
      </c>
    </row>
    <row r="76" spans="10:20" x14ac:dyDescent="0.25">
      <c r="J76" s="237" t="str">
        <f t="shared" si="16"/>
        <v/>
      </c>
      <c r="K76" s="237" t="str">
        <f t="shared" si="17"/>
        <v/>
      </c>
      <c r="L76" s="237" t="str">
        <f t="shared" si="18"/>
        <v/>
      </c>
      <c r="T76" s="237" t="str">
        <f t="shared" si="19"/>
        <v/>
      </c>
    </row>
    <row r="77" spans="10:20" x14ac:dyDescent="0.25">
      <c r="J77" s="237" t="str">
        <f t="shared" si="16"/>
        <v/>
      </c>
      <c r="K77" s="237" t="str">
        <f t="shared" si="17"/>
        <v/>
      </c>
      <c r="L77" s="237" t="str">
        <f t="shared" si="18"/>
        <v/>
      </c>
      <c r="T77" s="237" t="str">
        <f t="shared" si="19"/>
        <v/>
      </c>
    </row>
    <row r="78" spans="10:20" x14ac:dyDescent="0.25">
      <c r="J78" s="237" t="str">
        <f t="shared" si="16"/>
        <v/>
      </c>
      <c r="K78" s="237" t="str">
        <f t="shared" si="17"/>
        <v/>
      </c>
      <c r="L78" s="237" t="str">
        <f t="shared" si="18"/>
        <v/>
      </c>
      <c r="T78" s="237" t="str">
        <f t="shared" si="19"/>
        <v/>
      </c>
    </row>
    <row r="79" spans="10:20" x14ac:dyDescent="0.25">
      <c r="J79" s="237" t="str">
        <f t="shared" si="16"/>
        <v/>
      </c>
      <c r="K79" s="237" t="str">
        <f t="shared" si="17"/>
        <v/>
      </c>
      <c r="L79" s="237" t="str">
        <f t="shared" si="18"/>
        <v/>
      </c>
      <c r="T79" s="237" t="str">
        <f t="shared" si="19"/>
        <v/>
      </c>
    </row>
    <row r="80" spans="10:20" x14ac:dyDescent="0.25">
      <c r="J80" s="237" t="str">
        <f t="shared" si="16"/>
        <v/>
      </c>
      <c r="K80" s="237" t="str">
        <f t="shared" si="17"/>
        <v/>
      </c>
      <c r="L80" s="237" t="str">
        <f t="shared" si="18"/>
        <v/>
      </c>
      <c r="T80" s="237" t="str">
        <f t="shared" si="19"/>
        <v/>
      </c>
    </row>
    <row r="81" spans="10:20" x14ac:dyDescent="0.25">
      <c r="J81" s="237" t="str">
        <f t="shared" si="16"/>
        <v/>
      </c>
      <c r="K81" s="237" t="str">
        <f t="shared" si="17"/>
        <v/>
      </c>
      <c r="L81" s="237" t="str">
        <f t="shared" si="18"/>
        <v/>
      </c>
      <c r="T81" s="237" t="str">
        <f t="shared" si="19"/>
        <v/>
      </c>
    </row>
    <row r="82" spans="10:20" x14ac:dyDescent="0.25">
      <c r="J82" s="237" t="str">
        <f t="shared" si="16"/>
        <v/>
      </c>
      <c r="K82" s="237" t="str">
        <f t="shared" si="17"/>
        <v/>
      </c>
      <c r="L82" s="237" t="str">
        <f t="shared" si="18"/>
        <v/>
      </c>
      <c r="T82" s="237" t="str">
        <f t="shared" si="19"/>
        <v/>
      </c>
    </row>
    <row r="83" spans="10:20" x14ac:dyDescent="0.25">
      <c r="J83" s="237" t="str">
        <f t="shared" si="16"/>
        <v/>
      </c>
      <c r="K83" s="237" t="str">
        <f t="shared" si="17"/>
        <v/>
      </c>
      <c r="L83" s="237" t="str">
        <f t="shared" si="18"/>
        <v/>
      </c>
      <c r="T83" s="237" t="str">
        <f t="shared" si="19"/>
        <v/>
      </c>
    </row>
    <row r="84" spans="10:20" x14ac:dyDescent="0.25">
      <c r="J84" s="237" t="str">
        <f t="shared" si="16"/>
        <v/>
      </c>
      <c r="K84" s="237" t="str">
        <f t="shared" si="17"/>
        <v/>
      </c>
      <c r="L84" s="237" t="str">
        <f t="shared" si="18"/>
        <v/>
      </c>
      <c r="T84" s="237" t="str">
        <f t="shared" si="19"/>
        <v/>
      </c>
    </row>
    <row r="85" spans="10:20" x14ac:dyDescent="0.25">
      <c r="J85" s="237" t="str">
        <f t="shared" ref="J85:J116" si="20">IF(I85="","",TEXT(I85,"mmmm"))</f>
        <v/>
      </c>
      <c r="K85" s="237" t="str">
        <f t="shared" ref="K85:K116" si="21">IF(I85="","","Q"&amp;ROUNDUP(MONTH(I85)/3,0))</f>
        <v/>
      </c>
      <c r="L85" s="237" t="str">
        <f t="shared" ref="L85:L116" si="22">IF(I85="","",TEXT(I85,"yyyy"))</f>
        <v/>
      </c>
      <c r="T85" s="237" t="str">
        <f t="shared" ref="T85:T116" si="23">IF(S85="","",IF(S85&gt;=210,"Normal","Malnourished"))</f>
        <v/>
      </c>
    </row>
    <row r="86" spans="10:20" x14ac:dyDescent="0.25">
      <c r="J86" s="237" t="str">
        <f t="shared" si="20"/>
        <v/>
      </c>
      <c r="K86" s="237" t="str">
        <f t="shared" si="21"/>
        <v/>
      </c>
      <c r="L86" s="237" t="str">
        <f t="shared" si="22"/>
        <v/>
      </c>
      <c r="T86" s="237" t="str">
        <f t="shared" si="23"/>
        <v/>
      </c>
    </row>
    <row r="87" spans="10:20" x14ac:dyDescent="0.25">
      <c r="J87" s="237" t="str">
        <f t="shared" si="20"/>
        <v/>
      </c>
      <c r="K87" s="237" t="str">
        <f t="shared" si="21"/>
        <v/>
      </c>
      <c r="L87" s="237" t="str">
        <f t="shared" si="22"/>
        <v/>
      </c>
      <c r="T87" s="237" t="str">
        <f t="shared" si="23"/>
        <v/>
      </c>
    </row>
    <row r="88" spans="10:20" x14ac:dyDescent="0.25">
      <c r="J88" s="237" t="str">
        <f t="shared" si="20"/>
        <v/>
      </c>
      <c r="K88" s="237" t="str">
        <f t="shared" si="21"/>
        <v/>
      </c>
      <c r="L88" s="237" t="str">
        <f t="shared" si="22"/>
        <v/>
      </c>
      <c r="T88" s="237" t="str">
        <f t="shared" si="23"/>
        <v/>
      </c>
    </row>
    <row r="89" spans="10:20" x14ac:dyDescent="0.25">
      <c r="J89" s="237" t="str">
        <f t="shared" si="20"/>
        <v/>
      </c>
      <c r="K89" s="237" t="str">
        <f t="shared" si="21"/>
        <v/>
      </c>
      <c r="L89" s="237" t="str">
        <f t="shared" si="22"/>
        <v/>
      </c>
      <c r="T89" s="237" t="str">
        <f t="shared" si="23"/>
        <v/>
      </c>
    </row>
    <row r="90" spans="10:20" x14ac:dyDescent="0.25">
      <c r="J90" s="237" t="str">
        <f t="shared" si="20"/>
        <v/>
      </c>
      <c r="K90" s="237" t="str">
        <f t="shared" si="21"/>
        <v/>
      </c>
      <c r="L90" s="237" t="str">
        <f t="shared" si="22"/>
        <v/>
      </c>
      <c r="T90" s="237" t="str">
        <f t="shared" si="23"/>
        <v/>
      </c>
    </row>
    <row r="91" spans="10:20" x14ac:dyDescent="0.25">
      <c r="J91" s="237" t="str">
        <f t="shared" si="20"/>
        <v/>
      </c>
      <c r="K91" s="237" t="str">
        <f t="shared" si="21"/>
        <v/>
      </c>
      <c r="L91" s="237" t="str">
        <f t="shared" si="22"/>
        <v/>
      </c>
      <c r="T91" s="237" t="str">
        <f t="shared" si="23"/>
        <v/>
      </c>
    </row>
    <row r="92" spans="10:20" x14ac:dyDescent="0.25">
      <c r="J92" s="237" t="str">
        <f t="shared" si="20"/>
        <v/>
      </c>
      <c r="K92" s="237" t="str">
        <f t="shared" si="21"/>
        <v/>
      </c>
      <c r="L92" s="237" t="str">
        <f t="shared" si="22"/>
        <v/>
      </c>
      <c r="T92" s="237" t="str">
        <f t="shared" si="23"/>
        <v/>
      </c>
    </row>
    <row r="93" spans="10:20" x14ac:dyDescent="0.25">
      <c r="J93" s="237" t="str">
        <f t="shared" si="20"/>
        <v/>
      </c>
      <c r="K93" s="237" t="str">
        <f t="shared" si="21"/>
        <v/>
      </c>
      <c r="L93" s="237" t="str">
        <f t="shared" si="22"/>
        <v/>
      </c>
      <c r="T93" s="237" t="str">
        <f t="shared" si="23"/>
        <v/>
      </c>
    </row>
    <row r="94" spans="10:20" x14ac:dyDescent="0.25">
      <c r="J94" s="237" t="str">
        <f t="shared" si="20"/>
        <v/>
      </c>
      <c r="K94" s="237" t="str">
        <f t="shared" si="21"/>
        <v/>
      </c>
      <c r="L94" s="237" t="str">
        <f t="shared" si="22"/>
        <v/>
      </c>
      <c r="T94" s="237" t="str">
        <f t="shared" si="23"/>
        <v/>
      </c>
    </row>
    <row r="95" spans="10:20" x14ac:dyDescent="0.25">
      <c r="J95" s="237" t="str">
        <f t="shared" si="20"/>
        <v/>
      </c>
      <c r="K95" s="237" t="str">
        <f t="shared" si="21"/>
        <v/>
      </c>
      <c r="L95" s="237" t="str">
        <f t="shared" si="22"/>
        <v/>
      </c>
      <c r="T95" s="237" t="str">
        <f t="shared" si="23"/>
        <v/>
      </c>
    </row>
    <row r="96" spans="10:20" x14ac:dyDescent="0.25">
      <c r="J96" s="237" t="str">
        <f t="shared" si="20"/>
        <v/>
      </c>
      <c r="K96" s="237" t="str">
        <f t="shared" si="21"/>
        <v/>
      </c>
      <c r="L96" s="237" t="str">
        <f t="shared" si="22"/>
        <v/>
      </c>
      <c r="T96" s="237" t="str">
        <f t="shared" si="23"/>
        <v/>
      </c>
    </row>
    <row r="97" spans="10:20" x14ac:dyDescent="0.25">
      <c r="J97" s="237" t="str">
        <f t="shared" si="20"/>
        <v/>
      </c>
      <c r="K97" s="237" t="str">
        <f t="shared" si="21"/>
        <v/>
      </c>
      <c r="L97" s="237" t="str">
        <f t="shared" si="22"/>
        <v/>
      </c>
      <c r="T97" s="237" t="str">
        <f t="shared" si="23"/>
        <v/>
      </c>
    </row>
    <row r="98" spans="10:20" x14ac:dyDescent="0.25">
      <c r="J98" s="237" t="str">
        <f t="shared" si="20"/>
        <v/>
      </c>
      <c r="K98" s="237" t="str">
        <f t="shared" si="21"/>
        <v/>
      </c>
      <c r="L98" s="237" t="str">
        <f t="shared" si="22"/>
        <v/>
      </c>
      <c r="T98" s="237" t="str">
        <f t="shared" si="23"/>
        <v/>
      </c>
    </row>
    <row r="99" spans="10:20" x14ac:dyDescent="0.25">
      <c r="J99" s="237" t="str">
        <f t="shared" si="20"/>
        <v/>
      </c>
      <c r="K99" s="237" t="str">
        <f t="shared" si="21"/>
        <v/>
      </c>
      <c r="L99" s="237" t="str">
        <f t="shared" si="22"/>
        <v/>
      </c>
      <c r="T99" s="237" t="str">
        <f t="shared" si="23"/>
        <v/>
      </c>
    </row>
    <row r="100" spans="10:20" x14ac:dyDescent="0.25">
      <c r="J100" s="237" t="str">
        <f t="shared" si="20"/>
        <v/>
      </c>
      <c r="K100" s="237" t="str">
        <f t="shared" si="21"/>
        <v/>
      </c>
      <c r="L100" s="237" t="str">
        <f t="shared" si="22"/>
        <v/>
      </c>
      <c r="T100" s="237" t="str">
        <f t="shared" si="23"/>
        <v/>
      </c>
    </row>
    <row r="101" spans="10:20" x14ac:dyDescent="0.25">
      <c r="J101" s="237" t="str">
        <f t="shared" si="20"/>
        <v/>
      </c>
      <c r="K101" s="237" t="str">
        <f t="shared" si="21"/>
        <v/>
      </c>
      <c r="L101" s="237" t="str">
        <f t="shared" si="22"/>
        <v/>
      </c>
      <c r="T101" s="237" t="str">
        <f t="shared" si="23"/>
        <v/>
      </c>
    </row>
    <row r="102" spans="10:20" x14ac:dyDescent="0.25">
      <c r="J102" s="237" t="str">
        <f t="shared" si="20"/>
        <v/>
      </c>
      <c r="K102" s="237" t="str">
        <f t="shared" si="21"/>
        <v/>
      </c>
      <c r="L102" s="237" t="str">
        <f t="shared" si="22"/>
        <v/>
      </c>
      <c r="T102" s="237" t="str">
        <f t="shared" si="23"/>
        <v/>
      </c>
    </row>
    <row r="103" spans="10:20" x14ac:dyDescent="0.25">
      <c r="J103" s="237" t="str">
        <f t="shared" si="20"/>
        <v/>
      </c>
      <c r="K103" s="237" t="str">
        <f t="shared" si="21"/>
        <v/>
      </c>
      <c r="L103" s="237" t="str">
        <f t="shared" si="22"/>
        <v/>
      </c>
      <c r="T103" s="237" t="str">
        <f t="shared" si="23"/>
        <v/>
      </c>
    </row>
    <row r="104" spans="10:20" x14ac:dyDescent="0.25">
      <c r="J104" s="237" t="str">
        <f t="shared" si="20"/>
        <v/>
      </c>
      <c r="K104" s="237" t="str">
        <f t="shared" si="21"/>
        <v/>
      </c>
      <c r="L104" s="237" t="str">
        <f t="shared" si="22"/>
        <v/>
      </c>
      <c r="T104" s="237" t="str">
        <f t="shared" si="23"/>
        <v/>
      </c>
    </row>
    <row r="105" spans="10:20" x14ac:dyDescent="0.25">
      <c r="J105" s="237" t="str">
        <f t="shared" si="20"/>
        <v/>
      </c>
      <c r="K105" s="237" t="str">
        <f t="shared" si="21"/>
        <v/>
      </c>
      <c r="L105" s="237" t="str">
        <f t="shared" si="22"/>
        <v/>
      </c>
      <c r="T105" s="237" t="str">
        <f t="shared" si="23"/>
        <v/>
      </c>
    </row>
    <row r="106" spans="10:20" x14ac:dyDescent="0.25">
      <c r="J106" s="237" t="str">
        <f t="shared" si="20"/>
        <v/>
      </c>
      <c r="K106" s="237" t="str">
        <f t="shared" si="21"/>
        <v/>
      </c>
      <c r="L106" s="237" t="str">
        <f t="shared" si="22"/>
        <v/>
      </c>
      <c r="T106" s="237" t="str">
        <f t="shared" si="23"/>
        <v/>
      </c>
    </row>
    <row r="107" spans="10:20" x14ac:dyDescent="0.25">
      <c r="J107" s="237" t="str">
        <f t="shared" si="20"/>
        <v/>
      </c>
      <c r="K107" s="237" t="str">
        <f t="shared" si="21"/>
        <v/>
      </c>
      <c r="L107" s="237" t="str">
        <f t="shared" si="22"/>
        <v/>
      </c>
      <c r="T107" s="237" t="str">
        <f t="shared" si="23"/>
        <v/>
      </c>
    </row>
    <row r="108" spans="10:20" x14ac:dyDescent="0.25">
      <c r="J108" s="237" t="str">
        <f t="shared" si="20"/>
        <v/>
      </c>
      <c r="K108" s="237" t="str">
        <f t="shared" si="21"/>
        <v/>
      </c>
      <c r="L108" s="237" t="str">
        <f t="shared" si="22"/>
        <v/>
      </c>
      <c r="T108" s="237" t="str">
        <f t="shared" si="23"/>
        <v/>
      </c>
    </row>
    <row r="109" spans="10:20" x14ac:dyDescent="0.25">
      <c r="J109" s="237" t="str">
        <f t="shared" si="20"/>
        <v/>
      </c>
      <c r="K109" s="237" t="str">
        <f t="shared" si="21"/>
        <v/>
      </c>
      <c r="L109" s="237" t="str">
        <f t="shared" si="22"/>
        <v/>
      </c>
      <c r="T109" s="237" t="str">
        <f t="shared" si="23"/>
        <v/>
      </c>
    </row>
    <row r="110" spans="10:20" x14ac:dyDescent="0.25">
      <c r="J110" s="237" t="str">
        <f t="shared" si="20"/>
        <v/>
      </c>
      <c r="K110" s="237" t="str">
        <f t="shared" si="21"/>
        <v/>
      </c>
      <c r="L110" s="237" t="str">
        <f t="shared" si="22"/>
        <v/>
      </c>
      <c r="T110" s="237" t="str">
        <f t="shared" si="23"/>
        <v/>
      </c>
    </row>
    <row r="111" spans="10:20" x14ac:dyDescent="0.25">
      <c r="J111" s="237" t="str">
        <f t="shared" si="20"/>
        <v/>
      </c>
      <c r="K111" s="237" t="str">
        <f t="shared" si="21"/>
        <v/>
      </c>
      <c r="L111" s="237" t="str">
        <f t="shared" si="22"/>
        <v/>
      </c>
      <c r="T111" s="237" t="str">
        <f t="shared" si="23"/>
        <v/>
      </c>
    </row>
    <row r="112" spans="10:20" x14ac:dyDescent="0.25">
      <c r="J112" s="237" t="str">
        <f t="shared" si="20"/>
        <v/>
      </c>
      <c r="K112" s="237" t="str">
        <f t="shared" si="21"/>
        <v/>
      </c>
      <c r="L112" s="237" t="str">
        <f t="shared" si="22"/>
        <v/>
      </c>
      <c r="T112" s="237" t="str">
        <f t="shared" si="23"/>
        <v/>
      </c>
    </row>
    <row r="113" spans="10:20" x14ac:dyDescent="0.25">
      <c r="J113" s="237" t="str">
        <f t="shared" si="20"/>
        <v/>
      </c>
      <c r="K113" s="237" t="str">
        <f t="shared" si="21"/>
        <v/>
      </c>
      <c r="L113" s="237" t="str">
        <f t="shared" si="22"/>
        <v/>
      </c>
      <c r="T113" s="237" t="str">
        <f t="shared" si="23"/>
        <v/>
      </c>
    </row>
    <row r="114" spans="10:20" x14ac:dyDescent="0.25">
      <c r="J114" s="237" t="str">
        <f t="shared" si="20"/>
        <v/>
      </c>
      <c r="K114" s="237" t="str">
        <f t="shared" si="21"/>
        <v/>
      </c>
      <c r="L114" s="237" t="str">
        <f t="shared" si="22"/>
        <v/>
      </c>
      <c r="T114" s="237" t="str">
        <f t="shared" si="23"/>
        <v/>
      </c>
    </row>
    <row r="115" spans="10:20" x14ac:dyDescent="0.25">
      <c r="J115" s="237" t="str">
        <f t="shared" si="20"/>
        <v/>
      </c>
      <c r="K115" s="237" t="str">
        <f t="shared" si="21"/>
        <v/>
      </c>
      <c r="L115" s="237" t="str">
        <f t="shared" si="22"/>
        <v/>
      </c>
      <c r="T115" s="237" t="str">
        <f t="shared" si="23"/>
        <v/>
      </c>
    </row>
    <row r="116" spans="10:20" x14ac:dyDescent="0.25">
      <c r="J116" s="237" t="str">
        <f t="shared" si="20"/>
        <v/>
      </c>
      <c r="K116" s="237" t="str">
        <f t="shared" si="21"/>
        <v/>
      </c>
      <c r="L116" s="237" t="str">
        <f t="shared" si="22"/>
        <v/>
      </c>
      <c r="T116" s="237" t="str">
        <f t="shared" si="23"/>
        <v/>
      </c>
    </row>
    <row r="117" spans="10:20" x14ac:dyDescent="0.25">
      <c r="J117" s="237" t="str">
        <f t="shared" ref="J117:J128" si="24">IF(I117="","",TEXT(I117,"mmmm"))</f>
        <v/>
      </c>
      <c r="K117" s="237" t="str">
        <f t="shared" ref="K117:K128" si="25">IF(I117="","","Q"&amp;ROUNDUP(MONTH(I117)/3,0))</f>
        <v/>
      </c>
      <c r="L117" s="237" t="str">
        <f t="shared" ref="L117:L128" si="26">IF(I117="","",TEXT(I117,"yyyy"))</f>
        <v/>
      </c>
      <c r="T117" s="237" t="str">
        <f t="shared" ref="T117:T128" si="27">IF(S117="","",IF(S117&gt;=210,"Normal","Malnourished"))</f>
        <v/>
      </c>
    </row>
    <row r="118" spans="10:20" x14ac:dyDescent="0.25">
      <c r="J118" s="237" t="str">
        <f t="shared" si="24"/>
        <v/>
      </c>
      <c r="K118" s="237" t="str">
        <f t="shared" si="25"/>
        <v/>
      </c>
      <c r="L118" s="237" t="str">
        <f t="shared" si="26"/>
        <v/>
      </c>
      <c r="T118" s="237" t="str">
        <f t="shared" si="27"/>
        <v/>
      </c>
    </row>
    <row r="119" spans="10:20" x14ac:dyDescent="0.25">
      <c r="J119" s="237" t="str">
        <f t="shared" si="24"/>
        <v/>
      </c>
      <c r="K119" s="237" t="str">
        <f t="shared" si="25"/>
        <v/>
      </c>
      <c r="L119" s="237" t="str">
        <f t="shared" si="26"/>
        <v/>
      </c>
      <c r="T119" s="237" t="str">
        <f t="shared" si="27"/>
        <v/>
      </c>
    </row>
    <row r="120" spans="10:20" x14ac:dyDescent="0.25">
      <c r="J120" s="237" t="str">
        <f t="shared" si="24"/>
        <v/>
      </c>
      <c r="K120" s="237" t="str">
        <f t="shared" si="25"/>
        <v/>
      </c>
      <c r="L120" s="237" t="str">
        <f t="shared" si="26"/>
        <v/>
      </c>
      <c r="T120" s="237" t="str">
        <f t="shared" si="27"/>
        <v/>
      </c>
    </row>
    <row r="121" spans="10:20" x14ac:dyDescent="0.25">
      <c r="J121" s="237" t="str">
        <f t="shared" si="24"/>
        <v/>
      </c>
      <c r="K121" s="237" t="str">
        <f t="shared" si="25"/>
        <v/>
      </c>
      <c r="L121" s="237" t="str">
        <f t="shared" si="26"/>
        <v/>
      </c>
      <c r="T121" s="237" t="str">
        <f t="shared" si="27"/>
        <v/>
      </c>
    </row>
    <row r="122" spans="10:20" x14ac:dyDescent="0.25">
      <c r="J122" s="237" t="str">
        <f t="shared" si="24"/>
        <v/>
      </c>
      <c r="K122" s="237" t="str">
        <f t="shared" si="25"/>
        <v/>
      </c>
      <c r="L122" s="237" t="str">
        <f t="shared" si="26"/>
        <v/>
      </c>
      <c r="T122" s="237" t="str">
        <f t="shared" si="27"/>
        <v/>
      </c>
    </row>
    <row r="123" spans="10:20" x14ac:dyDescent="0.25">
      <c r="J123" s="237" t="str">
        <f t="shared" si="24"/>
        <v/>
      </c>
      <c r="K123" s="237" t="str">
        <f t="shared" si="25"/>
        <v/>
      </c>
      <c r="L123" s="237" t="str">
        <f t="shared" si="26"/>
        <v/>
      </c>
      <c r="T123" s="237" t="str">
        <f t="shared" si="27"/>
        <v/>
      </c>
    </row>
    <row r="124" spans="10:20" x14ac:dyDescent="0.25">
      <c r="J124" s="237" t="str">
        <f t="shared" si="24"/>
        <v/>
      </c>
      <c r="K124" s="237" t="str">
        <f t="shared" si="25"/>
        <v/>
      </c>
      <c r="L124" s="237" t="str">
        <f t="shared" si="26"/>
        <v/>
      </c>
      <c r="T124" s="237" t="str">
        <f t="shared" si="27"/>
        <v/>
      </c>
    </row>
    <row r="125" spans="10:20" x14ac:dyDescent="0.25">
      <c r="J125" s="237" t="str">
        <f t="shared" si="24"/>
        <v/>
      </c>
      <c r="K125" s="237" t="str">
        <f t="shared" si="25"/>
        <v/>
      </c>
      <c r="L125" s="237" t="str">
        <f t="shared" si="26"/>
        <v/>
      </c>
      <c r="T125" s="237" t="str">
        <f t="shared" si="27"/>
        <v/>
      </c>
    </row>
    <row r="126" spans="10:20" x14ac:dyDescent="0.25">
      <c r="J126" s="237" t="str">
        <f t="shared" si="24"/>
        <v/>
      </c>
      <c r="K126" s="237" t="str">
        <f t="shared" si="25"/>
        <v/>
      </c>
      <c r="L126" s="237" t="str">
        <f t="shared" si="26"/>
        <v/>
      </c>
      <c r="T126" s="237" t="str">
        <f t="shared" si="27"/>
        <v/>
      </c>
    </row>
    <row r="127" spans="10:20" x14ac:dyDescent="0.25">
      <c r="J127" s="237" t="str">
        <f t="shared" si="24"/>
        <v/>
      </c>
      <c r="K127" s="237" t="str">
        <f t="shared" si="25"/>
        <v/>
      </c>
      <c r="L127" s="237" t="str">
        <f t="shared" si="26"/>
        <v/>
      </c>
      <c r="T127" s="237" t="str">
        <f t="shared" si="27"/>
        <v/>
      </c>
    </row>
    <row r="128" spans="10:20" x14ac:dyDescent="0.25">
      <c r="J128" s="237" t="str">
        <f t="shared" si="24"/>
        <v/>
      </c>
      <c r="K128" s="237" t="str">
        <f t="shared" si="25"/>
        <v/>
      </c>
      <c r="L128" s="237" t="str">
        <f t="shared" si="26"/>
        <v/>
      </c>
      <c r="T128" s="237" t="str">
        <f t="shared" si="27"/>
        <v/>
      </c>
    </row>
  </sheetData>
  <conditionalFormatting sqref="T3:T128">
    <cfRule type="containsText" dxfId="2" priority="1" operator="containsText" text="Malnourished">
      <formula>NOT(ISERROR(SEARCH("Malnourished",T3)))</formula>
    </cfRule>
  </conditionalFormatting>
  <dataValidations count="5">
    <dataValidation type="list" allowBlank="1" showInputMessage="1" showErrorMessage="1" sqref="B3:B128" xr:uid="{00000000-0002-0000-0A00-000000000000}">
      <formula1>"BHA"</formula1>
    </dataValidation>
    <dataValidation type="list" allowBlank="1" showInputMessage="1" showErrorMessage="1" sqref="C3:C128" xr:uid="{00000000-0002-0000-0A00-000001000000}">
      <formula1>health_org</formula1>
    </dataValidation>
    <dataValidation type="list" allowBlank="1" showInputMessage="1" showErrorMessage="1" sqref="D3:D128" xr:uid="{00000000-0002-0000-0A00-000002000000}">
      <formula1>state_name</formula1>
    </dataValidation>
    <dataValidation type="list" allowBlank="1" showInputMessage="1" showErrorMessage="1" sqref="O3:O128" xr:uid="{00000000-0002-0000-0A00-000003000000}">
      <formula1>"PW,LW"</formula1>
    </dataValidation>
    <dataValidation type="list" allowBlank="1" showInputMessage="1" showErrorMessage="1" sqref="Q3:Q128 U3:U128" xr:uid="{00000000-0002-0000-0A00-000004000000}">
      <formula1>"Yes,No"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5000000}">
          <x14:formula1>
            <xm:f>INDIRECT(VLOOKUP(D3,Location!K:L,2,FALSE))</xm:f>
          </x14:formula1>
          <xm:sqref>E3:E128</xm:sqref>
        </x14:dataValidation>
        <x14:dataValidation type="list" allowBlank="1" showInputMessage="1" showErrorMessage="1" xr:uid="{00000000-0002-0000-0A00-000006000000}">
          <x14:formula1>
            <xm:f>INDIRECT(VLOOKUP(E3,Location!N:O,2,FALSE))</xm:f>
          </x14:formula1>
          <xm:sqref>F3:F128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W565"/>
  <sheetViews>
    <sheetView zoomScaleNormal="100" workbookViewId="0">
      <selection activeCell="D8" sqref="D8"/>
    </sheetView>
  </sheetViews>
  <sheetFormatPr defaultRowHeight="15" x14ac:dyDescent="0.25"/>
  <cols>
    <col min="1" max="1" width="7.42578125" customWidth="1"/>
    <col min="2" max="2" width="17.42578125" customWidth="1"/>
    <col min="3" max="4" width="16" customWidth="1"/>
    <col min="5" max="5" width="21.5703125" customWidth="1"/>
    <col min="6" max="6" width="19.42578125" customWidth="1"/>
    <col min="7" max="7" width="12.42578125" customWidth="1"/>
    <col min="8" max="8" width="16.85546875" style="109" customWidth="1"/>
    <col min="9" max="9" width="46" customWidth="1"/>
    <col min="10" max="11" width="16.5703125" customWidth="1"/>
    <col min="12" max="12" width="17.140625" customWidth="1"/>
    <col min="13" max="13" width="16.42578125" customWidth="1"/>
    <col min="14" max="15" width="13.85546875" customWidth="1"/>
    <col min="16" max="16" width="13.5703125" customWidth="1"/>
    <col min="17" max="17" width="13.42578125" customWidth="1"/>
    <col min="18" max="18" width="11.42578125" customWidth="1"/>
    <col min="19" max="19" width="15.42578125" customWidth="1"/>
    <col min="20" max="20" width="28.5703125" customWidth="1"/>
    <col min="22" max="22" width="16.5703125" customWidth="1"/>
    <col min="23" max="23" width="39.140625" bestFit="1" customWidth="1"/>
  </cols>
  <sheetData>
    <row r="1" spans="1:23" ht="32.25" customHeight="1" x14ac:dyDescent="0.25">
      <c r="A1" s="1"/>
      <c r="B1" s="124" t="s">
        <v>684</v>
      </c>
      <c r="M1" s="314" t="s">
        <v>685</v>
      </c>
      <c r="N1" s="314"/>
      <c r="O1" s="315"/>
      <c r="P1" s="312" t="s">
        <v>686</v>
      </c>
      <c r="Q1" s="313"/>
      <c r="R1" s="123"/>
      <c r="S1" s="104"/>
    </row>
    <row r="2" spans="1:23" ht="42.6" customHeight="1" x14ac:dyDescent="0.25">
      <c r="A2" s="122" t="s">
        <v>622</v>
      </c>
      <c r="B2" s="121" t="s">
        <v>366</v>
      </c>
      <c r="C2" s="121" t="s">
        <v>0</v>
      </c>
      <c r="D2" s="121" t="s">
        <v>367</v>
      </c>
      <c r="E2" s="115" t="s">
        <v>687</v>
      </c>
      <c r="F2" s="115" t="s">
        <v>599</v>
      </c>
      <c r="G2" s="115" t="s">
        <v>624</v>
      </c>
      <c r="H2" s="120" t="s">
        <v>688</v>
      </c>
      <c r="I2" s="119" t="s">
        <v>689</v>
      </c>
      <c r="J2" s="119" t="s">
        <v>690</v>
      </c>
      <c r="K2" s="119" t="s">
        <v>691</v>
      </c>
      <c r="L2" s="118" t="s">
        <v>692</v>
      </c>
      <c r="M2" s="118" t="s">
        <v>402</v>
      </c>
      <c r="N2" s="118" t="s">
        <v>603</v>
      </c>
      <c r="O2" s="118" t="s">
        <v>627</v>
      </c>
      <c r="P2" s="117" t="s">
        <v>693</v>
      </c>
      <c r="Q2" s="117" t="s">
        <v>694</v>
      </c>
      <c r="R2" s="116" t="s">
        <v>695</v>
      </c>
      <c r="S2" s="115" t="s">
        <v>364</v>
      </c>
      <c r="T2" s="114" t="s">
        <v>696</v>
      </c>
      <c r="V2" s="102"/>
      <c r="W2" s="9"/>
    </row>
    <row r="3" spans="1:23" s="104" customFormat="1" x14ac:dyDescent="0.25">
      <c r="A3" s="113"/>
      <c r="B3" s="108"/>
      <c r="C3" s="111"/>
      <c r="D3" s="111"/>
      <c r="E3" s="111"/>
      <c r="F3" s="108"/>
      <c r="G3" s="108"/>
      <c r="H3" s="112"/>
      <c r="I3" s="111"/>
      <c r="J3" s="111"/>
      <c r="K3" s="111"/>
      <c r="L3" s="108"/>
      <c r="M3" s="108"/>
      <c r="N3" s="108"/>
      <c r="O3" s="108"/>
      <c r="P3" s="111"/>
      <c r="Q3" s="111"/>
      <c r="R3" s="111"/>
      <c r="S3" s="108"/>
      <c r="T3" s="110"/>
    </row>
    <row r="4" spans="1:23" x14ac:dyDescent="0.25">
      <c r="A4" s="113"/>
      <c r="B4" s="108"/>
      <c r="C4" s="111"/>
      <c r="D4" s="111"/>
      <c r="E4" s="111"/>
      <c r="F4" s="108"/>
      <c r="G4" s="108"/>
      <c r="H4" s="112"/>
      <c r="I4" s="111"/>
      <c r="J4" s="111"/>
      <c r="K4" s="111"/>
      <c r="L4" s="108"/>
      <c r="M4" s="108"/>
      <c r="N4" s="108"/>
      <c r="O4" s="108"/>
      <c r="P4" s="111"/>
      <c r="Q4" s="111"/>
      <c r="R4" s="111"/>
      <c r="S4" s="108"/>
      <c r="T4" s="110"/>
    </row>
    <row r="5" spans="1:23" x14ac:dyDescent="0.25">
      <c r="A5" s="113"/>
      <c r="B5" s="108"/>
      <c r="C5" s="111"/>
      <c r="D5" s="111"/>
      <c r="E5" s="111"/>
      <c r="F5" s="108"/>
      <c r="G5" s="108"/>
      <c r="H5" s="112"/>
      <c r="I5" s="111"/>
      <c r="J5" s="111"/>
      <c r="K5" s="111"/>
      <c r="L5" s="108"/>
      <c r="M5" s="108"/>
      <c r="N5" s="108"/>
      <c r="O5" s="108"/>
      <c r="P5" s="111"/>
      <c r="Q5" s="111"/>
      <c r="R5" s="111"/>
      <c r="S5" s="108"/>
      <c r="T5" s="110"/>
    </row>
    <row r="6" spans="1:23" ht="17.45" customHeight="1" x14ac:dyDescent="0.25">
      <c r="A6" s="113"/>
      <c r="B6" s="108"/>
      <c r="C6" s="111"/>
      <c r="D6" s="111"/>
      <c r="E6" s="111"/>
      <c r="F6" s="108"/>
      <c r="G6" s="108"/>
      <c r="H6" s="112"/>
      <c r="I6" s="111"/>
      <c r="J6" s="111"/>
      <c r="K6" s="111"/>
      <c r="L6" s="108"/>
      <c r="M6" s="108"/>
      <c r="N6" s="108"/>
      <c r="O6" s="108"/>
      <c r="P6" s="111"/>
      <c r="Q6" s="111"/>
      <c r="R6" s="111"/>
      <c r="S6" s="108"/>
      <c r="T6" s="110"/>
    </row>
    <row r="7" spans="1:23" ht="17.45" customHeight="1" x14ac:dyDescent="0.25">
      <c r="A7" s="113"/>
      <c r="B7" s="108"/>
      <c r="C7" s="111"/>
      <c r="D7" s="111"/>
      <c r="E7" s="111"/>
      <c r="F7" s="108"/>
      <c r="G7" s="108"/>
      <c r="H7" s="112"/>
      <c r="I7" s="111"/>
      <c r="J7" s="111"/>
      <c r="K7" s="111"/>
      <c r="L7" s="108"/>
      <c r="M7" s="108"/>
      <c r="N7" s="108"/>
      <c r="O7" s="108"/>
      <c r="P7" s="111"/>
      <c r="Q7" s="111"/>
      <c r="R7" s="111"/>
      <c r="S7" s="108"/>
      <c r="T7" s="110"/>
    </row>
    <row r="8" spans="1:23" ht="17.45" customHeight="1" x14ac:dyDescent="0.25">
      <c r="A8" s="113"/>
      <c r="B8" s="108"/>
      <c r="C8" s="111"/>
      <c r="D8" s="111"/>
      <c r="E8" s="111"/>
      <c r="F8" s="108"/>
      <c r="G8" s="108"/>
      <c r="H8" s="112"/>
      <c r="I8" s="111"/>
      <c r="J8" s="111"/>
      <c r="K8" s="111"/>
      <c r="L8" s="108"/>
      <c r="M8" s="108"/>
      <c r="N8" s="108"/>
      <c r="O8" s="108"/>
      <c r="P8" s="111"/>
      <c r="Q8" s="111"/>
      <c r="R8" s="111"/>
      <c r="S8" s="108"/>
      <c r="T8" s="110"/>
    </row>
    <row r="9" spans="1:23" ht="17.45" customHeight="1" x14ac:dyDescent="0.25">
      <c r="A9" s="113"/>
      <c r="B9" s="108"/>
      <c r="C9" s="111"/>
      <c r="D9" s="111"/>
      <c r="E9" s="111"/>
      <c r="F9" s="108"/>
      <c r="G9" s="108"/>
      <c r="H9" s="112"/>
      <c r="I9" s="111"/>
      <c r="J9" s="111"/>
      <c r="K9" s="111"/>
      <c r="L9" s="108"/>
      <c r="M9" s="108"/>
      <c r="N9" s="108"/>
      <c r="O9" s="108"/>
      <c r="P9" s="111"/>
      <c r="Q9" s="111"/>
      <c r="R9" s="111"/>
      <c r="S9" s="108"/>
      <c r="T9" s="110"/>
    </row>
    <row r="10" spans="1:23" ht="17.45" customHeight="1" x14ac:dyDescent="0.25">
      <c r="A10" s="113"/>
      <c r="B10" s="108"/>
      <c r="C10" s="111"/>
      <c r="D10" s="111"/>
      <c r="E10" s="111"/>
      <c r="F10" s="108"/>
      <c r="G10" s="108"/>
      <c r="H10" s="112"/>
      <c r="I10" s="111"/>
      <c r="J10" s="111"/>
      <c r="K10" s="111"/>
      <c r="L10" s="108"/>
      <c r="M10" s="108"/>
      <c r="N10" s="108"/>
      <c r="O10" s="108"/>
      <c r="P10" s="111"/>
      <c r="Q10" s="111"/>
      <c r="R10" s="111"/>
      <c r="S10" s="108"/>
      <c r="T10" s="110"/>
    </row>
    <row r="11" spans="1:23" ht="17.45" customHeight="1" x14ac:dyDescent="0.25">
      <c r="A11" s="113"/>
      <c r="B11" s="108"/>
      <c r="C11" s="111"/>
      <c r="D11" s="111"/>
      <c r="E11" s="111"/>
      <c r="F11" s="108"/>
      <c r="G11" s="108"/>
      <c r="H11" s="112"/>
      <c r="I11" s="111"/>
      <c r="J11" s="111"/>
      <c r="K11" s="111"/>
      <c r="L11" s="108"/>
      <c r="M11" s="108"/>
      <c r="N11" s="108"/>
      <c r="O11" s="108"/>
      <c r="P11" s="111"/>
      <c r="Q11" s="111"/>
      <c r="R11" s="111"/>
      <c r="S11" s="108"/>
      <c r="T11" s="110"/>
    </row>
    <row r="12" spans="1:23" ht="17.45" customHeight="1" x14ac:dyDescent="0.25">
      <c r="A12" s="113"/>
      <c r="B12" s="108"/>
      <c r="C12" s="111"/>
      <c r="D12" s="111"/>
      <c r="E12" s="111"/>
      <c r="F12" s="108"/>
      <c r="G12" s="108"/>
      <c r="H12" s="112"/>
      <c r="I12" s="111"/>
      <c r="J12" s="111"/>
      <c r="K12" s="111"/>
      <c r="L12" s="108"/>
      <c r="M12" s="108"/>
      <c r="N12" s="108"/>
      <c r="O12" s="108"/>
      <c r="P12" s="111"/>
      <c r="Q12" s="111"/>
      <c r="R12" s="111"/>
      <c r="S12" s="108"/>
      <c r="T12" s="110"/>
    </row>
    <row r="13" spans="1:23" ht="17.45" customHeight="1" x14ac:dyDescent="0.25">
      <c r="A13" s="113"/>
      <c r="B13" s="108"/>
      <c r="C13" s="111"/>
      <c r="D13" s="111"/>
      <c r="E13" s="111"/>
      <c r="F13" s="108"/>
      <c r="G13" s="108"/>
      <c r="H13" s="112"/>
      <c r="I13" s="111"/>
      <c r="J13" s="111"/>
      <c r="K13" s="111"/>
      <c r="L13" s="108"/>
      <c r="M13" s="108"/>
      <c r="N13" s="108"/>
      <c r="O13" s="108"/>
      <c r="P13" s="111"/>
      <c r="Q13" s="111"/>
      <c r="R13" s="111"/>
      <c r="S13" s="108"/>
      <c r="T13" s="110"/>
    </row>
    <row r="14" spans="1:23" ht="17.45" customHeight="1" x14ac:dyDescent="0.25">
      <c r="A14" s="113"/>
      <c r="B14" s="108"/>
      <c r="C14" s="111"/>
      <c r="D14" s="111"/>
      <c r="E14" s="111"/>
      <c r="F14" s="108"/>
      <c r="G14" s="108"/>
      <c r="H14" s="112"/>
      <c r="I14" s="111"/>
      <c r="J14" s="111"/>
      <c r="K14" s="111"/>
      <c r="L14" s="108"/>
      <c r="M14" s="108"/>
      <c r="N14" s="108"/>
      <c r="O14" s="108"/>
      <c r="P14" s="111"/>
      <c r="Q14" s="111"/>
      <c r="R14" s="111"/>
      <c r="S14" s="108"/>
      <c r="T14" s="110"/>
    </row>
    <row r="15" spans="1:23" ht="17.45" customHeight="1" x14ac:dyDescent="0.25">
      <c r="A15" s="113"/>
      <c r="B15" s="108"/>
      <c r="C15" s="111"/>
      <c r="D15" s="111"/>
      <c r="E15" s="111"/>
      <c r="F15" s="108"/>
      <c r="G15" s="108"/>
      <c r="H15" s="112"/>
      <c r="I15" s="111"/>
      <c r="J15" s="111"/>
      <c r="K15" s="111"/>
      <c r="L15" s="108"/>
      <c r="M15" s="108"/>
      <c r="N15" s="108"/>
      <c r="O15" s="108"/>
      <c r="P15" s="111"/>
      <c r="Q15" s="111"/>
      <c r="R15" s="111"/>
      <c r="S15" s="108"/>
      <c r="T15" s="110"/>
    </row>
    <row r="16" spans="1:23" ht="17.45" customHeight="1" x14ac:dyDescent="0.25">
      <c r="A16" s="113"/>
      <c r="B16" s="108"/>
      <c r="C16" s="111"/>
      <c r="D16" s="111"/>
      <c r="E16" s="111"/>
      <c r="F16" s="108"/>
      <c r="G16" s="108"/>
      <c r="H16" s="112"/>
      <c r="I16" s="111"/>
      <c r="J16" s="111"/>
      <c r="K16" s="111"/>
      <c r="L16" s="108"/>
      <c r="M16" s="108"/>
      <c r="N16" s="108"/>
      <c r="O16" s="108"/>
      <c r="P16" s="111"/>
      <c r="Q16" s="111"/>
      <c r="R16" s="111"/>
      <c r="S16" s="108"/>
      <c r="T16" s="110"/>
    </row>
    <row r="17" spans="1:20" ht="17.45" customHeight="1" x14ac:dyDescent="0.25">
      <c r="A17" s="113"/>
      <c r="B17" s="108"/>
      <c r="C17" s="111"/>
      <c r="D17" s="111"/>
      <c r="E17" s="111"/>
      <c r="F17" s="108"/>
      <c r="G17" s="108"/>
      <c r="H17" s="112"/>
      <c r="I17" s="111"/>
      <c r="J17" s="111"/>
      <c r="K17" s="111"/>
      <c r="L17" s="108"/>
      <c r="M17" s="108"/>
      <c r="N17" s="108"/>
      <c r="O17" s="108"/>
      <c r="P17" s="111"/>
      <c r="Q17" s="111"/>
      <c r="R17" s="111"/>
      <c r="S17" s="108"/>
      <c r="T17" s="110"/>
    </row>
    <row r="18" spans="1:20" ht="17.45" customHeight="1" x14ac:dyDescent="0.25">
      <c r="A18" s="113"/>
      <c r="B18" s="108"/>
      <c r="C18" s="111"/>
      <c r="D18" s="111"/>
      <c r="E18" s="111"/>
      <c r="F18" s="108"/>
      <c r="G18" s="108"/>
      <c r="H18" s="112"/>
      <c r="I18" s="111"/>
      <c r="J18" s="111"/>
      <c r="K18" s="111"/>
      <c r="L18" s="108"/>
      <c r="M18" s="108"/>
      <c r="N18" s="108"/>
      <c r="O18" s="108"/>
      <c r="P18" s="111"/>
      <c r="Q18" s="111"/>
      <c r="R18" s="111"/>
      <c r="S18" s="108"/>
      <c r="T18" s="110"/>
    </row>
    <row r="19" spans="1:20" ht="17.45" customHeight="1" x14ac:dyDescent="0.25">
      <c r="A19" s="113"/>
      <c r="B19" s="108"/>
      <c r="C19" s="111"/>
      <c r="D19" s="111"/>
      <c r="E19" s="111"/>
      <c r="F19" s="108"/>
      <c r="G19" s="108"/>
      <c r="H19" s="112"/>
      <c r="I19" s="111"/>
      <c r="J19" s="111"/>
      <c r="K19" s="111"/>
      <c r="L19" s="108"/>
      <c r="M19" s="108"/>
      <c r="N19" s="108"/>
      <c r="O19" s="108"/>
      <c r="P19" s="111"/>
      <c r="Q19" s="111"/>
      <c r="R19" s="111"/>
      <c r="S19" s="108"/>
      <c r="T19" s="110"/>
    </row>
    <row r="20" spans="1:20" ht="17.45" customHeight="1" x14ac:dyDescent="0.25">
      <c r="A20" s="113"/>
      <c r="B20" s="108"/>
      <c r="C20" s="111"/>
      <c r="D20" s="111"/>
      <c r="E20" s="111"/>
      <c r="F20" s="108"/>
      <c r="G20" s="108"/>
      <c r="H20" s="112"/>
      <c r="I20" s="111"/>
      <c r="J20" s="111"/>
      <c r="K20" s="111"/>
      <c r="L20" s="108"/>
      <c r="M20" s="108"/>
      <c r="N20" s="108"/>
      <c r="O20" s="108"/>
      <c r="P20" s="111"/>
      <c r="Q20" s="111"/>
      <c r="R20" s="111"/>
      <c r="S20" s="108"/>
      <c r="T20" s="110"/>
    </row>
    <row r="21" spans="1:20" ht="17.45" customHeight="1" x14ac:dyDescent="0.25">
      <c r="A21" s="113"/>
      <c r="B21" s="108"/>
      <c r="C21" s="111"/>
      <c r="D21" s="111"/>
      <c r="E21" s="111"/>
      <c r="F21" s="108"/>
      <c r="G21" s="108"/>
      <c r="H21" s="112"/>
      <c r="I21" s="111"/>
      <c r="J21" s="111"/>
      <c r="K21" s="111"/>
      <c r="L21" s="108"/>
      <c r="M21" s="108"/>
      <c r="N21" s="108"/>
      <c r="O21" s="108"/>
      <c r="P21" s="111"/>
      <c r="Q21" s="111"/>
      <c r="R21" s="111"/>
      <c r="S21" s="108"/>
      <c r="T21" s="110"/>
    </row>
    <row r="22" spans="1:20" ht="17.45" customHeight="1" x14ac:dyDescent="0.25">
      <c r="A22" s="113"/>
      <c r="B22" s="108"/>
      <c r="C22" s="111"/>
      <c r="D22" s="111"/>
      <c r="E22" s="111"/>
      <c r="F22" s="108"/>
      <c r="G22" s="108"/>
      <c r="H22" s="112"/>
      <c r="I22" s="111"/>
      <c r="J22" s="111"/>
      <c r="K22" s="111"/>
      <c r="L22" s="108"/>
      <c r="M22" s="108"/>
      <c r="N22" s="108"/>
      <c r="O22" s="108"/>
      <c r="P22" s="111"/>
      <c r="Q22" s="111"/>
      <c r="R22" s="111"/>
      <c r="S22" s="108"/>
      <c r="T22" s="110"/>
    </row>
    <row r="23" spans="1:20" ht="17.45" customHeight="1" x14ac:dyDescent="0.25">
      <c r="A23" s="113"/>
      <c r="B23" s="108"/>
      <c r="C23" s="111"/>
      <c r="D23" s="111"/>
      <c r="E23" s="111"/>
      <c r="F23" s="108"/>
      <c r="G23" s="108"/>
      <c r="H23" s="112"/>
      <c r="I23" s="111"/>
      <c r="J23" s="111"/>
      <c r="K23" s="111"/>
      <c r="L23" s="108"/>
      <c r="M23" s="108"/>
      <c r="N23" s="108"/>
      <c r="O23" s="108"/>
      <c r="P23" s="111"/>
      <c r="Q23" s="111"/>
      <c r="R23" s="111"/>
      <c r="S23" s="108"/>
      <c r="T23" s="110"/>
    </row>
    <row r="24" spans="1:20" ht="17.45" customHeight="1" x14ac:dyDescent="0.25">
      <c r="A24" s="113"/>
      <c r="B24" s="108"/>
      <c r="C24" s="111"/>
      <c r="D24" s="111"/>
      <c r="E24" s="111"/>
      <c r="F24" s="108"/>
      <c r="G24" s="108"/>
      <c r="H24" s="112"/>
      <c r="I24" s="111"/>
      <c r="J24" s="111"/>
      <c r="K24" s="111"/>
      <c r="L24" s="108"/>
      <c r="M24" s="108"/>
      <c r="N24" s="108"/>
      <c r="O24" s="108"/>
      <c r="P24" s="111"/>
      <c r="Q24" s="111"/>
      <c r="R24" s="111"/>
      <c r="S24" s="108"/>
      <c r="T24" s="110"/>
    </row>
    <row r="25" spans="1:20" ht="17.45" customHeight="1" x14ac:dyDescent="0.25">
      <c r="A25" s="113"/>
      <c r="B25" s="108"/>
      <c r="C25" s="111"/>
      <c r="D25" s="111"/>
      <c r="E25" s="111"/>
      <c r="F25" s="108"/>
      <c r="G25" s="108"/>
      <c r="H25" s="112"/>
      <c r="I25" s="111"/>
      <c r="J25" s="111"/>
      <c r="K25" s="111"/>
      <c r="L25" s="108"/>
      <c r="M25" s="108"/>
      <c r="N25" s="108"/>
      <c r="O25" s="108"/>
      <c r="P25" s="111"/>
      <c r="Q25" s="111"/>
      <c r="R25" s="111"/>
      <c r="S25" s="108"/>
      <c r="T25" s="110"/>
    </row>
    <row r="26" spans="1:20" ht="17.45" customHeight="1" x14ac:dyDescent="0.25">
      <c r="A26" s="113"/>
      <c r="B26" s="108"/>
      <c r="C26" s="111"/>
      <c r="D26" s="111"/>
      <c r="E26" s="111"/>
      <c r="F26" s="108"/>
      <c r="G26" s="108"/>
      <c r="H26" s="112"/>
      <c r="I26" s="111"/>
      <c r="J26" s="111"/>
      <c r="K26" s="111"/>
      <c r="L26" s="108"/>
      <c r="M26" s="108"/>
      <c r="N26" s="108"/>
      <c r="O26" s="108"/>
      <c r="P26" s="111"/>
      <c r="Q26" s="111"/>
      <c r="R26" s="111"/>
      <c r="S26" s="108"/>
      <c r="T26" s="110"/>
    </row>
    <row r="27" spans="1:20" ht="17.45" customHeight="1" x14ac:dyDescent="0.25">
      <c r="A27" s="113"/>
      <c r="B27" s="108"/>
      <c r="C27" s="111"/>
      <c r="D27" s="111"/>
      <c r="E27" s="111"/>
      <c r="F27" s="108"/>
      <c r="G27" s="108"/>
      <c r="H27" s="112"/>
      <c r="I27" s="111"/>
      <c r="J27" s="111"/>
      <c r="K27" s="111"/>
      <c r="L27" s="108"/>
      <c r="M27" s="108"/>
      <c r="N27" s="108"/>
      <c r="O27" s="108"/>
      <c r="P27" s="111"/>
      <c r="Q27" s="111"/>
      <c r="R27" s="111"/>
      <c r="S27" s="108"/>
      <c r="T27" s="110"/>
    </row>
    <row r="28" spans="1:20" ht="17.45" customHeight="1" x14ac:dyDescent="0.25">
      <c r="A28" s="113"/>
      <c r="B28" s="108"/>
      <c r="C28" s="111"/>
      <c r="D28" s="111"/>
      <c r="E28" s="111"/>
      <c r="F28" s="108"/>
      <c r="G28" s="108"/>
      <c r="H28" s="112"/>
      <c r="I28" s="111"/>
      <c r="J28" s="111"/>
      <c r="K28" s="111"/>
      <c r="L28" s="108"/>
      <c r="M28" s="108"/>
      <c r="N28" s="108"/>
      <c r="O28" s="108"/>
      <c r="P28" s="111"/>
      <c r="Q28" s="111"/>
      <c r="R28" s="111"/>
      <c r="S28" s="108"/>
      <c r="T28" s="110"/>
    </row>
    <row r="29" spans="1:20" ht="17.45" customHeight="1" x14ac:dyDescent="0.25">
      <c r="A29" s="113"/>
      <c r="B29" s="108"/>
      <c r="C29" s="111"/>
      <c r="D29" s="111"/>
      <c r="E29" s="111"/>
      <c r="F29" s="108"/>
      <c r="G29" s="108"/>
      <c r="H29" s="112"/>
      <c r="I29" s="111"/>
      <c r="J29" s="111"/>
      <c r="K29" s="111"/>
      <c r="L29" s="108"/>
      <c r="M29" s="108"/>
      <c r="N29" s="108"/>
      <c r="O29" s="108"/>
      <c r="P29" s="111"/>
      <c r="Q29" s="111"/>
      <c r="R29" s="111"/>
      <c r="S29" s="108"/>
      <c r="T29" s="110"/>
    </row>
    <row r="30" spans="1:20" ht="17.45" customHeight="1" x14ac:dyDescent="0.25">
      <c r="A30" s="113"/>
      <c r="B30" s="108"/>
      <c r="C30" s="111"/>
      <c r="D30" s="111"/>
      <c r="E30" s="111"/>
      <c r="F30" s="108"/>
      <c r="G30" s="108"/>
      <c r="H30" s="112"/>
      <c r="I30" s="111"/>
      <c r="J30" s="111"/>
      <c r="K30" s="111"/>
      <c r="L30" s="108"/>
      <c r="M30" s="108"/>
      <c r="N30" s="108"/>
      <c r="O30" s="108"/>
      <c r="P30" s="111"/>
      <c r="Q30" s="111"/>
      <c r="R30" s="111"/>
      <c r="S30" s="108"/>
      <c r="T30" s="110"/>
    </row>
    <row r="31" spans="1:20" ht="17.45" customHeight="1" x14ac:dyDescent="0.25">
      <c r="A31" s="113"/>
      <c r="B31" s="108"/>
      <c r="C31" s="111"/>
      <c r="D31" s="111"/>
      <c r="E31" s="111"/>
      <c r="F31" s="108"/>
      <c r="G31" s="108"/>
      <c r="H31" s="112"/>
      <c r="I31" s="111"/>
      <c r="J31" s="111"/>
      <c r="K31" s="111"/>
      <c r="L31" s="108"/>
      <c r="M31" s="108"/>
      <c r="N31" s="108"/>
      <c r="O31" s="108"/>
      <c r="P31" s="111"/>
      <c r="Q31" s="111"/>
      <c r="R31" s="111"/>
      <c r="S31" s="108"/>
      <c r="T31" s="110"/>
    </row>
    <row r="32" spans="1:20" ht="17.45" customHeight="1" x14ac:dyDescent="0.25">
      <c r="A32" s="113"/>
      <c r="B32" s="108"/>
      <c r="C32" s="111"/>
      <c r="D32" s="111"/>
      <c r="E32" s="111"/>
      <c r="F32" s="108"/>
      <c r="G32" s="108"/>
      <c r="H32" s="112"/>
      <c r="I32" s="111"/>
      <c r="J32" s="111"/>
      <c r="K32" s="111"/>
      <c r="L32" s="108"/>
      <c r="M32" s="108"/>
      <c r="N32" s="108"/>
      <c r="O32" s="108"/>
      <c r="P32" s="111"/>
      <c r="Q32" s="111"/>
      <c r="R32" s="111"/>
      <c r="S32" s="108"/>
      <c r="T32" s="110"/>
    </row>
    <row r="33" spans="1:20" ht="17.45" customHeight="1" x14ac:dyDescent="0.25">
      <c r="A33" s="113"/>
      <c r="B33" s="108"/>
      <c r="C33" s="111"/>
      <c r="D33" s="111"/>
      <c r="E33" s="111"/>
      <c r="F33" s="108"/>
      <c r="G33" s="108"/>
      <c r="H33" s="112"/>
      <c r="I33" s="111"/>
      <c r="J33" s="111"/>
      <c r="K33" s="111"/>
      <c r="L33" s="108"/>
      <c r="M33" s="108"/>
      <c r="N33" s="108"/>
      <c r="O33" s="108"/>
      <c r="P33" s="111"/>
      <c r="Q33" s="111"/>
      <c r="R33" s="111"/>
      <c r="S33" s="108"/>
      <c r="T33" s="110"/>
    </row>
    <row r="34" spans="1:20" ht="17.45" customHeight="1" x14ac:dyDescent="0.25">
      <c r="A34" s="113"/>
      <c r="B34" s="108"/>
      <c r="C34" s="111"/>
      <c r="D34" s="111"/>
      <c r="E34" s="111"/>
      <c r="F34" s="108"/>
      <c r="G34" s="108"/>
      <c r="H34" s="112"/>
      <c r="I34" s="111"/>
      <c r="J34" s="111"/>
      <c r="K34" s="111"/>
      <c r="L34" s="108"/>
      <c r="M34" s="108"/>
      <c r="N34" s="108"/>
      <c r="O34" s="108"/>
      <c r="P34" s="111"/>
      <c r="Q34" s="111"/>
      <c r="R34" s="111"/>
      <c r="S34" s="108"/>
      <c r="T34" s="110"/>
    </row>
    <row r="35" spans="1:20" ht="17.45" customHeight="1" x14ac:dyDescent="0.25">
      <c r="A35" s="113"/>
      <c r="B35" s="108"/>
      <c r="C35" s="111"/>
      <c r="D35" s="111"/>
      <c r="E35" s="111"/>
      <c r="F35" s="108"/>
      <c r="G35" s="108"/>
      <c r="H35" s="112"/>
      <c r="I35" s="111"/>
      <c r="J35" s="111"/>
      <c r="K35" s="111"/>
      <c r="L35" s="108"/>
      <c r="M35" s="108"/>
      <c r="N35" s="108"/>
      <c r="O35" s="108"/>
      <c r="P35" s="111"/>
      <c r="Q35" s="111"/>
      <c r="R35" s="111"/>
      <c r="S35" s="108"/>
      <c r="T35" s="110"/>
    </row>
    <row r="36" spans="1:20" ht="17.45" customHeight="1" x14ac:dyDescent="0.25">
      <c r="A36" s="113"/>
      <c r="B36" s="108"/>
      <c r="C36" s="111"/>
      <c r="D36" s="111"/>
      <c r="E36" s="111"/>
      <c r="F36" s="108"/>
      <c r="G36" s="108"/>
      <c r="H36" s="112"/>
      <c r="I36" s="111"/>
      <c r="J36" s="111"/>
      <c r="K36" s="111"/>
      <c r="L36" s="108"/>
      <c r="M36" s="108"/>
      <c r="N36" s="108"/>
      <c r="O36" s="108"/>
      <c r="P36" s="111"/>
      <c r="Q36" s="111"/>
      <c r="R36" s="111"/>
      <c r="S36" s="108"/>
      <c r="T36" s="110"/>
    </row>
    <row r="37" spans="1:20" ht="17.45" customHeight="1" x14ac:dyDescent="0.25">
      <c r="A37" s="113"/>
      <c r="B37" s="108"/>
      <c r="C37" s="111"/>
      <c r="D37" s="111"/>
      <c r="E37" s="111"/>
      <c r="F37" s="108"/>
      <c r="G37" s="108"/>
      <c r="H37" s="112"/>
      <c r="I37" s="111"/>
      <c r="J37" s="111"/>
      <c r="K37" s="111"/>
      <c r="L37" s="108"/>
      <c r="M37" s="108"/>
      <c r="N37" s="108"/>
      <c r="O37" s="108"/>
      <c r="P37" s="111"/>
      <c r="Q37" s="111"/>
      <c r="R37" s="111"/>
      <c r="S37" s="108"/>
      <c r="T37" s="110"/>
    </row>
    <row r="38" spans="1:20" ht="17.45" customHeight="1" x14ac:dyDescent="0.25">
      <c r="A38" s="113"/>
      <c r="B38" s="108"/>
      <c r="C38" s="111"/>
      <c r="D38" s="111"/>
      <c r="E38" s="111"/>
      <c r="F38" s="108"/>
      <c r="G38" s="108"/>
      <c r="H38" s="112"/>
      <c r="I38" s="111"/>
      <c r="J38" s="111"/>
      <c r="K38" s="111"/>
      <c r="L38" s="108"/>
      <c r="M38" s="108"/>
      <c r="N38" s="108"/>
      <c r="O38" s="108"/>
      <c r="P38" s="111"/>
      <c r="Q38" s="111"/>
      <c r="R38" s="111"/>
      <c r="S38" s="108"/>
      <c r="T38" s="110"/>
    </row>
    <row r="39" spans="1:20" ht="17.45" customHeight="1" x14ac:dyDescent="0.25">
      <c r="A39" s="113"/>
      <c r="B39" s="108"/>
      <c r="C39" s="111"/>
      <c r="D39" s="111"/>
      <c r="E39" s="111"/>
      <c r="F39" s="108"/>
      <c r="G39" s="108"/>
      <c r="H39" s="112"/>
      <c r="I39" s="111"/>
      <c r="J39" s="111"/>
      <c r="K39" s="111"/>
      <c r="L39" s="108"/>
      <c r="M39" s="108"/>
      <c r="N39" s="108"/>
      <c r="O39" s="108"/>
      <c r="P39" s="111"/>
      <c r="Q39" s="111"/>
      <c r="R39" s="111"/>
      <c r="S39" s="108"/>
      <c r="T39" s="110"/>
    </row>
    <row r="40" spans="1:20" ht="17.45" customHeight="1" x14ac:dyDescent="0.25">
      <c r="A40" s="113"/>
      <c r="B40" s="108"/>
      <c r="C40" s="111"/>
      <c r="D40" s="111"/>
      <c r="E40" s="111"/>
      <c r="F40" s="108"/>
      <c r="G40" s="108"/>
      <c r="H40" s="112"/>
      <c r="I40" s="111"/>
      <c r="J40" s="111"/>
      <c r="K40" s="111"/>
      <c r="L40" s="108"/>
      <c r="M40" s="108"/>
      <c r="N40" s="108"/>
      <c r="O40" s="108"/>
      <c r="P40" s="111"/>
      <c r="Q40" s="111"/>
      <c r="R40" s="111"/>
      <c r="S40" s="108"/>
      <c r="T40" s="110"/>
    </row>
    <row r="41" spans="1:20" ht="17.45" customHeight="1" x14ac:dyDescent="0.25">
      <c r="A41" s="113"/>
      <c r="B41" s="108"/>
      <c r="C41" s="111"/>
      <c r="D41" s="111"/>
      <c r="E41" s="111"/>
      <c r="F41" s="108"/>
      <c r="G41" s="108"/>
      <c r="H41" s="112"/>
      <c r="I41" s="111"/>
      <c r="J41" s="111"/>
      <c r="K41" s="111"/>
      <c r="L41" s="108"/>
      <c r="M41" s="108"/>
      <c r="N41" s="108"/>
      <c r="O41" s="108"/>
      <c r="P41" s="111"/>
      <c r="Q41" s="111"/>
      <c r="R41" s="111"/>
      <c r="S41" s="108"/>
      <c r="T41" s="110"/>
    </row>
    <row r="42" spans="1:20" ht="17.45" customHeight="1" x14ac:dyDescent="0.25">
      <c r="A42" s="113"/>
      <c r="B42" s="108"/>
      <c r="C42" s="111"/>
      <c r="D42" s="111"/>
      <c r="E42" s="111"/>
      <c r="F42" s="108"/>
      <c r="G42" s="108"/>
      <c r="H42" s="112"/>
      <c r="I42" s="111"/>
      <c r="J42" s="111"/>
      <c r="K42" s="111"/>
      <c r="L42" s="108"/>
      <c r="M42" s="108"/>
      <c r="N42" s="108"/>
      <c r="O42" s="108"/>
      <c r="P42" s="111"/>
      <c r="Q42" s="111"/>
      <c r="R42" s="111"/>
      <c r="S42" s="108"/>
      <c r="T42" s="110"/>
    </row>
    <row r="43" spans="1:20" ht="17.45" customHeight="1" x14ac:dyDescent="0.25">
      <c r="A43" s="113"/>
      <c r="B43" s="108"/>
      <c r="C43" s="111"/>
      <c r="D43" s="111"/>
      <c r="E43" s="111"/>
      <c r="F43" s="108"/>
      <c r="G43" s="108"/>
      <c r="H43" s="112"/>
      <c r="I43" s="111"/>
      <c r="J43" s="111"/>
      <c r="K43" s="111"/>
      <c r="L43" s="108"/>
      <c r="M43" s="108"/>
      <c r="N43" s="108"/>
      <c r="O43" s="108"/>
      <c r="P43" s="111"/>
      <c r="Q43" s="111"/>
      <c r="R43" s="111"/>
      <c r="S43" s="108"/>
      <c r="T43" s="110"/>
    </row>
    <row r="44" spans="1:20" ht="17.45" customHeight="1" x14ac:dyDescent="0.25">
      <c r="A44" s="113"/>
      <c r="B44" s="108"/>
      <c r="C44" s="111"/>
      <c r="D44" s="111"/>
      <c r="E44" s="111"/>
      <c r="F44" s="108"/>
      <c r="G44" s="108"/>
      <c r="H44" s="112"/>
      <c r="I44" s="111"/>
      <c r="J44" s="111"/>
      <c r="K44" s="111"/>
      <c r="L44" s="108"/>
      <c r="M44" s="108"/>
      <c r="N44" s="108"/>
      <c r="O44" s="108"/>
      <c r="P44" s="111"/>
      <c r="Q44" s="111"/>
      <c r="R44" s="111"/>
      <c r="S44" s="108"/>
      <c r="T44" s="110"/>
    </row>
    <row r="45" spans="1:20" ht="17.45" customHeight="1" x14ac:dyDescent="0.25">
      <c r="A45" s="113"/>
      <c r="B45" s="108"/>
      <c r="C45" s="111"/>
      <c r="D45" s="111"/>
      <c r="E45" s="111"/>
      <c r="F45" s="108"/>
      <c r="G45" s="108"/>
      <c r="H45" s="112"/>
      <c r="I45" s="111"/>
      <c r="J45" s="111"/>
      <c r="K45" s="111"/>
      <c r="L45" s="108"/>
      <c r="M45" s="108"/>
      <c r="N45" s="108"/>
      <c r="O45" s="108"/>
      <c r="P45" s="111"/>
      <c r="Q45" s="111"/>
      <c r="R45" s="111"/>
      <c r="S45" s="108"/>
      <c r="T45" s="110"/>
    </row>
    <row r="46" spans="1:20" ht="17.45" customHeight="1" x14ac:dyDescent="0.25">
      <c r="A46" s="113"/>
      <c r="B46" s="108"/>
      <c r="C46" s="111"/>
      <c r="D46" s="111"/>
      <c r="E46" s="111"/>
      <c r="F46" s="108"/>
      <c r="G46" s="108"/>
      <c r="H46" s="112"/>
      <c r="I46" s="111"/>
      <c r="J46" s="111"/>
      <c r="K46" s="111"/>
      <c r="L46" s="108"/>
      <c r="M46" s="108"/>
      <c r="N46" s="108"/>
      <c r="O46" s="108"/>
      <c r="P46" s="111"/>
      <c r="Q46" s="111"/>
      <c r="R46" s="111"/>
      <c r="S46" s="108"/>
      <c r="T46" s="110"/>
    </row>
    <row r="47" spans="1:20" ht="17.45" customHeight="1" x14ac:dyDescent="0.25">
      <c r="A47" s="113"/>
      <c r="B47" s="108"/>
      <c r="C47" s="111"/>
      <c r="D47" s="111"/>
      <c r="E47" s="111"/>
      <c r="F47" s="108"/>
      <c r="G47" s="108"/>
      <c r="H47" s="112"/>
      <c r="I47" s="111"/>
      <c r="J47" s="111"/>
      <c r="K47" s="111"/>
      <c r="L47" s="108"/>
      <c r="M47" s="108"/>
      <c r="N47" s="108"/>
      <c r="O47" s="108"/>
      <c r="P47" s="111"/>
      <c r="Q47" s="111"/>
      <c r="R47" s="111"/>
      <c r="S47" s="108"/>
      <c r="T47" s="110"/>
    </row>
    <row r="48" spans="1:20" ht="17.45" customHeight="1" x14ac:dyDescent="0.25">
      <c r="A48" s="113"/>
      <c r="B48" s="108"/>
      <c r="C48" s="111"/>
      <c r="D48" s="111"/>
      <c r="E48" s="111"/>
      <c r="F48" s="108"/>
      <c r="G48" s="108"/>
      <c r="H48" s="112"/>
      <c r="I48" s="111"/>
      <c r="J48" s="111"/>
      <c r="K48" s="111"/>
      <c r="L48" s="108"/>
      <c r="M48" s="108"/>
      <c r="N48" s="108"/>
      <c r="O48" s="108"/>
      <c r="P48" s="111"/>
      <c r="Q48" s="111"/>
      <c r="R48" s="111"/>
      <c r="S48" s="108"/>
      <c r="T48" s="110"/>
    </row>
    <row r="49" spans="1:20" ht="17.45" customHeight="1" x14ac:dyDescent="0.25">
      <c r="A49" s="113"/>
      <c r="B49" s="108"/>
      <c r="C49" s="111"/>
      <c r="D49" s="111"/>
      <c r="E49" s="111"/>
      <c r="F49" s="108"/>
      <c r="G49" s="108"/>
      <c r="H49" s="112"/>
      <c r="I49" s="111"/>
      <c r="J49" s="111"/>
      <c r="K49" s="111"/>
      <c r="L49" s="108"/>
      <c r="M49" s="108"/>
      <c r="N49" s="108"/>
      <c r="O49" s="108"/>
      <c r="P49" s="111"/>
      <c r="Q49" s="111"/>
      <c r="R49" s="111"/>
      <c r="S49" s="108"/>
      <c r="T49" s="110"/>
    </row>
    <row r="50" spans="1:20" ht="17.45" customHeight="1" x14ac:dyDescent="0.25">
      <c r="A50" s="113"/>
      <c r="B50" s="108"/>
      <c r="C50" s="111"/>
      <c r="D50" s="111"/>
      <c r="E50" s="111"/>
      <c r="F50" s="108"/>
      <c r="G50" s="108"/>
      <c r="H50" s="112"/>
      <c r="I50" s="111"/>
      <c r="J50" s="111"/>
      <c r="K50" s="111"/>
      <c r="L50" s="108"/>
      <c r="M50" s="108"/>
      <c r="N50" s="108"/>
      <c r="O50" s="108"/>
      <c r="P50" s="111"/>
      <c r="Q50" s="111"/>
      <c r="R50" s="111"/>
      <c r="S50" s="108"/>
      <c r="T50" s="110"/>
    </row>
    <row r="51" spans="1:20" ht="17.45" customHeight="1" x14ac:dyDescent="0.25">
      <c r="A51" s="113"/>
      <c r="B51" s="108"/>
      <c r="C51" s="111"/>
      <c r="D51" s="111"/>
      <c r="E51" s="111"/>
      <c r="F51" s="108"/>
      <c r="G51" s="108"/>
      <c r="H51" s="112"/>
      <c r="I51" s="111"/>
      <c r="J51" s="111"/>
      <c r="K51" s="111"/>
      <c r="L51" s="108"/>
      <c r="M51" s="108"/>
      <c r="N51" s="108"/>
      <c r="O51" s="108"/>
      <c r="P51" s="111"/>
      <c r="Q51" s="111"/>
      <c r="R51" s="111"/>
      <c r="S51" s="108"/>
      <c r="T51" s="110"/>
    </row>
    <row r="52" spans="1:20" ht="17.45" customHeight="1" x14ac:dyDescent="0.25">
      <c r="A52" s="113"/>
      <c r="B52" s="108"/>
      <c r="C52" s="111"/>
      <c r="D52" s="111"/>
      <c r="E52" s="111"/>
      <c r="F52" s="108"/>
      <c r="G52" s="108"/>
      <c r="H52" s="112"/>
      <c r="I52" s="111"/>
      <c r="J52" s="111"/>
      <c r="K52" s="111"/>
      <c r="L52" s="108"/>
      <c r="M52" s="108"/>
      <c r="N52" s="108"/>
      <c r="O52" s="108"/>
      <c r="P52" s="111"/>
      <c r="Q52" s="111"/>
      <c r="R52" s="111"/>
      <c r="S52" s="108"/>
      <c r="T52" s="110"/>
    </row>
    <row r="53" spans="1:20" ht="17.45" customHeight="1" x14ac:dyDescent="0.25">
      <c r="A53" s="113"/>
      <c r="B53" s="108"/>
      <c r="C53" s="111"/>
      <c r="D53" s="111"/>
      <c r="E53" s="111"/>
      <c r="F53" s="108"/>
      <c r="G53" s="108"/>
      <c r="H53" s="112"/>
      <c r="I53" s="111"/>
      <c r="J53" s="111"/>
      <c r="K53" s="111"/>
      <c r="L53" s="108"/>
      <c r="M53" s="108"/>
      <c r="N53" s="108"/>
      <c r="O53" s="108"/>
      <c r="P53" s="111"/>
      <c r="Q53" s="111"/>
      <c r="R53" s="111"/>
      <c r="S53" s="108"/>
      <c r="T53" s="110"/>
    </row>
    <row r="54" spans="1:20" ht="17.45" customHeight="1" x14ac:dyDescent="0.25">
      <c r="A54" s="113"/>
      <c r="B54" s="108"/>
      <c r="C54" s="111"/>
      <c r="D54" s="111"/>
      <c r="E54" s="111"/>
      <c r="F54" s="108"/>
      <c r="G54" s="108"/>
      <c r="H54" s="112"/>
      <c r="I54" s="111"/>
      <c r="J54" s="111"/>
      <c r="K54" s="111"/>
      <c r="L54" s="108"/>
      <c r="M54" s="108"/>
      <c r="N54" s="108"/>
      <c r="O54" s="108"/>
      <c r="P54" s="111"/>
      <c r="Q54" s="111"/>
      <c r="R54" s="111"/>
      <c r="S54" s="108"/>
      <c r="T54" s="110"/>
    </row>
    <row r="55" spans="1:20" ht="17.45" customHeight="1" x14ac:dyDescent="0.25">
      <c r="A55" s="113"/>
      <c r="B55" s="108"/>
      <c r="C55" s="111"/>
      <c r="D55" s="111"/>
      <c r="E55" s="111"/>
      <c r="F55" s="108"/>
      <c r="G55" s="108"/>
      <c r="H55" s="112"/>
      <c r="I55" s="111"/>
      <c r="J55" s="111"/>
      <c r="K55" s="111"/>
      <c r="L55" s="108"/>
      <c r="M55" s="108"/>
      <c r="N55" s="108"/>
      <c r="O55" s="108"/>
      <c r="P55" s="111"/>
      <c r="Q55" s="111"/>
      <c r="R55" s="111"/>
      <c r="S55" s="108"/>
      <c r="T55" s="110"/>
    </row>
    <row r="56" spans="1:20" ht="17.45" customHeight="1" x14ac:dyDescent="0.25">
      <c r="A56" s="113"/>
      <c r="B56" s="108"/>
      <c r="C56" s="111"/>
      <c r="D56" s="111"/>
      <c r="E56" s="111"/>
      <c r="F56" s="108"/>
      <c r="G56" s="108"/>
      <c r="H56" s="112"/>
      <c r="I56" s="111"/>
      <c r="J56" s="111"/>
      <c r="K56" s="111"/>
      <c r="L56" s="108"/>
      <c r="M56" s="108"/>
      <c r="N56" s="108"/>
      <c r="O56" s="108"/>
      <c r="P56" s="111"/>
      <c r="Q56" s="111"/>
      <c r="R56" s="111"/>
      <c r="S56" s="108"/>
      <c r="T56" s="110"/>
    </row>
    <row r="57" spans="1:20" ht="17.45" customHeight="1" x14ac:dyDescent="0.25">
      <c r="A57" s="113"/>
      <c r="B57" s="108"/>
      <c r="C57" s="111"/>
      <c r="D57" s="111"/>
      <c r="E57" s="111"/>
      <c r="F57" s="108"/>
      <c r="G57" s="108"/>
      <c r="H57" s="112"/>
      <c r="I57" s="111"/>
      <c r="J57" s="111"/>
      <c r="K57" s="111"/>
      <c r="L57" s="108"/>
      <c r="M57" s="108"/>
      <c r="N57" s="108"/>
      <c r="O57" s="108"/>
      <c r="P57" s="111"/>
      <c r="Q57" s="111"/>
      <c r="R57" s="111"/>
      <c r="S57" s="108"/>
      <c r="T57" s="110"/>
    </row>
    <row r="58" spans="1:20" ht="17.45" customHeight="1" x14ac:dyDescent="0.25">
      <c r="A58" s="113"/>
      <c r="B58" s="108"/>
      <c r="C58" s="111"/>
      <c r="D58" s="111"/>
      <c r="E58" s="111"/>
      <c r="F58" s="108"/>
      <c r="G58" s="108"/>
      <c r="H58" s="112"/>
      <c r="I58" s="111"/>
      <c r="J58" s="111"/>
      <c r="K58" s="111"/>
      <c r="L58" s="108"/>
      <c r="M58" s="108"/>
      <c r="N58" s="108"/>
      <c r="O58" s="108"/>
      <c r="P58" s="111"/>
      <c r="Q58" s="111"/>
      <c r="R58" s="111"/>
      <c r="S58" s="108"/>
      <c r="T58" s="110"/>
    </row>
    <row r="59" spans="1:20" ht="17.45" customHeight="1" x14ac:dyDescent="0.25">
      <c r="A59" s="113"/>
      <c r="B59" s="108"/>
      <c r="C59" s="111"/>
      <c r="D59" s="111"/>
      <c r="E59" s="111"/>
      <c r="F59" s="108"/>
      <c r="G59" s="108"/>
      <c r="H59" s="112"/>
      <c r="I59" s="111"/>
      <c r="J59" s="111"/>
      <c r="K59" s="111"/>
      <c r="L59" s="108"/>
      <c r="M59" s="108"/>
      <c r="N59" s="108"/>
      <c r="O59" s="108"/>
      <c r="P59" s="111"/>
      <c r="Q59" s="111"/>
      <c r="R59" s="111"/>
      <c r="S59" s="108"/>
      <c r="T59" s="110"/>
    </row>
    <row r="60" spans="1:20" ht="17.45" customHeight="1" x14ac:dyDescent="0.25">
      <c r="A60" s="113"/>
      <c r="B60" s="108"/>
      <c r="C60" s="111"/>
      <c r="D60" s="111"/>
      <c r="E60" s="111"/>
      <c r="F60" s="108"/>
      <c r="G60" s="108"/>
      <c r="H60" s="112"/>
      <c r="I60" s="111"/>
      <c r="J60" s="111"/>
      <c r="K60" s="111"/>
      <c r="L60" s="108"/>
      <c r="M60" s="108"/>
      <c r="N60" s="108"/>
      <c r="O60" s="108"/>
      <c r="P60" s="111"/>
      <c r="Q60" s="111"/>
      <c r="R60" s="111"/>
      <c r="S60" s="108"/>
      <c r="T60" s="110"/>
    </row>
    <row r="61" spans="1:20" ht="17.45" customHeight="1" x14ac:dyDescent="0.25">
      <c r="A61" s="113"/>
      <c r="B61" s="108"/>
      <c r="C61" s="111"/>
      <c r="D61" s="111"/>
      <c r="E61" s="111"/>
      <c r="F61" s="108"/>
      <c r="G61" s="108"/>
      <c r="H61" s="112"/>
      <c r="I61" s="111"/>
      <c r="J61" s="111"/>
      <c r="K61" s="111"/>
      <c r="L61" s="108"/>
      <c r="M61" s="108"/>
      <c r="N61" s="108"/>
      <c r="O61" s="108"/>
      <c r="P61" s="111"/>
      <c r="Q61" s="111"/>
      <c r="R61" s="111"/>
      <c r="S61" s="108"/>
      <c r="T61" s="110"/>
    </row>
    <row r="62" spans="1:20" ht="17.45" customHeight="1" x14ac:dyDescent="0.25">
      <c r="A62" s="113"/>
      <c r="B62" s="108"/>
      <c r="C62" s="111"/>
      <c r="D62" s="111"/>
      <c r="E62" s="111"/>
      <c r="F62" s="108"/>
      <c r="G62" s="108"/>
      <c r="H62" s="112"/>
      <c r="I62" s="111"/>
      <c r="J62" s="111"/>
      <c r="K62" s="111"/>
      <c r="L62" s="108"/>
      <c r="M62" s="108"/>
      <c r="N62" s="108"/>
      <c r="O62" s="108"/>
      <c r="P62" s="111"/>
      <c r="Q62" s="111"/>
      <c r="R62" s="111"/>
      <c r="S62" s="108"/>
      <c r="T62" s="110"/>
    </row>
    <row r="63" spans="1:20" ht="17.45" customHeight="1" x14ac:dyDescent="0.25">
      <c r="A63" s="113"/>
      <c r="B63" s="108"/>
      <c r="C63" s="111"/>
      <c r="D63" s="111"/>
      <c r="E63" s="111"/>
      <c r="F63" s="108"/>
      <c r="G63" s="108"/>
      <c r="H63" s="112"/>
      <c r="I63" s="111"/>
      <c r="J63" s="111"/>
      <c r="K63" s="111"/>
      <c r="L63" s="108"/>
      <c r="M63" s="108"/>
      <c r="N63" s="108"/>
      <c r="O63" s="108"/>
      <c r="P63" s="111"/>
      <c r="Q63" s="111"/>
      <c r="R63" s="111"/>
      <c r="S63" s="108"/>
      <c r="T63" s="110"/>
    </row>
    <row r="64" spans="1:20" ht="17.45" customHeight="1" x14ac:dyDescent="0.25">
      <c r="A64" s="113"/>
      <c r="B64" s="108"/>
      <c r="C64" s="111"/>
      <c r="D64" s="111"/>
      <c r="E64" s="111"/>
      <c r="F64" s="108"/>
      <c r="G64" s="108"/>
      <c r="H64" s="112"/>
      <c r="I64" s="111"/>
      <c r="J64" s="111"/>
      <c r="K64" s="111"/>
      <c r="L64" s="108"/>
      <c r="M64" s="108"/>
      <c r="N64" s="108"/>
      <c r="O64" s="108"/>
      <c r="P64" s="111"/>
      <c r="Q64" s="111"/>
      <c r="R64" s="111"/>
      <c r="S64" s="108"/>
      <c r="T64" s="110"/>
    </row>
    <row r="65" spans="1:20" ht="17.45" customHeight="1" x14ac:dyDescent="0.25">
      <c r="A65" s="113"/>
      <c r="B65" s="108"/>
      <c r="C65" s="111"/>
      <c r="D65" s="111"/>
      <c r="E65" s="111"/>
      <c r="F65" s="108"/>
      <c r="G65" s="108"/>
      <c r="H65" s="112"/>
      <c r="I65" s="111"/>
      <c r="J65" s="111"/>
      <c r="K65" s="111"/>
      <c r="L65" s="108"/>
      <c r="M65" s="108"/>
      <c r="N65" s="108"/>
      <c r="O65" s="108"/>
      <c r="P65" s="111"/>
      <c r="Q65" s="111"/>
      <c r="R65" s="111"/>
      <c r="S65" s="108"/>
      <c r="T65" s="110"/>
    </row>
    <row r="66" spans="1:20" ht="17.45" customHeight="1" x14ac:dyDescent="0.25">
      <c r="A66" s="113"/>
      <c r="B66" s="108"/>
      <c r="C66" s="111"/>
      <c r="D66" s="111"/>
      <c r="E66" s="111"/>
      <c r="F66" s="108"/>
      <c r="G66" s="108"/>
      <c r="H66" s="112"/>
      <c r="I66" s="111"/>
      <c r="J66" s="111"/>
      <c r="K66" s="111"/>
      <c r="L66" s="108"/>
      <c r="M66" s="108"/>
      <c r="N66" s="108"/>
      <c r="O66" s="108"/>
      <c r="P66" s="111"/>
      <c r="Q66" s="111"/>
      <c r="R66" s="111"/>
      <c r="S66" s="108"/>
      <c r="T66" s="110"/>
    </row>
    <row r="67" spans="1:20" ht="17.45" customHeight="1" x14ac:dyDescent="0.25">
      <c r="A67" s="113"/>
      <c r="B67" s="108"/>
      <c r="C67" s="111"/>
      <c r="D67" s="111"/>
      <c r="E67" s="111"/>
      <c r="F67" s="108"/>
      <c r="G67" s="108"/>
      <c r="H67" s="112"/>
      <c r="I67" s="111"/>
      <c r="J67" s="111"/>
      <c r="K67" s="111"/>
      <c r="L67" s="108"/>
      <c r="M67" s="108"/>
      <c r="N67" s="108"/>
      <c r="O67" s="108"/>
      <c r="P67" s="111"/>
      <c r="Q67" s="111"/>
      <c r="R67" s="111"/>
      <c r="S67" s="108"/>
      <c r="T67" s="110"/>
    </row>
    <row r="68" spans="1:20" ht="17.45" customHeight="1" x14ac:dyDescent="0.25">
      <c r="A68" s="113"/>
      <c r="B68" s="108"/>
      <c r="C68" s="111"/>
      <c r="D68" s="111"/>
      <c r="E68" s="111"/>
      <c r="F68" s="108"/>
      <c r="G68" s="108"/>
      <c r="H68" s="112"/>
      <c r="I68" s="111"/>
      <c r="J68" s="111"/>
      <c r="K68" s="111"/>
      <c r="L68" s="108"/>
      <c r="M68" s="108"/>
      <c r="N68" s="108"/>
      <c r="O68" s="108"/>
      <c r="P68" s="111"/>
      <c r="Q68" s="111"/>
      <c r="R68" s="111"/>
      <c r="S68" s="108"/>
      <c r="T68" s="110"/>
    </row>
    <row r="69" spans="1:20" ht="17.45" customHeight="1" x14ac:dyDescent="0.25">
      <c r="A69" s="113"/>
      <c r="B69" s="108"/>
      <c r="C69" s="111"/>
      <c r="D69" s="111"/>
      <c r="E69" s="111"/>
      <c r="F69" s="108"/>
      <c r="G69" s="108"/>
      <c r="H69" s="112"/>
      <c r="I69" s="111"/>
      <c r="J69" s="111"/>
      <c r="K69" s="111"/>
      <c r="L69" s="108"/>
      <c r="M69" s="108"/>
      <c r="N69" s="108"/>
      <c r="O69" s="108"/>
      <c r="P69" s="111"/>
      <c r="Q69" s="111"/>
      <c r="R69" s="111"/>
      <c r="S69" s="108"/>
      <c r="T69" s="110"/>
    </row>
    <row r="70" spans="1:20" ht="17.45" customHeight="1" x14ac:dyDescent="0.25">
      <c r="A70" s="113"/>
      <c r="B70" s="108"/>
      <c r="C70" s="111"/>
      <c r="D70" s="111"/>
      <c r="E70" s="111"/>
      <c r="F70" s="108"/>
      <c r="G70" s="108"/>
      <c r="H70" s="112"/>
      <c r="I70" s="111"/>
      <c r="J70" s="111"/>
      <c r="K70" s="111"/>
      <c r="L70" s="108"/>
      <c r="M70" s="108"/>
      <c r="N70" s="108"/>
      <c r="O70" s="108"/>
      <c r="P70" s="111"/>
      <c r="Q70" s="111"/>
      <c r="R70" s="111"/>
      <c r="S70" s="108"/>
      <c r="T70" s="110"/>
    </row>
    <row r="71" spans="1:20" ht="17.45" customHeight="1" x14ac:dyDescent="0.25">
      <c r="A71" s="113"/>
      <c r="B71" s="108"/>
      <c r="C71" s="111"/>
      <c r="D71" s="111"/>
      <c r="E71" s="111"/>
      <c r="F71" s="108"/>
      <c r="G71" s="108"/>
      <c r="H71" s="112"/>
      <c r="I71" s="111"/>
      <c r="J71" s="111"/>
      <c r="K71" s="111"/>
      <c r="L71" s="108"/>
      <c r="M71" s="108"/>
      <c r="N71" s="108"/>
      <c r="O71" s="108"/>
      <c r="P71" s="111"/>
      <c r="Q71" s="111"/>
      <c r="R71" s="111"/>
      <c r="S71" s="108"/>
      <c r="T71" s="110"/>
    </row>
    <row r="72" spans="1:20" ht="17.45" customHeight="1" x14ac:dyDescent="0.25">
      <c r="A72" s="113"/>
      <c r="B72" s="108"/>
      <c r="C72" s="111"/>
      <c r="D72" s="111"/>
      <c r="E72" s="111"/>
      <c r="F72" s="108"/>
      <c r="G72" s="108"/>
      <c r="H72" s="112"/>
      <c r="I72" s="111"/>
      <c r="J72" s="111"/>
      <c r="K72" s="111"/>
      <c r="L72" s="108"/>
      <c r="M72" s="108"/>
      <c r="N72" s="108"/>
      <c r="O72" s="108"/>
      <c r="P72" s="111"/>
      <c r="Q72" s="111"/>
      <c r="R72" s="111"/>
      <c r="S72" s="108"/>
      <c r="T72" s="110"/>
    </row>
    <row r="73" spans="1:20" ht="17.45" customHeight="1" x14ac:dyDescent="0.25">
      <c r="A73" s="113"/>
      <c r="B73" s="108"/>
      <c r="C73" s="111"/>
      <c r="D73" s="111"/>
      <c r="E73" s="111"/>
      <c r="F73" s="108"/>
      <c r="G73" s="108"/>
      <c r="H73" s="112"/>
      <c r="I73" s="111"/>
      <c r="J73" s="111"/>
      <c r="K73" s="111"/>
      <c r="L73" s="108"/>
      <c r="M73" s="108"/>
      <c r="N73" s="108"/>
      <c r="O73" s="108"/>
      <c r="P73" s="111"/>
      <c r="Q73" s="111"/>
      <c r="R73" s="111"/>
      <c r="S73" s="108"/>
      <c r="T73" s="110"/>
    </row>
    <row r="74" spans="1:20" ht="17.45" customHeight="1" x14ac:dyDescent="0.25">
      <c r="A74" s="113"/>
      <c r="B74" s="108"/>
      <c r="C74" s="111"/>
      <c r="D74" s="111"/>
      <c r="E74" s="111"/>
      <c r="F74" s="108"/>
      <c r="G74" s="108"/>
      <c r="H74" s="112"/>
      <c r="I74" s="111"/>
      <c r="J74" s="111"/>
      <c r="K74" s="111"/>
      <c r="L74" s="108"/>
      <c r="M74" s="108"/>
      <c r="N74" s="108"/>
      <c r="O74" s="108"/>
      <c r="P74" s="111"/>
      <c r="Q74" s="111"/>
      <c r="R74" s="111"/>
      <c r="S74" s="108"/>
      <c r="T74" s="110"/>
    </row>
    <row r="75" spans="1:20" ht="17.45" customHeight="1" x14ac:dyDescent="0.25">
      <c r="A75" s="113"/>
      <c r="B75" s="108"/>
      <c r="C75" s="111"/>
      <c r="D75" s="111"/>
      <c r="E75" s="111"/>
      <c r="F75" s="108"/>
      <c r="G75" s="108"/>
      <c r="H75" s="112"/>
      <c r="I75" s="111"/>
      <c r="J75" s="111"/>
      <c r="K75" s="111"/>
      <c r="L75" s="108"/>
      <c r="M75" s="108"/>
      <c r="N75" s="108"/>
      <c r="O75" s="108"/>
      <c r="P75" s="111"/>
      <c r="Q75" s="111"/>
      <c r="R75" s="111"/>
      <c r="S75" s="108"/>
      <c r="T75" s="110"/>
    </row>
    <row r="76" spans="1:20" ht="17.45" customHeight="1" x14ac:dyDescent="0.25">
      <c r="A76" s="113"/>
      <c r="B76" s="108"/>
      <c r="C76" s="111"/>
      <c r="D76" s="111"/>
      <c r="E76" s="111"/>
      <c r="F76" s="108"/>
      <c r="G76" s="108"/>
      <c r="H76" s="112"/>
      <c r="I76" s="111"/>
      <c r="J76" s="111"/>
      <c r="K76" s="111"/>
      <c r="L76" s="108"/>
      <c r="M76" s="108"/>
      <c r="N76" s="108"/>
      <c r="O76" s="108"/>
      <c r="P76" s="111"/>
      <c r="Q76" s="111"/>
      <c r="R76" s="111"/>
      <c r="S76" s="108"/>
      <c r="T76" s="110"/>
    </row>
    <row r="77" spans="1:20" ht="27.6" customHeight="1" x14ac:dyDescent="0.25">
      <c r="A77" s="113"/>
      <c r="B77" s="108"/>
      <c r="C77" s="111"/>
      <c r="D77" s="111"/>
      <c r="E77" s="111"/>
      <c r="F77" s="108"/>
      <c r="G77" s="108"/>
      <c r="H77" s="112"/>
      <c r="I77" s="111"/>
      <c r="J77" s="111"/>
      <c r="K77" s="111"/>
      <c r="L77" s="108"/>
      <c r="M77" s="108"/>
      <c r="N77" s="108"/>
      <c r="O77" s="108"/>
      <c r="P77" s="111"/>
      <c r="Q77" s="111"/>
      <c r="R77" s="111"/>
      <c r="S77" s="108"/>
      <c r="T77" s="110"/>
    </row>
    <row r="78" spans="1:20" ht="27.6" customHeight="1" x14ac:dyDescent="0.25">
      <c r="A78" s="113"/>
      <c r="B78" s="108"/>
      <c r="C78" s="111"/>
      <c r="D78" s="111"/>
      <c r="E78" s="111"/>
      <c r="F78" s="108"/>
      <c r="G78" s="108"/>
      <c r="H78" s="112"/>
      <c r="I78" s="111"/>
      <c r="J78" s="111"/>
      <c r="K78" s="111"/>
      <c r="L78" s="108"/>
      <c r="M78" s="108"/>
      <c r="N78" s="108"/>
      <c r="O78" s="108"/>
      <c r="P78" s="111"/>
      <c r="Q78" s="111"/>
      <c r="R78" s="111"/>
      <c r="S78" s="108"/>
      <c r="T78" s="110"/>
    </row>
    <row r="79" spans="1:20" x14ac:dyDescent="0.25">
      <c r="A79" s="113"/>
      <c r="B79" s="108"/>
      <c r="C79" s="111"/>
      <c r="D79" s="111"/>
      <c r="E79" s="111"/>
      <c r="F79" s="108"/>
      <c r="G79" s="108"/>
      <c r="H79" s="112"/>
      <c r="I79" s="111"/>
      <c r="J79" s="111"/>
      <c r="K79" s="111"/>
      <c r="L79" s="108"/>
      <c r="M79" s="108"/>
      <c r="N79" s="108"/>
      <c r="O79" s="108"/>
      <c r="P79" s="111"/>
      <c r="Q79" s="111"/>
      <c r="R79" s="111"/>
      <c r="S79" s="108"/>
      <c r="T79" s="110"/>
    </row>
    <row r="80" spans="1:20" x14ac:dyDescent="0.25">
      <c r="A80" s="113"/>
      <c r="B80" s="108"/>
      <c r="C80" s="111"/>
      <c r="D80" s="111"/>
      <c r="E80" s="111"/>
      <c r="F80" s="108"/>
      <c r="G80" s="108"/>
      <c r="H80" s="112"/>
      <c r="I80" s="111"/>
      <c r="J80" s="111"/>
      <c r="K80" s="111"/>
      <c r="L80" s="108"/>
      <c r="M80" s="108"/>
      <c r="N80" s="108"/>
      <c r="O80" s="108"/>
      <c r="P80" s="111"/>
      <c r="Q80" s="111"/>
      <c r="R80" s="111"/>
      <c r="S80" s="108"/>
      <c r="T80" s="110"/>
    </row>
    <row r="81" spans="1:20" x14ac:dyDescent="0.25">
      <c r="A81" s="113"/>
      <c r="B81" s="108"/>
      <c r="C81" s="111"/>
      <c r="D81" s="111"/>
      <c r="E81" s="111"/>
      <c r="F81" s="108"/>
      <c r="G81" s="108"/>
      <c r="H81" s="112"/>
      <c r="I81" s="111"/>
      <c r="J81" s="111"/>
      <c r="K81" s="111"/>
      <c r="L81" s="108"/>
      <c r="M81" s="108"/>
      <c r="N81" s="108"/>
      <c r="O81" s="108"/>
      <c r="P81" s="111"/>
      <c r="Q81" s="111"/>
      <c r="R81" s="111"/>
      <c r="S81" s="108"/>
      <c r="T81" s="110"/>
    </row>
    <row r="82" spans="1:20" x14ac:dyDescent="0.25">
      <c r="A82" s="113"/>
      <c r="B82" s="108"/>
      <c r="C82" s="111"/>
      <c r="D82" s="111"/>
      <c r="E82" s="111"/>
      <c r="F82" s="108"/>
      <c r="G82" s="108"/>
      <c r="H82" s="112"/>
      <c r="I82" s="111"/>
      <c r="J82" s="111"/>
      <c r="K82" s="111"/>
      <c r="L82" s="108"/>
      <c r="M82" s="108"/>
      <c r="N82" s="108"/>
      <c r="O82" s="108"/>
      <c r="P82" s="111"/>
      <c r="Q82" s="111"/>
      <c r="R82" s="111"/>
      <c r="S82" s="108"/>
      <c r="T82" s="110"/>
    </row>
    <row r="83" spans="1:20" x14ac:dyDescent="0.25">
      <c r="A83" s="113"/>
      <c r="B83" s="108"/>
      <c r="C83" s="111"/>
      <c r="D83" s="111"/>
      <c r="E83" s="111"/>
      <c r="F83" s="108"/>
      <c r="G83" s="108"/>
      <c r="H83" s="112"/>
      <c r="I83" s="111"/>
      <c r="J83" s="111"/>
      <c r="K83" s="111"/>
      <c r="L83" s="108"/>
      <c r="M83" s="108"/>
      <c r="N83" s="108"/>
      <c r="O83" s="108"/>
      <c r="P83" s="111"/>
      <c r="Q83" s="111"/>
      <c r="R83" s="111"/>
      <c r="S83" s="108"/>
      <c r="T83" s="110"/>
    </row>
    <row r="84" spans="1:20" x14ac:dyDescent="0.25">
      <c r="A84" s="113"/>
      <c r="B84" s="108"/>
      <c r="C84" s="111"/>
      <c r="D84" s="111"/>
      <c r="E84" s="111"/>
      <c r="F84" s="108"/>
      <c r="G84" s="108"/>
      <c r="H84" s="112"/>
      <c r="I84" s="111"/>
      <c r="J84" s="111"/>
      <c r="K84" s="111"/>
      <c r="L84" s="108"/>
      <c r="M84" s="108"/>
      <c r="N84" s="108"/>
      <c r="O84" s="108"/>
      <c r="P84" s="111"/>
      <c r="Q84" s="111"/>
      <c r="R84" s="111"/>
      <c r="S84" s="108"/>
      <c r="T84" s="110"/>
    </row>
    <row r="85" spans="1:20" x14ac:dyDescent="0.25">
      <c r="A85" s="113"/>
      <c r="B85" s="108"/>
      <c r="C85" s="111"/>
      <c r="D85" s="111"/>
      <c r="E85" s="111"/>
      <c r="F85" s="108"/>
      <c r="G85" s="108"/>
      <c r="H85" s="112"/>
      <c r="I85" s="111"/>
      <c r="J85" s="111"/>
      <c r="K85" s="111"/>
      <c r="L85" s="108"/>
      <c r="M85" s="108"/>
      <c r="N85" s="108"/>
      <c r="O85" s="108"/>
      <c r="P85" s="111"/>
      <c r="Q85" s="111"/>
      <c r="R85" s="111"/>
      <c r="S85" s="108"/>
      <c r="T85" s="110"/>
    </row>
    <row r="86" spans="1:20" x14ac:dyDescent="0.25">
      <c r="A86" s="113"/>
      <c r="B86" s="108"/>
      <c r="C86" s="111"/>
      <c r="D86" s="111"/>
      <c r="E86" s="111"/>
      <c r="F86" s="108"/>
      <c r="G86" s="108"/>
      <c r="H86" s="112"/>
      <c r="I86" s="111"/>
      <c r="J86" s="111"/>
      <c r="K86" s="111"/>
      <c r="L86" s="108"/>
      <c r="M86" s="108"/>
      <c r="N86" s="108"/>
      <c r="O86" s="108"/>
      <c r="P86" s="111"/>
      <c r="Q86" s="111"/>
      <c r="R86" s="111"/>
      <c r="S86" s="108"/>
      <c r="T86" s="110"/>
    </row>
    <row r="87" spans="1:20" x14ac:dyDescent="0.25">
      <c r="A87" s="113"/>
      <c r="B87" s="108"/>
      <c r="C87" s="111"/>
      <c r="D87" s="111"/>
      <c r="E87" s="111"/>
      <c r="F87" s="108"/>
      <c r="G87" s="108"/>
      <c r="H87" s="112"/>
      <c r="I87" s="111"/>
      <c r="J87" s="111"/>
      <c r="K87" s="111"/>
      <c r="L87" s="108"/>
      <c r="M87" s="108"/>
      <c r="N87" s="108"/>
      <c r="O87" s="108"/>
      <c r="P87" s="111"/>
      <c r="Q87" s="111"/>
      <c r="R87" s="111"/>
      <c r="S87" s="108"/>
      <c r="T87" s="110"/>
    </row>
    <row r="88" spans="1:20" x14ac:dyDescent="0.25">
      <c r="A88" s="113"/>
      <c r="B88" s="108"/>
      <c r="C88" s="111"/>
      <c r="D88" s="111"/>
      <c r="E88" s="111"/>
      <c r="F88" s="108"/>
      <c r="G88" s="108"/>
      <c r="H88" s="112"/>
      <c r="I88" s="111"/>
      <c r="J88" s="111"/>
      <c r="K88" s="111"/>
      <c r="L88" s="108"/>
      <c r="M88" s="108"/>
      <c r="N88" s="108"/>
      <c r="O88" s="108"/>
      <c r="P88" s="111"/>
      <c r="Q88" s="111"/>
      <c r="R88" s="111"/>
      <c r="S88" s="108"/>
      <c r="T88" s="110"/>
    </row>
    <row r="89" spans="1:20" x14ac:dyDescent="0.25">
      <c r="A89" s="113"/>
      <c r="B89" s="108"/>
      <c r="C89" s="111"/>
      <c r="D89" s="111"/>
      <c r="E89" s="111"/>
      <c r="F89" s="108"/>
      <c r="G89" s="108"/>
      <c r="H89" s="112"/>
      <c r="I89" s="111"/>
      <c r="J89" s="111"/>
      <c r="K89" s="111"/>
      <c r="L89" s="108"/>
      <c r="M89" s="108"/>
      <c r="N89" s="108"/>
      <c r="O89" s="108"/>
      <c r="P89" s="111"/>
      <c r="Q89" s="111"/>
      <c r="R89" s="111"/>
      <c r="S89" s="108"/>
      <c r="T89" s="110"/>
    </row>
    <row r="90" spans="1:20" x14ac:dyDescent="0.25">
      <c r="A90" s="113"/>
      <c r="B90" s="108"/>
      <c r="C90" s="111"/>
      <c r="D90" s="111"/>
      <c r="E90" s="111"/>
      <c r="F90" s="108"/>
      <c r="G90" s="108"/>
      <c r="H90" s="112"/>
      <c r="I90" s="111"/>
      <c r="J90" s="111"/>
      <c r="K90" s="111"/>
      <c r="L90" s="108"/>
      <c r="M90" s="108"/>
      <c r="N90" s="108"/>
      <c r="O90" s="108"/>
      <c r="P90" s="111"/>
      <c r="Q90" s="111"/>
      <c r="R90" s="111"/>
      <c r="S90" s="108"/>
      <c r="T90" s="110"/>
    </row>
    <row r="91" spans="1:20" x14ac:dyDescent="0.25">
      <c r="A91" s="113"/>
      <c r="B91" s="108"/>
      <c r="C91" s="111"/>
      <c r="D91" s="111"/>
      <c r="E91" s="111"/>
      <c r="F91" s="108"/>
      <c r="G91" s="108"/>
      <c r="H91" s="112"/>
      <c r="I91" s="111"/>
      <c r="J91" s="111"/>
      <c r="K91" s="111"/>
      <c r="L91" s="108"/>
      <c r="M91" s="108"/>
      <c r="N91" s="108"/>
      <c r="O91" s="108"/>
      <c r="P91" s="111"/>
      <c r="Q91" s="111"/>
      <c r="R91" s="111"/>
      <c r="S91" s="108"/>
      <c r="T91" s="110"/>
    </row>
    <row r="92" spans="1:20" x14ac:dyDescent="0.25">
      <c r="A92" s="113"/>
      <c r="B92" s="108"/>
      <c r="C92" s="111"/>
      <c r="D92" s="111"/>
      <c r="E92" s="111"/>
      <c r="F92" s="108"/>
      <c r="G92" s="108"/>
      <c r="H92" s="112"/>
      <c r="I92" s="111"/>
      <c r="J92" s="111"/>
      <c r="K92" s="111"/>
      <c r="L92" s="108"/>
      <c r="M92" s="108"/>
      <c r="N92" s="108"/>
      <c r="O92" s="108"/>
      <c r="P92" s="111"/>
      <c r="Q92" s="111"/>
      <c r="R92" s="111"/>
      <c r="S92" s="108"/>
      <c r="T92" s="110"/>
    </row>
    <row r="93" spans="1:20" x14ac:dyDescent="0.25">
      <c r="A93" s="113"/>
      <c r="B93" s="108"/>
      <c r="C93" s="111"/>
      <c r="D93" s="111"/>
      <c r="E93" s="111"/>
      <c r="F93" s="108"/>
      <c r="G93" s="108"/>
      <c r="H93" s="112"/>
      <c r="I93" s="111"/>
      <c r="J93" s="111"/>
      <c r="K93" s="111"/>
      <c r="L93" s="108"/>
      <c r="M93" s="108"/>
      <c r="N93" s="108"/>
      <c r="O93" s="108"/>
      <c r="P93" s="111"/>
      <c r="Q93" s="111"/>
      <c r="R93" s="111"/>
      <c r="S93" s="108"/>
      <c r="T93" s="110"/>
    </row>
    <row r="94" spans="1:20" x14ac:dyDescent="0.25">
      <c r="A94" s="113"/>
      <c r="B94" s="108"/>
      <c r="C94" s="111"/>
      <c r="D94" s="111"/>
      <c r="E94" s="111"/>
      <c r="F94" s="108"/>
      <c r="G94" s="108"/>
      <c r="H94" s="112"/>
      <c r="I94" s="111"/>
      <c r="J94" s="111"/>
      <c r="K94" s="111"/>
      <c r="L94" s="108"/>
      <c r="M94" s="108"/>
      <c r="N94" s="108"/>
      <c r="O94" s="108"/>
      <c r="P94" s="111"/>
      <c r="Q94" s="111"/>
      <c r="R94" s="111"/>
      <c r="S94" s="108"/>
      <c r="T94" s="110"/>
    </row>
    <row r="95" spans="1:20" x14ac:dyDescent="0.25">
      <c r="A95" s="113"/>
      <c r="B95" s="108"/>
      <c r="C95" s="111"/>
      <c r="D95" s="111"/>
      <c r="E95" s="111"/>
      <c r="F95" s="108"/>
      <c r="G95" s="108"/>
      <c r="H95" s="112"/>
      <c r="I95" s="111"/>
      <c r="J95" s="111"/>
      <c r="K95" s="111"/>
      <c r="L95" s="108"/>
      <c r="M95" s="108"/>
      <c r="N95" s="108"/>
      <c r="O95" s="108"/>
      <c r="P95" s="111"/>
      <c r="Q95" s="111"/>
      <c r="R95" s="111"/>
      <c r="S95" s="108"/>
      <c r="T95" s="110"/>
    </row>
    <row r="96" spans="1:20" x14ac:dyDescent="0.25">
      <c r="A96" s="113"/>
      <c r="B96" s="108"/>
      <c r="C96" s="111"/>
      <c r="D96" s="111"/>
      <c r="E96" s="111"/>
      <c r="F96" s="108"/>
      <c r="G96" s="108"/>
      <c r="H96" s="112"/>
      <c r="I96" s="111"/>
      <c r="J96" s="111"/>
      <c r="K96" s="111"/>
      <c r="L96" s="108"/>
      <c r="M96" s="108"/>
      <c r="N96" s="108"/>
      <c r="O96" s="108"/>
      <c r="P96" s="111"/>
      <c r="Q96" s="111"/>
      <c r="R96" s="111"/>
      <c r="S96" s="108"/>
      <c r="T96" s="110"/>
    </row>
    <row r="97" spans="1:20" x14ac:dyDescent="0.25">
      <c r="A97" s="113"/>
      <c r="B97" s="108"/>
      <c r="C97" s="111"/>
      <c r="D97" s="111"/>
      <c r="E97" s="111"/>
      <c r="F97" s="108"/>
      <c r="G97" s="108"/>
      <c r="H97" s="112"/>
      <c r="I97" s="111"/>
      <c r="J97" s="111"/>
      <c r="K97" s="111"/>
      <c r="L97" s="108"/>
      <c r="M97" s="108"/>
      <c r="N97" s="108"/>
      <c r="O97" s="108"/>
      <c r="P97" s="111"/>
      <c r="Q97" s="111"/>
      <c r="R97" s="111"/>
      <c r="S97" s="108"/>
      <c r="T97" s="110"/>
    </row>
    <row r="98" spans="1:20" x14ac:dyDescent="0.25">
      <c r="A98" s="113"/>
      <c r="B98" s="108"/>
      <c r="C98" s="111"/>
      <c r="D98" s="111"/>
      <c r="E98" s="111"/>
      <c r="F98" s="108"/>
      <c r="G98" s="108"/>
      <c r="H98" s="112"/>
      <c r="I98" s="111"/>
      <c r="J98" s="111"/>
      <c r="K98" s="111"/>
      <c r="L98" s="108"/>
      <c r="M98" s="108"/>
      <c r="N98" s="108"/>
      <c r="O98" s="108"/>
      <c r="P98" s="111"/>
      <c r="Q98" s="111"/>
      <c r="R98" s="111"/>
      <c r="S98" s="108"/>
      <c r="T98" s="110"/>
    </row>
    <row r="99" spans="1:20" x14ac:dyDescent="0.25">
      <c r="A99" s="113"/>
      <c r="B99" s="108"/>
      <c r="C99" s="111"/>
      <c r="D99" s="111"/>
      <c r="E99" s="111"/>
      <c r="F99" s="108"/>
      <c r="G99" s="108"/>
      <c r="H99" s="112"/>
      <c r="I99" s="111"/>
      <c r="J99" s="111"/>
      <c r="K99" s="111"/>
      <c r="L99" s="108"/>
      <c r="M99" s="108"/>
      <c r="N99" s="108"/>
      <c r="O99" s="108"/>
      <c r="P99" s="111"/>
      <c r="Q99" s="111"/>
      <c r="R99" s="111"/>
      <c r="S99" s="108"/>
      <c r="T99" s="110"/>
    </row>
    <row r="100" spans="1:20" x14ac:dyDescent="0.25">
      <c r="A100" s="113"/>
      <c r="B100" s="108"/>
      <c r="C100" s="111"/>
      <c r="D100" s="111"/>
      <c r="E100" s="111"/>
      <c r="F100" s="108"/>
      <c r="G100" s="108"/>
      <c r="H100" s="112"/>
      <c r="I100" s="111"/>
      <c r="J100" s="111"/>
      <c r="K100" s="111"/>
      <c r="L100" s="108"/>
      <c r="M100" s="108"/>
      <c r="N100" s="108"/>
      <c r="O100" s="108"/>
      <c r="P100" s="111"/>
      <c r="Q100" s="111"/>
      <c r="R100" s="111"/>
      <c r="S100" s="108"/>
      <c r="T100" s="110"/>
    </row>
    <row r="101" spans="1:20" x14ac:dyDescent="0.25">
      <c r="A101" s="113"/>
      <c r="B101" s="108"/>
      <c r="C101" s="111"/>
      <c r="D101" s="111"/>
      <c r="E101" s="111"/>
      <c r="F101" s="108"/>
      <c r="G101" s="108"/>
      <c r="H101" s="112"/>
      <c r="I101" s="111"/>
      <c r="J101" s="111"/>
      <c r="K101" s="111"/>
      <c r="L101" s="108"/>
      <c r="M101" s="108"/>
      <c r="N101" s="108"/>
      <c r="O101" s="108"/>
      <c r="P101" s="111"/>
      <c r="Q101" s="111"/>
      <c r="R101" s="111"/>
      <c r="S101" s="108"/>
      <c r="T101" s="110"/>
    </row>
    <row r="102" spans="1:20" x14ac:dyDescent="0.25">
      <c r="A102" s="113"/>
      <c r="B102" s="108"/>
      <c r="C102" s="111"/>
      <c r="D102" s="111"/>
      <c r="E102" s="111"/>
      <c r="F102" s="108"/>
      <c r="G102" s="108"/>
      <c r="H102" s="112"/>
      <c r="I102" s="111"/>
      <c r="J102" s="111"/>
      <c r="K102" s="111"/>
      <c r="L102" s="108"/>
      <c r="M102" s="108"/>
      <c r="N102" s="108"/>
      <c r="O102" s="108"/>
      <c r="P102" s="111"/>
      <c r="Q102" s="111"/>
      <c r="R102" s="111"/>
      <c r="S102" s="108"/>
      <c r="T102" s="110"/>
    </row>
    <row r="103" spans="1:20" x14ac:dyDescent="0.25">
      <c r="A103" s="113"/>
      <c r="B103" s="108"/>
      <c r="C103" s="111"/>
      <c r="D103" s="111"/>
      <c r="E103" s="111"/>
      <c r="F103" s="108"/>
      <c r="G103" s="108"/>
      <c r="H103" s="112"/>
      <c r="I103" s="111"/>
      <c r="J103" s="111"/>
      <c r="K103" s="111"/>
      <c r="L103" s="108"/>
      <c r="M103" s="108"/>
      <c r="N103" s="108"/>
      <c r="O103" s="108"/>
      <c r="P103" s="111"/>
      <c r="Q103" s="111"/>
      <c r="R103" s="111"/>
      <c r="S103" s="108"/>
      <c r="T103" s="110"/>
    </row>
    <row r="104" spans="1:20" x14ac:dyDescent="0.25">
      <c r="A104" s="113"/>
      <c r="B104" s="108"/>
      <c r="C104" s="111"/>
      <c r="D104" s="111"/>
      <c r="E104" s="111"/>
      <c r="F104" s="108"/>
      <c r="G104" s="108"/>
      <c r="H104" s="112"/>
      <c r="I104" s="111"/>
      <c r="J104" s="111"/>
      <c r="K104" s="111"/>
      <c r="L104" s="108"/>
      <c r="M104" s="108"/>
      <c r="N104" s="108"/>
      <c r="O104" s="108"/>
      <c r="P104" s="111"/>
      <c r="Q104" s="111"/>
      <c r="R104" s="111"/>
      <c r="S104" s="108"/>
      <c r="T104" s="110"/>
    </row>
    <row r="105" spans="1:20" x14ac:dyDescent="0.25">
      <c r="A105" s="113"/>
      <c r="B105" s="108"/>
      <c r="C105" s="111"/>
      <c r="D105" s="111"/>
      <c r="E105" s="111"/>
      <c r="F105" s="108"/>
      <c r="G105" s="108"/>
      <c r="H105" s="112"/>
      <c r="I105" s="111"/>
      <c r="J105" s="111"/>
      <c r="K105" s="111"/>
      <c r="L105" s="108"/>
      <c r="M105" s="108"/>
      <c r="N105" s="108"/>
      <c r="O105" s="108"/>
      <c r="P105" s="111"/>
      <c r="Q105" s="111"/>
      <c r="R105" s="111"/>
      <c r="S105" s="108"/>
      <c r="T105" s="110"/>
    </row>
    <row r="106" spans="1:20" x14ac:dyDescent="0.25">
      <c r="A106" s="113"/>
      <c r="B106" s="108"/>
      <c r="C106" s="111"/>
      <c r="D106" s="111"/>
      <c r="E106" s="111"/>
      <c r="F106" s="108"/>
      <c r="G106" s="108"/>
      <c r="H106" s="112"/>
      <c r="I106" s="111"/>
      <c r="J106" s="111"/>
      <c r="K106" s="111"/>
      <c r="L106" s="108"/>
      <c r="M106" s="108"/>
      <c r="N106" s="108"/>
      <c r="O106" s="108"/>
      <c r="P106" s="111"/>
      <c r="Q106" s="111"/>
      <c r="R106" s="111"/>
      <c r="S106" s="108"/>
      <c r="T106" s="110"/>
    </row>
    <row r="107" spans="1:20" x14ac:dyDescent="0.25">
      <c r="A107" s="113"/>
      <c r="B107" s="108"/>
      <c r="C107" s="111"/>
      <c r="D107" s="111"/>
      <c r="E107" s="111"/>
      <c r="F107" s="108"/>
      <c r="G107" s="108"/>
      <c r="H107" s="112"/>
      <c r="I107" s="111"/>
      <c r="J107" s="111"/>
      <c r="K107" s="111"/>
      <c r="L107" s="108"/>
      <c r="M107" s="108"/>
      <c r="N107" s="108"/>
      <c r="O107" s="108"/>
      <c r="P107" s="111"/>
      <c r="Q107" s="111"/>
      <c r="R107" s="111"/>
      <c r="S107" s="108"/>
      <c r="T107" s="110"/>
    </row>
    <row r="108" spans="1:20" x14ac:dyDescent="0.25">
      <c r="A108" s="113"/>
      <c r="B108" s="108"/>
      <c r="C108" s="111"/>
      <c r="D108" s="111"/>
      <c r="E108" s="111"/>
      <c r="F108" s="108"/>
      <c r="G108" s="108"/>
      <c r="H108" s="112"/>
      <c r="I108" s="111"/>
      <c r="J108" s="111"/>
      <c r="K108" s="111"/>
      <c r="L108" s="108"/>
      <c r="M108" s="108"/>
      <c r="N108" s="108"/>
      <c r="O108" s="108"/>
      <c r="P108" s="111"/>
      <c r="Q108" s="111"/>
      <c r="R108" s="111"/>
      <c r="S108" s="108"/>
      <c r="T108" s="110"/>
    </row>
    <row r="109" spans="1:20" x14ac:dyDescent="0.25">
      <c r="A109" s="113"/>
      <c r="B109" s="108"/>
      <c r="C109" s="111"/>
      <c r="D109" s="111"/>
      <c r="E109" s="111"/>
      <c r="F109" s="108"/>
      <c r="G109" s="108"/>
      <c r="H109" s="112"/>
      <c r="I109" s="111"/>
      <c r="J109" s="111"/>
      <c r="K109" s="111"/>
      <c r="L109" s="108"/>
      <c r="M109" s="108"/>
      <c r="N109" s="108"/>
      <c r="O109" s="108"/>
      <c r="P109" s="111"/>
      <c r="Q109" s="111"/>
      <c r="R109" s="111"/>
      <c r="S109" s="108"/>
      <c r="T109" s="110"/>
    </row>
    <row r="110" spans="1:20" x14ac:dyDescent="0.25">
      <c r="A110" s="113"/>
      <c r="B110" s="108"/>
      <c r="C110" s="111"/>
      <c r="D110" s="111"/>
      <c r="E110" s="111"/>
      <c r="F110" s="108"/>
      <c r="G110" s="108"/>
      <c r="H110" s="112"/>
      <c r="I110" s="111"/>
      <c r="J110" s="111"/>
      <c r="K110" s="111"/>
      <c r="L110" s="108"/>
      <c r="M110" s="108"/>
      <c r="N110" s="108"/>
      <c r="O110" s="108"/>
      <c r="P110" s="111"/>
      <c r="Q110" s="111"/>
      <c r="R110" s="111"/>
      <c r="S110" s="108"/>
      <c r="T110" s="110"/>
    </row>
    <row r="111" spans="1:20" x14ac:dyDescent="0.25">
      <c r="A111" s="113"/>
      <c r="B111" s="108"/>
      <c r="C111" s="111"/>
      <c r="D111" s="111"/>
      <c r="E111" s="111"/>
      <c r="F111" s="108"/>
      <c r="G111" s="108"/>
      <c r="H111" s="112"/>
      <c r="I111" s="111"/>
      <c r="J111" s="111"/>
      <c r="K111" s="111"/>
      <c r="L111" s="108"/>
      <c r="M111" s="108"/>
      <c r="N111" s="108"/>
      <c r="O111" s="108"/>
      <c r="P111" s="111"/>
      <c r="Q111" s="111"/>
      <c r="R111" s="111"/>
      <c r="S111" s="108"/>
      <c r="T111" s="110"/>
    </row>
    <row r="112" spans="1:20" x14ac:dyDescent="0.25">
      <c r="A112" s="113"/>
      <c r="B112" s="108"/>
      <c r="C112" s="111"/>
      <c r="D112" s="111"/>
      <c r="E112" s="111"/>
      <c r="F112" s="108"/>
      <c r="G112" s="108"/>
      <c r="H112" s="112"/>
      <c r="I112" s="111"/>
      <c r="J112" s="111"/>
      <c r="K112" s="111"/>
      <c r="L112" s="108"/>
      <c r="M112" s="108"/>
      <c r="N112" s="108"/>
      <c r="O112" s="108"/>
      <c r="P112" s="111"/>
      <c r="Q112" s="111"/>
      <c r="R112" s="111"/>
      <c r="S112" s="108"/>
      <c r="T112" s="110"/>
    </row>
    <row r="113" spans="1:20" x14ac:dyDescent="0.25">
      <c r="A113" s="113"/>
      <c r="B113" s="108"/>
      <c r="C113" s="111"/>
      <c r="D113" s="111"/>
      <c r="E113" s="111"/>
      <c r="F113" s="108"/>
      <c r="G113" s="108"/>
      <c r="H113" s="112"/>
      <c r="I113" s="111"/>
      <c r="J113" s="111"/>
      <c r="K113" s="111"/>
      <c r="L113" s="108"/>
      <c r="M113" s="108"/>
      <c r="N113" s="108"/>
      <c r="O113" s="108"/>
      <c r="P113" s="111"/>
      <c r="Q113" s="111"/>
      <c r="R113" s="111"/>
      <c r="S113" s="108"/>
      <c r="T113" s="110"/>
    </row>
    <row r="114" spans="1:20" x14ac:dyDescent="0.25">
      <c r="A114" s="113"/>
      <c r="B114" s="108"/>
      <c r="C114" s="111"/>
      <c r="D114" s="111"/>
      <c r="E114" s="111"/>
      <c r="F114" s="108"/>
      <c r="G114" s="108"/>
      <c r="H114" s="112"/>
      <c r="I114" s="111"/>
      <c r="J114" s="111"/>
      <c r="K114" s="111"/>
      <c r="L114" s="108"/>
      <c r="M114" s="108"/>
      <c r="N114" s="108"/>
      <c r="O114" s="108"/>
      <c r="P114" s="111"/>
      <c r="Q114" s="111"/>
      <c r="R114" s="111"/>
      <c r="S114" s="108"/>
      <c r="T114" s="110"/>
    </row>
    <row r="115" spans="1:20" x14ac:dyDescent="0.25">
      <c r="A115" s="113"/>
      <c r="B115" s="108"/>
      <c r="C115" s="111"/>
      <c r="D115" s="111"/>
      <c r="E115" s="111"/>
      <c r="F115" s="108"/>
      <c r="G115" s="108"/>
      <c r="H115" s="112"/>
      <c r="I115" s="111"/>
      <c r="J115" s="111"/>
      <c r="K115" s="111"/>
      <c r="L115" s="108"/>
      <c r="M115" s="108"/>
      <c r="N115" s="108"/>
      <c r="O115" s="108"/>
      <c r="P115" s="111"/>
      <c r="Q115" s="111"/>
      <c r="R115" s="111"/>
      <c r="S115" s="108"/>
      <c r="T115" s="110"/>
    </row>
    <row r="116" spans="1:20" x14ac:dyDescent="0.25">
      <c r="A116" s="113"/>
      <c r="B116" s="108"/>
      <c r="C116" s="111"/>
      <c r="D116" s="111"/>
      <c r="E116" s="111"/>
      <c r="F116" s="108"/>
      <c r="G116" s="108"/>
      <c r="H116" s="112"/>
      <c r="I116" s="111"/>
      <c r="J116" s="111"/>
      <c r="K116" s="111"/>
      <c r="L116" s="108"/>
      <c r="M116" s="108"/>
      <c r="N116" s="108"/>
      <c r="O116" s="108"/>
      <c r="P116" s="111"/>
      <c r="Q116" s="111"/>
      <c r="R116" s="111"/>
      <c r="S116" s="108"/>
      <c r="T116" s="110"/>
    </row>
    <row r="117" spans="1:20" x14ac:dyDescent="0.25">
      <c r="A117" s="113"/>
      <c r="B117" s="108"/>
      <c r="C117" s="111"/>
      <c r="D117" s="111"/>
      <c r="E117" s="111"/>
      <c r="F117" s="108"/>
      <c r="G117" s="108"/>
      <c r="H117" s="112"/>
      <c r="I117" s="111"/>
      <c r="J117" s="111"/>
      <c r="K117" s="111"/>
      <c r="L117" s="108"/>
      <c r="M117" s="108"/>
      <c r="N117" s="108"/>
      <c r="O117" s="108"/>
      <c r="P117" s="111"/>
      <c r="Q117" s="111"/>
      <c r="R117" s="111"/>
      <c r="S117" s="108"/>
      <c r="T117" s="110"/>
    </row>
    <row r="118" spans="1:20" x14ac:dyDescent="0.25">
      <c r="A118" s="113"/>
      <c r="B118" s="108"/>
      <c r="C118" s="111"/>
      <c r="D118" s="111"/>
      <c r="E118" s="111"/>
      <c r="F118" s="108"/>
      <c r="G118" s="108"/>
      <c r="H118" s="112"/>
      <c r="I118" s="111"/>
      <c r="J118" s="111"/>
      <c r="K118" s="111"/>
      <c r="L118" s="108"/>
      <c r="M118" s="108"/>
      <c r="N118" s="108"/>
      <c r="O118" s="108"/>
      <c r="P118" s="111"/>
      <c r="Q118" s="111"/>
      <c r="R118" s="111"/>
      <c r="S118" s="108"/>
      <c r="T118" s="110"/>
    </row>
    <row r="119" spans="1:20" x14ac:dyDescent="0.25">
      <c r="A119" s="113"/>
      <c r="B119" s="108"/>
      <c r="C119" s="111"/>
      <c r="D119" s="111"/>
      <c r="E119" s="111"/>
      <c r="F119" s="108"/>
      <c r="G119" s="108"/>
      <c r="H119" s="112"/>
      <c r="I119" s="111"/>
      <c r="J119" s="111"/>
      <c r="K119" s="111"/>
      <c r="L119" s="108"/>
      <c r="M119" s="108"/>
      <c r="N119" s="108"/>
      <c r="O119" s="108"/>
      <c r="P119" s="111"/>
      <c r="Q119" s="111"/>
      <c r="R119" s="111"/>
      <c r="S119" s="108"/>
      <c r="T119" s="110"/>
    </row>
    <row r="120" spans="1:20" x14ac:dyDescent="0.25">
      <c r="A120" s="113"/>
      <c r="B120" s="108"/>
      <c r="C120" s="111"/>
      <c r="D120" s="111"/>
      <c r="E120" s="111"/>
      <c r="F120" s="108"/>
      <c r="G120" s="108"/>
      <c r="H120" s="112"/>
      <c r="I120" s="111"/>
      <c r="J120" s="111"/>
      <c r="K120" s="111"/>
      <c r="L120" s="108"/>
      <c r="M120" s="108"/>
      <c r="N120" s="108"/>
      <c r="O120" s="108"/>
      <c r="P120" s="111"/>
      <c r="Q120" s="111"/>
      <c r="R120" s="111"/>
      <c r="S120" s="108"/>
      <c r="T120" s="110"/>
    </row>
    <row r="121" spans="1:20" x14ac:dyDescent="0.25">
      <c r="A121" s="113"/>
      <c r="B121" s="108"/>
      <c r="C121" s="111"/>
      <c r="D121" s="111"/>
      <c r="E121" s="111"/>
      <c r="F121" s="108"/>
      <c r="G121" s="108"/>
      <c r="H121" s="112"/>
      <c r="I121" s="111"/>
      <c r="J121" s="111"/>
      <c r="K121" s="111"/>
      <c r="L121" s="108"/>
      <c r="M121" s="108"/>
      <c r="N121" s="108"/>
      <c r="O121" s="108"/>
      <c r="P121" s="111"/>
      <c r="Q121" s="111"/>
      <c r="R121" s="111"/>
      <c r="S121" s="108"/>
      <c r="T121" s="110"/>
    </row>
    <row r="122" spans="1:20" x14ac:dyDescent="0.25">
      <c r="A122" s="113"/>
      <c r="B122" s="108"/>
      <c r="C122" s="111"/>
      <c r="D122" s="111"/>
      <c r="E122" s="111"/>
      <c r="F122" s="108"/>
      <c r="G122" s="108"/>
      <c r="H122" s="112"/>
      <c r="I122" s="111"/>
      <c r="J122" s="111"/>
      <c r="K122" s="111"/>
      <c r="L122" s="108"/>
      <c r="M122" s="108"/>
      <c r="N122" s="108"/>
      <c r="O122" s="108"/>
      <c r="P122" s="111"/>
      <c r="Q122" s="111"/>
      <c r="R122" s="111"/>
      <c r="S122" s="108"/>
      <c r="T122" s="110"/>
    </row>
    <row r="123" spans="1:20" x14ac:dyDescent="0.25">
      <c r="A123" s="113"/>
      <c r="B123" s="108"/>
      <c r="C123" s="111"/>
      <c r="D123" s="111"/>
      <c r="E123" s="111"/>
      <c r="F123" s="108"/>
      <c r="G123" s="108"/>
      <c r="H123" s="112"/>
      <c r="I123" s="111"/>
      <c r="J123" s="111"/>
      <c r="K123" s="111"/>
      <c r="L123" s="108"/>
      <c r="M123" s="108"/>
      <c r="N123" s="108"/>
      <c r="O123" s="108"/>
      <c r="P123" s="111"/>
      <c r="Q123" s="111"/>
      <c r="R123" s="111"/>
      <c r="S123" s="108"/>
      <c r="T123" s="110"/>
    </row>
    <row r="124" spans="1:20" x14ac:dyDescent="0.25">
      <c r="A124" s="113"/>
      <c r="B124" s="108"/>
      <c r="C124" s="111"/>
      <c r="D124" s="111"/>
      <c r="E124" s="111"/>
      <c r="F124" s="108"/>
      <c r="G124" s="108"/>
      <c r="H124" s="112"/>
      <c r="I124" s="111"/>
      <c r="J124" s="111"/>
      <c r="K124" s="111"/>
      <c r="L124" s="108"/>
      <c r="M124" s="108"/>
      <c r="N124" s="108"/>
      <c r="O124" s="108"/>
      <c r="P124" s="111"/>
      <c r="Q124" s="111"/>
      <c r="R124" s="111"/>
      <c r="S124" s="108"/>
      <c r="T124" s="110"/>
    </row>
    <row r="125" spans="1:20" x14ac:dyDescent="0.25">
      <c r="A125" s="113"/>
      <c r="B125" s="108"/>
      <c r="C125" s="111"/>
      <c r="D125" s="111"/>
      <c r="E125" s="111"/>
      <c r="F125" s="108"/>
      <c r="G125" s="108"/>
      <c r="H125" s="112"/>
      <c r="I125" s="111"/>
      <c r="J125" s="111"/>
      <c r="K125" s="111"/>
      <c r="L125" s="108"/>
      <c r="M125" s="108"/>
      <c r="N125" s="108"/>
      <c r="O125" s="108"/>
      <c r="P125" s="111"/>
      <c r="Q125" s="111"/>
      <c r="R125" s="111"/>
      <c r="S125" s="108"/>
      <c r="T125" s="110"/>
    </row>
    <row r="126" spans="1:20" x14ac:dyDescent="0.25">
      <c r="A126" s="113"/>
      <c r="B126" s="108"/>
      <c r="C126" s="111"/>
      <c r="D126" s="111"/>
      <c r="E126" s="111"/>
      <c r="F126" s="108"/>
      <c r="G126" s="108"/>
      <c r="H126" s="112"/>
      <c r="I126" s="111"/>
      <c r="J126" s="111"/>
      <c r="K126" s="111"/>
      <c r="L126" s="108"/>
      <c r="M126" s="108"/>
      <c r="N126" s="108"/>
      <c r="O126" s="108"/>
      <c r="P126" s="111"/>
      <c r="Q126" s="111"/>
      <c r="R126" s="111"/>
      <c r="S126" s="108"/>
      <c r="T126" s="110"/>
    </row>
    <row r="127" spans="1:20" x14ac:dyDescent="0.25">
      <c r="A127" s="113"/>
      <c r="B127" s="108"/>
      <c r="C127" s="111"/>
      <c r="D127" s="111"/>
      <c r="E127" s="111"/>
      <c r="F127" s="108"/>
      <c r="G127" s="108"/>
      <c r="H127" s="112"/>
      <c r="I127" s="111"/>
      <c r="J127" s="111"/>
      <c r="K127" s="111"/>
      <c r="L127" s="108"/>
      <c r="M127" s="108"/>
      <c r="N127" s="108"/>
      <c r="O127" s="108"/>
      <c r="P127" s="111"/>
      <c r="Q127" s="111"/>
      <c r="R127" s="111"/>
      <c r="S127" s="108"/>
      <c r="T127" s="110"/>
    </row>
    <row r="128" spans="1:20" x14ac:dyDescent="0.25">
      <c r="A128" s="113"/>
      <c r="B128" s="108"/>
      <c r="C128" s="111"/>
      <c r="D128" s="111"/>
      <c r="E128" s="111"/>
      <c r="F128" s="108"/>
      <c r="G128" s="108"/>
      <c r="H128" s="112"/>
      <c r="I128" s="111"/>
      <c r="J128" s="111"/>
      <c r="K128" s="111"/>
      <c r="L128" s="108"/>
      <c r="M128" s="108"/>
      <c r="N128" s="108"/>
      <c r="O128" s="108"/>
      <c r="P128" s="111"/>
      <c r="Q128" s="111"/>
      <c r="R128" s="111"/>
      <c r="S128" s="108"/>
      <c r="T128" s="110"/>
    </row>
    <row r="129" spans="1:20" x14ac:dyDescent="0.25">
      <c r="A129" s="113"/>
      <c r="B129" s="108"/>
      <c r="C129" s="111"/>
      <c r="D129" s="111"/>
      <c r="E129" s="111"/>
      <c r="F129" s="108"/>
      <c r="G129" s="108"/>
      <c r="H129" s="112"/>
      <c r="I129" s="111"/>
      <c r="J129" s="111"/>
      <c r="K129" s="111"/>
      <c r="L129" s="108"/>
      <c r="M129" s="108"/>
      <c r="N129" s="108"/>
      <c r="O129" s="108"/>
      <c r="P129" s="111"/>
      <c r="Q129" s="111"/>
      <c r="R129" s="111"/>
      <c r="S129" s="108"/>
      <c r="T129" s="110"/>
    </row>
    <row r="130" spans="1:20" x14ac:dyDescent="0.25">
      <c r="A130" s="113"/>
      <c r="B130" s="108"/>
      <c r="C130" s="111"/>
      <c r="D130" s="111"/>
      <c r="E130" s="111"/>
      <c r="F130" s="108"/>
      <c r="G130" s="108"/>
      <c r="H130" s="112"/>
      <c r="I130" s="111"/>
      <c r="J130" s="111"/>
      <c r="K130" s="111"/>
      <c r="L130" s="108"/>
      <c r="M130" s="108"/>
      <c r="N130" s="108"/>
      <c r="O130" s="108"/>
      <c r="P130" s="111"/>
      <c r="Q130" s="111"/>
      <c r="R130" s="111"/>
      <c r="S130" s="108"/>
      <c r="T130" s="110"/>
    </row>
    <row r="131" spans="1:20" x14ac:dyDescent="0.25">
      <c r="A131" s="113"/>
      <c r="B131" s="108"/>
      <c r="C131" s="111"/>
      <c r="D131" s="111"/>
      <c r="E131" s="111"/>
      <c r="F131" s="108"/>
      <c r="G131" s="108"/>
      <c r="H131" s="112"/>
      <c r="I131" s="111"/>
      <c r="J131" s="111"/>
      <c r="K131" s="111"/>
      <c r="L131" s="108"/>
      <c r="M131" s="108"/>
      <c r="N131" s="108"/>
      <c r="O131" s="108"/>
      <c r="P131" s="111"/>
      <c r="Q131" s="111"/>
      <c r="R131" s="111"/>
      <c r="S131" s="108"/>
      <c r="T131" s="110"/>
    </row>
    <row r="132" spans="1:20" x14ac:dyDescent="0.25">
      <c r="A132" s="113"/>
      <c r="B132" s="108"/>
      <c r="C132" s="111"/>
      <c r="D132" s="111"/>
      <c r="E132" s="111"/>
      <c r="F132" s="108"/>
      <c r="G132" s="108"/>
      <c r="H132" s="112"/>
      <c r="I132" s="111"/>
      <c r="J132" s="111"/>
      <c r="K132" s="111"/>
      <c r="L132" s="108"/>
      <c r="M132" s="108"/>
      <c r="N132" s="108"/>
      <c r="O132" s="108"/>
      <c r="P132" s="111"/>
      <c r="Q132" s="111"/>
      <c r="R132" s="111"/>
      <c r="S132" s="108"/>
      <c r="T132" s="110"/>
    </row>
    <row r="133" spans="1:20" x14ac:dyDescent="0.25">
      <c r="A133" s="113"/>
      <c r="B133" s="108"/>
      <c r="C133" s="111"/>
      <c r="D133" s="111"/>
      <c r="E133" s="111"/>
      <c r="F133" s="108"/>
      <c r="G133" s="108"/>
      <c r="H133" s="112"/>
      <c r="I133" s="111"/>
      <c r="J133" s="111"/>
      <c r="K133" s="111"/>
      <c r="L133" s="108"/>
      <c r="M133" s="108"/>
      <c r="N133" s="108"/>
      <c r="O133" s="108"/>
      <c r="P133" s="111"/>
      <c r="Q133" s="111"/>
      <c r="R133" s="111"/>
      <c r="S133" s="108"/>
      <c r="T133" s="110"/>
    </row>
    <row r="134" spans="1:20" x14ac:dyDescent="0.25">
      <c r="A134" s="113"/>
      <c r="B134" s="108"/>
      <c r="C134" s="111"/>
      <c r="D134" s="111"/>
      <c r="E134" s="111"/>
      <c r="F134" s="108"/>
      <c r="G134" s="108"/>
      <c r="H134" s="112"/>
      <c r="I134" s="111"/>
      <c r="J134" s="111"/>
      <c r="K134" s="111"/>
      <c r="L134" s="108"/>
      <c r="M134" s="108"/>
      <c r="N134" s="108"/>
      <c r="O134" s="108"/>
      <c r="P134" s="111"/>
      <c r="Q134" s="111"/>
      <c r="R134" s="111"/>
      <c r="S134" s="108"/>
      <c r="T134" s="110"/>
    </row>
    <row r="135" spans="1:20" x14ac:dyDescent="0.25">
      <c r="A135" s="113"/>
      <c r="B135" s="108"/>
      <c r="C135" s="111"/>
      <c r="D135" s="111"/>
      <c r="E135" s="111"/>
      <c r="F135" s="108"/>
      <c r="G135" s="108"/>
      <c r="H135" s="112"/>
      <c r="I135" s="111"/>
      <c r="J135" s="111"/>
      <c r="K135" s="111"/>
      <c r="L135" s="108"/>
      <c r="M135" s="108"/>
      <c r="N135" s="108"/>
      <c r="O135" s="108"/>
      <c r="P135" s="111"/>
      <c r="Q135" s="111"/>
      <c r="R135" s="111"/>
      <c r="S135" s="108"/>
      <c r="T135" s="110"/>
    </row>
    <row r="136" spans="1:20" x14ac:dyDescent="0.25">
      <c r="A136" s="113"/>
      <c r="B136" s="108"/>
      <c r="C136" s="111"/>
      <c r="D136" s="111"/>
      <c r="E136" s="111"/>
      <c r="F136" s="108"/>
      <c r="G136" s="108"/>
      <c r="H136" s="112"/>
      <c r="I136" s="111"/>
      <c r="J136" s="111"/>
      <c r="K136" s="111"/>
      <c r="L136" s="108"/>
      <c r="M136" s="108"/>
      <c r="N136" s="108"/>
      <c r="O136" s="108"/>
      <c r="P136" s="111"/>
      <c r="Q136" s="111"/>
      <c r="R136" s="111"/>
      <c r="S136" s="108"/>
      <c r="T136" s="110"/>
    </row>
    <row r="137" spans="1:20" x14ac:dyDescent="0.25">
      <c r="A137" s="113"/>
      <c r="B137" s="108"/>
      <c r="C137" s="111"/>
      <c r="D137" s="111"/>
      <c r="E137" s="111"/>
      <c r="F137" s="108"/>
      <c r="G137" s="108"/>
      <c r="H137" s="112"/>
      <c r="I137" s="111"/>
      <c r="J137" s="111"/>
      <c r="K137" s="111"/>
      <c r="L137" s="108"/>
      <c r="M137" s="108"/>
      <c r="N137" s="108"/>
      <c r="O137" s="108"/>
      <c r="P137" s="111"/>
      <c r="Q137" s="111"/>
      <c r="R137" s="111"/>
      <c r="S137" s="108"/>
      <c r="T137" s="110"/>
    </row>
    <row r="138" spans="1:20" x14ac:dyDescent="0.25">
      <c r="A138" s="113"/>
      <c r="B138" s="108"/>
      <c r="C138" s="111"/>
      <c r="D138" s="111"/>
      <c r="E138" s="111"/>
      <c r="F138" s="108"/>
      <c r="G138" s="108"/>
      <c r="H138" s="112"/>
      <c r="I138" s="111"/>
      <c r="J138" s="111"/>
      <c r="K138" s="111"/>
      <c r="L138" s="108"/>
      <c r="M138" s="108"/>
      <c r="N138" s="108"/>
      <c r="O138" s="108"/>
      <c r="P138" s="111"/>
      <c r="Q138" s="111"/>
      <c r="R138" s="111"/>
      <c r="S138" s="108"/>
      <c r="T138" s="110"/>
    </row>
    <row r="139" spans="1:20" x14ac:dyDescent="0.25">
      <c r="A139" s="113"/>
      <c r="B139" s="108"/>
      <c r="C139" s="111"/>
      <c r="D139" s="111"/>
      <c r="E139" s="111"/>
      <c r="F139" s="108"/>
      <c r="G139" s="108"/>
      <c r="H139" s="112"/>
      <c r="I139" s="111"/>
      <c r="J139" s="111"/>
      <c r="K139" s="111"/>
      <c r="L139" s="108"/>
      <c r="M139" s="108"/>
      <c r="N139" s="108"/>
      <c r="O139" s="108"/>
      <c r="P139" s="111"/>
      <c r="Q139" s="111"/>
      <c r="R139" s="111"/>
      <c r="S139" s="108"/>
      <c r="T139" s="110"/>
    </row>
    <row r="140" spans="1:20" x14ac:dyDescent="0.25">
      <c r="A140" s="113"/>
      <c r="B140" s="108"/>
      <c r="C140" s="111"/>
      <c r="D140" s="111"/>
      <c r="E140" s="111"/>
      <c r="F140" s="108"/>
      <c r="G140" s="108"/>
      <c r="H140" s="112"/>
      <c r="I140" s="111"/>
      <c r="J140" s="111"/>
      <c r="K140" s="111"/>
      <c r="L140" s="108"/>
      <c r="M140" s="108"/>
      <c r="N140" s="108"/>
      <c r="O140" s="108"/>
      <c r="P140" s="111"/>
      <c r="Q140" s="111"/>
      <c r="R140" s="111"/>
      <c r="S140" s="108"/>
      <c r="T140" s="110"/>
    </row>
    <row r="141" spans="1:20" x14ac:dyDescent="0.25">
      <c r="A141" s="113"/>
      <c r="B141" s="108"/>
      <c r="C141" s="111"/>
      <c r="D141" s="111"/>
      <c r="E141" s="111"/>
      <c r="F141" s="108"/>
      <c r="G141" s="108"/>
      <c r="H141" s="112"/>
      <c r="I141" s="111"/>
      <c r="J141" s="111"/>
      <c r="K141" s="111"/>
      <c r="L141" s="108"/>
      <c r="M141" s="108"/>
      <c r="N141" s="108"/>
      <c r="O141" s="108"/>
      <c r="P141" s="111"/>
      <c r="Q141" s="111"/>
      <c r="R141" s="111"/>
      <c r="S141" s="108"/>
      <c r="T141" s="110"/>
    </row>
    <row r="142" spans="1:20" x14ac:dyDescent="0.25">
      <c r="A142" s="113"/>
      <c r="B142" s="108"/>
      <c r="C142" s="111"/>
      <c r="D142" s="111"/>
      <c r="E142" s="111"/>
      <c r="F142" s="108"/>
      <c r="G142" s="108"/>
      <c r="H142" s="112"/>
      <c r="I142" s="111"/>
      <c r="J142" s="111"/>
      <c r="K142" s="111"/>
      <c r="L142" s="108"/>
      <c r="M142" s="108"/>
      <c r="N142" s="108"/>
      <c r="O142" s="108"/>
      <c r="P142" s="111"/>
      <c r="Q142" s="111"/>
      <c r="R142" s="111"/>
      <c r="S142" s="108"/>
      <c r="T142" s="110"/>
    </row>
    <row r="143" spans="1:20" x14ac:dyDescent="0.25">
      <c r="A143" s="113"/>
      <c r="B143" s="108"/>
      <c r="C143" s="111"/>
      <c r="D143" s="111"/>
      <c r="E143" s="111"/>
      <c r="F143" s="108"/>
      <c r="G143" s="108"/>
      <c r="H143" s="112"/>
      <c r="I143" s="111"/>
      <c r="J143" s="111"/>
      <c r="K143" s="111"/>
      <c r="L143" s="108"/>
      <c r="M143" s="108"/>
      <c r="N143" s="108"/>
      <c r="O143" s="108"/>
      <c r="P143" s="111"/>
      <c r="Q143" s="111"/>
      <c r="R143" s="111"/>
      <c r="S143" s="108"/>
      <c r="T143" s="110"/>
    </row>
    <row r="144" spans="1:20" x14ac:dyDescent="0.25">
      <c r="A144" s="113"/>
      <c r="B144" s="108"/>
      <c r="C144" s="111"/>
      <c r="D144" s="111"/>
      <c r="E144" s="111"/>
      <c r="F144" s="108"/>
      <c r="G144" s="108"/>
      <c r="H144" s="112"/>
      <c r="I144" s="111"/>
      <c r="J144" s="111"/>
      <c r="K144" s="111"/>
      <c r="L144" s="108"/>
      <c r="M144" s="108"/>
      <c r="N144" s="108"/>
      <c r="O144" s="108"/>
      <c r="P144" s="111"/>
      <c r="Q144" s="111"/>
      <c r="R144" s="111"/>
      <c r="S144" s="108"/>
      <c r="T144" s="110"/>
    </row>
    <row r="145" spans="1:20" x14ac:dyDescent="0.25">
      <c r="A145" s="113"/>
      <c r="B145" s="108"/>
      <c r="C145" s="111"/>
      <c r="D145" s="111"/>
      <c r="E145" s="111"/>
      <c r="F145" s="108"/>
      <c r="G145" s="108"/>
      <c r="H145" s="112"/>
      <c r="I145" s="111"/>
      <c r="J145" s="111"/>
      <c r="K145" s="111"/>
      <c r="L145" s="108"/>
      <c r="M145" s="108"/>
      <c r="N145" s="108"/>
      <c r="O145" s="108"/>
      <c r="P145" s="111"/>
      <c r="Q145" s="111"/>
      <c r="R145" s="111"/>
      <c r="S145" s="108"/>
      <c r="T145" s="110"/>
    </row>
    <row r="146" spans="1:20" x14ac:dyDescent="0.25">
      <c r="A146" s="113"/>
      <c r="B146" s="108"/>
      <c r="C146" s="111"/>
      <c r="D146" s="111"/>
      <c r="E146" s="111"/>
      <c r="F146" s="108"/>
      <c r="G146" s="108"/>
      <c r="H146" s="112"/>
      <c r="I146" s="111"/>
      <c r="J146" s="111"/>
      <c r="K146" s="111"/>
      <c r="L146" s="108"/>
      <c r="M146" s="108"/>
      <c r="N146" s="108"/>
      <c r="O146" s="108"/>
      <c r="P146" s="111"/>
      <c r="Q146" s="111"/>
      <c r="R146" s="111"/>
      <c r="S146" s="108"/>
      <c r="T146" s="110"/>
    </row>
    <row r="147" spans="1:20" x14ac:dyDescent="0.25">
      <c r="A147" s="113"/>
      <c r="B147" s="108"/>
      <c r="C147" s="111"/>
      <c r="D147" s="111"/>
      <c r="E147" s="111"/>
      <c r="F147" s="108"/>
      <c r="G147" s="108"/>
      <c r="H147" s="112"/>
      <c r="I147" s="111"/>
      <c r="J147" s="111"/>
      <c r="K147" s="111"/>
      <c r="L147" s="108"/>
      <c r="M147" s="108"/>
      <c r="N147" s="108"/>
      <c r="O147" s="108"/>
      <c r="P147" s="111"/>
      <c r="Q147" s="111"/>
      <c r="R147" s="111"/>
      <c r="S147" s="108"/>
      <c r="T147" s="110"/>
    </row>
    <row r="148" spans="1:20" x14ac:dyDescent="0.25">
      <c r="A148" s="113"/>
      <c r="B148" s="108"/>
      <c r="C148" s="111"/>
      <c r="D148" s="111"/>
      <c r="E148" s="111"/>
      <c r="F148" s="108"/>
      <c r="G148" s="108"/>
      <c r="H148" s="112"/>
      <c r="I148" s="111"/>
      <c r="J148" s="111"/>
      <c r="K148" s="111"/>
      <c r="L148" s="108"/>
      <c r="M148" s="108"/>
      <c r="N148" s="108"/>
      <c r="O148" s="108"/>
      <c r="P148" s="111"/>
      <c r="Q148" s="111"/>
      <c r="R148" s="111"/>
      <c r="S148" s="108"/>
      <c r="T148" s="110"/>
    </row>
    <row r="149" spans="1:20" x14ac:dyDescent="0.25">
      <c r="A149" s="113"/>
      <c r="B149" s="108"/>
      <c r="C149" s="111"/>
      <c r="D149" s="111"/>
      <c r="E149" s="111"/>
      <c r="F149" s="108"/>
      <c r="G149" s="108"/>
      <c r="H149" s="112"/>
      <c r="I149" s="111"/>
      <c r="J149" s="111"/>
      <c r="K149" s="111"/>
      <c r="L149" s="108"/>
      <c r="M149" s="108"/>
      <c r="N149" s="108"/>
      <c r="O149" s="108"/>
      <c r="P149" s="111"/>
      <c r="Q149" s="111"/>
      <c r="R149" s="111"/>
      <c r="S149" s="108"/>
      <c r="T149" s="110"/>
    </row>
    <row r="150" spans="1:20" x14ac:dyDescent="0.25">
      <c r="A150" s="113"/>
      <c r="B150" s="108"/>
      <c r="C150" s="111"/>
      <c r="D150" s="111"/>
      <c r="E150" s="111"/>
      <c r="F150" s="108"/>
      <c r="G150" s="108"/>
      <c r="H150" s="112"/>
      <c r="I150" s="111"/>
      <c r="J150" s="111"/>
      <c r="K150" s="111"/>
      <c r="L150" s="108"/>
      <c r="M150" s="108"/>
      <c r="N150" s="108"/>
      <c r="O150" s="108"/>
      <c r="P150" s="111"/>
      <c r="Q150" s="111"/>
      <c r="R150" s="111"/>
      <c r="S150" s="108"/>
      <c r="T150" s="110"/>
    </row>
    <row r="151" spans="1:20" x14ac:dyDescent="0.25">
      <c r="A151" s="113"/>
      <c r="B151" s="108"/>
      <c r="C151" s="111"/>
      <c r="D151" s="111"/>
      <c r="E151" s="111"/>
      <c r="F151" s="108"/>
      <c r="G151" s="108"/>
      <c r="H151" s="112"/>
      <c r="I151" s="111"/>
      <c r="J151" s="111"/>
      <c r="K151" s="111"/>
      <c r="L151" s="108"/>
      <c r="M151" s="108"/>
      <c r="N151" s="108"/>
      <c r="O151" s="108"/>
      <c r="P151" s="111"/>
      <c r="Q151" s="111"/>
      <c r="R151" s="111"/>
      <c r="S151" s="108"/>
      <c r="T151" s="110"/>
    </row>
    <row r="152" spans="1:20" x14ac:dyDescent="0.25">
      <c r="A152" s="113"/>
      <c r="B152" s="108"/>
      <c r="C152" s="111"/>
      <c r="D152" s="111"/>
      <c r="E152" s="111"/>
      <c r="F152" s="108"/>
      <c r="G152" s="108"/>
      <c r="H152" s="112"/>
      <c r="I152" s="111"/>
      <c r="J152" s="111"/>
      <c r="K152" s="111"/>
      <c r="L152" s="108"/>
      <c r="M152" s="108"/>
      <c r="N152" s="108"/>
      <c r="O152" s="108"/>
      <c r="P152" s="111"/>
      <c r="Q152" s="111"/>
      <c r="R152" s="111"/>
      <c r="S152" s="108"/>
      <c r="T152" s="110"/>
    </row>
    <row r="153" spans="1:20" x14ac:dyDescent="0.25">
      <c r="A153" s="113"/>
      <c r="B153" s="108"/>
      <c r="C153" s="111"/>
      <c r="D153" s="111"/>
      <c r="E153" s="111"/>
      <c r="F153" s="108"/>
      <c r="G153" s="108"/>
      <c r="H153" s="112"/>
      <c r="I153" s="111"/>
      <c r="J153" s="111"/>
      <c r="K153" s="111"/>
      <c r="L153" s="108"/>
      <c r="M153" s="108"/>
      <c r="N153" s="108"/>
      <c r="O153" s="108"/>
      <c r="P153" s="111"/>
      <c r="Q153" s="111"/>
      <c r="R153" s="111"/>
      <c r="S153" s="108"/>
      <c r="T153" s="110"/>
    </row>
    <row r="154" spans="1:20" x14ac:dyDescent="0.25">
      <c r="A154" s="113"/>
      <c r="B154" s="108"/>
      <c r="C154" s="111"/>
      <c r="D154" s="111"/>
      <c r="E154" s="111"/>
      <c r="F154" s="108"/>
      <c r="G154" s="108"/>
      <c r="H154" s="112"/>
      <c r="I154" s="111"/>
      <c r="J154" s="111"/>
      <c r="K154" s="111"/>
      <c r="L154" s="108"/>
      <c r="M154" s="108"/>
      <c r="N154" s="108"/>
      <c r="O154" s="108"/>
      <c r="P154" s="111"/>
      <c r="Q154" s="111"/>
      <c r="R154" s="111"/>
      <c r="S154" s="108"/>
      <c r="T154" s="110"/>
    </row>
    <row r="155" spans="1:20" x14ac:dyDescent="0.25">
      <c r="A155" s="113"/>
      <c r="B155" s="108"/>
      <c r="C155" s="111"/>
      <c r="D155" s="111"/>
      <c r="E155" s="111"/>
      <c r="F155" s="108"/>
      <c r="G155" s="108"/>
      <c r="H155" s="112"/>
      <c r="I155" s="111"/>
      <c r="J155" s="111"/>
      <c r="K155" s="111"/>
      <c r="L155" s="108"/>
      <c r="M155" s="108"/>
      <c r="N155" s="108"/>
      <c r="O155" s="108"/>
      <c r="P155" s="111"/>
      <c r="Q155" s="111"/>
      <c r="R155" s="111"/>
      <c r="S155" s="108"/>
      <c r="T155" s="110"/>
    </row>
    <row r="156" spans="1:20" x14ac:dyDescent="0.25">
      <c r="A156" s="113"/>
      <c r="B156" s="108"/>
      <c r="C156" s="111"/>
      <c r="D156" s="111"/>
      <c r="E156" s="111"/>
      <c r="F156" s="108"/>
      <c r="G156" s="108"/>
      <c r="H156" s="112"/>
      <c r="I156" s="111"/>
      <c r="J156" s="111"/>
      <c r="K156" s="111"/>
      <c r="L156" s="108"/>
      <c r="M156" s="108"/>
      <c r="N156" s="108"/>
      <c r="O156" s="108"/>
      <c r="P156" s="111"/>
      <c r="Q156" s="111"/>
      <c r="R156" s="111"/>
      <c r="S156" s="108"/>
      <c r="T156" s="110"/>
    </row>
    <row r="157" spans="1:20" x14ac:dyDescent="0.25">
      <c r="A157" s="113"/>
      <c r="B157" s="108"/>
      <c r="C157" s="111"/>
      <c r="D157" s="111"/>
      <c r="E157" s="111"/>
      <c r="F157" s="108"/>
      <c r="G157" s="108"/>
      <c r="H157" s="112"/>
      <c r="I157" s="111"/>
      <c r="J157" s="111"/>
      <c r="K157" s="111"/>
      <c r="L157" s="108"/>
      <c r="M157" s="108"/>
      <c r="N157" s="108"/>
      <c r="O157" s="108"/>
      <c r="P157" s="111"/>
      <c r="Q157" s="111"/>
      <c r="R157" s="111"/>
      <c r="S157" s="108"/>
      <c r="T157" s="110"/>
    </row>
    <row r="158" spans="1:20" x14ac:dyDescent="0.25">
      <c r="A158" s="113"/>
      <c r="B158" s="108"/>
      <c r="C158" s="111"/>
      <c r="D158" s="111"/>
      <c r="E158" s="111"/>
      <c r="F158" s="108"/>
      <c r="G158" s="108"/>
      <c r="H158" s="112"/>
      <c r="I158" s="111"/>
      <c r="J158" s="111"/>
      <c r="K158" s="111"/>
      <c r="L158" s="108"/>
      <c r="M158" s="108"/>
      <c r="N158" s="108"/>
      <c r="O158" s="108"/>
      <c r="P158" s="111"/>
      <c r="Q158" s="111"/>
      <c r="R158" s="111"/>
      <c r="S158" s="108"/>
      <c r="T158" s="110"/>
    </row>
    <row r="159" spans="1:20" x14ac:dyDescent="0.25">
      <c r="A159" s="113"/>
      <c r="B159" s="108"/>
      <c r="C159" s="111"/>
      <c r="D159" s="111"/>
      <c r="E159" s="111"/>
      <c r="F159" s="108"/>
      <c r="G159" s="108"/>
      <c r="H159" s="112"/>
      <c r="I159" s="111"/>
      <c r="J159" s="111"/>
      <c r="K159" s="111"/>
      <c r="L159" s="108"/>
      <c r="M159" s="108"/>
      <c r="N159" s="108"/>
      <c r="O159" s="108"/>
      <c r="P159" s="111"/>
      <c r="Q159" s="111"/>
      <c r="R159" s="111"/>
      <c r="S159" s="108"/>
      <c r="T159" s="110"/>
    </row>
    <row r="160" spans="1:20" x14ac:dyDescent="0.25">
      <c r="A160" s="113"/>
      <c r="B160" s="108"/>
      <c r="C160" s="111"/>
      <c r="D160" s="111"/>
      <c r="E160" s="111"/>
      <c r="F160" s="108"/>
      <c r="G160" s="108"/>
      <c r="H160" s="112"/>
      <c r="I160" s="111"/>
      <c r="J160" s="111"/>
      <c r="K160" s="111"/>
      <c r="L160" s="108"/>
      <c r="M160" s="108"/>
      <c r="N160" s="108"/>
      <c r="O160" s="108"/>
      <c r="P160" s="111"/>
      <c r="Q160" s="111"/>
      <c r="R160" s="111"/>
      <c r="S160" s="108"/>
      <c r="T160" s="110"/>
    </row>
    <row r="161" spans="1:20" x14ac:dyDescent="0.25">
      <c r="A161" s="113"/>
      <c r="B161" s="108"/>
      <c r="C161" s="111"/>
      <c r="D161" s="111"/>
      <c r="E161" s="111"/>
      <c r="F161" s="108"/>
      <c r="G161" s="108"/>
      <c r="H161" s="112"/>
      <c r="I161" s="111"/>
      <c r="J161" s="111"/>
      <c r="K161" s="111"/>
      <c r="L161" s="108"/>
      <c r="M161" s="108"/>
      <c r="N161" s="108"/>
      <c r="O161" s="108"/>
      <c r="P161" s="111"/>
      <c r="Q161" s="111"/>
      <c r="R161" s="111"/>
      <c r="S161" s="108"/>
      <c r="T161" s="110"/>
    </row>
    <row r="162" spans="1:20" x14ac:dyDescent="0.25">
      <c r="A162" s="113"/>
      <c r="B162" s="108"/>
      <c r="C162" s="111"/>
      <c r="D162" s="111"/>
      <c r="E162" s="111"/>
      <c r="F162" s="108"/>
      <c r="G162" s="108"/>
      <c r="H162" s="112"/>
      <c r="I162" s="111"/>
      <c r="J162" s="111"/>
      <c r="K162" s="111"/>
      <c r="L162" s="108"/>
      <c r="M162" s="108"/>
      <c r="N162" s="108"/>
      <c r="O162" s="108"/>
      <c r="P162" s="111"/>
      <c r="Q162" s="111"/>
      <c r="R162" s="111"/>
      <c r="S162" s="108"/>
      <c r="T162" s="110"/>
    </row>
    <row r="163" spans="1:20" x14ac:dyDescent="0.25">
      <c r="A163" s="113"/>
      <c r="B163" s="108"/>
      <c r="C163" s="111"/>
      <c r="D163" s="111"/>
      <c r="E163" s="111"/>
      <c r="F163" s="108"/>
      <c r="G163" s="108"/>
      <c r="H163" s="112"/>
      <c r="I163" s="111"/>
      <c r="J163" s="111"/>
      <c r="K163" s="111"/>
      <c r="L163" s="108"/>
      <c r="M163" s="108"/>
      <c r="N163" s="108"/>
      <c r="O163" s="108"/>
      <c r="P163" s="111"/>
      <c r="Q163" s="111"/>
      <c r="R163" s="111"/>
      <c r="S163" s="108"/>
      <c r="T163" s="110"/>
    </row>
    <row r="164" spans="1:20" x14ac:dyDescent="0.25">
      <c r="A164" s="113"/>
      <c r="B164" s="108"/>
      <c r="C164" s="111"/>
      <c r="D164" s="111"/>
      <c r="E164" s="111"/>
      <c r="F164" s="108"/>
      <c r="G164" s="108"/>
      <c r="H164" s="112"/>
      <c r="I164" s="111"/>
      <c r="J164" s="111"/>
      <c r="K164" s="111"/>
      <c r="L164" s="108"/>
      <c r="M164" s="108"/>
      <c r="N164" s="108"/>
      <c r="O164" s="108"/>
      <c r="P164" s="111"/>
      <c r="Q164" s="111"/>
      <c r="R164" s="111"/>
      <c r="S164" s="108"/>
      <c r="T164" s="110"/>
    </row>
    <row r="165" spans="1:20" x14ac:dyDescent="0.25">
      <c r="A165" s="113"/>
      <c r="B165" s="108"/>
      <c r="C165" s="111"/>
      <c r="D165" s="111"/>
      <c r="E165" s="111"/>
      <c r="F165" s="108"/>
      <c r="G165" s="108"/>
      <c r="H165" s="112"/>
      <c r="I165" s="111"/>
      <c r="J165" s="111"/>
      <c r="K165" s="111"/>
      <c r="L165" s="108"/>
      <c r="M165" s="108"/>
      <c r="N165" s="108"/>
      <c r="O165" s="108"/>
      <c r="P165" s="111"/>
      <c r="Q165" s="111"/>
      <c r="R165" s="111"/>
      <c r="S165" s="108"/>
      <c r="T165" s="110"/>
    </row>
    <row r="166" spans="1:20" x14ac:dyDescent="0.25">
      <c r="A166" s="113"/>
      <c r="B166" s="108"/>
      <c r="C166" s="111"/>
      <c r="D166" s="111"/>
      <c r="E166" s="111"/>
      <c r="F166" s="108"/>
      <c r="G166" s="108"/>
      <c r="H166" s="112"/>
      <c r="I166" s="111"/>
      <c r="J166" s="111"/>
      <c r="K166" s="111"/>
      <c r="L166" s="108"/>
      <c r="M166" s="108"/>
      <c r="N166" s="108"/>
      <c r="O166" s="108"/>
      <c r="P166" s="111"/>
      <c r="Q166" s="111"/>
      <c r="R166" s="111"/>
      <c r="S166" s="108"/>
      <c r="T166" s="110"/>
    </row>
    <row r="167" spans="1:20" x14ac:dyDescent="0.25">
      <c r="A167" s="113"/>
      <c r="B167" s="108"/>
      <c r="C167" s="111"/>
      <c r="D167" s="111"/>
      <c r="E167" s="111"/>
      <c r="F167" s="108"/>
      <c r="G167" s="108"/>
      <c r="H167" s="112"/>
      <c r="I167" s="111"/>
      <c r="J167" s="111"/>
      <c r="K167" s="111"/>
      <c r="L167" s="108"/>
      <c r="M167" s="108"/>
      <c r="N167" s="108"/>
      <c r="O167" s="108"/>
      <c r="P167" s="111"/>
      <c r="Q167" s="111"/>
      <c r="R167" s="111"/>
      <c r="S167" s="108"/>
      <c r="T167" s="110"/>
    </row>
    <row r="168" spans="1:20" x14ac:dyDescent="0.25">
      <c r="A168" s="113"/>
      <c r="B168" s="108"/>
      <c r="C168" s="111"/>
      <c r="D168" s="111"/>
      <c r="E168" s="111"/>
      <c r="F168" s="108"/>
      <c r="G168" s="108"/>
      <c r="H168" s="112"/>
      <c r="I168" s="111"/>
      <c r="J168" s="111"/>
      <c r="K168" s="111"/>
      <c r="L168" s="108"/>
      <c r="M168" s="108"/>
      <c r="N168" s="108"/>
      <c r="O168" s="108"/>
      <c r="P168" s="111"/>
      <c r="Q168" s="111"/>
      <c r="R168" s="111"/>
      <c r="S168" s="108"/>
      <c r="T168" s="110"/>
    </row>
    <row r="169" spans="1:20" x14ac:dyDescent="0.25">
      <c r="A169" s="113"/>
      <c r="B169" s="108"/>
      <c r="C169" s="111"/>
      <c r="D169" s="111"/>
      <c r="E169" s="111"/>
      <c r="F169" s="108"/>
      <c r="G169" s="108"/>
      <c r="H169" s="112"/>
      <c r="I169" s="111"/>
      <c r="J169" s="111"/>
      <c r="K169" s="111"/>
      <c r="L169" s="108"/>
      <c r="M169" s="108"/>
      <c r="N169" s="108"/>
      <c r="O169" s="108"/>
      <c r="P169" s="111"/>
      <c r="Q169" s="111"/>
      <c r="R169" s="111"/>
      <c r="S169" s="108"/>
      <c r="T169" s="110"/>
    </row>
    <row r="170" spans="1:20" x14ac:dyDescent="0.25">
      <c r="A170" s="113"/>
      <c r="B170" s="108"/>
      <c r="C170" s="111"/>
      <c r="D170" s="111"/>
      <c r="E170" s="111"/>
      <c r="F170" s="108"/>
      <c r="G170" s="108"/>
      <c r="H170" s="112"/>
      <c r="I170" s="111"/>
      <c r="J170" s="111"/>
      <c r="K170" s="111"/>
      <c r="L170" s="108"/>
      <c r="M170" s="108"/>
      <c r="N170" s="108"/>
      <c r="O170" s="108"/>
      <c r="P170" s="111"/>
      <c r="Q170" s="111"/>
      <c r="R170" s="111"/>
      <c r="S170" s="108"/>
      <c r="T170" s="110"/>
    </row>
    <row r="171" spans="1:20" x14ac:dyDescent="0.25">
      <c r="A171" s="113"/>
      <c r="B171" s="108"/>
      <c r="C171" s="111"/>
      <c r="D171" s="111"/>
      <c r="E171" s="111"/>
      <c r="F171" s="108"/>
      <c r="G171" s="108"/>
      <c r="H171" s="112"/>
      <c r="I171" s="111"/>
      <c r="J171" s="111"/>
      <c r="K171" s="111"/>
      <c r="L171" s="108"/>
      <c r="M171" s="108"/>
      <c r="N171" s="108"/>
      <c r="O171" s="108"/>
      <c r="P171" s="111"/>
      <c r="Q171" s="111"/>
      <c r="R171" s="111"/>
      <c r="S171" s="108"/>
      <c r="T171" s="110"/>
    </row>
    <row r="172" spans="1:20" x14ac:dyDescent="0.25">
      <c r="A172" s="113"/>
      <c r="B172" s="108"/>
      <c r="C172" s="111"/>
      <c r="D172" s="111"/>
      <c r="E172" s="111"/>
      <c r="F172" s="108"/>
      <c r="G172" s="108"/>
      <c r="H172" s="112"/>
      <c r="I172" s="111"/>
      <c r="J172" s="111"/>
      <c r="K172" s="111"/>
      <c r="L172" s="108"/>
      <c r="M172" s="108"/>
      <c r="N172" s="108"/>
      <c r="O172" s="108"/>
      <c r="P172" s="111"/>
      <c r="Q172" s="111"/>
      <c r="R172" s="111"/>
      <c r="S172" s="108"/>
      <c r="T172" s="110"/>
    </row>
    <row r="173" spans="1:20" x14ac:dyDescent="0.25">
      <c r="A173" s="113"/>
      <c r="B173" s="108"/>
      <c r="C173" s="111"/>
      <c r="D173" s="111"/>
      <c r="E173" s="111"/>
      <c r="F173" s="108"/>
      <c r="G173" s="108"/>
      <c r="H173" s="112"/>
      <c r="I173" s="111"/>
      <c r="J173" s="111"/>
      <c r="K173" s="111"/>
      <c r="L173" s="108"/>
      <c r="M173" s="108"/>
      <c r="N173" s="108"/>
      <c r="O173" s="108"/>
      <c r="P173" s="111"/>
      <c r="Q173" s="111"/>
      <c r="R173" s="111"/>
      <c r="S173" s="108"/>
      <c r="T173" s="110"/>
    </row>
    <row r="174" spans="1:20" x14ac:dyDescent="0.25">
      <c r="A174" s="113"/>
      <c r="B174" s="108"/>
      <c r="C174" s="111"/>
      <c r="D174" s="111"/>
      <c r="E174" s="111"/>
      <c r="F174" s="108"/>
      <c r="G174" s="108"/>
      <c r="H174" s="112"/>
      <c r="I174" s="111"/>
      <c r="J174" s="111"/>
      <c r="K174" s="111"/>
      <c r="L174" s="108"/>
      <c r="M174" s="108"/>
      <c r="N174" s="108"/>
      <c r="O174" s="108"/>
      <c r="P174" s="111"/>
      <c r="Q174" s="111"/>
      <c r="R174" s="111"/>
      <c r="S174" s="108"/>
      <c r="T174" s="110"/>
    </row>
    <row r="175" spans="1:20" x14ac:dyDescent="0.25">
      <c r="A175" s="113"/>
      <c r="B175" s="108"/>
      <c r="C175" s="111"/>
      <c r="D175" s="111"/>
      <c r="E175" s="111"/>
      <c r="F175" s="108"/>
      <c r="G175" s="108"/>
      <c r="H175" s="112"/>
      <c r="I175" s="111"/>
      <c r="J175" s="111"/>
      <c r="K175" s="111"/>
      <c r="L175" s="108"/>
      <c r="M175" s="108"/>
      <c r="N175" s="108"/>
      <c r="O175" s="108"/>
      <c r="P175" s="111"/>
      <c r="Q175" s="111"/>
      <c r="R175" s="111"/>
      <c r="S175" s="108"/>
      <c r="T175" s="110"/>
    </row>
    <row r="176" spans="1:20" x14ac:dyDescent="0.25">
      <c r="A176" s="113"/>
      <c r="B176" s="108"/>
      <c r="C176" s="111"/>
      <c r="D176" s="111"/>
      <c r="E176" s="111"/>
      <c r="F176" s="108"/>
      <c r="G176" s="108"/>
      <c r="H176" s="112"/>
      <c r="I176" s="111"/>
      <c r="J176" s="111"/>
      <c r="K176" s="111"/>
      <c r="L176" s="108"/>
      <c r="M176" s="108"/>
      <c r="N176" s="108"/>
      <c r="O176" s="108"/>
      <c r="P176" s="111"/>
      <c r="Q176" s="111"/>
      <c r="R176" s="111"/>
      <c r="S176" s="108"/>
      <c r="T176" s="110"/>
    </row>
    <row r="177" spans="1:20" x14ac:dyDescent="0.25">
      <c r="A177" s="113"/>
      <c r="B177" s="108"/>
      <c r="C177" s="111"/>
      <c r="D177" s="111"/>
      <c r="E177" s="111"/>
      <c r="F177" s="108"/>
      <c r="G177" s="108"/>
      <c r="H177" s="112"/>
      <c r="I177" s="111"/>
      <c r="J177" s="111"/>
      <c r="K177" s="111"/>
      <c r="L177" s="108"/>
      <c r="M177" s="108"/>
      <c r="N177" s="108"/>
      <c r="O177" s="108"/>
      <c r="P177" s="111"/>
      <c r="Q177" s="111"/>
      <c r="R177" s="111"/>
      <c r="S177" s="108"/>
      <c r="T177" s="110"/>
    </row>
    <row r="178" spans="1:20" x14ac:dyDescent="0.25">
      <c r="A178" s="113"/>
      <c r="B178" s="108"/>
      <c r="C178" s="111"/>
      <c r="D178" s="111"/>
      <c r="E178" s="111"/>
      <c r="F178" s="108"/>
      <c r="G178" s="108"/>
      <c r="H178" s="112"/>
      <c r="I178" s="111"/>
      <c r="J178" s="111"/>
      <c r="K178" s="111"/>
      <c r="L178" s="108"/>
      <c r="M178" s="108"/>
      <c r="N178" s="108"/>
      <c r="O178" s="108"/>
      <c r="P178" s="111"/>
      <c r="Q178" s="111"/>
      <c r="R178" s="111"/>
      <c r="S178" s="108"/>
      <c r="T178" s="110"/>
    </row>
    <row r="179" spans="1:20" x14ac:dyDescent="0.25">
      <c r="A179" s="113"/>
      <c r="B179" s="108"/>
      <c r="C179" s="111"/>
      <c r="D179" s="111"/>
      <c r="E179" s="111"/>
      <c r="F179" s="108"/>
      <c r="G179" s="108"/>
      <c r="H179" s="112"/>
      <c r="I179" s="111"/>
      <c r="J179" s="111"/>
      <c r="K179" s="111"/>
      <c r="L179" s="108"/>
      <c r="M179" s="108"/>
      <c r="N179" s="108"/>
      <c r="O179" s="108"/>
      <c r="P179" s="111"/>
      <c r="Q179" s="111"/>
      <c r="R179" s="111"/>
      <c r="S179" s="108"/>
      <c r="T179" s="110"/>
    </row>
    <row r="180" spans="1:20" x14ac:dyDescent="0.25">
      <c r="A180" s="113"/>
      <c r="B180" s="108"/>
      <c r="C180" s="111"/>
      <c r="D180" s="111"/>
      <c r="E180" s="111"/>
      <c r="F180" s="108"/>
      <c r="G180" s="108"/>
      <c r="H180" s="112"/>
      <c r="I180" s="111"/>
      <c r="J180" s="111"/>
      <c r="K180" s="111"/>
      <c r="L180" s="108"/>
      <c r="M180" s="108"/>
      <c r="N180" s="108"/>
      <c r="O180" s="108"/>
      <c r="P180" s="111"/>
      <c r="Q180" s="111"/>
      <c r="R180" s="111"/>
      <c r="S180" s="108"/>
      <c r="T180" s="110"/>
    </row>
    <row r="181" spans="1:20" x14ac:dyDescent="0.25">
      <c r="A181" s="113"/>
      <c r="B181" s="108"/>
      <c r="C181" s="111"/>
      <c r="D181" s="111"/>
      <c r="E181" s="111"/>
      <c r="F181" s="108"/>
      <c r="G181" s="108"/>
      <c r="H181" s="112"/>
      <c r="I181" s="111"/>
      <c r="J181" s="111"/>
      <c r="K181" s="111"/>
      <c r="L181" s="108"/>
      <c r="M181" s="108"/>
      <c r="N181" s="108"/>
      <c r="O181" s="108"/>
      <c r="P181" s="111"/>
      <c r="Q181" s="111"/>
      <c r="R181" s="111"/>
      <c r="S181" s="108"/>
      <c r="T181" s="110"/>
    </row>
    <row r="182" spans="1:20" x14ac:dyDescent="0.25">
      <c r="A182" s="113"/>
      <c r="B182" s="108"/>
      <c r="C182" s="111"/>
      <c r="D182" s="111"/>
      <c r="E182" s="111"/>
      <c r="F182" s="108"/>
      <c r="G182" s="108"/>
      <c r="H182" s="112"/>
      <c r="I182" s="111"/>
      <c r="J182" s="111"/>
      <c r="K182" s="111"/>
      <c r="L182" s="108"/>
      <c r="M182" s="108"/>
      <c r="N182" s="108"/>
      <c r="O182" s="108"/>
      <c r="P182" s="111"/>
      <c r="Q182" s="111"/>
      <c r="R182" s="111"/>
      <c r="S182" s="108"/>
      <c r="T182" s="110"/>
    </row>
    <row r="183" spans="1:20" x14ac:dyDescent="0.25">
      <c r="A183" s="113"/>
      <c r="B183" s="108"/>
      <c r="C183" s="111"/>
      <c r="D183" s="111"/>
      <c r="E183" s="111"/>
      <c r="F183" s="108"/>
      <c r="G183" s="108"/>
      <c r="H183" s="112"/>
      <c r="I183" s="111"/>
      <c r="J183" s="111"/>
      <c r="K183" s="111"/>
      <c r="L183" s="108"/>
      <c r="M183" s="108"/>
      <c r="N183" s="108"/>
      <c r="O183" s="108"/>
      <c r="P183" s="111"/>
      <c r="Q183" s="111"/>
      <c r="R183" s="111"/>
      <c r="S183" s="108"/>
      <c r="T183" s="110"/>
    </row>
    <row r="184" spans="1:20" x14ac:dyDescent="0.25">
      <c r="A184" s="113"/>
      <c r="B184" s="108"/>
      <c r="C184" s="111"/>
      <c r="D184" s="111"/>
      <c r="E184" s="111"/>
      <c r="F184" s="108"/>
      <c r="G184" s="108"/>
      <c r="H184" s="112"/>
      <c r="I184" s="111"/>
      <c r="J184" s="111"/>
      <c r="K184" s="111"/>
      <c r="L184" s="108"/>
      <c r="M184" s="108"/>
      <c r="N184" s="108"/>
      <c r="O184" s="108"/>
      <c r="P184" s="111"/>
      <c r="Q184" s="111"/>
      <c r="R184" s="111"/>
      <c r="S184" s="108"/>
      <c r="T184" s="110"/>
    </row>
    <row r="185" spans="1:20" x14ac:dyDescent="0.25">
      <c r="A185" s="113"/>
      <c r="B185" s="108"/>
      <c r="C185" s="111"/>
      <c r="D185" s="111"/>
      <c r="E185" s="111"/>
      <c r="F185" s="108"/>
      <c r="G185" s="108"/>
      <c r="H185" s="112"/>
      <c r="I185" s="111"/>
      <c r="J185" s="111"/>
      <c r="K185" s="111"/>
      <c r="L185" s="108"/>
      <c r="M185" s="108"/>
      <c r="N185" s="108"/>
      <c r="O185" s="108"/>
      <c r="P185" s="111"/>
      <c r="Q185" s="111"/>
      <c r="R185" s="111"/>
      <c r="S185" s="108"/>
      <c r="T185" s="110"/>
    </row>
    <row r="186" spans="1:20" x14ac:dyDescent="0.25">
      <c r="A186" s="113"/>
      <c r="B186" s="108"/>
      <c r="C186" s="111"/>
      <c r="D186" s="111"/>
      <c r="E186" s="111"/>
      <c r="F186" s="108"/>
      <c r="G186" s="108"/>
      <c r="H186" s="112"/>
      <c r="I186" s="111"/>
      <c r="J186" s="111"/>
      <c r="K186" s="111"/>
      <c r="L186" s="108"/>
      <c r="M186" s="108"/>
      <c r="N186" s="108"/>
      <c r="O186" s="108"/>
      <c r="P186" s="111"/>
      <c r="Q186" s="111"/>
      <c r="R186" s="111"/>
      <c r="S186" s="108"/>
      <c r="T186" s="110"/>
    </row>
    <row r="187" spans="1:20" x14ac:dyDescent="0.25">
      <c r="A187" s="113"/>
      <c r="B187" s="108"/>
      <c r="C187" s="111"/>
      <c r="D187" s="111"/>
      <c r="E187" s="111"/>
      <c r="F187" s="108"/>
      <c r="G187" s="108"/>
      <c r="H187" s="112"/>
      <c r="I187" s="111"/>
      <c r="J187" s="111"/>
      <c r="K187" s="111"/>
      <c r="L187" s="108"/>
      <c r="M187" s="108"/>
      <c r="N187" s="108"/>
      <c r="O187" s="108"/>
      <c r="P187" s="111"/>
      <c r="Q187" s="111"/>
      <c r="R187" s="111"/>
      <c r="S187" s="108"/>
      <c r="T187" s="110"/>
    </row>
    <row r="188" spans="1:20" x14ac:dyDescent="0.25">
      <c r="A188" s="113"/>
      <c r="B188" s="108"/>
      <c r="C188" s="111"/>
      <c r="D188" s="111"/>
      <c r="E188" s="111"/>
      <c r="F188" s="108"/>
      <c r="G188" s="108"/>
      <c r="H188" s="112"/>
      <c r="I188" s="111"/>
      <c r="J188" s="111"/>
      <c r="K188" s="111"/>
      <c r="L188" s="108"/>
      <c r="M188" s="108"/>
      <c r="N188" s="108"/>
      <c r="O188" s="108"/>
      <c r="P188" s="111"/>
      <c r="Q188" s="111"/>
      <c r="R188" s="111"/>
      <c r="S188" s="108"/>
      <c r="T188" s="110"/>
    </row>
    <row r="189" spans="1:20" x14ac:dyDescent="0.25">
      <c r="A189" s="113"/>
      <c r="B189" s="108"/>
      <c r="C189" s="111"/>
      <c r="D189" s="111"/>
      <c r="E189" s="111"/>
      <c r="F189" s="108"/>
      <c r="G189" s="108"/>
      <c r="H189" s="112"/>
      <c r="I189" s="111"/>
      <c r="J189" s="111"/>
      <c r="K189" s="111"/>
      <c r="L189" s="108"/>
      <c r="M189" s="108"/>
      <c r="N189" s="108"/>
      <c r="O189" s="108"/>
      <c r="P189" s="111"/>
      <c r="Q189" s="111"/>
      <c r="R189" s="111"/>
      <c r="S189" s="108"/>
      <c r="T189" s="110"/>
    </row>
    <row r="190" spans="1:20" x14ac:dyDescent="0.25">
      <c r="A190" s="113"/>
      <c r="B190" s="108"/>
      <c r="C190" s="111"/>
      <c r="D190" s="111"/>
      <c r="E190" s="111"/>
      <c r="F190" s="108"/>
      <c r="G190" s="108"/>
      <c r="H190" s="112"/>
      <c r="I190" s="111"/>
      <c r="J190" s="111"/>
      <c r="K190" s="111"/>
      <c r="L190" s="108"/>
      <c r="M190" s="108"/>
      <c r="N190" s="108"/>
      <c r="O190" s="108"/>
      <c r="P190" s="111"/>
      <c r="Q190" s="111"/>
      <c r="R190" s="111"/>
      <c r="S190" s="108"/>
      <c r="T190" s="110"/>
    </row>
    <row r="191" spans="1:20" x14ac:dyDescent="0.25">
      <c r="A191" s="113"/>
      <c r="B191" s="108"/>
      <c r="C191" s="111"/>
      <c r="D191" s="111"/>
      <c r="E191" s="111"/>
      <c r="F191" s="108"/>
      <c r="G191" s="108"/>
      <c r="H191" s="112"/>
      <c r="I191" s="111"/>
      <c r="J191" s="111"/>
      <c r="K191" s="111"/>
      <c r="L191" s="108"/>
      <c r="M191" s="108"/>
      <c r="N191" s="108"/>
      <c r="O191" s="108"/>
      <c r="P191" s="111"/>
      <c r="Q191" s="111"/>
      <c r="R191" s="111"/>
      <c r="S191" s="108"/>
      <c r="T191" s="110"/>
    </row>
    <row r="192" spans="1:20" x14ac:dyDescent="0.25">
      <c r="A192" s="113"/>
      <c r="B192" s="108"/>
      <c r="C192" s="111"/>
      <c r="D192" s="111"/>
      <c r="E192" s="111"/>
      <c r="F192" s="108"/>
      <c r="G192" s="108"/>
      <c r="H192" s="112"/>
      <c r="I192" s="111"/>
      <c r="J192" s="111"/>
      <c r="K192" s="111"/>
      <c r="L192" s="108"/>
      <c r="M192" s="108"/>
      <c r="N192" s="108"/>
      <c r="O192" s="108"/>
      <c r="P192" s="111"/>
      <c r="Q192" s="111"/>
      <c r="R192" s="111"/>
      <c r="S192" s="108"/>
      <c r="T192" s="110"/>
    </row>
    <row r="193" spans="1:20" x14ac:dyDescent="0.25">
      <c r="A193" s="113"/>
      <c r="B193" s="108"/>
      <c r="C193" s="111"/>
      <c r="D193" s="111"/>
      <c r="E193" s="111"/>
      <c r="F193" s="108"/>
      <c r="G193" s="108"/>
      <c r="H193" s="112"/>
      <c r="I193" s="111"/>
      <c r="J193" s="111"/>
      <c r="K193" s="111"/>
      <c r="L193" s="108"/>
      <c r="M193" s="108"/>
      <c r="N193" s="108"/>
      <c r="O193" s="108"/>
      <c r="P193" s="111"/>
      <c r="Q193" s="111"/>
      <c r="R193" s="111"/>
      <c r="S193" s="108"/>
      <c r="T193" s="110"/>
    </row>
    <row r="194" spans="1:20" x14ac:dyDescent="0.25">
      <c r="A194" s="113"/>
      <c r="B194" s="108"/>
      <c r="C194" s="111"/>
      <c r="D194" s="111"/>
      <c r="E194" s="111"/>
      <c r="F194" s="108"/>
      <c r="G194" s="108"/>
      <c r="H194" s="112"/>
      <c r="I194" s="111"/>
      <c r="J194" s="111"/>
      <c r="K194" s="111"/>
      <c r="L194" s="108"/>
      <c r="M194" s="108"/>
      <c r="N194" s="108"/>
      <c r="O194" s="108"/>
      <c r="P194" s="111"/>
      <c r="Q194" s="111"/>
      <c r="R194" s="111"/>
      <c r="S194" s="108"/>
      <c r="T194" s="110"/>
    </row>
    <row r="195" spans="1:20" x14ac:dyDescent="0.25">
      <c r="A195" s="113"/>
      <c r="B195" s="108"/>
      <c r="C195" s="111"/>
      <c r="D195" s="111"/>
      <c r="E195" s="111"/>
      <c r="F195" s="108"/>
      <c r="G195" s="108"/>
      <c r="H195" s="112"/>
      <c r="I195" s="111"/>
      <c r="J195" s="111"/>
      <c r="K195" s="111"/>
      <c r="L195" s="108"/>
      <c r="M195" s="108"/>
      <c r="N195" s="108"/>
      <c r="O195" s="108"/>
      <c r="P195" s="111"/>
      <c r="Q195" s="111"/>
      <c r="R195" s="111"/>
      <c r="S195" s="108"/>
      <c r="T195" s="110"/>
    </row>
    <row r="196" spans="1:20" x14ac:dyDescent="0.25">
      <c r="A196" s="113"/>
      <c r="B196" s="108"/>
      <c r="C196" s="111"/>
      <c r="D196" s="111"/>
      <c r="E196" s="111"/>
      <c r="F196" s="108"/>
      <c r="G196" s="108"/>
      <c r="H196" s="112"/>
      <c r="I196" s="111"/>
      <c r="J196" s="111"/>
      <c r="K196" s="111"/>
      <c r="L196" s="108"/>
      <c r="M196" s="108"/>
      <c r="N196" s="108"/>
      <c r="O196" s="108"/>
      <c r="P196" s="111"/>
      <c r="Q196" s="111"/>
      <c r="R196" s="111"/>
      <c r="S196" s="108"/>
      <c r="T196" s="110"/>
    </row>
    <row r="197" spans="1:20" x14ac:dyDescent="0.25">
      <c r="A197" s="113"/>
      <c r="B197" s="108"/>
      <c r="C197" s="111"/>
      <c r="D197" s="111"/>
      <c r="E197" s="111"/>
      <c r="F197" s="108"/>
      <c r="G197" s="108"/>
      <c r="H197" s="112"/>
      <c r="I197" s="111"/>
      <c r="J197" s="111"/>
      <c r="K197" s="111"/>
      <c r="L197" s="108"/>
      <c r="M197" s="108"/>
      <c r="N197" s="108"/>
      <c r="O197" s="108"/>
      <c r="P197" s="111"/>
      <c r="Q197" s="111"/>
      <c r="R197" s="111"/>
      <c r="S197" s="108"/>
      <c r="T197" s="110"/>
    </row>
    <row r="198" spans="1:20" x14ac:dyDescent="0.25">
      <c r="A198" s="113"/>
      <c r="B198" s="108"/>
      <c r="C198" s="111"/>
      <c r="D198" s="111"/>
      <c r="E198" s="111"/>
      <c r="F198" s="108"/>
      <c r="G198" s="108"/>
      <c r="H198" s="112"/>
      <c r="I198" s="111"/>
      <c r="J198" s="111"/>
      <c r="K198" s="111"/>
      <c r="L198" s="108"/>
      <c r="M198" s="108"/>
      <c r="N198" s="108"/>
      <c r="O198" s="108"/>
      <c r="P198" s="111"/>
      <c r="Q198" s="111"/>
      <c r="R198" s="111"/>
      <c r="S198" s="108"/>
      <c r="T198" s="110"/>
    </row>
    <row r="199" spans="1:20" x14ac:dyDescent="0.25">
      <c r="A199" s="113"/>
      <c r="B199" s="108"/>
      <c r="C199" s="111"/>
      <c r="D199" s="111"/>
      <c r="E199" s="111"/>
      <c r="F199" s="108"/>
      <c r="G199" s="108"/>
      <c r="H199" s="112"/>
      <c r="I199" s="111"/>
      <c r="J199" s="111"/>
      <c r="K199" s="111"/>
      <c r="L199" s="108"/>
      <c r="M199" s="108"/>
      <c r="N199" s="108"/>
      <c r="O199" s="108"/>
      <c r="P199" s="111"/>
      <c r="Q199" s="111"/>
      <c r="R199" s="111"/>
      <c r="S199" s="108"/>
      <c r="T199" s="110"/>
    </row>
    <row r="200" spans="1:20" x14ac:dyDescent="0.25">
      <c r="A200" s="113"/>
      <c r="B200" s="108"/>
      <c r="C200" s="111"/>
      <c r="D200" s="111"/>
      <c r="E200" s="111"/>
      <c r="F200" s="108"/>
      <c r="G200" s="108"/>
      <c r="H200" s="112"/>
      <c r="I200" s="111"/>
      <c r="J200" s="111"/>
      <c r="K200" s="111"/>
      <c r="L200" s="108"/>
      <c r="M200" s="108"/>
      <c r="N200" s="108"/>
      <c r="O200" s="108"/>
      <c r="P200" s="111"/>
      <c r="Q200" s="111"/>
      <c r="R200" s="111"/>
      <c r="S200" s="108"/>
      <c r="T200" s="110"/>
    </row>
    <row r="201" spans="1:20" x14ac:dyDescent="0.25">
      <c r="A201" s="113"/>
      <c r="B201" s="108"/>
      <c r="C201" s="111"/>
      <c r="D201" s="111"/>
      <c r="E201" s="111"/>
      <c r="F201" s="108"/>
      <c r="G201" s="108"/>
      <c r="H201" s="112"/>
      <c r="I201" s="111"/>
      <c r="J201" s="111"/>
      <c r="K201" s="111"/>
      <c r="L201" s="108"/>
      <c r="M201" s="108"/>
      <c r="N201" s="108"/>
      <c r="O201" s="108"/>
      <c r="P201" s="111"/>
      <c r="Q201" s="111"/>
      <c r="R201" s="111"/>
      <c r="S201" s="108"/>
      <c r="T201" s="110"/>
    </row>
    <row r="202" spans="1:20" x14ac:dyDescent="0.25">
      <c r="A202" s="113"/>
      <c r="B202" s="108"/>
      <c r="C202" s="111"/>
      <c r="D202" s="111"/>
      <c r="E202" s="111"/>
      <c r="F202" s="108"/>
      <c r="G202" s="108"/>
      <c r="H202" s="112"/>
      <c r="I202" s="111"/>
      <c r="J202" s="111"/>
      <c r="K202" s="111"/>
      <c r="L202" s="108"/>
      <c r="M202" s="108"/>
      <c r="N202" s="108"/>
      <c r="O202" s="108"/>
      <c r="P202" s="111"/>
      <c r="Q202" s="111"/>
      <c r="R202" s="111"/>
      <c r="S202" s="108"/>
      <c r="T202" s="110"/>
    </row>
    <row r="203" spans="1:20" x14ac:dyDescent="0.25">
      <c r="A203" s="113"/>
      <c r="B203" s="108"/>
      <c r="C203" s="111"/>
      <c r="D203" s="111"/>
      <c r="E203" s="111"/>
      <c r="F203" s="108"/>
      <c r="G203" s="108"/>
      <c r="H203" s="112"/>
      <c r="I203" s="111"/>
      <c r="J203" s="111"/>
      <c r="K203" s="111"/>
      <c r="L203" s="108"/>
      <c r="M203" s="108"/>
      <c r="N203" s="108"/>
      <c r="O203" s="108"/>
      <c r="P203" s="111"/>
      <c r="Q203" s="111"/>
      <c r="R203" s="111"/>
      <c r="S203" s="108"/>
      <c r="T203" s="110"/>
    </row>
    <row r="204" spans="1:20" x14ac:dyDescent="0.25">
      <c r="A204" s="113"/>
      <c r="B204" s="108"/>
      <c r="C204" s="111"/>
      <c r="D204" s="111"/>
      <c r="E204" s="111"/>
      <c r="F204" s="108"/>
      <c r="G204" s="108"/>
      <c r="H204" s="112"/>
      <c r="I204" s="111"/>
      <c r="J204" s="111"/>
      <c r="K204" s="111"/>
      <c r="L204" s="108"/>
      <c r="M204" s="108"/>
      <c r="N204" s="108"/>
      <c r="O204" s="108"/>
      <c r="P204" s="111"/>
      <c r="Q204" s="111"/>
      <c r="R204" s="111"/>
      <c r="S204" s="108"/>
      <c r="T204" s="110"/>
    </row>
    <row r="205" spans="1:20" x14ac:dyDescent="0.25">
      <c r="A205" s="113"/>
      <c r="B205" s="108"/>
      <c r="C205" s="111"/>
      <c r="D205" s="111"/>
      <c r="E205" s="111"/>
      <c r="F205" s="108"/>
      <c r="G205" s="108"/>
      <c r="H205" s="112"/>
      <c r="I205" s="111"/>
      <c r="J205" s="111"/>
      <c r="K205" s="111"/>
      <c r="L205" s="108"/>
      <c r="M205" s="108"/>
      <c r="N205" s="108"/>
      <c r="O205" s="108"/>
      <c r="P205" s="111"/>
      <c r="Q205" s="111"/>
      <c r="R205" s="111"/>
      <c r="S205" s="108"/>
      <c r="T205" s="110"/>
    </row>
    <row r="206" spans="1:20" x14ac:dyDescent="0.25">
      <c r="A206" s="113"/>
      <c r="B206" s="108"/>
      <c r="C206" s="111"/>
      <c r="D206" s="111"/>
      <c r="E206" s="111"/>
      <c r="F206" s="108"/>
      <c r="G206" s="108"/>
      <c r="H206" s="112"/>
      <c r="I206" s="111"/>
      <c r="J206" s="111"/>
      <c r="K206" s="111"/>
      <c r="L206" s="108"/>
      <c r="M206" s="108"/>
      <c r="N206" s="108"/>
      <c r="O206" s="108"/>
      <c r="P206" s="111"/>
      <c r="Q206" s="111"/>
      <c r="R206" s="111"/>
      <c r="S206" s="108"/>
      <c r="T206" s="110"/>
    </row>
    <row r="207" spans="1:20" x14ac:dyDescent="0.25">
      <c r="A207" s="113"/>
      <c r="B207" s="108"/>
      <c r="C207" s="111"/>
      <c r="D207" s="111"/>
      <c r="E207" s="111"/>
      <c r="F207" s="108"/>
      <c r="G207" s="108"/>
      <c r="H207" s="112"/>
      <c r="I207" s="111"/>
      <c r="J207" s="111"/>
      <c r="K207" s="111"/>
      <c r="L207" s="108"/>
      <c r="M207" s="108"/>
      <c r="N207" s="108"/>
      <c r="O207" s="108"/>
      <c r="P207" s="111"/>
      <c r="Q207" s="111"/>
      <c r="R207" s="111"/>
      <c r="S207" s="108"/>
      <c r="T207" s="110"/>
    </row>
    <row r="208" spans="1:20" x14ac:dyDescent="0.25">
      <c r="A208" s="113"/>
      <c r="B208" s="108"/>
      <c r="C208" s="111"/>
      <c r="D208" s="111"/>
      <c r="E208" s="111"/>
      <c r="F208" s="108"/>
      <c r="G208" s="108"/>
      <c r="H208" s="112"/>
      <c r="I208" s="111"/>
      <c r="J208" s="111"/>
      <c r="K208" s="111"/>
      <c r="L208" s="108"/>
      <c r="M208" s="108"/>
      <c r="N208" s="108"/>
      <c r="O208" s="108"/>
      <c r="P208" s="111"/>
      <c r="Q208" s="111"/>
      <c r="R208" s="111"/>
      <c r="S208" s="108"/>
      <c r="T208" s="110"/>
    </row>
    <row r="209" spans="1:20" x14ac:dyDescent="0.25">
      <c r="A209" s="113"/>
      <c r="B209" s="108"/>
      <c r="C209" s="111"/>
      <c r="D209" s="111"/>
      <c r="E209" s="111"/>
      <c r="F209" s="108"/>
      <c r="G209" s="108"/>
      <c r="H209" s="112"/>
      <c r="I209" s="111"/>
      <c r="J209" s="111"/>
      <c r="K209" s="111"/>
      <c r="L209" s="108"/>
      <c r="M209" s="108"/>
      <c r="N209" s="108"/>
      <c r="O209" s="108"/>
      <c r="P209" s="111"/>
      <c r="Q209" s="111"/>
      <c r="R209" s="111"/>
      <c r="S209" s="108"/>
      <c r="T209" s="110"/>
    </row>
    <row r="210" spans="1:20" ht="17.45" customHeight="1" x14ac:dyDescent="0.25">
      <c r="A210" s="113"/>
      <c r="B210" s="108"/>
      <c r="C210" s="111"/>
      <c r="D210" s="111"/>
      <c r="E210" s="111"/>
      <c r="F210" s="108"/>
      <c r="G210" s="108"/>
      <c r="H210" s="112"/>
      <c r="I210" s="111"/>
      <c r="J210" s="111"/>
      <c r="K210" s="111"/>
      <c r="L210" s="108"/>
      <c r="M210" s="108"/>
      <c r="N210" s="108"/>
      <c r="O210" s="108"/>
      <c r="P210" s="111"/>
      <c r="Q210" s="111"/>
      <c r="R210" s="111"/>
      <c r="S210" s="108"/>
      <c r="T210" s="110"/>
    </row>
    <row r="211" spans="1:20" x14ac:dyDescent="0.25">
      <c r="A211" s="113"/>
      <c r="B211" s="108"/>
      <c r="C211" s="111"/>
      <c r="D211" s="111"/>
      <c r="E211" s="111"/>
      <c r="F211" s="108"/>
      <c r="G211" s="108"/>
      <c r="H211" s="112"/>
      <c r="I211" s="111"/>
      <c r="J211" s="111"/>
      <c r="K211" s="111"/>
      <c r="L211" s="108"/>
      <c r="M211" s="108"/>
      <c r="N211" s="108"/>
      <c r="O211" s="108"/>
      <c r="P211" s="111"/>
      <c r="Q211" s="111"/>
      <c r="R211" s="111"/>
      <c r="S211" s="108"/>
      <c r="T211" s="110"/>
    </row>
    <row r="212" spans="1:20" x14ac:dyDescent="0.25">
      <c r="A212" s="113"/>
      <c r="B212" s="108"/>
      <c r="C212" s="111"/>
      <c r="D212" s="111"/>
      <c r="E212" s="111"/>
      <c r="F212" s="108"/>
      <c r="G212" s="108"/>
      <c r="H212" s="112"/>
      <c r="I212" s="111"/>
      <c r="J212" s="111"/>
      <c r="K212" s="111"/>
      <c r="L212" s="108"/>
      <c r="M212" s="108"/>
      <c r="N212" s="108"/>
      <c r="O212" s="108"/>
      <c r="P212" s="111"/>
      <c r="Q212" s="111"/>
      <c r="R212" s="111"/>
      <c r="S212" s="108"/>
      <c r="T212" s="110"/>
    </row>
    <row r="213" spans="1:20" x14ac:dyDescent="0.25">
      <c r="A213" s="113"/>
      <c r="B213" s="108"/>
      <c r="C213" s="111"/>
      <c r="D213" s="111"/>
      <c r="E213" s="111"/>
      <c r="F213" s="108"/>
      <c r="G213" s="108"/>
      <c r="H213" s="112"/>
      <c r="I213" s="111"/>
      <c r="J213" s="111"/>
      <c r="K213" s="111"/>
      <c r="L213" s="108"/>
      <c r="M213" s="108"/>
      <c r="N213" s="108"/>
      <c r="O213" s="108"/>
      <c r="P213" s="111"/>
      <c r="Q213" s="111"/>
      <c r="R213" s="111"/>
      <c r="S213" s="108"/>
      <c r="T213" s="110"/>
    </row>
    <row r="214" spans="1:20" x14ac:dyDescent="0.25">
      <c r="A214" s="113"/>
      <c r="B214" s="108"/>
      <c r="C214" s="111"/>
      <c r="D214" s="111"/>
      <c r="E214" s="111"/>
      <c r="F214" s="108"/>
      <c r="G214" s="108"/>
      <c r="H214" s="112"/>
      <c r="I214" s="111"/>
      <c r="J214" s="111"/>
      <c r="K214" s="111"/>
      <c r="L214" s="108"/>
      <c r="M214" s="108"/>
      <c r="N214" s="108"/>
      <c r="O214" s="108"/>
      <c r="P214" s="111"/>
      <c r="Q214" s="111"/>
      <c r="R214" s="111"/>
      <c r="S214" s="108"/>
      <c r="T214" s="110"/>
    </row>
    <row r="215" spans="1:20" x14ac:dyDescent="0.25">
      <c r="A215" s="113"/>
      <c r="B215" s="108"/>
      <c r="C215" s="111"/>
      <c r="D215" s="111"/>
      <c r="E215" s="111"/>
      <c r="F215" s="108"/>
      <c r="G215" s="108"/>
      <c r="H215" s="112"/>
      <c r="I215" s="111"/>
      <c r="J215" s="111"/>
      <c r="K215" s="111"/>
      <c r="L215" s="108"/>
      <c r="M215" s="108"/>
      <c r="N215" s="108"/>
      <c r="O215" s="108"/>
      <c r="P215" s="111"/>
      <c r="Q215" s="111"/>
      <c r="R215" s="111"/>
      <c r="S215" s="108"/>
      <c r="T215" s="110"/>
    </row>
    <row r="216" spans="1:20" x14ac:dyDescent="0.25">
      <c r="A216" s="113"/>
      <c r="B216" s="108"/>
      <c r="C216" s="111"/>
      <c r="D216" s="111"/>
      <c r="E216" s="111"/>
      <c r="F216" s="108"/>
      <c r="G216" s="108"/>
      <c r="H216" s="112"/>
      <c r="I216" s="111"/>
      <c r="J216" s="111"/>
      <c r="K216" s="111"/>
      <c r="L216" s="108"/>
      <c r="M216" s="108"/>
      <c r="N216" s="108"/>
      <c r="O216" s="108"/>
      <c r="P216" s="111"/>
      <c r="Q216" s="111"/>
      <c r="R216" s="111"/>
      <c r="S216" s="108"/>
      <c r="T216" s="110"/>
    </row>
    <row r="217" spans="1:20" ht="24.6" customHeight="1" x14ac:dyDescent="0.25">
      <c r="A217" s="113"/>
      <c r="B217" s="108"/>
      <c r="C217" s="111"/>
      <c r="D217" s="111"/>
      <c r="E217" s="111"/>
      <c r="F217" s="108"/>
      <c r="G217" s="108"/>
      <c r="H217" s="112"/>
      <c r="I217" s="111"/>
      <c r="J217" s="111"/>
      <c r="K217" s="111"/>
      <c r="L217" s="108"/>
      <c r="M217" s="108"/>
      <c r="N217" s="108"/>
      <c r="O217" s="108"/>
      <c r="P217" s="111"/>
      <c r="Q217" s="111"/>
      <c r="R217" s="111"/>
      <c r="S217" s="108"/>
      <c r="T217" s="110"/>
    </row>
    <row r="218" spans="1:20" x14ac:dyDescent="0.25">
      <c r="A218" s="113"/>
      <c r="B218" s="108"/>
      <c r="C218" s="111"/>
      <c r="D218" s="111"/>
      <c r="E218" s="111"/>
      <c r="F218" s="108"/>
      <c r="G218" s="108"/>
      <c r="H218" s="112"/>
      <c r="I218" s="111"/>
      <c r="J218" s="111"/>
      <c r="K218" s="111"/>
      <c r="L218" s="108"/>
      <c r="M218" s="108"/>
      <c r="N218" s="108"/>
      <c r="O218" s="108"/>
      <c r="P218" s="111"/>
      <c r="Q218" s="111"/>
      <c r="R218" s="111"/>
      <c r="S218" s="108"/>
      <c r="T218" s="110"/>
    </row>
    <row r="219" spans="1:20" x14ac:dyDescent="0.25">
      <c r="A219" s="113"/>
      <c r="B219" s="108"/>
      <c r="C219" s="111"/>
      <c r="D219" s="111"/>
      <c r="E219" s="111"/>
      <c r="F219" s="108"/>
      <c r="G219" s="108"/>
      <c r="H219" s="112"/>
      <c r="I219" s="111"/>
      <c r="J219" s="111"/>
      <c r="K219" s="111"/>
      <c r="L219" s="108"/>
      <c r="M219" s="108"/>
      <c r="N219" s="108"/>
      <c r="O219" s="108"/>
      <c r="P219" s="111"/>
      <c r="Q219" s="111"/>
      <c r="R219" s="111"/>
      <c r="S219" s="108"/>
      <c r="T219" s="110"/>
    </row>
    <row r="220" spans="1:20" x14ac:dyDescent="0.25">
      <c r="A220" s="113"/>
      <c r="B220" s="108"/>
      <c r="C220" s="111"/>
      <c r="D220" s="111"/>
      <c r="E220" s="111"/>
      <c r="F220" s="108"/>
      <c r="G220" s="108"/>
      <c r="H220" s="112"/>
      <c r="I220" s="111"/>
      <c r="J220" s="111"/>
      <c r="K220" s="111"/>
      <c r="L220" s="108"/>
      <c r="M220" s="108"/>
      <c r="N220" s="108"/>
      <c r="O220" s="108"/>
      <c r="P220" s="111"/>
      <c r="Q220" s="111"/>
      <c r="R220" s="111"/>
      <c r="S220" s="108"/>
      <c r="T220" s="110"/>
    </row>
    <row r="221" spans="1:20" x14ac:dyDescent="0.25">
      <c r="A221" s="113"/>
      <c r="B221" s="108"/>
      <c r="C221" s="111"/>
      <c r="D221" s="111"/>
      <c r="E221" s="111"/>
      <c r="F221" s="108"/>
      <c r="G221" s="108"/>
      <c r="H221" s="112"/>
      <c r="I221" s="111"/>
      <c r="J221" s="111"/>
      <c r="K221" s="111"/>
      <c r="L221" s="108"/>
      <c r="M221" s="108"/>
      <c r="N221" s="108"/>
      <c r="O221" s="108"/>
      <c r="P221" s="111"/>
      <c r="Q221" s="111"/>
      <c r="R221" s="111"/>
      <c r="S221" s="108"/>
      <c r="T221" s="110"/>
    </row>
    <row r="222" spans="1:20" x14ac:dyDescent="0.25">
      <c r="A222" s="113"/>
      <c r="B222" s="108"/>
      <c r="C222" s="111"/>
      <c r="D222" s="111"/>
      <c r="E222" s="111"/>
      <c r="F222" s="108"/>
      <c r="G222" s="108"/>
      <c r="H222" s="112"/>
      <c r="I222" s="111"/>
      <c r="J222" s="111"/>
      <c r="K222" s="111"/>
      <c r="L222" s="108"/>
      <c r="M222" s="108"/>
      <c r="N222" s="108"/>
      <c r="O222" s="108"/>
      <c r="P222" s="111"/>
      <c r="Q222" s="111"/>
      <c r="R222" s="111"/>
      <c r="S222" s="108"/>
      <c r="T222" s="110"/>
    </row>
    <row r="223" spans="1:20" x14ac:dyDescent="0.25">
      <c r="A223" s="113"/>
      <c r="B223" s="108"/>
      <c r="C223" s="111"/>
      <c r="D223" s="111"/>
      <c r="E223" s="111"/>
      <c r="F223" s="108"/>
      <c r="G223" s="108"/>
      <c r="H223" s="112"/>
      <c r="I223" s="111"/>
      <c r="J223" s="111"/>
      <c r="K223" s="111"/>
      <c r="L223" s="108"/>
      <c r="M223" s="108"/>
      <c r="N223" s="108"/>
      <c r="O223" s="108"/>
      <c r="P223" s="111"/>
      <c r="Q223" s="111"/>
      <c r="R223" s="111"/>
      <c r="S223" s="108"/>
      <c r="T223" s="110"/>
    </row>
    <row r="224" spans="1:20" x14ac:dyDescent="0.25">
      <c r="A224" s="113"/>
      <c r="B224" s="108"/>
      <c r="C224" s="111"/>
      <c r="D224" s="111"/>
      <c r="E224" s="111"/>
      <c r="F224" s="108"/>
      <c r="G224" s="108"/>
      <c r="H224" s="112"/>
      <c r="I224" s="111"/>
      <c r="J224" s="111"/>
      <c r="K224" s="111"/>
      <c r="L224" s="108"/>
      <c r="M224" s="108"/>
      <c r="N224" s="108"/>
      <c r="O224" s="108"/>
      <c r="P224" s="111"/>
      <c r="Q224" s="111"/>
      <c r="R224" s="111"/>
      <c r="S224" s="108"/>
      <c r="T224" s="110"/>
    </row>
    <row r="225" spans="1:20" x14ac:dyDescent="0.25">
      <c r="A225" s="113"/>
      <c r="B225" s="108"/>
      <c r="C225" s="111"/>
      <c r="D225" s="111"/>
      <c r="E225" s="111"/>
      <c r="F225" s="108"/>
      <c r="G225" s="108"/>
      <c r="H225" s="112"/>
      <c r="I225" s="111"/>
      <c r="J225" s="111"/>
      <c r="K225" s="111"/>
      <c r="L225" s="108"/>
      <c r="M225" s="108"/>
      <c r="N225" s="108"/>
      <c r="O225" s="108"/>
      <c r="P225" s="111"/>
      <c r="Q225" s="111"/>
      <c r="R225" s="111"/>
      <c r="S225" s="108"/>
      <c r="T225" s="110"/>
    </row>
    <row r="226" spans="1:20" x14ac:dyDescent="0.25">
      <c r="A226" s="113"/>
      <c r="B226" s="108"/>
      <c r="C226" s="111"/>
      <c r="D226" s="111"/>
      <c r="E226" s="111"/>
      <c r="F226" s="108"/>
      <c r="G226" s="108"/>
      <c r="H226" s="112"/>
      <c r="I226" s="111"/>
      <c r="J226" s="111"/>
      <c r="K226" s="111"/>
      <c r="L226" s="108"/>
      <c r="M226" s="108"/>
      <c r="N226" s="108"/>
      <c r="O226" s="108"/>
      <c r="P226" s="111"/>
      <c r="Q226" s="111"/>
      <c r="R226" s="111"/>
      <c r="S226" s="108"/>
      <c r="T226" s="110"/>
    </row>
    <row r="227" spans="1:20" x14ac:dyDescent="0.25">
      <c r="A227" s="113"/>
      <c r="B227" s="108"/>
      <c r="C227" s="111"/>
      <c r="D227" s="111"/>
      <c r="E227" s="111"/>
      <c r="F227" s="108"/>
      <c r="G227" s="108"/>
      <c r="H227" s="112"/>
      <c r="I227" s="111"/>
      <c r="J227" s="111"/>
      <c r="K227" s="111"/>
      <c r="L227" s="108"/>
      <c r="M227" s="108"/>
      <c r="N227" s="108"/>
      <c r="O227" s="108"/>
      <c r="P227" s="111"/>
      <c r="Q227" s="111"/>
      <c r="R227" s="111"/>
      <c r="S227" s="108"/>
      <c r="T227" s="110"/>
    </row>
    <row r="228" spans="1:20" x14ac:dyDescent="0.25">
      <c r="A228" s="113"/>
      <c r="B228" s="108"/>
      <c r="C228" s="111"/>
      <c r="D228" s="111"/>
      <c r="E228" s="111"/>
      <c r="F228" s="108"/>
      <c r="G228" s="108"/>
      <c r="H228" s="112"/>
      <c r="I228" s="111"/>
      <c r="J228" s="111"/>
      <c r="K228" s="111"/>
      <c r="L228" s="108"/>
      <c r="M228" s="108"/>
      <c r="N228" s="108"/>
      <c r="O228" s="108"/>
      <c r="P228" s="111"/>
      <c r="Q228" s="111"/>
      <c r="R228" s="111"/>
      <c r="S228" s="108"/>
      <c r="T228" s="110"/>
    </row>
    <row r="229" spans="1:20" x14ac:dyDescent="0.25">
      <c r="A229" s="113"/>
      <c r="B229" s="108"/>
      <c r="C229" s="111"/>
      <c r="D229" s="111"/>
      <c r="E229" s="111"/>
      <c r="F229" s="108"/>
      <c r="G229" s="108"/>
      <c r="H229" s="112"/>
      <c r="I229" s="111"/>
      <c r="J229" s="111"/>
      <c r="K229" s="111"/>
      <c r="L229" s="108"/>
      <c r="M229" s="108"/>
      <c r="N229" s="108"/>
      <c r="O229" s="108"/>
      <c r="P229" s="111"/>
      <c r="Q229" s="111"/>
      <c r="R229" s="111"/>
      <c r="S229" s="108"/>
      <c r="T229" s="110"/>
    </row>
    <row r="230" spans="1:20" x14ac:dyDescent="0.25">
      <c r="A230" s="113"/>
      <c r="B230" s="108"/>
      <c r="C230" s="111"/>
      <c r="D230" s="111"/>
      <c r="E230" s="111"/>
      <c r="F230" s="108"/>
      <c r="G230" s="108"/>
      <c r="H230" s="112"/>
      <c r="I230" s="111"/>
      <c r="J230" s="111"/>
      <c r="K230" s="111"/>
      <c r="L230" s="108"/>
      <c r="M230" s="108"/>
      <c r="N230" s="108"/>
      <c r="O230" s="108"/>
      <c r="P230" s="111"/>
      <c r="Q230" s="111"/>
      <c r="R230" s="111"/>
      <c r="S230" s="108"/>
      <c r="T230" s="110"/>
    </row>
    <row r="231" spans="1:20" x14ac:dyDescent="0.25">
      <c r="A231" s="113"/>
      <c r="B231" s="108"/>
      <c r="C231" s="111"/>
      <c r="D231" s="111"/>
      <c r="E231" s="111"/>
      <c r="F231" s="108"/>
      <c r="G231" s="108"/>
      <c r="H231" s="112"/>
      <c r="I231" s="111"/>
      <c r="J231" s="111"/>
      <c r="K231" s="111"/>
      <c r="L231" s="108"/>
      <c r="M231" s="108"/>
      <c r="N231" s="108"/>
      <c r="O231" s="108"/>
      <c r="P231" s="111"/>
      <c r="Q231" s="111"/>
      <c r="R231" s="111"/>
      <c r="S231" s="108"/>
      <c r="T231" s="110"/>
    </row>
    <row r="232" spans="1:20" x14ac:dyDescent="0.25">
      <c r="A232" s="113"/>
      <c r="B232" s="108"/>
      <c r="C232" s="111"/>
      <c r="D232" s="111"/>
      <c r="E232" s="111"/>
      <c r="F232" s="108"/>
      <c r="G232" s="108"/>
      <c r="H232" s="112"/>
      <c r="I232" s="111"/>
      <c r="J232" s="111"/>
      <c r="K232" s="111"/>
      <c r="L232" s="108"/>
      <c r="M232" s="108"/>
      <c r="N232" s="108"/>
      <c r="O232" s="108"/>
      <c r="P232" s="111"/>
      <c r="Q232" s="111"/>
      <c r="R232" s="111"/>
      <c r="S232" s="108"/>
      <c r="T232" s="110"/>
    </row>
    <row r="233" spans="1:20" x14ac:dyDescent="0.25">
      <c r="A233" s="113"/>
      <c r="B233" s="108"/>
      <c r="C233" s="111"/>
      <c r="D233" s="111"/>
      <c r="E233" s="111"/>
      <c r="F233" s="108"/>
      <c r="G233" s="108"/>
      <c r="H233" s="112"/>
      <c r="I233" s="111"/>
      <c r="J233" s="111"/>
      <c r="K233" s="111"/>
      <c r="L233" s="108"/>
      <c r="M233" s="108"/>
      <c r="N233" s="108"/>
      <c r="O233" s="108"/>
      <c r="P233" s="111"/>
      <c r="Q233" s="111"/>
      <c r="R233" s="111"/>
      <c r="S233" s="108"/>
      <c r="T233" s="110"/>
    </row>
    <row r="234" spans="1:20" x14ac:dyDescent="0.25">
      <c r="A234" s="113"/>
      <c r="B234" s="108"/>
      <c r="C234" s="111"/>
      <c r="D234" s="111"/>
      <c r="E234" s="111"/>
      <c r="F234" s="108"/>
      <c r="G234" s="108"/>
      <c r="H234" s="112"/>
      <c r="I234" s="111"/>
      <c r="J234" s="111"/>
      <c r="K234" s="111"/>
      <c r="L234" s="108"/>
      <c r="M234" s="108"/>
      <c r="N234" s="108"/>
      <c r="O234" s="108"/>
      <c r="P234" s="111"/>
      <c r="Q234" s="111"/>
      <c r="R234" s="111"/>
      <c r="S234" s="108"/>
      <c r="T234" s="110"/>
    </row>
    <row r="235" spans="1:20" x14ac:dyDescent="0.25">
      <c r="A235" s="113"/>
      <c r="B235" s="108"/>
      <c r="C235" s="111"/>
      <c r="D235" s="111"/>
      <c r="E235" s="111"/>
      <c r="F235" s="108"/>
      <c r="G235" s="108"/>
      <c r="H235" s="112"/>
      <c r="I235" s="111"/>
      <c r="J235" s="111"/>
      <c r="K235" s="111"/>
      <c r="L235" s="108"/>
      <c r="M235" s="108"/>
      <c r="N235" s="108"/>
      <c r="O235" s="108"/>
      <c r="P235" s="111"/>
      <c r="Q235" s="111"/>
      <c r="R235" s="111"/>
      <c r="S235" s="108"/>
      <c r="T235" s="110"/>
    </row>
    <row r="236" spans="1:20" x14ac:dyDescent="0.25">
      <c r="A236" s="113"/>
      <c r="B236" s="108"/>
      <c r="C236" s="111"/>
      <c r="D236" s="111"/>
      <c r="E236" s="111"/>
      <c r="F236" s="108"/>
      <c r="G236" s="108"/>
      <c r="H236" s="112"/>
      <c r="I236" s="111"/>
      <c r="J236" s="111"/>
      <c r="K236" s="111"/>
      <c r="L236" s="108"/>
      <c r="M236" s="108"/>
      <c r="N236" s="108"/>
      <c r="O236" s="108"/>
      <c r="P236" s="111"/>
      <c r="Q236" s="111"/>
      <c r="R236" s="111"/>
      <c r="S236" s="108"/>
      <c r="T236" s="110"/>
    </row>
    <row r="237" spans="1:20" x14ac:dyDescent="0.25">
      <c r="A237" s="113"/>
      <c r="B237" s="108"/>
      <c r="C237" s="111"/>
      <c r="D237" s="111"/>
      <c r="E237" s="111"/>
      <c r="F237" s="108"/>
      <c r="G237" s="108"/>
      <c r="H237" s="112"/>
      <c r="I237" s="111"/>
      <c r="J237" s="111"/>
      <c r="K237" s="111"/>
      <c r="L237" s="108"/>
      <c r="M237" s="108"/>
      <c r="N237" s="108"/>
      <c r="O237" s="108"/>
      <c r="P237" s="111"/>
      <c r="Q237" s="111"/>
      <c r="R237" s="111"/>
      <c r="S237" s="108"/>
      <c r="T237" s="110"/>
    </row>
    <row r="238" spans="1:20" x14ac:dyDescent="0.25">
      <c r="A238" s="113"/>
      <c r="B238" s="108"/>
      <c r="C238" s="111"/>
      <c r="D238" s="111"/>
      <c r="E238" s="111"/>
      <c r="F238" s="108"/>
      <c r="G238" s="108"/>
      <c r="H238" s="112"/>
      <c r="I238" s="111"/>
      <c r="J238" s="111"/>
      <c r="K238" s="111"/>
      <c r="L238" s="108"/>
      <c r="M238" s="108"/>
      <c r="N238" s="108"/>
      <c r="O238" s="108"/>
      <c r="P238" s="111"/>
      <c r="Q238" s="111"/>
      <c r="R238" s="111"/>
      <c r="S238" s="108"/>
      <c r="T238" s="110"/>
    </row>
    <row r="239" spans="1:20" x14ac:dyDescent="0.25">
      <c r="A239" s="113"/>
      <c r="B239" s="108"/>
      <c r="C239" s="111"/>
      <c r="D239" s="111"/>
      <c r="E239" s="111"/>
      <c r="F239" s="108"/>
      <c r="G239" s="108"/>
      <c r="H239" s="112"/>
      <c r="I239" s="111"/>
      <c r="J239" s="111"/>
      <c r="K239" s="111"/>
      <c r="L239" s="108"/>
      <c r="M239" s="108"/>
      <c r="N239" s="108"/>
      <c r="O239" s="108"/>
      <c r="P239" s="111"/>
      <c r="Q239" s="111"/>
      <c r="R239" s="111"/>
      <c r="S239" s="108"/>
      <c r="T239" s="110"/>
    </row>
    <row r="240" spans="1:20" x14ac:dyDescent="0.25">
      <c r="A240" s="113"/>
      <c r="B240" s="108"/>
      <c r="C240" s="111"/>
      <c r="D240" s="111"/>
      <c r="E240" s="111"/>
      <c r="F240" s="108"/>
      <c r="G240" s="108"/>
      <c r="H240" s="112"/>
      <c r="I240" s="111"/>
      <c r="J240" s="111"/>
      <c r="K240" s="111"/>
      <c r="L240" s="108"/>
      <c r="M240" s="108"/>
      <c r="N240" s="108"/>
      <c r="O240" s="108"/>
      <c r="P240" s="111"/>
      <c r="Q240" s="111"/>
      <c r="R240" s="111"/>
      <c r="S240" s="108"/>
      <c r="T240" s="110"/>
    </row>
    <row r="241" spans="1:20" x14ac:dyDescent="0.25">
      <c r="A241" s="113"/>
      <c r="B241" s="108"/>
      <c r="C241" s="111"/>
      <c r="D241" s="111"/>
      <c r="E241" s="111"/>
      <c r="F241" s="108"/>
      <c r="G241" s="108"/>
      <c r="H241" s="112"/>
      <c r="I241" s="111"/>
      <c r="J241" s="111"/>
      <c r="K241" s="111"/>
      <c r="L241" s="108"/>
      <c r="M241" s="108"/>
      <c r="N241" s="108"/>
      <c r="O241" s="108"/>
      <c r="P241" s="111"/>
      <c r="Q241" s="111"/>
      <c r="R241" s="111"/>
      <c r="S241" s="108"/>
      <c r="T241" s="110"/>
    </row>
    <row r="242" spans="1:20" ht="14.45" customHeight="1" x14ac:dyDescent="0.25">
      <c r="A242" s="113"/>
      <c r="B242" s="108"/>
      <c r="C242" s="111"/>
      <c r="D242" s="111"/>
      <c r="E242" s="111"/>
      <c r="F242" s="108"/>
      <c r="G242" s="108"/>
      <c r="H242" s="112"/>
      <c r="I242" s="111"/>
      <c r="J242" s="111"/>
      <c r="K242" s="111"/>
      <c r="L242" s="108"/>
      <c r="M242" s="108"/>
      <c r="N242" s="108"/>
      <c r="O242" s="108"/>
      <c r="P242" s="111"/>
      <c r="Q242" s="111"/>
      <c r="R242" s="111"/>
      <c r="S242" s="108"/>
      <c r="T242" s="110"/>
    </row>
    <row r="243" spans="1:20" x14ac:dyDescent="0.25">
      <c r="A243" s="113"/>
      <c r="B243" s="108"/>
      <c r="C243" s="111"/>
      <c r="D243" s="111"/>
      <c r="E243" s="111"/>
      <c r="F243" s="108"/>
      <c r="G243" s="108"/>
      <c r="H243" s="112"/>
      <c r="I243" s="111"/>
      <c r="J243" s="111"/>
      <c r="K243" s="111"/>
      <c r="L243" s="108"/>
      <c r="M243" s="108"/>
      <c r="N243" s="108"/>
      <c r="O243" s="108"/>
      <c r="P243" s="111"/>
      <c r="Q243" s="111"/>
      <c r="R243" s="111"/>
      <c r="S243" s="108"/>
      <c r="T243" s="110"/>
    </row>
    <row r="244" spans="1:20" x14ac:dyDescent="0.25">
      <c r="A244" s="113"/>
      <c r="B244" s="108"/>
      <c r="C244" s="111"/>
      <c r="D244" s="111"/>
      <c r="E244" s="111"/>
      <c r="F244" s="108"/>
      <c r="G244" s="108"/>
      <c r="H244" s="112"/>
      <c r="I244" s="111"/>
      <c r="J244" s="111"/>
      <c r="K244" s="111"/>
      <c r="L244" s="108"/>
      <c r="M244" s="108"/>
      <c r="N244" s="108"/>
      <c r="O244" s="108"/>
      <c r="P244" s="111"/>
      <c r="Q244" s="111"/>
      <c r="R244" s="111"/>
      <c r="S244" s="108"/>
      <c r="T244" s="110"/>
    </row>
    <row r="245" spans="1:20" x14ac:dyDescent="0.25">
      <c r="A245" s="113"/>
      <c r="B245" s="108"/>
      <c r="C245" s="111"/>
      <c r="D245" s="111"/>
      <c r="E245" s="111"/>
      <c r="F245" s="108"/>
      <c r="G245" s="108"/>
      <c r="H245" s="112"/>
      <c r="I245" s="111"/>
      <c r="J245" s="111"/>
      <c r="K245" s="111"/>
      <c r="L245" s="108"/>
      <c r="M245" s="108"/>
      <c r="N245" s="108"/>
      <c r="O245" s="108"/>
      <c r="P245" s="111"/>
      <c r="Q245" s="111"/>
      <c r="R245" s="111"/>
      <c r="S245" s="108"/>
      <c r="T245" s="110"/>
    </row>
    <row r="246" spans="1:20" x14ac:dyDescent="0.25">
      <c r="A246" s="113"/>
      <c r="B246" s="108"/>
      <c r="C246" s="111"/>
      <c r="D246" s="111"/>
      <c r="E246" s="111"/>
      <c r="F246" s="108"/>
      <c r="G246" s="108"/>
      <c r="H246" s="112"/>
      <c r="I246" s="111"/>
      <c r="J246" s="111"/>
      <c r="K246" s="111"/>
      <c r="L246" s="108"/>
      <c r="M246" s="108"/>
      <c r="N246" s="108"/>
      <c r="O246" s="108"/>
      <c r="P246" s="111"/>
      <c r="Q246" s="111"/>
      <c r="R246" s="111"/>
      <c r="S246" s="108"/>
      <c r="T246" s="110"/>
    </row>
    <row r="247" spans="1:20" x14ac:dyDescent="0.25">
      <c r="A247" s="113"/>
      <c r="B247" s="108"/>
      <c r="C247" s="111"/>
      <c r="D247" s="111"/>
      <c r="E247" s="111"/>
      <c r="F247" s="108"/>
      <c r="G247" s="108"/>
      <c r="H247" s="112"/>
      <c r="I247" s="111"/>
      <c r="J247" s="111"/>
      <c r="K247" s="111"/>
      <c r="L247" s="108"/>
      <c r="M247" s="108"/>
      <c r="N247" s="108"/>
      <c r="O247" s="108"/>
      <c r="P247" s="111"/>
      <c r="Q247" s="111"/>
      <c r="R247" s="111"/>
      <c r="S247" s="108"/>
      <c r="T247" s="110"/>
    </row>
    <row r="248" spans="1:20" x14ac:dyDescent="0.25">
      <c r="A248" s="113"/>
      <c r="B248" s="108"/>
      <c r="C248" s="111"/>
      <c r="D248" s="111"/>
      <c r="E248" s="111"/>
      <c r="F248" s="108"/>
      <c r="G248" s="108"/>
      <c r="H248" s="112"/>
      <c r="I248" s="111"/>
      <c r="J248" s="111"/>
      <c r="K248" s="111"/>
      <c r="L248" s="108"/>
      <c r="M248" s="108"/>
      <c r="N248" s="108"/>
      <c r="O248" s="108"/>
      <c r="P248" s="111"/>
      <c r="Q248" s="111"/>
      <c r="R248" s="111"/>
      <c r="S248" s="108"/>
      <c r="T248" s="110"/>
    </row>
    <row r="249" spans="1:20" x14ac:dyDescent="0.25">
      <c r="A249" s="113"/>
      <c r="B249" s="108"/>
      <c r="C249" s="111"/>
      <c r="D249" s="111"/>
      <c r="E249" s="111"/>
      <c r="F249" s="108"/>
      <c r="G249" s="108"/>
      <c r="H249" s="112"/>
      <c r="I249" s="111"/>
      <c r="J249" s="111"/>
      <c r="K249" s="111"/>
      <c r="L249" s="108"/>
      <c r="M249" s="108"/>
      <c r="N249" s="108"/>
      <c r="O249" s="108"/>
      <c r="P249" s="111"/>
      <c r="Q249" s="111"/>
      <c r="R249" s="111"/>
      <c r="S249" s="108"/>
      <c r="T249" s="110"/>
    </row>
    <row r="250" spans="1:20" x14ac:dyDescent="0.25">
      <c r="A250" s="113"/>
      <c r="B250" s="108"/>
      <c r="C250" s="111"/>
      <c r="D250" s="111"/>
      <c r="E250" s="111"/>
      <c r="F250" s="108"/>
      <c r="G250" s="108"/>
      <c r="H250" s="112"/>
      <c r="I250" s="111"/>
      <c r="J250" s="111"/>
      <c r="K250" s="111"/>
      <c r="L250" s="108"/>
      <c r="M250" s="108"/>
      <c r="N250" s="108"/>
      <c r="O250" s="108"/>
      <c r="P250" s="111"/>
      <c r="Q250" s="111"/>
      <c r="R250" s="111"/>
      <c r="S250" s="108"/>
      <c r="T250" s="110"/>
    </row>
    <row r="251" spans="1:20" x14ac:dyDescent="0.25">
      <c r="A251" s="113"/>
      <c r="B251" s="108"/>
      <c r="C251" s="111"/>
      <c r="D251" s="111"/>
      <c r="E251" s="111"/>
      <c r="F251" s="108"/>
      <c r="G251" s="108"/>
      <c r="H251" s="112"/>
      <c r="I251" s="111"/>
      <c r="J251" s="111"/>
      <c r="K251" s="111"/>
      <c r="L251" s="108"/>
      <c r="M251" s="108"/>
      <c r="N251" s="108"/>
      <c r="O251" s="108"/>
      <c r="P251" s="111"/>
      <c r="Q251" s="111"/>
      <c r="R251" s="111"/>
      <c r="S251" s="108"/>
      <c r="T251" s="110"/>
    </row>
    <row r="252" spans="1:20" x14ac:dyDescent="0.25">
      <c r="A252" s="113"/>
      <c r="B252" s="108"/>
      <c r="C252" s="111"/>
      <c r="D252" s="111"/>
      <c r="E252" s="111"/>
      <c r="F252" s="108"/>
      <c r="G252" s="108"/>
      <c r="H252" s="112"/>
      <c r="I252" s="111"/>
      <c r="J252" s="111"/>
      <c r="K252" s="111"/>
      <c r="L252" s="108"/>
      <c r="M252" s="108"/>
      <c r="N252" s="108"/>
      <c r="O252" s="108"/>
      <c r="P252" s="111"/>
      <c r="Q252" s="111"/>
      <c r="R252" s="111"/>
      <c r="S252" s="108"/>
      <c r="T252" s="110"/>
    </row>
    <row r="253" spans="1:20" x14ac:dyDescent="0.25">
      <c r="A253" s="113"/>
      <c r="B253" s="108"/>
      <c r="C253" s="111"/>
      <c r="D253" s="111"/>
      <c r="E253" s="111"/>
      <c r="F253" s="108"/>
      <c r="G253" s="108"/>
      <c r="H253" s="112"/>
      <c r="I253" s="111"/>
      <c r="J253" s="111"/>
      <c r="K253" s="111"/>
      <c r="L253" s="108"/>
      <c r="M253" s="108"/>
      <c r="N253" s="108"/>
      <c r="O253" s="108"/>
      <c r="P253" s="111"/>
      <c r="Q253" s="111"/>
      <c r="R253" s="111"/>
      <c r="S253" s="108"/>
      <c r="T253" s="110"/>
    </row>
    <row r="254" spans="1:20" x14ac:dyDescent="0.25">
      <c r="A254" s="113"/>
      <c r="B254" s="108"/>
      <c r="C254" s="111"/>
      <c r="D254" s="111"/>
      <c r="E254" s="111"/>
      <c r="F254" s="108"/>
      <c r="G254" s="108"/>
      <c r="H254" s="112"/>
      <c r="I254" s="111"/>
      <c r="J254" s="111"/>
      <c r="K254" s="111"/>
      <c r="L254" s="108"/>
      <c r="M254" s="108"/>
      <c r="N254" s="108"/>
      <c r="O254" s="108"/>
      <c r="P254" s="111"/>
      <c r="Q254" s="111"/>
      <c r="R254" s="111"/>
      <c r="S254" s="108"/>
      <c r="T254" s="110"/>
    </row>
    <row r="255" spans="1:20" x14ac:dyDescent="0.25">
      <c r="A255" s="113"/>
      <c r="B255" s="108"/>
      <c r="C255" s="111"/>
      <c r="D255" s="111"/>
      <c r="E255" s="111"/>
      <c r="F255" s="108"/>
      <c r="G255" s="108"/>
      <c r="H255" s="112"/>
      <c r="I255" s="111"/>
      <c r="J255" s="111"/>
      <c r="K255" s="111"/>
      <c r="L255" s="108"/>
      <c r="M255" s="108"/>
      <c r="N255" s="108"/>
      <c r="O255" s="108"/>
      <c r="P255" s="111"/>
      <c r="Q255" s="111"/>
      <c r="R255" s="111"/>
      <c r="S255" s="108"/>
      <c r="T255" s="110"/>
    </row>
    <row r="256" spans="1:20" x14ac:dyDescent="0.25">
      <c r="A256" s="113"/>
      <c r="B256" s="108"/>
      <c r="C256" s="111"/>
      <c r="D256" s="111"/>
      <c r="E256" s="111"/>
      <c r="F256" s="108"/>
      <c r="G256" s="108"/>
      <c r="H256" s="112"/>
      <c r="I256" s="111"/>
      <c r="J256" s="111"/>
      <c r="K256" s="111"/>
      <c r="L256" s="108"/>
      <c r="M256" s="108"/>
      <c r="N256" s="108"/>
      <c r="O256" s="108"/>
      <c r="P256" s="111"/>
      <c r="Q256" s="111"/>
      <c r="R256" s="111"/>
      <c r="S256" s="108"/>
      <c r="T256" s="110"/>
    </row>
    <row r="257" spans="1:20" x14ac:dyDescent="0.25">
      <c r="A257" s="113"/>
      <c r="B257" s="108"/>
      <c r="C257" s="111"/>
      <c r="D257" s="111"/>
      <c r="E257" s="111"/>
      <c r="F257" s="108"/>
      <c r="G257" s="108"/>
      <c r="H257" s="112"/>
      <c r="I257" s="111"/>
      <c r="J257" s="111"/>
      <c r="K257" s="111"/>
      <c r="L257" s="108"/>
      <c r="M257" s="108"/>
      <c r="N257" s="108"/>
      <c r="O257" s="108"/>
      <c r="P257" s="111"/>
      <c r="Q257" s="111"/>
      <c r="R257" s="111"/>
      <c r="S257" s="108"/>
      <c r="T257" s="110"/>
    </row>
    <row r="258" spans="1:20" x14ac:dyDescent="0.25">
      <c r="A258" s="113"/>
      <c r="B258" s="108"/>
      <c r="C258" s="111"/>
      <c r="D258" s="111"/>
      <c r="E258" s="111"/>
      <c r="F258" s="108"/>
      <c r="G258" s="108"/>
      <c r="H258" s="112"/>
      <c r="I258" s="111"/>
      <c r="J258" s="111"/>
      <c r="K258" s="111"/>
      <c r="L258" s="108"/>
      <c r="M258" s="108"/>
      <c r="N258" s="108"/>
      <c r="O258" s="108"/>
      <c r="P258" s="111"/>
      <c r="Q258" s="111"/>
      <c r="R258" s="111"/>
      <c r="S258" s="108"/>
      <c r="T258" s="110"/>
    </row>
    <row r="259" spans="1:20" x14ac:dyDescent="0.25">
      <c r="A259" s="113"/>
      <c r="B259" s="108"/>
      <c r="C259" s="111"/>
      <c r="D259" s="111"/>
      <c r="E259" s="111"/>
      <c r="F259" s="108"/>
      <c r="G259" s="108"/>
      <c r="H259" s="112"/>
      <c r="I259" s="111"/>
      <c r="J259" s="111"/>
      <c r="K259" s="111"/>
      <c r="L259" s="108"/>
      <c r="M259" s="108"/>
      <c r="N259" s="108"/>
      <c r="O259" s="108"/>
      <c r="P259" s="111"/>
      <c r="Q259" s="111"/>
      <c r="R259" s="111"/>
      <c r="S259" s="108"/>
      <c r="T259" s="110"/>
    </row>
    <row r="260" spans="1:20" x14ac:dyDescent="0.25">
      <c r="A260" s="113"/>
      <c r="B260" s="108"/>
      <c r="C260" s="111"/>
      <c r="D260" s="111"/>
      <c r="E260" s="111"/>
      <c r="F260" s="108"/>
      <c r="G260" s="108"/>
      <c r="H260" s="112"/>
      <c r="I260" s="111"/>
      <c r="J260" s="111"/>
      <c r="K260" s="111"/>
      <c r="L260" s="108"/>
      <c r="M260" s="108"/>
      <c r="N260" s="108"/>
      <c r="O260" s="108"/>
      <c r="P260" s="111"/>
      <c r="Q260" s="111"/>
      <c r="R260" s="111"/>
      <c r="S260" s="108"/>
      <c r="T260" s="110"/>
    </row>
    <row r="261" spans="1:20" x14ac:dyDescent="0.25">
      <c r="A261" s="113"/>
      <c r="B261" s="108"/>
      <c r="C261" s="111"/>
      <c r="D261" s="111"/>
      <c r="E261" s="111"/>
      <c r="F261" s="108"/>
      <c r="G261" s="108"/>
      <c r="H261" s="112"/>
      <c r="I261" s="111"/>
      <c r="J261" s="111"/>
      <c r="K261" s="111"/>
      <c r="L261" s="108"/>
      <c r="M261" s="108"/>
      <c r="N261" s="108"/>
      <c r="O261" s="108"/>
      <c r="P261" s="111"/>
      <c r="Q261" s="111"/>
      <c r="R261" s="111"/>
      <c r="S261" s="108"/>
      <c r="T261" s="110"/>
    </row>
    <row r="262" spans="1:20" x14ac:dyDescent="0.25">
      <c r="A262" s="113"/>
      <c r="B262" s="108"/>
      <c r="C262" s="111"/>
      <c r="D262" s="111"/>
      <c r="E262" s="111"/>
      <c r="F262" s="108"/>
      <c r="G262" s="108"/>
      <c r="H262" s="112"/>
      <c r="I262" s="111"/>
      <c r="J262" s="111"/>
      <c r="K262" s="111"/>
      <c r="L262" s="108"/>
      <c r="M262" s="108"/>
      <c r="N262" s="108"/>
      <c r="O262" s="108"/>
      <c r="P262" s="111"/>
      <c r="Q262" s="111"/>
      <c r="R262" s="111"/>
      <c r="S262" s="108"/>
      <c r="T262" s="110"/>
    </row>
    <row r="263" spans="1:20" x14ac:dyDescent="0.25">
      <c r="A263" s="113"/>
      <c r="B263" s="108"/>
      <c r="C263" s="111"/>
      <c r="D263" s="111"/>
      <c r="E263" s="111"/>
      <c r="F263" s="108"/>
      <c r="G263" s="108"/>
      <c r="H263" s="112"/>
      <c r="I263" s="111"/>
      <c r="J263" s="111"/>
      <c r="K263" s="111"/>
      <c r="L263" s="108"/>
      <c r="M263" s="108"/>
      <c r="N263" s="108"/>
      <c r="O263" s="108"/>
      <c r="P263" s="111"/>
      <c r="Q263" s="111"/>
      <c r="R263" s="111"/>
      <c r="S263" s="108"/>
      <c r="T263" s="110"/>
    </row>
    <row r="264" spans="1:20" x14ac:dyDescent="0.25">
      <c r="A264" s="113"/>
      <c r="B264" s="108"/>
      <c r="C264" s="111"/>
      <c r="D264" s="111"/>
      <c r="E264" s="111"/>
      <c r="F264" s="108"/>
      <c r="G264" s="108"/>
      <c r="H264" s="112"/>
      <c r="I264" s="111"/>
      <c r="J264" s="111"/>
      <c r="K264" s="111"/>
      <c r="L264" s="108"/>
      <c r="M264" s="108"/>
      <c r="N264" s="108"/>
      <c r="O264" s="108"/>
      <c r="P264" s="111"/>
      <c r="Q264" s="111"/>
      <c r="R264" s="111"/>
      <c r="S264" s="108"/>
      <c r="T264" s="110"/>
    </row>
    <row r="265" spans="1:20" x14ac:dyDescent="0.25">
      <c r="A265" s="113"/>
      <c r="B265" s="108"/>
      <c r="C265" s="111"/>
      <c r="D265" s="111"/>
      <c r="E265" s="111"/>
      <c r="F265" s="108"/>
      <c r="G265" s="108"/>
      <c r="H265" s="112"/>
      <c r="I265" s="111"/>
      <c r="J265" s="111"/>
      <c r="K265" s="111"/>
      <c r="L265" s="108"/>
      <c r="M265" s="108"/>
      <c r="N265" s="108"/>
      <c r="O265" s="108"/>
      <c r="P265" s="111"/>
      <c r="Q265" s="111"/>
      <c r="R265" s="111"/>
      <c r="S265" s="108"/>
      <c r="T265" s="110"/>
    </row>
    <row r="266" spans="1:20" x14ac:dyDescent="0.25">
      <c r="A266" s="113"/>
      <c r="B266" s="108"/>
      <c r="C266" s="111"/>
      <c r="D266" s="111"/>
      <c r="E266" s="111"/>
      <c r="F266" s="108"/>
      <c r="G266" s="108"/>
      <c r="H266" s="112"/>
      <c r="I266" s="111"/>
      <c r="J266" s="111"/>
      <c r="K266" s="111"/>
      <c r="L266" s="108"/>
      <c r="M266" s="108"/>
      <c r="N266" s="108"/>
      <c r="O266" s="108"/>
      <c r="P266" s="111"/>
      <c r="Q266" s="111"/>
      <c r="R266" s="111"/>
      <c r="S266" s="108"/>
      <c r="T266" s="110"/>
    </row>
    <row r="267" spans="1:20" x14ac:dyDescent="0.25">
      <c r="A267" s="113"/>
      <c r="B267" s="108"/>
      <c r="C267" s="111"/>
      <c r="D267" s="111"/>
      <c r="E267" s="111"/>
      <c r="F267" s="108"/>
      <c r="G267" s="108"/>
      <c r="H267" s="112"/>
      <c r="I267" s="111"/>
      <c r="J267" s="111"/>
      <c r="K267" s="111"/>
      <c r="L267" s="108"/>
      <c r="M267" s="108"/>
      <c r="N267" s="108"/>
      <c r="O267" s="108"/>
      <c r="P267" s="111"/>
      <c r="Q267" s="111"/>
      <c r="R267" s="111"/>
      <c r="S267" s="108"/>
      <c r="T267" s="110"/>
    </row>
    <row r="268" spans="1:20" x14ac:dyDescent="0.25">
      <c r="A268" s="113"/>
      <c r="B268" s="108"/>
      <c r="C268" s="111"/>
      <c r="D268" s="111"/>
      <c r="E268" s="111"/>
      <c r="F268" s="108"/>
      <c r="G268" s="108"/>
      <c r="H268" s="112"/>
      <c r="I268" s="111"/>
      <c r="J268" s="111"/>
      <c r="K268" s="111"/>
      <c r="L268" s="108"/>
      <c r="M268" s="108"/>
      <c r="N268" s="108"/>
      <c r="O268" s="108"/>
      <c r="P268" s="111"/>
      <c r="Q268" s="111"/>
      <c r="R268" s="111"/>
      <c r="S268" s="108"/>
      <c r="T268" s="110"/>
    </row>
    <row r="269" spans="1:20" x14ac:dyDescent="0.25">
      <c r="A269" s="113"/>
      <c r="B269" s="108"/>
      <c r="C269" s="111"/>
      <c r="D269" s="111"/>
      <c r="E269" s="111"/>
      <c r="F269" s="108"/>
      <c r="G269" s="108"/>
      <c r="H269" s="112"/>
      <c r="I269" s="111"/>
      <c r="J269" s="111"/>
      <c r="K269" s="111"/>
      <c r="L269" s="108"/>
      <c r="M269" s="108"/>
      <c r="N269" s="108"/>
      <c r="O269" s="108"/>
      <c r="P269" s="111"/>
      <c r="Q269" s="111"/>
      <c r="R269" s="111"/>
      <c r="S269" s="108"/>
      <c r="T269" s="110"/>
    </row>
    <row r="270" spans="1:20" x14ac:dyDescent="0.25">
      <c r="A270" s="113"/>
      <c r="B270" s="108"/>
      <c r="C270" s="111"/>
      <c r="D270" s="111"/>
      <c r="E270" s="111"/>
      <c r="F270" s="108"/>
      <c r="G270" s="108"/>
      <c r="H270" s="112"/>
      <c r="I270" s="111"/>
      <c r="J270" s="111"/>
      <c r="K270" s="111"/>
      <c r="L270" s="108"/>
      <c r="M270" s="108"/>
      <c r="N270" s="108"/>
      <c r="O270" s="108"/>
      <c r="P270" s="111"/>
      <c r="Q270" s="111"/>
      <c r="R270" s="111"/>
      <c r="S270" s="108"/>
      <c r="T270" s="110"/>
    </row>
    <row r="271" spans="1:20" x14ac:dyDescent="0.25">
      <c r="A271" s="113"/>
      <c r="B271" s="108"/>
      <c r="C271" s="111"/>
      <c r="D271" s="111"/>
      <c r="E271" s="111"/>
      <c r="F271" s="108"/>
      <c r="G271" s="108"/>
      <c r="H271" s="112"/>
      <c r="I271" s="111"/>
      <c r="J271" s="111"/>
      <c r="K271" s="111"/>
      <c r="L271" s="108"/>
      <c r="M271" s="108"/>
      <c r="N271" s="108"/>
      <c r="O271" s="108"/>
      <c r="P271" s="111"/>
      <c r="Q271" s="111"/>
      <c r="R271" s="111"/>
      <c r="S271" s="108"/>
      <c r="T271" s="110"/>
    </row>
    <row r="272" spans="1:20" x14ac:dyDescent="0.25">
      <c r="A272" s="113"/>
      <c r="B272" s="108"/>
      <c r="C272" s="111"/>
      <c r="D272" s="111"/>
      <c r="E272" s="111"/>
      <c r="F272" s="108"/>
      <c r="G272" s="108"/>
      <c r="H272" s="112"/>
      <c r="I272" s="111"/>
      <c r="J272" s="111"/>
      <c r="K272" s="111"/>
      <c r="L272" s="108"/>
      <c r="M272" s="108"/>
      <c r="N272" s="108"/>
      <c r="O272" s="108"/>
      <c r="P272" s="111"/>
      <c r="Q272" s="111"/>
      <c r="R272" s="111"/>
      <c r="S272" s="108"/>
      <c r="T272" s="110"/>
    </row>
    <row r="273" spans="1:20" x14ac:dyDescent="0.25">
      <c r="A273" s="113"/>
      <c r="B273" s="108"/>
      <c r="C273" s="111"/>
      <c r="D273" s="111"/>
      <c r="E273" s="111"/>
      <c r="F273" s="108"/>
      <c r="G273" s="108"/>
      <c r="H273" s="112"/>
      <c r="I273" s="111"/>
      <c r="J273" s="111"/>
      <c r="K273" s="111"/>
      <c r="L273" s="108"/>
      <c r="M273" s="108"/>
      <c r="N273" s="108"/>
      <c r="O273" s="108"/>
      <c r="P273" s="111"/>
      <c r="Q273" s="111"/>
      <c r="R273" s="111"/>
      <c r="S273" s="108"/>
      <c r="T273" s="110"/>
    </row>
    <row r="274" spans="1:20" x14ac:dyDescent="0.25">
      <c r="A274" s="113"/>
      <c r="B274" s="108"/>
      <c r="C274" s="111"/>
      <c r="D274" s="111"/>
      <c r="E274" s="111"/>
      <c r="F274" s="108"/>
      <c r="G274" s="108"/>
      <c r="H274" s="112"/>
      <c r="I274" s="111"/>
      <c r="J274" s="111"/>
      <c r="K274" s="111"/>
      <c r="L274" s="108"/>
      <c r="M274" s="108"/>
      <c r="N274" s="108"/>
      <c r="O274" s="108"/>
      <c r="P274" s="111"/>
      <c r="Q274" s="111"/>
      <c r="R274" s="111"/>
      <c r="S274" s="108"/>
      <c r="T274" s="110"/>
    </row>
    <row r="275" spans="1:20" x14ac:dyDescent="0.25">
      <c r="A275" s="113"/>
      <c r="B275" s="108"/>
      <c r="C275" s="111"/>
      <c r="D275" s="111"/>
      <c r="E275" s="111"/>
      <c r="F275" s="108"/>
      <c r="G275" s="108"/>
      <c r="H275" s="112"/>
      <c r="I275" s="111"/>
      <c r="J275" s="111"/>
      <c r="K275" s="111"/>
      <c r="L275" s="108"/>
      <c r="M275" s="108"/>
      <c r="N275" s="108"/>
      <c r="O275" s="108"/>
      <c r="P275" s="111"/>
      <c r="Q275" s="111"/>
      <c r="R275" s="111"/>
      <c r="S275" s="108"/>
      <c r="T275" s="110"/>
    </row>
    <row r="276" spans="1:20" x14ac:dyDescent="0.25">
      <c r="A276" s="113"/>
      <c r="B276" s="108"/>
      <c r="C276" s="111"/>
      <c r="D276" s="111"/>
      <c r="E276" s="111"/>
      <c r="F276" s="108"/>
      <c r="G276" s="108"/>
      <c r="H276" s="112"/>
      <c r="I276" s="111"/>
      <c r="J276" s="111"/>
      <c r="K276" s="111"/>
      <c r="L276" s="108"/>
      <c r="M276" s="108"/>
      <c r="N276" s="108"/>
      <c r="O276" s="108"/>
      <c r="P276" s="111"/>
      <c r="Q276" s="111"/>
      <c r="R276" s="111"/>
      <c r="S276" s="108"/>
      <c r="T276" s="110"/>
    </row>
    <row r="277" spans="1:20" x14ac:dyDescent="0.25">
      <c r="A277" s="113"/>
      <c r="B277" s="108"/>
      <c r="C277" s="111"/>
      <c r="D277" s="111"/>
      <c r="E277" s="111"/>
      <c r="F277" s="108"/>
      <c r="G277" s="108"/>
      <c r="H277" s="112"/>
      <c r="I277" s="111"/>
      <c r="J277" s="111"/>
      <c r="K277" s="111"/>
      <c r="L277" s="108"/>
      <c r="M277" s="108"/>
      <c r="N277" s="108"/>
      <c r="O277" s="108"/>
      <c r="P277" s="111"/>
      <c r="Q277" s="111"/>
      <c r="R277" s="111"/>
      <c r="S277" s="108"/>
      <c r="T277" s="110"/>
    </row>
    <row r="278" spans="1:20" x14ac:dyDescent="0.25">
      <c r="A278" s="113"/>
      <c r="B278" s="108"/>
      <c r="C278" s="111"/>
      <c r="D278" s="111"/>
      <c r="E278" s="111"/>
      <c r="F278" s="108"/>
      <c r="G278" s="108"/>
      <c r="H278" s="112"/>
      <c r="I278" s="111"/>
      <c r="J278" s="111"/>
      <c r="K278" s="111"/>
      <c r="L278" s="108"/>
      <c r="M278" s="108"/>
      <c r="N278" s="108"/>
      <c r="O278" s="108"/>
      <c r="P278" s="111"/>
      <c r="Q278" s="111"/>
      <c r="R278" s="111"/>
      <c r="S278" s="108"/>
      <c r="T278" s="110"/>
    </row>
    <row r="279" spans="1:20" x14ac:dyDescent="0.25">
      <c r="A279" s="113"/>
      <c r="B279" s="108"/>
      <c r="C279" s="111"/>
      <c r="D279" s="111"/>
      <c r="E279" s="111"/>
      <c r="F279" s="108"/>
      <c r="G279" s="108"/>
      <c r="H279" s="112"/>
      <c r="I279" s="111"/>
      <c r="J279" s="111"/>
      <c r="K279" s="111"/>
      <c r="L279" s="108"/>
      <c r="M279" s="108"/>
      <c r="N279" s="108"/>
      <c r="O279" s="108"/>
      <c r="P279" s="111"/>
      <c r="Q279" s="111"/>
      <c r="R279" s="111"/>
      <c r="S279" s="108"/>
      <c r="T279" s="110"/>
    </row>
    <row r="280" spans="1:20" x14ac:dyDescent="0.25">
      <c r="A280" s="113"/>
      <c r="B280" s="108"/>
      <c r="C280" s="111"/>
      <c r="D280" s="111"/>
      <c r="E280" s="111"/>
      <c r="F280" s="108"/>
      <c r="G280" s="108"/>
      <c r="H280" s="112"/>
      <c r="I280" s="111"/>
      <c r="J280" s="111"/>
      <c r="K280" s="111"/>
      <c r="L280" s="108"/>
      <c r="M280" s="108"/>
      <c r="N280" s="108"/>
      <c r="O280" s="108"/>
      <c r="P280" s="111"/>
      <c r="Q280" s="111"/>
      <c r="R280" s="111"/>
      <c r="S280" s="108"/>
      <c r="T280" s="110"/>
    </row>
    <row r="281" spans="1:20" x14ac:dyDescent="0.25">
      <c r="A281" s="113"/>
      <c r="B281" s="108"/>
      <c r="C281" s="111"/>
      <c r="D281" s="111"/>
      <c r="E281" s="111"/>
      <c r="F281" s="108"/>
      <c r="G281" s="108"/>
      <c r="H281" s="112"/>
      <c r="I281" s="111"/>
      <c r="J281" s="111"/>
      <c r="K281" s="111"/>
      <c r="L281" s="108"/>
      <c r="M281" s="108"/>
      <c r="N281" s="108"/>
      <c r="O281" s="108"/>
      <c r="P281" s="111"/>
      <c r="Q281" s="111"/>
      <c r="R281" s="111"/>
      <c r="S281" s="108"/>
      <c r="T281" s="110"/>
    </row>
    <row r="282" spans="1:20" x14ac:dyDescent="0.25">
      <c r="A282" s="113"/>
      <c r="B282" s="108"/>
      <c r="C282" s="111"/>
      <c r="D282" s="111"/>
      <c r="E282" s="111"/>
      <c r="F282" s="108"/>
      <c r="G282" s="108"/>
      <c r="H282" s="112"/>
      <c r="I282" s="111"/>
      <c r="J282" s="111"/>
      <c r="K282" s="111"/>
      <c r="L282" s="108"/>
      <c r="M282" s="108"/>
      <c r="N282" s="108"/>
      <c r="O282" s="108"/>
      <c r="P282" s="111"/>
      <c r="Q282" s="111"/>
      <c r="R282" s="111"/>
      <c r="S282" s="108"/>
      <c r="T282" s="110"/>
    </row>
    <row r="283" spans="1:20" x14ac:dyDescent="0.25">
      <c r="A283" s="113"/>
      <c r="B283" s="108"/>
      <c r="C283" s="111"/>
      <c r="D283" s="111"/>
      <c r="E283" s="111"/>
      <c r="F283" s="108"/>
      <c r="G283" s="108"/>
      <c r="H283" s="112"/>
      <c r="I283" s="111"/>
      <c r="J283" s="111"/>
      <c r="K283" s="111"/>
      <c r="L283" s="108"/>
      <c r="M283" s="108"/>
      <c r="N283" s="108"/>
      <c r="O283" s="108"/>
      <c r="P283" s="111"/>
      <c r="Q283" s="111"/>
      <c r="R283" s="111"/>
      <c r="S283" s="108"/>
      <c r="T283" s="110"/>
    </row>
    <row r="284" spans="1:20" x14ac:dyDescent="0.25">
      <c r="A284" s="113"/>
      <c r="B284" s="108"/>
      <c r="C284" s="111"/>
      <c r="D284" s="111"/>
      <c r="E284" s="111"/>
      <c r="F284" s="108"/>
      <c r="G284" s="108"/>
      <c r="H284" s="112"/>
      <c r="I284" s="111"/>
      <c r="J284" s="111"/>
      <c r="K284" s="111"/>
      <c r="L284" s="108"/>
      <c r="M284" s="108"/>
      <c r="N284" s="108"/>
      <c r="O284" s="108"/>
      <c r="P284" s="111"/>
      <c r="Q284" s="111"/>
      <c r="R284" s="111"/>
      <c r="S284" s="108"/>
      <c r="T284" s="110"/>
    </row>
    <row r="285" spans="1:20" x14ac:dyDescent="0.25">
      <c r="A285" s="113"/>
      <c r="B285" s="108"/>
      <c r="C285" s="111"/>
      <c r="D285" s="111"/>
      <c r="E285" s="111"/>
      <c r="F285" s="108"/>
      <c r="G285" s="108"/>
      <c r="H285" s="112"/>
      <c r="I285" s="111"/>
      <c r="J285" s="111"/>
      <c r="K285" s="111"/>
      <c r="L285" s="108"/>
      <c r="M285" s="108"/>
      <c r="N285" s="108"/>
      <c r="O285" s="108"/>
      <c r="P285" s="111"/>
      <c r="Q285" s="111"/>
      <c r="R285" s="111"/>
      <c r="S285" s="108"/>
      <c r="T285" s="110"/>
    </row>
    <row r="286" spans="1:20" x14ac:dyDescent="0.25">
      <c r="A286" s="113"/>
      <c r="B286" s="108"/>
      <c r="C286" s="111"/>
      <c r="D286" s="111"/>
      <c r="E286" s="111"/>
      <c r="F286" s="108"/>
      <c r="G286" s="108"/>
      <c r="H286" s="112"/>
      <c r="I286" s="111"/>
      <c r="J286" s="111"/>
      <c r="K286" s="111"/>
      <c r="L286" s="108"/>
      <c r="M286" s="108"/>
      <c r="N286" s="108"/>
      <c r="O286" s="108"/>
      <c r="P286" s="111"/>
      <c r="Q286" s="111"/>
      <c r="R286" s="111"/>
      <c r="S286" s="108"/>
      <c r="T286" s="110"/>
    </row>
    <row r="287" spans="1:20" x14ac:dyDescent="0.25">
      <c r="A287" s="113"/>
      <c r="B287" s="108"/>
      <c r="C287" s="111"/>
      <c r="D287" s="111"/>
      <c r="E287" s="111"/>
      <c r="F287" s="108"/>
      <c r="G287" s="108"/>
      <c r="H287" s="112"/>
      <c r="I287" s="111"/>
      <c r="J287" s="111"/>
      <c r="K287" s="111"/>
      <c r="L287" s="108"/>
      <c r="M287" s="108"/>
      <c r="N287" s="108"/>
      <c r="O287" s="108"/>
      <c r="P287" s="111"/>
      <c r="Q287" s="111"/>
      <c r="R287" s="111"/>
      <c r="S287" s="108"/>
      <c r="T287" s="110"/>
    </row>
    <row r="288" spans="1:20" x14ac:dyDescent="0.25">
      <c r="A288" s="113"/>
      <c r="B288" s="108"/>
      <c r="C288" s="111"/>
      <c r="D288" s="111"/>
      <c r="E288" s="111"/>
      <c r="F288" s="108"/>
      <c r="G288" s="108"/>
      <c r="H288" s="112"/>
      <c r="I288" s="111"/>
      <c r="J288" s="111"/>
      <c r="K288" s="111"/>
      <c r="L288" s="108"/>
      <c r="M288" s="108"/>
      <c r="N288" s="108"/>
      <c r="O288" s="108"/>
      <c r="P288" s="111"/>
      <c r="Q288" s="111"/>
      <c r="R288" s="111"/>
      <c r="S288" s="108"/>
      <c r="T288" s="110"/>
    </row>
    <row r="289" spans="1:20" x14ac:dyDescent="0.25">
      <c r="A289" s="113"/>
      <c r="B289" s="108"/>
      <c r="C289" s="111"/>
      <c r="D289" s="111"/>
      <c r="E289" s="111"/>
      <c r="F289" s="108"/>
      <c r="G289" s="108"/>
      <c r="H289" s="112"/>
      <c r="I289" s="111"/>
      <c r="J289" s="111"/>
      <c r="K289" s="111"/>
      <c r="L289" s="108"/>
      <c r="M289" s="108"/>
      <c r="N289" s="108"/>
      <c r="O289" s="108"/>
      <c r="P289" s="111"/>
      <c r="Q289" s="111"/>
      <c r="R289" s="111"/>
      <c r="S289" s="108"/>
      <c r="T289" s="110"/>
    </row>
    <row r="290" spans="1:20" x14ac:dyDescent="0.25">
      <c r="A290" s="113"/>
      <c r="B290" s="108"/>
      <c r="C290" s="111"/>
      <c r="D290" s="111"/>
      <c r="E290" s="111"/>
      <c r="F290" s="108"/>
      <c r="G290" s="108"/>
      <c r="H290" s="112"/>
      <c r="I290" s="111"/>
      <c r="J290" s="111"/>
      <c r="K290" s="111"/>
      <c r="L290" s="108"/>
      <c r="M290" s="108"/>
      <c r="N290" s="108"/>
      <c r="O290" s="108"/>
      <c r="P290" s="111"/>
      <c r="Q290" s="111"/>
      <c r="R290" s="111"/>
      <c r="S290" s="108"/>
      <c r="T290" s="110"/>
    </row>
    <row r="291" spans="1:20" x14ac:dyDescent="0.25">
      <c r="A291" s="113"/>
      <c r="B291" s="108"/>
      <c r="C291" s="111"/>
      <c r="D291" s="111"/>
      <c r="E291" s="111"/>
      <c r="F291" s="108"/>
      <c r="G291" s="108"/>
      <c r="H291" s="112"/>
      <c r="I291" s="111"/>
      <c r="J291" s="111"/>
      <c r="K291" s="111"/>
      <c r="L291" s="108"/>
      <c r="M291" s="108"/>
      <c r="N291" s="108"/>
      <c r="O291" s="108"/>
      <c r="P291" s="111"/>
      <c r="Q291" s="111"/>
      <c r="R291" s="111"/>
      <c r="S291" s="108"/>
      <c r="T291" s="110"/>
    </row>
    <row r="292" spans="1:20" x14ac:dyDescent="0.25">
      <c r="A292" s="113"/>
      <c r="B292" s="108"/>
      <c r="C292" s="111"/>
      <c r="D292" s="111"/>
      <c r="E292" s="111"/>
      <c r="F292" s="108"/>
      <c r="G292" s="108"/>
      <c r="H292" s="112"/>
      <c r="I292" s="111"/>
      <c r="J292" s="111"/>
      <c r="K292" s="111"/>
      <c r="L292" s="108"/>
      <c r="M292" s="108"/>
      <c r="N292" s="108"/>
      <c r="O292" s="108"/>
      <c r="P292" s="111"/>
      <c r="Q292" s="111"/>
      <c r="R292" s="111"/>
      <c r="S292" s="108"/>
      <c r="T292" s="110"/>
    </row>
    <row r="293" spans="1:20" x14ac:dyDescent="0.25">
      <c r="A293" s="113"/>
      <c r="B293" s="108"/>
      <c r="C293" s="111"/>
      <c r="D293" s="111"/>
      <c r="E293" s="111"/>
      <c r="F293" s="108"/>
      <c r="G293" s="108"/>
      <c r="H293" s="112"/>
      <c r="I293" s="111"/>
      <c r="J293" s="111"/>
      <c r="K293" s="111"/>
      <c r="L293" s="108"/>
      <c r="M293" s="108"/>
      <c r="N293" s="108"/>
      <c r="O293" s="108"/>
      <c r="P293" s="111"/>
      <c r="Q293" s="111"/>
      <c r="R293" s="111"/>
      <c r="S293" s="108"/>
      <c r="T293" s="110"/>
    </row>
    <row r="294" spans="1:20" x14ac:dyDescent="0.25">
      <c r="A294" s="113"/>
      <c r="B294" s="108"/>
      <c r="C294" s="111"/>
      <c r="D294" s="111"/>
      <c r="E294" s="111"/>
      <c r="F294" s="108"/>
      <c r="G294" s="108"/>
      <c r="H294" s="112"/>
      <c r="I294" s="111"/>
      <c r="J294" s="111"/>
      <c r="K294" s="111"/>
      <c r="L294" s="108"/>
      <c r="M294" s="108"/>
      <c r="N294" s="108"/>
      <c r="O294" s="108"/>
      <c r="P294" s="111"/>
      <c r="Q294" s="111"/>
      <c r="R294" s="111"/>
      <c r="S294" s="108"/>
      <c r="T294" s="110"/>
    </row>
    <row r="295" spans="1:20" x14ac:dyDescent="0.25">
      <c r="A295" s="113"/>
      <c r="B295" s="108"/>
      <c r="C295" s="111"/>
      <c r="D295" s="111"/>
      <c r="E295" s="111"/>
      <c r="F295" s="108"/>
      <c r="G295" s="108"/>
      <c r="H295" s="112"/>
      <c r="I295" s="111"/>
      <c r="J295" s="111"/>
      <c r="K295" s="111"/>
      <c r="L295" s="108"/>
      <c r="M295" s="108"/>
      <c r="N295" s="108"/>
      <c r="O295" s="108"/>
      <c r="P295" s="111"/>
      <c r="Q295" s="111"/>
      <c r="R295" s="111"/>
      <c r="S295" s="108"/>
      <c r="T295" s="110"/>
    </row>
    <row r="296" spans="1:20" x14ac:dyDescent="0.25">
      <c r="A296" s="113"/>
      <c r="B296" s="108"/>
      <c r="C296" s="111"/>
      <c r="D296" s="111"/>
      <c r="E296" s="111"/>
      <c r="F296" s="108"/>
      <c r="G296" s="108"/>
      <c r="H296" s="112"/>
      <c r="I296" s="111"/>
      <c r="J296" s="111"/>
      <c r="K296" s="111"/>
      <c r="L296" s="108"/>
      <c r="M296" s="108"/>
      <c r="N296" s="108"/>
      <c r="O296" s="108"/>
      <c r="P296" s="111"/>
      <c r="Q296" s="111"/>
      <c r="R296" s="111"/>
      <c r="S296" s="108"/>
      <c r="T296" s="110"/>
    </row>
    <row r="297" spans="1:20" x14ac:dyDescent="0.25">
      <c r="A297" s="113"/>
      <c r="B297" s="108"/>
      <c r="C297" s="111"/>
      <c r="D297" s="111"/>
      <c r="E297" s="111"/>
      <c r="F297" s="108"/>
      <c r="G297" s="108"/>
      <c r="H297" s="112"/>
      <c r="I297" s="111"/>
      <c r="J297" s="111"/>
      <c r="K297" s="111"/>
      <c r="L297" s="108"/>
      <c r="M297" s="108"/>
      <c r="N297" s="108"/>
      <c r="O297" s="108"/>
      <c r="P297" s="111"/>
      <c r="Q297" s="111"/>
      <c r="R297" s="111"/>
      <c r="S297" s="108"/>
      <c r="T297" s="110"/>
    </row>
    <row r="298" spans="1:20" x14ac:dyDescent="0.25">
      <c r="A298" s="113"/>
      <c r="B298" s="108"/>
      <c r="C298" s="111"/>
      <c r="D298" s="111"/>
      <c r="E298" s="111"/>
      <c r="F298" s="108"/>
      <c r="G298" s="108"/>
      <c r="H298" s="112"/>
      <c r="I298" s="111"/>
      <c r="J298" s="111"/>
      <c r="K298" s="111"/>
      <c r="L298" s="108"/>
      <c r="M298" s="108"/>
      <c r="N298" s="108"/>
      <c r="O298" s="108"/>
      <c r="P298" s="111"/>
      <c r="Q298" s="111"/>
      <c r="R298" s="111"/>
      <c r="S298" s="108"/>
      <c r="T298" s="110"/>
    </row>
    <row r="299" spans="1:20" x14ac:dyDescent="0.25">
      <c r="A299" s="113"/>
      <c r="B299" s="108"/>
      <c r="C299" s="111"/>
      <c r="D299" s="111"/>
      <c r="E299" s="111"/>
      <c r="F299" s="108"/>
      <c r="G299" s="108"/>
      <c r="H299" s="112"/>
      <c r="I299" s="111"/>
      <c r="J299" s="111"/>
      <c r="K299" s="111"/>
      <c r="L299" s="108"/>
      <c r="M299" s="108"/>
      <c r="N299" s="108"/>
      <c r="O299" s="108"/>
      <c r="P299" s="111"/>
      <c r="Q299" s="111"/>
      <c r="R299" s="111"/>
      <c r="S299" s="108"/>
      <c r="T299" s="110"/>
    </row>
    <row r="300" spans="1:20" x14ac:dyDescent="0.25">
      <c r="A300" s="113"/>
      <c r="B300" s="108"/>
      <c r="C300" s="111"/>
      <c r="D300" s="111"/>
      <c r="E300" s="111"/>
      <c r="F300" s="108"/>
      <c r="G300" s="108"/>
      <c r="H300" s="112"/>
      <c r="I300" s="111"/>
      <c r="J300" s="111"/>
      <c r="K300" s="111"/>
      <c r="L300" s="108"/>
      <c r="M300" s="108"/>
      <c r="N300" s="108"/>
      <c r="O300" s="108"/>
      <c r="P300" s="111"/>
      <c r="Q300" s="111"/>
      <c r="R300" s="111"/>
      <c r="S300" s="108"/>
      <c r="T300" s="110"/>
    </row>
    <row r="301" spans="1:20" x14ac:dyDescent="0.25">
      <c r="A301" s="113"/>
      <c r="B301" s="108"/>
      <c r="C301" s="111"/>
      <c r="D301" s="111"/>
      <c r="E301" s="111"/>
      <c r="F301" s="108"/>
      <c r="G301" s="108"/>
      <c r="H301" s="112"/>
      <c r="I301" s="111"/>
      <c r="J301" s="111"/>
      <c r="K301" s="111"/>
      <c r="L301" s="108"/>
      <c r="M301" s="108"/>
      <c r="N301" s="108"/>
      <c r="O301" s="108"/>
      <c r="P301" s="111"/>
      <c r="Q301" s="111"/>
      <c r="R301" s="111"/>
      <c r="S301" s="108"/>
      <c r="T301" s="110"/>
    </row>
    <row r="302" spans="1:20" x14ac:dyDescent="0.25">
      <c r="A302" s="113"/>
      <c r="B302" s="108"/>
      <c r="C302" s="111"/>
      <c r="D302" s="111"/>
      <c r="E302" s="111"/>
      <c r="F302" s="108"/>
      <c r="G302" s="108"/>
      <c r="H302" s="112"/>
      <c r="I302" s="111"/>
      <c r="J302" s="111"/>
      <c r="K302" s="111"/>
      <c r="L302" s="108"/>
      <c r="M302" s="108"/>
      <c r="N302" s="108"/>
      <c r="O302" s="108"/>
      <c r="P302" s="111"/>
      <c r="Q302" s="111"/>
      <c r="R302" s="111"/>
      <c r="S302" s="108"/>
      <c r="T302" s="110"/>
    </row>
    <row r="303" spans="1:20" x14ac:dyDescent="0.25">
      <c r="A303" s="113"/>
      <c r="B303" s="108"/>
      <c r="C303" s="111"/>
      <c r="D303" s="111"/>
      <c r="E303" s="111"/>
      <c r="F303" s="108"/>
      <c r="G303" s="108"/>
      <c r="H303" s="112"/>
      <c r="I303" s="111"/>
      <c r="J303" s="111"/>
      <c r="K303" s="111"/>
      <c r="L303" s="108"/>
      <c r="M303" s="108"/>
      <c r="N303" s="108"/>
      <c r="O303" s="108"/>
      <c r="P303" s="111"/>
      <c r="Q303" s="111"/>
      <c r="R303" s="111"/>
      <c r="S303" s="108"/>
      <c r="T303" s="110"/>
    </row>
    <row r="304" spans="1:20" x14ac:dyDescent="0.25">
      <c r="A304" s="113"/>
      <c r="B304" s="108"/>
      <c r="C304" s="111"/>
      <c r="D304" s="111"/>
      <c r="E304" s="111"/>
      <c r="F304" s="108"/>
      <c r="G304" s="108"/>
      <c r="H304" s="112"/>
      <c r="I304" s="111"/>
      <c r="J304" s="111"/>
      <c r="K304" s="111"/>
      <c r="L304" s="108"/>
      <c r="M304" s="108"/>
      <c r="N304" s="108"/>
      <c r="O304" s="108"/>
      <c r="P304" s="111"/>
      <c r="Q304" s="111"/>
      <c r="R304" s="111"/>
      <c r="S304" s="108"/>
      <c r="T304" s="110"/>
    </row>
    <row r="305" spans="1:20" x14ac:dyDescent="0.25">
      <c r="A305" s="113"/>
      <c r="B305" s="108"/>
      <c r="C305" s="111"/>
      <c r="D305" s="111"/>
      <c r="E305" s="111"/>
      <c r="F305" s="108"/>
      <c r="G305" s="108"/>
      <c r="H305" s="112"/>
      <c r="I305" s="111"/>
      <c r="J305" s="111"/>
      <c r="K305" s="111"/>
      <c r="L305" s="108"/>
      <c r="M305" s="108"/>
      <c r="N305" s="108"/>
      <c r="O305" s="108"/>
      <c r="P305" s="111"/>
      <c r="Q305" s="111"/>
      <c r="R305" s="111"/>
      <c r="S305" s="108"/>
      <c r="T305" s="110"/>
    </row>
    <row r="306" spans="1:20" x14ac:dyDescent="0.25">
      <c r="A306" s="113"/>
      <c r="B306" s="108"/>
      <c r="C306" s="111"/>
      <c r="D306" s="111"/>
      <c r="E306" s="111"/>
      <c r="F306" s="108"/>
      <c r="G306" s="108"/>
      <c r="H306" s="112"/>
      <c r="I306" s="111"/>
      <c r="J306" s="111"/>
      <c r="K306" s="111"/>
      <c r="L306" s="108"/>
      <c r="M306" s="108"/>
      <c r="N306" s="108"/>
      <c r="O306" s="108"/>
      <c r="P306" s="111"/>
      <c r="Q306" s="111"/>
      <c r="R306" s="111"/>
      <c r="S306" s="108"/>
      <c r="T306" s="110"/>
    </row>
    <row r="307" spans="1:20" x14ac:dyDescent="0.25">
      <c r="A307" s="113"/>
      <c r="B307" s="108"/>
      <c r="C307" s="111"/>
      <c r="D307" s="111"/>
      <c r="E307" s="111"/>
      <c r="F307" s="108"/>
      <c r="G307" s="108"/>
      <c r="H307" s="112"/>
      <c r="I307" s="111"/>
      <c r="J307" s="111"/>
      <c r="K307" s="111"/>
      <c r="L307" s="108"/>
      <c r="M307" s="108"/>
      <c r="N307" s="108"/>
      <c r="O307" s="108"/>
      <c r="P307" s="111"/>
      <c r="Q307" s="111"/>
      <c r="R307" s="111"/>
      <c r="S307" s="108"/>
      <c r="T307" s="110"/>
    </row>
    <row r="308" spans="1:20" x14ac:dyDescent="0.25">
      <c r="A308" s="113"/>
      <c r="B308" s="108"/>
      <c r="C308" s="111"/>
      <c r="D308" s="111"/>
      <c r="E308" s="111"/>
      <c r="F308" s="108"/>
      <c r="G308" s="108"/>
      <c r="H308" s="112"/>
      <c r="I308" s="111"/>
      <c r="J308" s="111"/>
      <c r="K308" s="111"/>
      <c r="L308" s="108"/>
      <c r="M308" s="108"/>
      <c r="N308" s="108"/>
      <c r="O308" s="108"/>
      <c r="P308" s="111"/>
      <c r="Q308" s="111"/>
      <c r="R308" s="111"/>
      <c r="S308" s="108"/>
      <c r="T308" s="110"/>
    </row>
    <row r="309" spans="1:20" x14ac:dyDescent="0.25">
      <c r="A309" s="113"/>
      <c r="B309" s="108"/>
      <c r="C309" s="111"/>
      <c r="D309" s="111"/>
      <c r="E309" s="111"/>
      <c r="F309" s="108"/>
      <c r="G309" s="108"/>
      <c r="H309" s="112"/>
      <c r="I309" s="111"/>
      <c r="J309" s="111"/>
      <c r="K309" s="111"/>
      <c r="L309" s="108"/>
      <c r="M309" s="108"/>
      <c r="N309" s="108"/>
      <c r="O309" s="108"/>
      <c r="P309" s="111"/>
      <c r="Q309" s="111"/>
      <c r="R309" s="111"/>
      <c r="S309" s="108"/>
      <c r="T309" s="110"/>
    </row>
    <row r="310" spans="1:20" x14ac:dyDescent="0.25">
      <c r="A310" s="113"/>
      <c r="B310" s="108"/>
      <c r="C310" s="111"/>
      <c r="D310" s="111"/>
      <c r="E310" s="111"/>
      <c r="F310" s="108"/>
      <c r="G310" s="108"/>
      <c r="H310" s="112"/>
      <c r="I310" s="111"/>
      <c r="J310" s="111"/>
      <c r="K310" s="111"/>
      <c r="L310" s="108"/>
      <c r="M310" s="108"/>
      <c r="N310" s="108"/>
      <c r="O310" s="108"/>
      <c r="P310" s="111"/>
      <c r="Q310" s="111"/>
      <c r="R310" s="111"/>
      <c r="S310" s="108"/>
      <c r="T310" s="110"/>
    </row>
    <row r="311" spans="1:20" x14ac:dyDescent="0.25">
      <c r="A311" s="113"/>
      <c r="B311" s="108"/>
      <c r="C311" s="111"/>
      <c r="D311" s="111"/>
      <c r="E311" s="111"/>
      <c r="F311" s="108"/>
      <c r="G311" s="108"/>
      <c r="H311" s="112"/>
      <c r="I311" s="111"/>
      <c r="J311" s="111"/>
      <c r="K311" s="111"/>
      <c r="L311" s="108"/>
      <c r="M311" s="108"/>
      <c r="N311" s="108"/>
      <c r="O311" s="108"/>
      <c r="P311" s="111"/>
      <c r="Q311" s="111"/>
      <c r="R311" s="111"/>
      <c r="S311" s="108"/>
      <c r="T311" s="110"/>
    </row>
    <row r="312" spans="1:20" x14ac:dyDescent="0.25">
      <c r="A312" s="113"/>
      <c r="B312" s="108"/>
      <c r="C312" s="111"/>
      <c r="D312" s="111"/>
      <c r="E312" s="111"/>
      <c r="F312" s="108"/>
      <c r="G312" s="108"/>
      <c r="H312" s="112"/>
      <c r="I312" s="111"/>
      <c r="J312" s="111"/>
      <c r="K312" s="111"/>
      <c r="L312" s="108"/>
      <c r="M312" s="108"/>
      <c r="N312" s="108"/>
      <c r="O312" s="108"/>
      <c r="P312" s="111"/>
      <c r="Q312" s="111"/>
      <c r="R312" s="111"/>
      <c r="S312" s="108"/>
      <c r="T312" s="110"/>
    </row>
    <row r="313" spans="1:20" x14ac:dyDescent="0.25">
      <c r="A313" s="113"/>
      <c r="B313" s="108"/>
      <c r="C313" s="111"/>
      <c r="D313" s="111"/>
      <c r="E313" s="111"/>
      <c r="F313" s="108"/>
      <c r="G313" s="108"/>
      <c r="H313" s="112"/>
      <c r="I313" s="111"/>
      <c r="J313" s="111"/>
      <c r="K313" s="111"/>
      <c r="L313" s="108"/>
      <c r="M313" s="108"/>
      <c r="N313" s="108"/>
      <c r="O313" s="108"/>
      <c r="P313" s="111"/>
      <c r="Q313" s="111"/>
      <c r="R313" s="111"/>
      <c r="S313" s="108"/>
      <c r="T313" s="110"/>
    </row>
    <row r="314" spans="1:20" x14ac:dyDescent="0.25">
      <c r="A314" s="113"/>
      <c r="B314" s="108"/>
      <c r="C314" s="111"/>
      <c r="D314" s="111"/>
      <c r="E314" s="111"/>
      <c r="F314" s="108"/>
      <c r="G314" s="108"/>
      <c r="H314" s="112"/>
      <c r="I314" s="111"/>
      <c r="J314" s="111"/>
      <c r="K314" s="111"/>
      <c r="L314" s="108"/>
      <c r="M314" s="108"/>
      <c r="N314" s="108"/>
      <c r="O314" s="108"/>
      <c r="P314" s="111"/>
      <c r="Q314" s="111"/>
      <c r="R314" s="111"/>
      <c r="S314" s="108"/>
      <c r="T314" s="110"/>
    </row>
    <row r="315" spans="1:20" x14ac:dyDescent="0.25">
      <c r="A315" s="113"/>
      <c r="B315" s="108"/>
      <c r="C315" s="111"/>
      <c r="D315" s="111"/>
      <c r="E315" s="111"/>
      <c r="F315" s="108"/>
      <c r="G315" s="108"/>
      <c r="H315" s="112"/>
      <c r="I315" s="111"/>
      <c r="J315" s="111"/>
      <c r="K315" s="111"/>
      <c r="L315" s="108"/>
      <c r="M315" s="108"/>
      <c r="N315" s="108"/>
      <c r="O315" s="108"/>
      <c r="P315" s="111"/>
      <c r="Q315" s="111"/>
      <c r="R315" s="111"/>
      <c r="S315" s="108"/>
      <c r="T315" s="110"/>
    </row>
    <row r="316" spans="1:20" x14ac:dyDescent="0.25">
      <c r="A316" s="113"/>
      <c r="B316" s="108"/>
      <c r="C316" s="111"/>
      <c r="D316" s="111"/>
      <c r="E316" s="111"/>
      <c r="F316" s="108"/>
      <c r="G316" s="108"/>
      <c r="H316" s="112"/>
      <c r="I316" s="111"/>
      <c r="J316" s="111"/>
      <c r="K316" s="111"/>
      <c r="L316" s="108"/>
      <c r="M316" s="108"/>
      <c r="N316" s="108"/>
      <c r="O316" s="108"/>
      <c r="P316" s="111"/>
      <c r="Q316" s="111"/>
      <c r="R316" s="111"/>
      <c r="S316" s="108"/>
      <c r="T316" s="110"/>
    </row>
    <row r="317" spans="1:20" x14ac:dyDescent="0.25">
      <c r="A317" s="113"/>
      <c r="B317" s="108"/>
      <c r="C317" s="111"/>
      <c r="D317" s="111"/>
      <c r="E317" s="111"/>
      <c r="F317" s="108"/>
      <c r="G317" s="108"/>
      <c r="H317" s="112"/>
      <c r="I317" s="111"/>
      <c r="J317" s="111"/>
      <c r="K317" s="111"/>
      <c r="L317" s="108"/>
      <c r="M317" s="108"/>
      <c r="N317" s="108"/>
      <c r="O317" s="108"/>
      <c r="P317" s="111"/>
      <c r="Q317" s="111"/>
      <c r="R317" s="111"/>
      <c r="S317" s="108"/>
      <c r="T317" s="110"/>
    </row>
    <row r="318" spans="1:20" x14ac:dyDescent="0.25">
      <c r="A318" s="113"/>
      <c r="B318" s="108"/>
      <c r="C318" s="111"/>
      <c r="D318" s="111"/>
      <c r="E318" s="111"/>
      <c r="F318" s="108"/>
      <c r="G318" s="108"/>
      <c r="H318" s="112"/>
      <c r="I318" s="111"/>
      <c r="J318" s="111"/>
      <c r="K318" s="111"/>
      <c r="L318" s="108"/>
      <c r="M318" s="108"/>
      <c r="N318" s="108"/>
      <c r="O318" s="108"/>
      <c r="P318" s="111"/>
      <c r="Q318" s="111"/>
      <c r="R318" s="111"/>
      <c r="S318" s="108"/>
      <c r="T318" s="110"/>
    </row>
    <row r="319" spans="1:20" x14ac:dyDescent="0.25">
      <c r="A319" s="113"/>
      <c r="B319" s="108"/>
      <c r="C319" s="111"/>
      <c r="D319" s="111"/>
      <c r="E319" s="111"/>
      <c r="F319" s="108"/>
      <c r="G319" s="108"/>
      <c r="H319" s="112"/>
      <c r="I319" s="111"/>
      <c r="J319" s="111"/>
      <c r="K319" s="111"/>
      <c r="L319" s="108"/>
      <c r="M319" s="108"/>
      <c r="N319" s="108"/>
      <c r="O319" s="108"/>
      <c r="P319" s="111"/>
      <c r="Q319" s="111"/>
      <c r="R319" s="111"/>
      <c r="S319" s="108"/>
      <c r="T319" s="110"/>
    </row>
    <row r="320" spans="1:20" x14ac:dyDescent="0.25">
      <c r="A320" s="113"/>
      <c r="B320" s="108"/>
      <c r="C320" s="111"/>
      <c r="D320" s="111"/>
      <c r="E320" s="111"/>
      <c r="F320" s="108"/>
      <c r="G320" s="108"/>
      <c r="H320" s="112"/>
      <c r="I320" s="111"/>
      <c r="J320" s="111"/>
      <c r="K320" s="111"/>
      <c r="L320" s="108"/>
      <c r="M320" s="108"/>
      <c r="N320" s="108"/>
      <c r="O320" s="108"/>
      <c r="P320" s="111"/>
      <c r="Q320" s="111"/>
      <c r="R320" s="111"/>
      <c r="S320" s="108"/>
      <c r="T320" s="110"/>
    </row>
    <row r="321" spans="1:20" x14ac:dyDescent="0.25">
      <c r="A321" s="113"/>
      <c r="B321" s="108"/>
      <c r="C321" s="111"/>
      <c r="D321" s="111"/>
      <c r="E321" s="111"/>
      <c r="F321" s="108"/>
      <c r="G321" s="108"/>
      <c r="H321" s="112"/>
      <c r="I321" s="111"/>
      <c r="J321" s="111"/>
      <c r="K321" s="111"/>
      <c r="L321" s="108"/>
      <c r="M321" s="108"/>
      <c r="N321" s="108"/>
      <c r="O321" s="108"/>
      <c r="P321" s="111"/>
      <c r="Q321" s="111"/>
      <c r="R321" s="111"/>
      <c r="S321" s="108"/>
      <c r="T321" s="110"/>
    </row>
    <row r="322" spans="1:20" x14ac:dyDescent="0.25">
      <c r="A322" s="113"/>
      <c r="B322" s="108"/>
      <c r="C322" s="111"/>
      <c r="D322" s="111"/>
      <c r="E322" s="111"/>
      <c r="F322" s="108"/>
      <c r="G322" s="108"/>
      <c r="H322" s="112"/>
      <c r="I322" s="111"/>
      <c r="J322" s="111"/>
      <c r="K322" s="111"/>
      <c r="L322" s="108"/>
      <c r="M322" s="108"/>
      <c r="N322" s="108"/>
      <c r="O322" s="108"/>
      <c r="P322" s="111"/>
      <c r="Q322" s="111"/>
      <c r="R322" s="111"/>
      <c r="S322" s="108"/>
      <c r="T322" s="110"/>
    </row>
    <row r="323" spans="1:20" x14ac:dyDescent="0.25">
      <c r="A323" s="113"/>
      <c r="B323" s="108"/>
      <c r="C323" s="111"/>
      <c r="D323" s="111"/>
      <c r="E323" s="111"/>
      <c r="F323" s="108"/>
      <c r="G323" s="108"/>
      <c r="H323" s="112"/>
      <c r="I323" s="111"/>
      <c r="J323" s="111"/>
      <c r="K323" s="111"/>
      <c r="L323" s="108"/>
      <c r="M323" s="108"/>
      <c r="N323" s="108"/>
      <c r="O323" s="108"/>
      <c r="P323" s="111"/>
      <c r="Q323" s="111"/>
      <c r="R323" s="111"/>
      <c r="S323" s="108"/>
      <c r="T323" s="110"/>
    </row>
    <row r="324" spans="1:20" x14ac:dyDescent="0.25">
      <c r="A324" s="113"/>
      <c r="B324" s="108"/>
      <c r="C324" s="111"/>
      <c r="D324" s="111"/>
      <c r="E324" s="111"/>
      <c r="F324" s="108"/>
      <c r="G324" s="108"/>
      <c r="H324" s="112"/>
      <c r="I324" s="111"/>
      <c r="J324" s="111"/>
      <c r="K324" s="111"/>
      <c r="L324" s="108"/>
      <c r="M324" s="108"/>
      <c r="N324" s="108"/>
      <c r="O324" s="108"/>
      <c r="P324" s="111"/>
      <c r="Q324" s="111"/>
      <c r="R324" s="111"/>
      <c r="S324" s="108"/>
      <c r="T324" s="110"/>
    </row>
    <row r="325" spans="1:20" x14ac:dyDescent="0.25">
      <c r="A325" s="113"/>
      <c r="B325" s="108"/>
      <c r="C325" s="111"/>
      <c r="D325" s="111"/>
      <c r="E325" s="111"/>
      <c r="F325" s="108"/>
      <c r="G325" s="108"/>
      <c r="H325" s="112"/>
      <c r="I325" s="111"/>
      <c r="J325" s="111"/>
      <c r="K325" s="111"/>
      <c r="L325" s="108"/>
      <c r="M325" s="108"/>
      <c r="N325" s="108"/>
      <c r="O325" s="108"/>
      <c r="P325" s="111"/>
      <c r="Q325" s="111"/>
      <c r="R325" s="111"/>
      <c r="S325" s="108"/>
      <c r="T325" s="110"/>
    </row>
    <row r="326" spans="1:20" x14ac:dyDescent="0.25">
      <c r="A326" s="113"/>
      <c r="B326" s="108"/>
      <c r="C326" s="111"/>
      <c r="D326" s="111"/>
      <c r="E326" s="111"/>
      <c r="F326" s="108"/>
      <c r="G326" s="108"/>
      <c r="H326" s="112"/>
      <c r="I326" s="111"/>
      <c r="J326" s="111"/>
      <c r="K326" s="111"/>
      <c r="L326" s="108"/>
      <c r="M326" s="108"/>
      <c r="N326" s="108"/>
      <c r="O326" s="108"/>
      <c r="P326" s="111"/>
      <c r="Q326" s="111"/>
      <c r="R326" s="111"/>
      <c r="S326" s="108"/>
      <c r="T326" s="110"/>
    </row>
    <row r="327" spans="1:20" x14ac:dyDescent="0.25">
      <c r="A327" s="113"/>
      <c r="B327" s="108"/>
      <c r="C327" s="111"/>
      <c r="D327" s="111"/>
      <c r="E327" s="111"/>
      <c r="F327" s="108"/>
      <c r="G327" s="108"/>
      <c r="H327" s="112"/>
      <c r="I327" s="111"/>
      <c r="J327" s="111"/>
      <c r="K327" s="111"/>
      <c r="L327" s="108"/>
      <c r="M327" s="108"/>
      <c r="N327" s="108"/>
      <c r="O327" s="108"/>
      <c r="P327" s="111"/>
      <c r="Q327" s="111"/>
      <c r="R327" s="111"/>
      <c r="S327" s="108"/>
      <c r="T327" s="110"/>
    </row>
    <row r="328" spans="1:20" x14ac:dyDescent="0.25">
      <c r="A328" s="113"/>
      <c r="B328" s="108"/>
      <c r="C328" s="111"/>
      <c r="D328" s="111"/>
      <c r="E328" s="111"/>
      <c r="F328" s="108"/>
      <c r="G328" s="108"/>
      <c r="H328" s="112"/>
      <c r="I328" s="111"/>
      <c r="J328" s="111"/>
      <c r="K328" s="111"/>
      <c r="L328" s="108"/>
      <c r="M328" s="108"/>
      <c r="N328" s="108"/>
      <c r="O328" s="108"/>
      <c r="P328" s="111"/>
      <c r="Q328" s="111"/>
      <c r="R328" s="111"/>
      <c r="S328" s="108"/>
      <c r="T328" s="110"/>
    </row>
    <row r="329" spans="1:20" x14ac:dyDescent="0.25">
      <c r="A329" s="113"/>
      <c r="B329" s="108"/>
      <c r="C329" s="111"/>
      <c r="D329" s="111"/>
      <c r="E329" s="111"/>
      <c r="F329" s="108"/>
      <c r="G329" s="108"/>
      <c r="H329" s="112"/>
      <c r="I329" s="111"/>
      <c r="J329" s="111"/>
      <c r="K329" s="111"/>
      <c r="L329" s="108"/>
      <c r="M329" s="108"/>
      <c r="N329" s="108"/>
      <c r="O329" s="108"/>
      <c r="P329" s="111"/>
      <c r="Q329" s="111"/>
      <c r="R329" s="111"/>
      <c r="S329" s="108"/>
      <c r="T329" s="110"/>
    </row>
    <row r="330" spans="1:20" x14ac:dyDescent="0.25">
      <c r="A330" s="113"/>
      <c r="B330" s="108"/>
      <c r="C330" s="111"/>
      <c r="D330" s="111"/>
      <c r="E330" s="111"/>
      <c r="F330" s="108"/>
      <c r="G330" s="108"/>
      <c r="H330" s="112"/>
      <c r="I330" s="111"/>
      <c r="J330" s="111"/>
      <c r="K330" s="111"/>
      <c r="L330" s="108"/>
      <c r="M330" s="108"/>
      <c r="N330" s="108"/>
      <c r="O330" s="108"/>
      <c r="P330" s="111"/>
      <c r="Q330" s="111"/>
      <c r="R330" s="111"/>
      <c r="S330" s="108"/>
      <c r="T330" s="110"/>
    </row>
    <row r="331" spans="1:20" x14ac:dyDescent="0.25">
      <c r="A331" s="113"/>
      <c r="B331" s="108"/>
      <c r="C331" s="111"/>
      <c r="D331" s="111"/>
      <c r="E331" s="111"/>
      <c r="F331" s="108"/>
      <c r="G331" s="108"/>
      <c r="H331" s="112"/>
      <c r="I331" s="111"/>
      <c r="J331" s="111"/>
      <c r="K331" s="111"/>
      <c r="L331" s="108"/>
      <c r="M331" s="108"/>
      <c r="N331" s="108"/>
      <c r="O331" s="108"/>
      <c r="P331" s="111"/>
      <c r="Q331" s="111"/>
      <c r="R331" s="111"/>
      <c r="S331" s="108"/>
      <c r="T331" s="110"/>
    </row>
    <row r="332" spans="1:20" x14ac:dyDescent="0.25">
      <c r="A332" s="113"/>
      <c r="B332" s="108"/>
      <c r="C332" s="111"/>
      <c r="D332" s="111"/>
      <c r="E332" s="111"/>
      <c r="F332" s="108"/>
      <c r="G332" s="108"/>
      <c r="H332" s="112"/>
      <c r="I332" s="111"/>
      <c r="J332" s="111"/>
      <c r="K332" s="111"/>
      <c r="L332" s="108"/>
      <c r="M332" s="108"/>
      <c r="N332" s="108"/>
      <c r="O332" s="108"/>
      <c r="P332" s="111"/>
      <c r="Q332" s="111"/>
      <c r="R332" s="111"/>
      <c r="S332" s="108"/>
      <c r="T332" s="110"/>
    </row>
    <row r="333" spans="1:20" x14ac:dyDescent="0.25">
      <c r="A333" s="113"/>
      <c r="B333" s="108"/>
      <c r="C333" s="111"/>
      <c r="D333" s="111"/>
      <c r="E333" s="111"/>
      <c r="F333" s="108"/>
      <c r="G333" s="108"/>
      <c r="H333" s="112"/>
      <c r="I333" s="111"/>
      <c r="J333" s="111"/>
      <c r="K333" s="111"/>
      <c r="L333" s="108"/>
      <c r="M333" s="108"/>
      <c r="N333" s="108"/>
      <c r="O333" s="108"/>
      <c r="P333" s="111"/>
      <c r="Q333" s="111"/>
      <c r="R333" s="111"/>
      <c r="S333" s="108"/>
      <c r="T333" s="110"/>
    </row>
    <row r="334" spans="1:20" x14ac:dyDescent="0.25">
      <c r="A334" s="113"/>
      <c r="B334" s="108"/>
      <c r="C334" s="111"/>
      <c r="D334" s="111"/>
      <c r="E334" s="111"/>
      <c r="F334" s="108"/>
      <c r="G334" s="108"/>
      <c r="H334" s="112"/>
      <c r="I334" s="111"/>
      <c r="J334" s="111"/>
      <c r="K334" s="111"/>
      <c r="L334" s="108"/>
      <c r="M334" s="108"/>
      <c r="N334" s="108"/>
      <c r="O334" s="108"/>
      <c r="P334" s="111"/>
      <c r="Q334" s="111"/>
      <c r="R334" s="111"/>
      <c r="S334" s="108"/>
      <c r="T334" s="110"/>
    </row>
    <row r="335" spans="1:20" x14ac:dyDescent="0.25">
      <c r="A335" s="113"/>
      <c r="B335" s="108"/>
      <c r="C335" s="111"/>
      <c r="D335" s="111"/>
      <c r="E335" s="111"/>
      <c r="F335" s="108"/>
      <c r="G335" s="108"/>
      <c r="H335" s="112"/>
      <c r="I335" s="111"/>
      <c r="J335" s="111"/>
      <c r="K335" s="111"/>
      <c r="L335" s="108"/>
      <c r="M335" s="108"/>
      <c r="N335" s="108"/>
      <c r="O335" s="108"/>
      <c r="P335" s="111"/>
      <c r="Q335" s="111"/>
      <c r="R335" s="111"/>
      <c r="S335" s="108"/>
      <c r="T335" s="110"/>
    </row>
    <row r="336" spans="1:20" x14ac:dyDescent="0.25">
      <c r="A336" s="113"/>
      <c r="B336" s="108"/>
      <c r="C336" s="111"/>
      <c r="D336" s="111"/>
      <c r="E336" s="111"/>
      <c r="F336" s="108"/>
      <c r="G336" s="108"/>
      <c r="H336" s="112"/>
      <c r="I336" s="111"/>
      <c r="J336" s="111"/>
      <c r="K336" s="111"/>
      <c r="L336" s="108"/>
      <c r="M336" s="108"/>
      <c r="N336" s="108"/>
      <c r="O336" s="108"/>
      <c r="P336" s="111"/>
      <c r="Q336" s="111"/>
      <c r="R336" s="111"/>
      <c r="S336" s="108"/>
      <c r="T336" s="110"/>
    </row>
    <row r="337" spans="1:20" x14ac:dyDescent="0.25">
      <c r="A337" s="113"/>
      <c r="B337" s="108"/>
      <c r="C337" s="111"/>
      <c r="D337" s="111"/>
      <c r="E337" s="111"/>
      <c r="F337" s="108"/>
      <c r="G337" s="108"/>
      <c r="H337" s="112"/>
      <c r="I337" s="111"/>
      <c r="J337" s="111"/>
      <c r="K337" s="111"/>
      <c r="L337" s="108"/>
      <c r="M337" s="108"/>
      <c r="N337" s="108"/>
      <c r="O337" s="108"/>
      <c r="P337" s="111"/>
      <c r="Q337" s="111"/>
      <c r="R337" s="111"/>
      <c r="S337" s="108"/>
      <c r="T337" s="110"/>
    </row>
    <row r="338" spans="1:20" x14ac:dyDescent="0.25">
      <c r="A338" s="113"/>
      <c r="B338" s="108"/>
      <c r="C338" s="111"/>
      <c r="D338" s="111"/>
      <c r="E338" s="111"/>
      <c r="F338" s="108"/>
      <c r="G338" s="108"/>
      <c r="H338" s="112"/>
      <c r="I338" s="111"/>
      <c r="J338" s="111"/>
      <c r="K338" s="111"/>
      <c r="L338" s="108"/>
      <c r="M338" s="108"/>
      <c r="N338" s="108"/>
      <c r="O338" s="108"/>
      <c r="P338" s="111"/>
      <c r="Q338" s="111"/>
      <c r="R338" s="111"/>
      <c r="S338" s="108"/>
      <c r="T338" s="110"/>
    </row>
    <row r="339" spans="1:20" x14ac:dyDescent="0.25">
      <c r="A339" s="113"/>
      <c r="B339" s="108"/>
      <c r="C339" s="111"/>
      <c r="D339" s="111"/>
      <c r="E339" s="111"/>
      <c r="F339" s="108"/>
      <c r="G339" s="108"/>
      <c r="H339" s="112"/>
      <c r="I339" s="111"/>
      <c r="J339" s="111"/>
      <c r="K339" s="111"/>
      <c r="L339" s="108"/>
      <c r="M339" s="108"/>
      <c r="N339" s="108"/>
      <c r="O339" s="108"/>
      <c r="P339" s="111"/>
      <c r="Q339" s="111"/>
      <c r="R339" s="111"/>
      <c r="S339" s="108"/>
      <c r="T339" s="110"/>
    </row>
    <row r="340" spans="1:20" x14ac:dyDescent="0.25">
      <c r="A340" s="113"/>
      <c r="B340" s="108"/>
      <c r="C340" s="111"/>
      <c r="D340" s="111"/>
      <c r="E340" s="111"/>
      <c r="F340" s="108"/>
      <c r="G340" s="108"/>
      <c r="H340" s="112"/>
      <c r="I340" s="111"/>
      <c r="J340" s="111"/>
      <c r="K340" s="111"/>
      <c r="L340" s="108"/>
      <c r="M340" s="108"/>
      <c r="N340" s="108"/>
      <c r="O340" s="108"/>
      <c r="P340" s="111"/>
      <c r="Q340" s="111"/>
      <c r="R340" s="111"/>
      <c r="S340" s="108"/>
      <c r="T340" s="110"/>
    </row>
    <row r="341" spans="1:20" x14ac:dyDescent="0.25">
      <c r="A341" s="113"/>
      <c r="B341" s="108"/>
      <c r="C341" s="111"/>
      <c r="D341" s="111"/>
      <c r="E341" s="111"/>
      <c r="F341" s="108"/>
      <c r="G341" s="108"/>
      <c r="H341" s="112"/>
      <c r="I341" s="111"/>
      <c r="J341" s="111"/>
      <c r="K341" s="111"/>
      <c r="L341" s="108"/>
      <c r="M341" s="108"/>
      <c r="N341" s="108"/>
      <c r="O341" s="108"/>
      <c r="P341" s="111"/>
      <c r="Q341" s="111"/>
      <c r="R341" s="111"/>
      <c r="S341" s="108"/>
      <c r="T341" s="110"/>
    </row>
    <row r="342" spans="1:20" x14ac:dyDescent="0.25">
      <c r="A342" s="113"/>
      <c r="B342" s="108"/>
      <c r="C342" s="111"/>
      <c r="D342" s="111"/>
      <c r="E342" s="111"/>
      <c r="F342" s="108"/>
      <c r="G342" s="108"/>
      <c r="H342" s="112"/>
      <c r="I342" s="111"/>
      <c r="J342" s="111"/>
      <c r="K342" s="111"/>
      <c r="L342" s="108"/>
      <c r="M342" s="108"/>
      <c r="N342" s="108"/>
      <c r="O342" s="108"/>
      <c r="P342" s="111"/>
      <c r="Q342" s="111"/>
      <c r="R342" s="111"/>
      <c r="S342" s="108"/>
      <c r="T342" s="110"/>
    </row>
    <row r="343" spans="1:20" x14ac:dyDescent="0.25">
      <c r="A343" s="113"/>
      <c r="B343" s="108"/>
      <c r="C343" s="111"/>
      <c r="D343" s="111"/>
      <c r="E343" s="111"/>
      <c r="F343" s="108"/>
      <c r="G343" s="108"/>
      <c r="H343" s="112"/>
      <c r="I343" s="111"/>
      <c r="J343" s="111"/>
      <c r="K343" s="111"/>
      <c r="L343" s="108"/>
      <c r="M343" s="108"/>
      <c r="N343" s="108"/>
      <c r="O343" s="108"/>
      <c r="P343" s="111"/>
      <c r="Q343" s="111"/>
      <c r="R343" s="111"/>
      <c r="S343" s="108"/>
      <c r="T343" s="110"/>
    </row>
    <row r="344" spans="1:20" x14ac:dyDescent="0.25">
      <c r="A344" s="113"/>
      <c r="B344" s="108"/>
      <c r="C344" s="111"/>
      <c r="D344" s="111"/>
      <c r="E344" s="111"/>
      <c r="F344" s="108"/>
      <c r="G344" s="108"/>
      <c r="H344" s="112"/>
      <c r="I344" s="111"/>
      <c r="J344" s="111"/>
      <c r="K344" s="111"/>
      <c r="L344" s="108"/>
      <c r="M344" s="108"/>
      <c r="N344" s="108"/>
      <c r="O344" s="108"/>
      <c r="P344" s="111"/>
      <c r="Q344" s="111"/>
      <c r="R344" s="111"/>
      <c r="S344" s="108"/>
      <c r="T344" s="110"/>
    </row>
    <row r="345" spans="1:20" x14ac:dyDescent="0.25">
      <c r="A345" s="113"/>
      <c r="B345" s="108"/>
      <c r="C345" s="111"/>
      <c r="D345" s="111"/>
      <c r="E345" s="111"/>
      <c r="F345" s="108"/>
      <c r="G345" s="108"/>
      <c r="H345" s="112"/>
      <c r="I345" s="111"/>
      <c r="J345" s="111"/>
      <c r="K345" s="111"/>
      <c r="L345" s="108"/>
      <c r="M345" s="108"/>
      <c r="N345" s="108"/>
      <c r="O345" s="108"/>
      <c r="P345" s="111"/>
      <c r="Q345" s="111"/>
      <c r="R345" s="111"/>
      <c r="S345" s="108"/>
      <c r="T345" s="110"/>
    </row>
    <row r="346" spans="1:20" x14ac:dyDescent="0.25">
      <c r="A346" s="113"/>
      <c r="B346" s="108"/>
      <c r="C346" s="111"/>
      <c r="D346" s="111"/>
      <c r="E346" s="111"/>
      <c r="F346" s="108"/>
      <c r="G346" s="108"/>
      <c r="H346" s="112"/>
      <c r="I346" s="111"/>
      <c r="J346" s="111"/>
      <c r="K346" s="111"/>
      <c r="L346" s="108"/>
      <c r="M346" s="108"/>
      <c r="N346" s="108"/>
      <c r="O346" s="108"/>
      <c r="P346" s="111"/>
      <c r="Q346" s="111"/>
      <c r="R346" s="111"/>
      <c r="S346" s="108"/>
      <c r="T346" s="110"/>
    </row>
    <row r="347" spans="1:20" x14ac:dyDescent="0.25">
      <c r="A347" s="113"/>
      <c r="B347" s="108"/>
      <c r="C347" s="111"/>
      <c r="D347" s="111"/>
      <c r="E347" s="111"/>
      <c r="F347" s="108"/>
      <c r="G347" s="108"/>
      <c r="H347" s="112"/>
      <c r="I347" s="111"/>
      <c r="J347" s="111"/>
      <c r="K347" s="111"/>
      <c r="L347" s="108"/>
      <c r="M347" s="108"/>
      <c r="N347" s="108"/>
      <c r="O347" s="108"/>
      <c r="P347" s="111"/>
      <c r="Q347" s="111"/>
      <c r="R347" s="111"/>
      <c r="S347" s="108"/>
      <c r="T347" s="110"/>
    </row>
    <row r="348" spans="1:20" x14ac:dyDescent="0.25">
      <c r="A348" s="113"/>
      <c r="B348" s="108"/>
      <c r="C348" s="111"/>
      <c r="D348" s="111"/>
      <c r="E348" s="111"/>
      <c r="F348" s="108"/>
      <c r="G348" s="108"/>
      <c r="H348" s="112"/>
      <c r="I348" s="111"/>
      <c r="J348" s="111"/>
      <c r="K348" s="111"/>
      <c r="L348" s="108"/>
      <c r="M348" s="108"/>
      <c r="N348" s="108"/>
      <c r="O348" s="108"/>
      <c r="P348" s="111"/>
      <c r="Q348" s="111"/>
      <c r="R348" s="111"/>
      <c r="S348" s="108"/>
      <c r="T348" s="110"/>
    </row>
    <row r="349" spans="1:20" x14ac:dyDescent="0.25">
      <c r="A349" s="113"/>
      <c r="B349" s="108"/>
      <c r="C349" s="111"/>
      <c r="D349" s="111"/>
      <c r="E349" s="111"/>
      <c r="F349" s="108"/>
      <c r="G349" s="108"/>
      <c r="H349" s="112"/>
      <c r="I349" s="111"/>
      <c r="J349" s="111"/>
      <c r="K349" s="111"/>
      <c r="L349" s="108"/>
      <c r="M349" s="108"/>
      <c r="N349" s="108"/>
      <c r="O349" s="108"/>
      <c r="P349" s="111"/>
      <c r="Q349" s="111"/>
      <c r="R349" s="111"/>
      <c r="S349" s="108"/>
      <c r="T349" s="110"/>
    </row>
    <row r="350" spans="1:20" x14ac:dyDescent="0.25">
      <c r="A350" s="113"/>
      <c r="B350" s="108"/>
      <c r="C350" s="111"/>
      <c r="D350" s="111"/>
      <c r="E350" s="111"/>
      <c r="F350" s="108"/>
      <c r="G350" s="108"/>
      <c r="H350" s="112"/>
      <c r="I350" s="111"/>
      <c r="J350" s="111"/>
      <c r="K350" s="111"/>
      <c r="L350" s="108"/>
      <c r="M350" s="108"/>
      <c r="N350" s="108"/>
      <c r="O350" s="108"/>
      <c r="P350" s="111"/>
      <c r="Q350" s="111"/>
      <c r="R350" s="111"/>
      <c r="S350" s="108"/>
      <c r="T350" s="110"/>
    </row>
    <row r="351" spans="1:20" x14ac:dyDescent="0.25">
      <c r="A351" s="113"/>
      <c r="B351" s="108"/>
      <c r="C351" s="111"/>
      <c r="D351" s="111"/>
      <c r="E351" s="111"/>
      <c r="F351" s="108"/>
      <c r="G351" s="108"/>
      <c r="H351" s="112"/>
      <c r="I351" s="111"/>
      <c r="J351" s="111"/>
      <c r="K351" s="111"/>
      <c r="L351" s="108"/>
      <c r="M351" s="108"/>
      <c r="N351" s="108"/>
      <c r="O351" s="108"/>
      <c r="P351" s="111"/>
      <c r="Q351" s="111"/>
      <c r="R351" s="111"/>
      <c r="S351" s="108"/>
      <c r="T351" s="110"/>
    </row>
    <row r="352" spans="1:20" x14ac:dyDescent="0.25">
      <c r="A352" s="113"/>
      <c r="B352" s="108"/>
      <c r="C352" s="111"/>
      <c r="D352" s="111"/>
      <c r="E352" s="111"/>
      <c r="F352" s="108"/>
      <c r="G352" s="108"/>
      <c r="H352" s="112"/>
      <c r="I352" s="111"/>
      <c r="J352" s="111"/>
      <c r="K352" s="111"/>
      <c r="L352" s="108"/>
      <c r="M352" s="108"/>
      <c r="N352" s="108"/>
      <c r="O352" s="108"/>
      <c r="P352" s="111"/>
      <c r="Q352" s="111"/>
      <c r="R352" s="111"/>
      <c r="S352" s="108"/>
      <c r="T352" s="110"/>
    </row>
    <row r="353" spans="1:20" x14ac:dyDescent="0.25">
      <c r="A353" s="113"/>
      <c r="B353" s="108"/>
      <c r="C353" s="111"/>
      <c r="D353" s="111"/>
      <c r="E353" s="111"/>
      <c r="F353" s="108"/>
      <c r="G353" s="108"/>
      <c r="H353" s="112"/>
      <c r="I353" s="111"/>
      <c r="J353" s="111"/>
      <c r="K353" s="111"/>
      <c r="L353" s="108"/>
      <c r="M353" s="108"/>
      <c r="N353" s="108"/>
      <c r="O353" s="108"/>
      <c r="P353" s="111"/>
      <c r="Q353" s="111"/>
      <c r="R353" s="111"/>
      <c r="S353" s="108"/>
      <c r="T353" s="110"/>
    </row>
    <row r="354" spans="1:20" x14ac:dyDescent="0.25">
      <c r="A354" s="113"/>
      <c r="B354" s="108"/>
      <c r="C354" s="111"/>
      <c r="D354" s="111"/>
      <c r="E354" s="111"/>
      <c r="F354" s="108"/>
      <c r="G354" s="108"/>
      <c r="H354" s="112"/>
      <c r="I354" s="111"/>
      <c r="J354" s="111"/>
      <c r="K354" s="111"/>
      <c r="L354" s="108"/>
      <c r="M354" s="108"/>
      <c r="N354" s="108"/>
      <c r="O354" s="108"/>
      <c r="P354" s="111"/>
      <c r="Q354" s="111"/>
      <c r="R354" s="111"/>
      <c r="S354" s="108"/>
      <c r="T354" s="110"/>
    </row>
    <row r="355" spans="1:20" x14ac:dyDescent="0.25">
      <c r="A355" s="113"/>
      <c r="B355" s="108"/>
      <c r="C355" s="111"/>
      <c r="D355" s="111"/>
      <c r="E355" s="111"/>
      <c r="F355" s="108"/>
      <c r="G355" s="108"/>
      <c r="H355" s="112"/>
      <c r="I355" s="111"/>
      <c r="J355" s="111"/>
      <c r="K355" s="111"/>
      <c r="L355" s="108"/>
      <c r="M355" s="108"/>
      <c r="N355" s="108"/>
      <c r="O355" s="108"/>
      <c r="P355" s="111"/>
      <c r="Q355" s="111"/>
      <c r="R355" s="111"/>
      <c r="S355" s="108"/>
      <c r="T355" s="110"/>
    </row>
    <row r="356" spans="1:20" x14ac:dyDescent="0.25">
      <c r="A356" s="113"/>
      <c r="B356" s="108"/>
      <c r="C356" s="111"/>
      <c r="D356" s="111"/>
      <c r="E356" s="111"/>
      <c r="F356" s="108"/>
      <c r="G356" s="108"/>
      <c r="H356" s="112"/>
      <c r="I356" s="111"/>
      <c r="J356" s="111"/>
      <c r="K356" s="111"/>
      <c r="L356" s="108"/>
      <c r="M356" s="108"/>
      <c r="N356" s="108"/>
      <c r="O356" s="108"/>
      <c r="P356" s="111"/>
      <c r="Q356" s="111"/>
      <c r="R356" s="111"/>
      <c r="S356" s="108"/>
      <c r="T356" s="110"/>
    </row>
    <row r="357" spans="1:20" x14ac:dyDescent="0.25">
      <c r="A357" s="113"/>
      <c r="B357" s="108"/>
      <c r="C357" s="111"/>
      <c r="D357" s="111"/>
      <c r="E357" s="111"/>
      <c r="F357" s="108"/>
      <c r="G357" s="108"/>
      <c r="H357" s="112"/>
      <c r="I357" s="111"/>
      <c r="J357" s="111"/>
      <c r="K357" s="111"/>
      <c r="L357" s="108"/>
      <c r="M357" s="108"/>
      <c r="N357" s="108"/>
      <c r="O357" s="108"/>
      <c r="P357" s="111"/>
      <c r="Q357" s="111"/>
      <c r="R357" s="111"/>
      <c r="S357" s="108"/>
      <c r="T357" s="110"/>
    </row>
    <row r="358" spans="1:20" x14ac:dyDescent="0.25">
      <c r="A358" s="113"/>
      <c r="B358" s="108"/>
      <c r="C358" s="111"/>
      <c r="D358" s="111"/>
      <c r="E358" s="111"/>
      <c r="F358" s="108"/>
      <c r="G358" s="108"/>
      <c r="H358" s="112"/>
      <c r="I358" s="111"/>
      <c r="J358" s="111"/>
      <c r="K358" s="111"/>
      <c r="L358" s="108"/>
      <c r="M358" s="108"/>
      <c r="N358" s="108"/>
      <c r="O358" s="108"/>
      <c r="P358" s="111"/>
      <c r="Q358" s="111"/>
      <c r="R358" s="111"/>
      <c r="S358" s="108"/>
      <c r="T358" s="110"/>
    </row>
    <row r="359" spans="1:20" x14ac:dyDescent="0.25">
      <c r="A359" s="113"/>
      <c r="B359" s="108"/>
      <c r="C359" s="111"/>
      <c r="D359" s="111"/>
      <c r="E359" s="111"/>
      <c r="F359" s="108"/>
      <c r="G359" s="108"/>
      <c r="H359" s="112"/>
      <c r="I359" s="111"/>
      <c r="J359" s="111"/>
      <c r="K359" s="111"/>
      <c r="L359" s="108"/>
      <c r="M359" s="108"/>
      <c r="N359" s="108"/>
      <c r="O359" s="108"/>
      <c r="P359" s="111"/>
      <c r="Q359" s="111"/>
      <c r="R359" s="111"/>
      <c r="S359" s="108"/>
      <c r="T359" s="110"/>
    </row>
    <row r="360" spans="1:20" x14ac:dyDescent="0.25">
      <c r="A360" s="113"/>
      <c r="B360" s="108"/>
      <c r="C360" s="111"/>
      <c r="D360" s="111"/>
      <c r="E360" s="111"/>
      <c r="F360" s="108"/>
      <c r="G360" s="108"/>
      <c r="H360" s="112"/>
      <c r="I360" s="111"/>
      <c r="J360" s="111"/>
      <c r="K360" s="111"/>
      <c r="L360" s="108"/>
      <c r="M360" s="108"/>
      <c r="N360" s="108"/>
      <c r="O360" s="108"/>
      <c r="P360" s="111"/>
      <c r="Q360" s="111"/>
      <c r="R360" s="111"/>
      <c r="S360" s="108"/>
      <c r="T360" s="110"/>
    </row>
    <row r="361" spans="1:20" x14ac:dyDescent="0.25">
      <c r="A361" s="113"/>
      <c r="B361" s="108"/>
      <c r="C361" s="111"/>
      <c r="D361" s="111"/>
      <c r="E361" s="111"/>
      <c r="F361" s="108"/>
      <c r="G361" s="108"/>
      <c r="H361" s="112"/>
      <c r="I361" s="111"/>
      <c r="J361" s="111"/>
      <c r="K361" s="111"/>
      <c r="L361" s="108"/>
      <c r="M361" s="108"/>
      <c r="N361" s="108"/>
      <c r="O361" s="108"/>
      <c r="P361" s="111"/>
      <c r="Q361" s="111"/>
      <c r="R361" s="111"/>
      <c r="S361" s="108"/>
      <c r="T361" s="110"/>
    </row>
    <row r="362" spans="1:20" x14ac:dyDescent="0.25">
      <c r="A362" s="113"/>
      <c r="B362" s="108"/>
      <c r="C362" s="111"/>
      <c r="D362" s="111"/>
      <c r="E362" s="111"/>
      <c r="F362" s="108"/>
      <c r="G362" s="108"/>
      <c r="H362" s="112"/>
      <c r="I362" s="111"/>
      <c r="J362" s="111"/>
      <c r="K362" s="111"/>
      <c r="L362" s="108"/>
      <c r="M362" s="108"/>
      <c r="N362" s="108"/>
      <c r="O362" s="108"/>
      <c r="P362" s="111"/>
      <c r="Q362" s="111"/>
      <c r="R362" s="111"/>
      <c r="S362" s="108"/>
      <c r="T362" s="110"/>
    </row>
    <row r="363" spans="1:20" x14ac:dyDescent="0.25">
      <c r="A363" s="113"/>
      <c r="B363" s="108"/>
      <c r="C363" s="111"/>
      <c r="D363" s="111"/>
      <c r="E363" s="111"/>
      <c r="F363" s="108"/>
      <c r="G363" s="108"/>
      <c r="H363" s="112"/>
      <c r="I363" s="111"/>
      <c r="J363" s="111"/>
      <c r="K363" s="111"/>
      <c r="L363" s="108"/>
      <c r="M363" s="108"/>
      <c r="N363" s="108"/>
      <c r="O363" s="108"/>
      <c r="P363" s="111"/>
      <c r="Q363" s="111"/>
      <c r="R363" s="111"/>
      <c r="S363" s="108"/>
      <c r="T363" s="110"/>
    </row>
    <row r="364" spans="1:20" x14ac:dyDescent="0.25">
      <c r="A364" s="113"/>
      <c r="B364" s="108"/>
      <c r="C364" s="111"/>
      <c r="D364" s="111"/>
      <c r="E364" s="111"/>
      <c r="F364" s="108"/>
      <c r="G364" s="108"/>
      <c r="H364" s="112"/>
      <c r="I364" s="111"/>
      <c r="J364" s="111"/>
      <c r="K364" s="111"/>
      <c r="L364" s="108"/>
      <c r="M364" s="108"/>
      <c r="N364" s="108"/>
      <c r="O364" s="108"/>
      <c r="P364" s="111"/>
      <c r="Q364" s="111"/>
      <c r="R364" s="111"/>
      <c r="S364" s="108"/>
      <c r="T364" s="110"/>
    </row>
    <row r="365" spans="1:20" x14ac:dyDescent="0.25">
      <c r="A365" s="113"/>
      <c r="B365" s="108"/>
      <c r="C365" s="111"/>
      <c r="D365" s="111"/>
      <c r="E365" s="111"/>
      <c r="F365" s="108"/>
      <c r="G365" s="108"/>
      <c r="H365" s="112"/>
      <c r="I365" s="111"/>
      <c r="J365" s="111"/>
      <c r="K365" s="111"/>
      <c r="L365" s="108"/>
      <c r="M365" s="108"/>
      <c r="N365" s="108"/>
      <c r="O365" s="108"/>
      <c r="P365" s="111"/>
      <c r="Q365" s="111"/>
      <c r="R365" s="111"/>
      <c r="S365" s="108"/>
      <c r="T365" s="110"/>
    </row>
    <row r="366" spans="1:20" x14ac:dyDescent="0.25">
      <c r="A366" s="113"/>
      <c r="B366" s="108"/>
      <c r="C366" s="111"/>
      <c r="D366" s="111"/>
      <c r="E366" s="111"/>
      <c r="F366" s="108"/>
      <c r="G366" s="108"/>
      <c r="H366" s="112"/>
      <c r="I366" s="111"/>
      <c r="J366" s="111"/>
      <c r="K366" s="111"/>
      <c r="L366" s="108"/>
      <c r="M366" s="108"/>
      <c r="N366" s="108"/>
      <c r="O366" s="108"/>
      <c r="P366" s="111"/>
      <c r="Q366" s="111"/>
      <c r="R366" s="111"/>
      <c r="S366" s="108"/>
      <c r="T366" s="110"/>
    </row>
    <row r="367" spans="1:20" x14ac:dyDescent="0.25">
      <c r="A367" s="113"/>
      <c r="B367" s="108"/>
      <c r="C367" s="111"/>
      <c r="D367" s="111"/>
      <c r="E367" s="111"/>
      <c r="F367" s="108"/>
      <c r="G367" s="108"/>
      <c r="H367" s="112"/>
      <c r="I367" s="111"/>
      <c r="J367" s="111"/>
      <c r="K367" s="111"/>
      <c r="L367" s="108"/>
      <c r="M367" s="108"/>
      <c r="N367" s="108"/>
      <c r="O367" s="108"/>
      <c r="P367" s="111"/>
      <c r="Q367" s="111"/>
      <c r="R367" s="111"/>
      <c r="S367" s="108"/>
      <c r="T367" s="110"/>
    </row>
    <row r="368" spans="1:20" x14ac:dyDescent="0.25">
      <c r="A368" s="113"/>
      <c r="B368" s="108"/>
      <c r="C368" s="111"/>
      <c r="D368" s="111"/>
      <c r="E368" s="111"/>
      <c r="F368" s="108"/>
      <c r="G368" s="108"/>
      <c r="H368" s="112"/>
      <c r="I368" s="111"/>
      <c r="J368" s="111"/>
      <c r="K368" s="111"/>
      <c r="L368" s="108"/>
      <c r="M368" s="108"/>
      <c r="N368" s="108"/>
      <c r="O368" s="108"/>
      <c r="P368" s="111"/>
      <c r="Q368" s="111"/>
      <c r="R368" s="111"/>
      <c r="S368" s="108"/>
      <c r="T368" s="110"/>
    </row>
    <row r="369" spans="1:20" x14ac:dyDescent="0.25">
      <c r="A369" s="113"/>
      <c r="B369" s="108"/>
      <c r="C369" s="111"/>
      <c r="D369" s="111"/>
      <c r="E369" s="111"/>
      <c r="F369" s="108"/>
      <c r="G369" s="108"/>
      <c r="H369" s="112"/>
      <c r="I369" s="111"/>
      <c r="J369" s="111"/>
      <c r="K369" s="111"/>
      <c r="L369" s="108"/>
      <c r="M369" s="108"/>
      <c r="N369" s="108"/>
      <c r="O369" s="108"/>
      <c r="P369" s="111"/>
      <c r="Q369" s="111"/>
      <c r="R369" s="111"/>
      <c r="S369" s="108"/>
      <c r="T369" s="110"/>
    </row>
    <row r="370" spans="1:20" x14ac:dyDescent="0.25">
      <c r="A370" s="113"/>
      <c r="B370" s="108"/>
      <c r="C370" s="111"/>
      <c r="D370" s="111"/>
      <c r="E370" s="111"/>
      <c r="F370" s="108"/>
      <c r="G370" s="108"/>
      <c r="H370" s="112"/>
      <c r="I370" s="111"/>
      <c r="J370" s="111"/>
      <c r="K370" s="111"/>
      <c r="L370" s="108"/>
      <c r="M370" s="108"/>
      <c r="N370" s="108"/>
      <c r="O370" s="108"/>
      <c r="P370" s="111"/>
      <c r="Q370" s="111"/>
      <c r="R370" s="111"/>
      <c r="S370" s="108"/>
      <c r="T370" s="110"/>
    </row>
    <row r="371" spans="1:20" x14ac:dyDescent="0.25">
      <c r="A371" s="113"/>
      <c r="B371" s="108"/>
      <c r="C371" s="111"/>
      <c r="D371" s="111"/>
      <c r="E371" s="111"/>
      <c r="F371" s="108"/>
      <c r="G371" s="108"/>
      <c r="H371" s="112"/>
      <c r="I371" s="111"/>
      <c r="J371" s="111"/>
      <c r="K371" s="111"/>
      <c r="L371" s="108"/>
      <c r="M371" s="108"/>
      <c r="N371" s="108"/>
      <c r="O371" s="108"/>
      <c r="P371" s="111"/>
      <c r="Q371" s="111"/>
      <c r="R371" s="111"/>
      <c r="S371" s="108"/>
      <c r="T371" s="110"/>
    </row>
    <row r="372" spans="1:20" x14ac:dyDescent="0.25">
      <c r="A372" s="113"/>
      <c r="B372" s="108"/>
      <c r="C372" s="111"/>
      <c r="D372" s="111"/>
      <c r="E372" s="111"/>
      <c r="F372" s="108"/>
      <c r="G372" s="108"/>
      <c r="H372" s="112"/>
      <c r="I372" s="111"/>
      <c r="J372" s="111"/>
      <c r="K372" s="111"/>
      <c r="L372" s="108"/>
      <c r="M372" s="108"/>
      <c r="N372" s="108"/>
      <c r="O372" s="108"/>
      <c r="P372" s="111"/>
      <c r="Q372" s="111"/>
      <c r="R372" s="111"/>
      <c r="S372" s="108"/>
      <c r="T372" s="110"/>
    </row>
    <row r="373" spans="1:20" x14ac:dyDescent="0.25">
      <c r="A373" s="113"/>
      <c r="B373" s="108"/>
      <c r="C373" s="111"/>
      <c r="D373" s="111"/>
      <c r="E373" s="111"/>
      <c r="F373" s="108"/>
      <c r="G373" s="108"/>
      <c r="H373" s="112"/>
      <c r="I373" s="111"/>
      <c r="J373" s="111"/>
      <c r="K373" s="111"/>
      <c r="L373" s="108"/>
      <c r="M373" s="108"/>
      <c r="N373" s="108"/>
      <c r="O373" s="108"/>
      <c r="P373" s="111"/>
      <c r="Q373" s="111"/>
      <c r="R373" s="111"/>
      <c r="S373" s="108"/>
      <c r="T373" s="110"/>
    </row>
    <row r="374" spans="1:20" x14ac:dyDescent="0.25">
      <c r="A374" s="113"/>
      <c r="B374" s="108"/>
      <c r="C374" s="111"/>
      <c r="D374" s="111"/>
      <c r="E374" s="111"/>
      <c r="F374" s="108"/>
      <c r="G374" s="108"/>
      <c r="H374" s="112"/>
      <c r="I374" s="111"/>
      <c r="J374" s="111"/>
      <c r="K374" s="111"/>
      <c r="L374" s="108"/>
      <c r="M374" s="108"/>
      <c r="N374" s="108"/>
      <c r="O374" s="108"/>
      <c r="P374" s="111"/>
      <c r="Q374" s="111"/>
      <c r="R374" s="111"/>
      <c r="S374" s="108"/>
      <c r="T374" s="110"/>
    </row>
    <row r="375" spans="1:20" x14ac:dyDescent="0.25">
      <c r="A375" s="113"/>
      <c r="B375" s="108"/>
      <c r="C375" s="111"/>
      <c r="D375" s="111"/>
      <c r="E375" s="111"/>
      <c r="F375" s="108"/>
      <c r="G375" s="108"/>
      <c r="H375" s="112"/>
      <c r="I375" s="111"/>
      <c r="J375" s="111"/>
      <c r="K375" s="111"/>
      <c r="L375" s="108"/>
      <c r="M375" s="108"/>
      <c r="N375" s="108"/>
      <c r="O375" s="108"/>
      <c r="P375" s="111"/>
      <c r="Q375" s="111"/>
      <c r="R375" s="111"/>
      <c r="S375" s="108"/>
      <c r="T375" s="110"/>
    </row>
    <row r="376" spans="1:20" x14ac:dyDescent="0.25">
      <c r="A376" s="113"/>
      <c r="B376" s="108"/>
      <c r="C376" s="111"/>
      <c r="D376" s="111"/>
      <c r="E376" s="111"/>
      <c r="F376" s="108"/>
      <c r="G376" s="108"/>
      <c r="H376" s="112"/>
      <c r="I376" s="111"/>
      <c r="J376" s="111"/>
      <c r="K376" s="111"/>
      <c r="L376" s="108"/>
      <c r="M376" s="108"/>
      <c r="N376" s="108"/>
      <c r="O376" s="108"/>
      <c r="P376" s="111"/>
      <c r="Q376" s="111"/>
      <c r="R376" s="111"/>
      <c r="S376" s="108"/>
      <c r="T376" s="110"/>
    </row>
    <row r="377" spans="1:20" x14ac:dyDescent="0.25">
      <c r="A377" s="113"/>
      <c r="B377" s="108"/>
      <c r="C377" s="111"/>
      <c r="D377" s="111"/>
      <c r="E377" s="111"/>
      <c r="F377" s="108"/>
      <c r="G377" s="108"/>
      <c r="H377" s="112"/>
      <c r="I377" s="111"/>
      <c r="J377" s="111"/>
      <c r="K377" s="111"/>
      <c r="L377" s="108"/>
      <c r="M377" s="108"/>
      <c r="N377" s="108"/>
      <c r="O377" s="108"/>
      <c r="P377" s="111"/>
      <c r="Q377" s="111"/>
      <c r="R377" s="111"/>
      <c r="S377" s="108"/>
      <c r="T377" s="110"/>
    </row>
    <row r="378" spans="1:20" x14ac:dyDescent="0.25">
      <c r="A378" s="113"/>
      <c r="B378" s="108"/>
      <c r="C378" s="111"/>
      <c r="D378" s="111"/>
      <c r="E378" s="111"/>
      <c r="F378" s="108"/>
      <c r="G378" s="108"/>
      <c r="H378" s="112"/>
      <c r="I378" s="111"/>
      <c r="J378" s="111"/>
      <c r="K378" s="111"/>
      <c r="L378" s="108"/>
      <c r="M378" s="108"/>
      <c r="N378" s="108"/>
      <c r="O378" s="108"/>
      <c r="P378" s="111"/>
      <c r="Q378" s="111"/>
      <c r="R378" s="111"/>
      <c r="S378" s="108"/>
      <c r="T378" s="110"/>
    </row>
    <row r="379" spans="1:20" x14ac:dyDescent="0.25">
      <c r="A379" s="113"/>
      <c r="B379" s="108"/>
      <c r="C379" s="111"/>
      <c r="D379" s="111"/>
      <c r="E379" s="111"/>
      <c r="F379" s="108"/>
      <c r="G379" s="108"/>
      <c r="H379" s="112"/>
      <c r="I379" s="111"/>
      <c r="J379" s="111"/>
      <c r="K379" s="111"/>
      <c r="L379" s="108"/>
      <c r="M379" s="108"/>
      <c r="N379" s="108"/>
      <c r="O379" s="108"/>
      <c r="P379" s="111"/>
      <c r="Q379" s="111"/>
      <c r="R379" s="111"/>
      <c r="S379" s="108"/>
      <c r="T379" s="110"/>
    </row>
    <row r="380" spans="1:20" x14ac:dyDescent="0.25">
      <c r="A380" s="113"/>
      <c r="B380" s="108"/>
      <c r="C380" s="111"/>
      <c r="D380" s="111"/>
      <c r="E380" s="111"/>
      <c r="F380" s="108"/>
      <c r="G380" s="108"/>
      <c r="H380" s="112"/>
      <c r="I380" s="111"/>
      <c r="J380" s="111"/>
      <c r="K380" s="111"/>
      <c r="L380" s="108"/>
      <c r="M380" s="108"/>
      <c r="N380" s="108"/>
      <c r="O380" s="108"/>
      <c r="P380" s="111"/>
      <c r="Q380" s="111"/>
      <c r="R380" s="111"/>
      <c r="S380" s="108"/>
      <c r="T380" s="110"/>
    </row>
    <row r="381" spans="1:20" x14ac:dyDescent="0.25">
      <c r="A381" s="113"/>
      <c r="B381" s="108"/>
      <c r="C381" s="111"/>
      <c r="D381" s="111"/>
      <c r="E381" s="111"/>
      <c r="F381" s="108"/>
      <c r="G381" s="108"/>
      <c r="H381" s="112"/>
      <c r="I381" s="111"/>
      <c r="J381" s="111"/>
      <c r="K381" s="111"/>
      <c r="L381" s="108"/>
      <c r="M381" s="108"/>
      <c r="N381" s="108"/>
      <c r="O381" s="108"/>
      <c r="P381" s="111"/>
      <c r="Q381" s="111"/>
      <c r="R381" s="111"/>
      <c r="S381" s="108"/>
      <c r="T381" s="110"/>
    </row>
    <row r="382" spans="1:20" x14ac:dyDescent="0.25">
      <c r="A382" s="113"/>
      <c r="B382" s="108"/>
      <c r="C382" s="111"/>
      <c r="D382" s="111"/>
      <c r="E382" s="111"/>
      <c r="F382" s="108"/>
      <c r="G382" s="108"/>
      <c r="H382" s="112"/>
      <c r="I382" s="111"/>
      <c r="J382" s="111"/>
      <c r="K382" s="111"/>
      <c r="L382" s="108"/>
      <c r="M382" s="108"/>
      <c r="N382" s="108"/>
      <c r="O382" s="108"/>
      <c r="P382" s="111"/>
      <c r="Q382" s="111"/>
      <c r="R382" s="111"/>
      <c r="S382" s="108"/>
      <c r="T382" s="110"/>
    </row>
    <row r="383" spans="1:20" x14ac:dyDescent="0.25">
      <c r="A383" s="113"/>
      <c r="B383" s="108"/>
      <c r="C383" s="111"/>
      <c r="D383" s="111"/>
      <c r="E383" s="111"/>
      <c r="F383" s="108"/>
      <c r="G383" s="108"/>
      <c r="H383" s="112"/>
      <c r="I383" s="111"/>
      <c r="J383" s="111"/>
      <c r="K383" s="111"/>
      <c r="L383" s="108"/>
      <c r="M383" s="108"/>
      <c r="N383" s="108"/>
      <c r="O383" s="108"/>
      <c r="P383" s="111"/>
      <c r="Q383" s="111"/>
      <c r="R383" s="111"/>
      <c r="S383" s="108"/>
      <c r="T383" s="110"/>
    </row>
    <row r="384" spans="1:20" x14ac:dyDescent="0.25">
      <c r="A384" s="113"/>
      <c r="B384" s="108"/>
      <c r="C384" s="111"/>
      <c r="D384" s="111"/>
      <c r="E384" s="111"/>
      <c r="F384" s="108"/>
      <c r="G384" s="108"/>
      <c r="H384" s="112"/>
      <c r="I384" s="111"/>
      <c r="J384" s="111"/>
      <c r="K384" s="111"/>
      <c r="L384" s="108"/>
      <c r="M384" s="108"/>
      <c r="N384" s="108"/>
      <c r="O384" s="108"/>
      <c r="P384" s="111"/>
      <c r="Q384" s="111"/>
      <c r="R384" s="111"/>
      <c r="S384" s="108"/>
      <c r="T384" s="110"/>
    </row>
    <row r="385" spans="1:20" x14ac:dyDescent="0.25">
      <c r="A385" s="113"/>
      <c r="B385" s="108"/>
      <c r="C385" s="111"/>
      <c r="D385" s="111"/>
      <c r="E385" s="111"/>
      <c r="F385" s="108"/>
      <c r="G385" s="108"/>
      <c r="H385" s="112"/>
      <c r="I385" s="111"/>
      <c r="J385" s="111"/>
      <c r="K385" s="111"/>
      <c r="L385" s="108"/>
      <c r="M385" s="108"/>
      <c r="N385" s="108"/>
      <c r="O385" s="108"/>
      <c r="P385" s="111"/>
      <c r="Q385" s="111"/>
      <c r="R385" s="111"/>
      <c r="S385" s="108"/>
      <c r="T385" s="110"/>
    </row>
    <row r="386" spans="1:20" x14ac:dyDescent="0.25">
      <c r="A386" s="113"/>
      <c r="B386" s="108"/>
      <c r="C386" s="111"/>
      <c r="D386" s="111"/>
      <c r="E386" s="111"/>
      <c r="F386" s="108"/>
      <c r="G386" s="108"/>
      <c r="H386" s="112"/>
      <c r="I386" s="111"/>
      <c r="J386" s="111"/>
      <c r="K386" s="111"/>
      <c r="L386" s="108"/>
      <c r="M386" s="108"/>
      <c r="N386" s="108"/>
      <c r="O386" s="108"/>
      <c r="P386" s="111"/>
      <c r="Q386" s="111"/>
      <c r="R386" s="111"/>
      <c r="S386" s="108"/>
      <c r="T386" s="110"/>
    </row>
    <row r="387" spans="1:20" x14ac:dyDescent="0.25">
      <c r="A387" s="113"/>
      <c r="B387" s="108"/>
      <c r="C387" s="111"/>
      <c r="D387" s="111"/>
      <c r="E387" s="111"/>
      <c r="F387" s="108"/>
      <c r="G387" s="108"/>
      <c r="H387" s="112"/>
      <c r="I387" s="111"/>
      <c r="J387" s="111"/>
      <c r="K387" s="111"/>
      <c r="L387" s="108"/>
      <c r="M387" s="108"/>
      <c r="N387" s="108"/>
      <c r="O387" s="108"/>
      <c r="P387" s="111"/>
      <c r="Q387" s="111"/>
      <c r="R387" s="111"/>
      <c r="S387" s="108"/>
      <c r="T387" s="110"/>
    </row>
    <row r="388" spans="1:20" x14ac:dyDescent="0.25">
      <c r="A388" s="113"/>
      <c r="B388" s="108"/>
      <c r="C388" s="111"/>
      <c r="D388" s="111"/>
      <c r="E388" s="111"/>
      <c r="F388" s="108"/>
      <c r="G388" s="108"/>
      <c r="H388" s="112"/>
      <c r="I388" s="111"/>
      <c r="J388" s="111"/>
      <c r="K388" s="111"/>
      <c r="L388" s="108"/>
      <c r="M388" s="108"/>
      <c r="N388" s="108"/>
      <c r="O388" s="108"/>
      <c r="P388" s="111"/>
      <c r="Q388" s="111"/>
      <c r="R388" s="111"/>
      <c r="S388" s="108"/>
      <c r="T388" s="110"/>
    </row>
    <row r="389" spans="1:20" x14ac:dyDescent="0.25">
      <c r="A389" s="113"/>
      <c r="B389" s="108"/>
      <c r="C389" s="111"/>
      <c r="D389" s="111"/>
      <c r="E389" s="111"/>
      <c r="F389" s="108"/>
      <c r="G389" s="108"/>
      <c r="H389" s="112"/>
      <c r="I389" s="111"/>
      <c r="J389" s="111"/>
      <c r="K389" s="111"/>
      <c r="L389" s="108"/>
      <c r="M389" s="108"/>
      <c r="N389" s="108"/>
      <c r="O389" s="108"/>
      <c r="P389" s="111"/>
      <c r="Q389" s="111"/>
      <c r="R389" s="111"/>
      <c r="S389" s="108"/>
      <c r="T389" s="110"/>
    </row>
    <row r="390" spans="1:20" x14ac:dyDescent="0.25">
      <c r="A390" s="113"/>
      <c r="B390" s="108"/>
      <c r="C390" s="111"/>
      <c r="D390" s="111"/>
      <c r="E390" s="111"/>
      <c r="F390" s="108"/>
      <c r="G390" s="108"/>
      <c r="H390" s="112"/>
      <c r="I390" s="111"/>
      <c r="J390" s="111"/>
      <c r="K390" s="111"/>
      <c r="L390" s="108"/>
      <c r="M390" s="108"/>
      <c r="N390" s="108"/>
      <c r="O390" s="108"/>
      <c r="P390" s="111"/>
      <c r="Q390" s="111"/>
      <c r="R390" s="111"/>
      <c r="S390" s="108"/>
      <c r="T390" s="110"/>
    </row>
    <row r="391" spans="1:20" x14ac:dyDescent="0.25">
      <c r="A391" s="113"/>
      <c r="B391" s="108"/>
      <c r="C391" s="111"/>
      <c r="D391" s="111"/>
      <c r="E391" s="111"/>
      <c r="F391" s="108"/>
      <c r="G391" s="108"/>
      <c r="H391" s="112"/>
      <c r="I391" s="111"/>
      <c r="J391" s="111"/>
      <c r="K391" s="111"/>
      <c r="L391" s="108"/>
      <c r="M391" s="108"/>
      <c r="N391" s="108"/>
      <c r="O391" s="108"/>
      <c r="P391" s="111"/>
      <c r="Q391" s="111"/>
      <c r="R391" s="111"/>
      <c r="S391" s="108"/>
      <c r="T391" s="110"/>
    </row>
    <row r="392" spans="1:20" x14ac:dyDescent="0.25">
      <c r="A392" s="113"/>
      <c r="B392" s="108"/>
      <c r="C392" s="111"/>
      <c r="D392" s="111"/>
      <c r="E392" s="111"/>
      <c r="F392" s="108"/>
      <c r="G392" s="108"/>
      <c r="H392" s="112"/>
      <c r="I392" s="111"/>
      <c r="J392" s="111"/>
      <c r="K392" s="111"/>
      <c r="L392" s="108"/>
      <c r="M392" s="108"/>
      <c r="N392" s="108"/>
      <c r="O392" s="108"/>
      <c r="P392" s="111"/>
      <c r="Q392" s="111"/>
      <c r="R392" s="111"/>
      <c r="S392" s="108"/>
      <c r="T392" s="110"/>
    </row>
    <row r="393" spans="1:20" x14ac:dyDescent="0.25">
      <c r="A393" s="113"/>
      <c r="B393" s="108"/>
      <c r="C393" s="111"/>
      <c r="D393" s="111"/>
      <c r="E393" s="111"/>
      <c r="F393" s="108"/>
      <c r="G393" s="108"/>
      <c r="H393" s="112"/>
      <c r="I393" s="111"/>
      <c r="J393" s="111"/>
      <c r="K393" s="111"/>
      <c r="L393" s="108"/>
      <c r="M393" s="108"/>
      <c r="N393" s="108"/>
      <c r="O393" s="108"/>
      <c r="P393" s="111"/>
      <c r="Q393" s="111"/>
      <c r="R393" s="111"/>
      <c r="S393" s="108"/>
      <c r="T393" s="110"/>
    </row>
    <row r="394" spans="1:20" x14ac:dyDescent="0.25">
      <c r="A394" s="113"/>
      <c r="B394" s="108"/>
      <c r="C394" s="111"/>
      <c r="D394" s="111"/>
      <c r="E394" s="111"/>
      <c r="F394" s="108"/>
      <c r="G394" s="108"/>
      <c r="H394" s="112"/>
      <c r="I394" s="111"/>
      <c r="J394" s="111"/>
      <c r="K394" s="111"/>
      <c r="L394" s="108"/>
      <c r="M394" s="108"/>
      <c r="N394" s="108"/>
      <c r="O394" s="108"/>
      <c r="P394" s="111"/>
      <c r="Q394" s="111"/>
      <c r="R394" s="111"/>
      <c r="S394" s="108"/>
      <c r="T394" s="110"/>
    </row>
    <row r="395" spans="1:20" x14ac:dyDescent="0.25">
      <c r="A395" s="113"/>
      <c r="B395" s="108"/>
      <c r="C395" s="111"/>
      <c r="D395" s="111"/>
      <c r="E395" s="111"/>
      <c r="F395" s="108"/>
      <c r="G395" s="108"/>
      <c r="H395" s="112"/>
      <c r="I395" s="111"/>
      <c r="J395" s="111"/>
      <c r="K395" s="111"/>
      <c r="L395" s="108"/>
      <c r="M395" s="108"/>
      <c r="N395" s="108"/>
      <c r="O395" s="108"/>
      <c r="P395" s="111"/>
      <c r="Q395" s="111"/>
      <c r="R395" s="111"/>
      <c r="S395" s="108"/>
      <c r="T395" s="110"/>
    </row>
    <row r="396" spans="1:20" x14ac:dyDescent="0.25">
      <c r="A396" s="113"/>
      <c r="B396" s="108"/>
      <c r="C396" s="111"/>
      <c r="D396" s="111"/>
      <c r="E396" s="111"/>
      <c r="F396" s="108"/>
      <c r="G396" s="108"/>
      <c r="H396" s="112"/>
      <c r="I396" s="111"/>
      <c r="J396" s="111"/>
      <c r="K396" s="111"/>
      <c r="L396" s="108"/>
      <c r="M396" s="108"/>
      <c r="N396" s="108"/>
      <c r="O396" s="108"/>
      <c r="P396" s="111"/>
      <c r="Q396" s="111"/>
      <c r="R396" s="111"/>
      <c r="S396" s="108"/>
      <c r="T396" s="110"/>
    </row>
    <row r="397" spans="1:20" x14ac:dyDescent="0.25">
      <c r="A397" s="113"/>
      <c r="B397" s="108"/>
      <c r="C397" s="111"/>
      <c r="D397" s="111"/>
      <c r="E397" s="111"/>
      <c r="F397" s="108"/>
      <c r="G397" s="108"/>
      <c r="H397" s="112"/>
      <c r="I397" s="111"/>
      <c r="J397" s="111"/>
      <c r="K397" s="111"/>
      <c r="L397" s="108"/>
      <c r="M397" s="108"/>
      <c r="N397" s="108"/>
      <c r="O397" s="108"/>
      <c r="P397" s="111"/>
      <c r="Q397" s="111"/>
      <c r="R397" s="111"/>
      <c r="S397" s="108"/>
      <c r="T397" s="110"/>
    </row>
    <row r="398" spans="1:20" x14ac:dyDescent="0.25">
      <c r="A398" s="113"/>
      <c r="B398" s="108"/>
      <c r="C398" s="111"/>
      <c r="D398" s="111"/>
      <c r="E398" s="111"/>
      <c r="F398" s="108"/>
      <c r="G398" s="108"/>
      <c r="H398" s="112"/>
      <c r="I398" s="111"/>
      <c r="J398" s="111"/>
      <c r="K398" s="111"/>
      <c r="L398" s="108"/>
      <c r="M398" s="108"/>
      <c r="N398" s="108"/>
      <c r="O398" s="108"/>
      <c r="P398" s="111"/>
      <c r="Q398" s="111"/>
      <c r="R398" s="111"/>
      <c r="S398" s="108"/>
      <c r="T398" s="110"/>
    </row>
    <row r="399" spans="1:20" x14ac:dyDescent="0.25">
      <c r="A399" s="113"/>
      <c r="B399" s="108"/>
      <c r="C399" s="111"/>
      <c r="D399" s="111"/>
      <c r="E399" s="111"/>
      <c r="F399" s="108"/>
      <c r="G399" s="108"/>
      <c r="H399" s="112"/>
      <c r="I399" s="111"/>
      <c r="J399" s="111"/>
      <c r="K399" s="111"/>
      <c r="L399" s="108"/>
      <c r="M399" s="108"/>
      <c r="N399" s="108"/>
      <c r="O399" s="108"/>
      <c r="P399" s="111"/>
      <c r="Q399" s="111"/>
      <c r="R399" s="111"/>
      <c r="S399" s="108"/>
      <c r="T399" s="110"/>
    </row>
    <row r="400" spans="1:20" x14ac:dyDescent="0.25">
      <c r="A400" s="113"/>
      <c r="B400" s="108"/>
      <c r="C400" s="111"/>
      <c r="D400" s="111"/>
      <c r="E400" s="111"/>
      <c r="F400" s="108"/>
      <c r="G400" s="108"/>
      <c r="H400" s="112"/>
      <c r="I400" s="111"/>
      <c r="J400" s="111"/>
      <c r="K400" s="111"/>
      <c r="L400" s="108"/>
      <c r="M400" s="108"/>
      <c r="N400" s="108"/>
      <c r="O400" s="108"/>
      <c r="P400" s="111"/>
      <c r="Q400" s="111"/>
      <c r="R400" s="111"/>
      <c r="S400" s="108"/>
      <c r="T400" s="110"/>
    </row>
    <row r="401" spans="1:20" x14ac:dyDescent="0.25">
      <c r="A401" s="113"/>
      <c r="B401" s="108"/>
      <c r="C401" s="111"/>
      <c r="D401" s="111"/>
      <c r="E401" s="111"/>
      <c r="F401" s="108"/>
      <c r="G401" s="108"/>
      <c r="H401" s="112"/>
      <c r="I401" s="111"/>
      <c r="J401" s="111"/>
      <c r="K401" s="111"/>
      <c r="L401" s="108"/>
      <c r="M401" s="108"/>
      <c r="N401" s="108"/>
      <c r="O401" s="108"/>
      <c r="P401" s="111"/>
      <c r="Q401" s="111"/>
      <c r="R401" s="111"/>
      <c r="S401" s="108"/>
      <c r="T401" s="110"/>
    </row>
    <row r="402" spans="1:20" x14ac:dyDescent="0.25">
      <c r="A402" s="113"/>
      <c r="B402" s="108"/>
      <c r="C402" s="111"/>
      <c r="D402" s="111"/>
      <c r="E402" s="111"/>
      <c r="F402" s="108"/>
      <c r="G402" s="108"/>
      <c r="H402" s="112"/>
      <c r="I402" s="111"/>
      <c r="J402" s="111"/>
      <c r="K402" s="111"/>
      <c r="L402" s="108"/>
      <c r="M402" s="108"/>
      <c r="N402" s="108"/>
      <c r="O402" s="108"/>
      <c r="P402" s="111"/>
      <c r="Q402" s="111"/>
      <c r="R402" s="111"/>
      <c r="S402" s="108"/>
      <c r="T402" s="110"/>
    </row>
    <row r="403" spans="1:20" x14ac:dyDescent="0.25">
      <c r="A403" s="113"/>
      <c r="B403" s="108"/>
      <c r="C403" s="111"/>
      <c r="D403" s="111"/>
      <c r="E403" s="111"/>
      <c r="F403" s="108"/>
      <c r="G403" s="108"/>
      <c r="H403" s="112"/>
      <c r="I403" s="111"/>
      <c r="J403" s="111"/>
      <c r="K403" s="111"/>
      <c r="L403" s="108"/>
      <c r="M403" s="108"/>
      <c r="N403" s="108"/>
      <c r="O403" s="108"/>
      <c r="P403" s="111"/>
      <c r="Q403" s="111"/>
      <c r="R403" s="111"/>
      <c r="S403" s="108"/>
      <c r="T403" s="110"/>
    </row>
    <row r="404" spans="1:20" x14ac:dyDescent="0.25">
      <c r="A404" s="113"/>
      <c r="B404" s="108"/>
      <c r="C404" s="111"/>
      <c r="D404" s="111"/>
      <c r="E404" s="111"/>
      <c r="F404" s="108"/>
      <c r="G404" s="108"/>
      <c r="H404" s="112"/>
      <c r="I404" s="111"/>
      <c r="J404" s="111"/>
      <c r="K404" s="111"/>
      <c r="L404" s="108"/>
      <c r="M404" s="108"/>
      <c r="N404" s="108"/>
      <c r="O404" s="108"/>
      <c r="P404" s="111"/>
      <c r="Q404" s="111"/>
      <c r="R404" s="111"/>
      <c r="S404" s="108"/>
      <c r="T404" s="110"/>
    </row>
    <row r="405" spans="1:20" x14ac:dyDescent="0.25">
      <c r="A405" s="113"/>
      <c r="B405" s="108"/>
      <c r="C405" s="111"/>
      <c r="D405" s="111"/>
      <c r="E405" s="111"/>
      <c r="F405" s="108"/>
      <c r="G405" s="108"/>
      <c r="H405" s="112"/>
      <c r="I405" s="111"/>
      <c r="J405" s="111"/>
      <c r="K405" s="111"/>
      <c r="L405" s="108"/>
      <c r="M405" s="108"/>
      <c r="N405" s="108"/>
      <c r="O405" s="108"/>
      <c r="P405" s="111"/>
      <c r="Q405" s="111"/>
      <c r="R405" s="111"/>
      <c r="S405" s="108"/>
      <c r="T405" s="110"/>
    </row>
    <row r="406" spans="1:20" x14ac:dyDescent="0.25">
      <c r="A406" s="113"/>
      <c r="B406" s="108"/>
      <c r="C406" s="111"/>
      <c r="D406" s="111"/>
      <c r="E406" s="111"/>
      <c r="F406" s="108"/>
      <c r="G406" s="108"/>
      <c r="H406" s="112"/>
      <c r="I406" s="111"/>
      <c r="J406" s="111"/>
      <c r="K406" s="111"/>
      <c r="L406" s="108"/>
      <c r="M406" s="108"/>
      <c r="N406" s="108"/>
      <c r="O406" s="108"/>
      <c r="P406" s="111"/>
      <c r="Q406" s="111"/>
      <c r="R406" s="111"/>
      <c r="S406" s="108"/>
      <c r="T406" s="110"/>
    </row>
    <row r="407" spans="1:20" x14ac:dyDescent="0.25">
      <c r="A407" s="113"/>
      <c r="B407" s="108"/>
      <c r="C407" s="111"/>
      <c r="D407" s="111"/>
      <c r="E407" s="111"/>
      <c r="F407" s="108"/>
      <c r="G407" s="108"/>
      <c r="H407" s="112"/>
      <c r="I407" s="111"/>
      <c r="J407" s="111"/>
      <c r="K407" s="111"/>
      <c r="L407" s="108"/>
      <c r="M407" s="108"/>
      <c r="N407" s="108"/>
      <c r="O407" s="108"/>
      <c r="P407" s="111"/>
      <c r="Q407" s="111"/>
      <c r="R407" s="111"/>
      <c r="S407" s="108"/>
      <c r="T407" s="110"/>
    </row>
    <row r="408" spans="1:20" x14ac:dyDescent="0.25">
      <c r="A408" s="113"/>
      <c r="B408" s="108"/>
      <c r="C408" s="111"/>
      <c r="D408" s="111"/>
      <c r="E408" s="111"/>
      <c r="F408" s="108"/>
      <c r="G408" s="108"/>
      <c r="H408" s="112"/>
      <c r="I408" s="111"/>
      <c r="J408" s="111"/>
      <c r="K408" s="111"/>
      <c r="L408" s="108"/>
      <c r="M408" s="108"/>
      <c r="N408" s="108"/>
      <c r="O408" s="108"/>
      <c r="P408" s="111"/>
      <c r="Q408" s="111"/>
      <c r="R408" s="111"/>
      <c r="S408" s="108"/>
      <c r="T408" s="110"/>
    </row>
    <row r="409" spans="1:20" x14ac:dyDescent="0.25">
      <c r="A409" s="113"/>
      <c r="B409" s="108"/>
      <c r="C409" s="111"/>
      <c r="D409" s="111"/>
      <c r="E409" s="111"/>
      <c r="F409" s="108"/>
      <c r="G409" s="108"/>
      <c r="H409" s="112"/>
      <c r="I409" s="111"/>
      <c r="J409" s="111"/>
      <c r="K409" s="111"/>
      <c r="L409" s="108"/>
      <c r="M409" s="108"/>
      <c r="N409" s="108"/>
      <c r="O409" s="108"/>
      <c r="P409" s="111"/>
      <c r="Q409" s="111"/>
      <c r="R409" s="111"/>
      <c r="S409" s="108"/>
      <c r="T409" s="110"/>
    </row>
    <row r="410" spans="1:20" x14ac:dyDescent="0.25">
      <c r="A410" s="113"/>
      <c r="B410" s="108"/>
      <c r="C410" s="111"/>
      <c r="D410" s="111"/>
      <c r="E410" s="111"/>
      <c r="F410" s="108"/>
      <c r="G410" s="108"/>
      <c r="H410" s="112"/>
      <c r="I410" s="111"/>
      <c r="J410" s="111"/>
      <c r="K410" s="111"/>
      <c r="L410" s="108"/>
      <c r="M410" s="108"/>
      <c r="N410" s="108"/>
      <c r="O410" s="108"/>
      <c r="P410" s="111"/>
      <c r="Q410" s="111"/>
      <c r="R410" s="111"/>
      <c r="S410" s="108"/>
      <c r="T410" s="110"/>
    </row>
    <row r="411" spans="1:20" x14ac:dyDescent="0.25">
      <c r="A411" s="113"/>
      <c r="B411" s="108"/>
      <c r="C411" s="111"/>
      <c r="D411" s="111"/>
      <c r="E411" s="111"/>
      <c r="F411" s="108"/>
      <c r="G411" s="108"/>
      <c r="H411" s="112"/>
      <c r="I411" s="111"/>
      <c r="J411" s="111"/>
      <c r="K411" s="111"/>
      <c r="L411" s="108"/>
      <c r="M411" s="108"/>
      <c r="N411" s="108"/>
      <c r="O411" s="108"/>
      <c r="P411" s="111"/>
      <c r="Q411" s="111"/>
      <c r="R411" s="111"/>
      <c r="S411" s="108"/>
      <c r="T411" s="110"/>
    </row>
    <row r="412" spans="1:20" x14ac:dyDescent="0.25">
      <c r="A412" s="113"/>
      <c r="B412" s="108"/>
      <c r="C412" s="111"/>
      <c r="D412" s="111"/>
      <c r="E412" s="111"/>
      <c r="F412" s="108"/>
      <c r="G412" s="108"/>
      <c r="H412" s="112"/>
      <c r="I412" s="111"/>
      <c r="J412" s="111"/>
      <c r="K412" s="111"/>
      <c r="L412" s="108"/>
      <c r="M412" s="108"/>
      <c r="N412" s="108"/>
      <c r="O412" s="108"/>
      <c r="P412" s="111"/>
      <c r="Q412" s="111"/>
      <c r="R412" s="111"/>
      <c r="S412" s="108"/>
      <c r="T412" s="110"/>
    </row>
    <row r="413" spans="1:20" x14ac:dyDescent="0.25">
      <c r="A413" s="113"/>
      <c r="B413" s="108"/>
      <c r="C413" s="111"/>
      <c r="D413" s="111"/>
      <c r="E413" s="111"/>
      <c r="F413" s="108"/>
      <c r="G413" s="108"/>
      <c r="H413" s="112"/>
      <c r="I413" s="111"/>
      <c r="J413" s="111"/>
      <c r="K413" s="111"/>
      <c r="L413" s="108"/>
      <c r="M413" s="108"/>
      <c r="N413" s="108"/>
      <c r="O413" s="108"/>
      <c r="P413" s="111"/>
      <c r="Q413" s="111"/>
      <c r="R413" s="111"/>
      <c r="S413" s="108"/>
      <c r="T413" s="110"/>
    </row>
    <row r="414" spans="1:20" x14ac:dyDescent="0.25">
      <c r="A414" s="113"/>
      <c r="B414" s="108"/>
      <c r="C414" s="111"/>
      <c r="D414" s="111"/>
      <c r="E414" s="111"/>
      <c r="F414" s="108"/>
      <c r="G414" s="108"/>
      <c r="H414" s="112"/>
      <c r="I414" s="111"/>
      <c r="J414" s="111"/>
      <c r="K414" s="111"/>
      <c r="L414" s="108"/>
      <c r="M414" s="108"/>
      <c r="N414" s="108"/>
      <c r="O414" s="108"/>
      <c r="P414" s="111"/>
      <c r="Q414" s="111"/>
      <c r="R414" s="111"/>
      <c r="S414" s="108"/>
      <c r="T414" s="110"/>
    </row>
    <row r="415" spans="1:20" x14ac:dyDescent="0.25">
      <c r="A415" s="113"/>
      <c r="B415" s="108"/>
      <c r="C415" s="111"/>
      <c r="D415" s="111"/>
      <c r="E415" s="111"/>
      <c r="F415" s="108"/>
      <c r="G415" s="108"/>
      <c r="H415" s="112"/>
      <c r="I415" s="111"/>
      <c r="J415" s="111"/>
      <c r="K415" s="111"/>
      <c r="L415" s="108"/>
      <c r="M415" s="108"/>
      <c r="N415" s="108"/>
      <c r="O415" s="108"/>
      <c r="P415" s="111"/>
      <c r="Q415" s="111"/>
      <c r="R415" s="111"/>
      <c r="S415" s="108"/>
      <c r="T415" s="110"/>
    </row>
    <row r="416" spans="1:20" x14ac:dyDescent="0.25">
      <c r="A416" s="113"/>
      <c r="B416" s="108"/>
      <c r="C416" s="111"/>
      <c r="D416" s="111"/>
      <c r="E416" s="111"/>
      <c r="F416" s="108"/>
      <c r="G416" s="108"/>
      <c r="H416" s="112"/>
      <c r="I416" s="111"/>
      <c r="J416" s="111"/>
      <c r="K416" s="111"/>
      <c r="L416" s="108"/>
      <c r="M416" s="108"/>
      <c r="N416" s="108"/>
      <c r="O416" s="108"/>
      <c r="P416" s="111"/>
      <c r="Q416" s="111"/>
      <c r="R416" s="111"/>
      <c r="S416" s="108"/>
      <c r="T416" s="110"/>
    </row>
    <row r="417" spans="1:20" x14ac:dyDescent="0.25">
      <c r="A417" s="113"/>
      <c r="B417" s="108"/>
      <c r="C417" s="111"/>
      <c r="D417" s="111"/>
      <c r="E417" s="111"/>
      <c r="F417" s="108"/>
      <c r="G417" s="108"/>
      <c r="H417" s="112"/>
      <c r="I417" s="111"/>
      <c r="J417" s="111"/>
      <c r="K417" s="111"/>
      <c r="L417" s="108"/>
      <c r="M417" s="108"/>
      <c r="N417" s="108"/>
      <c r="O417" s="108"/>
      <c r="P417" s="111"/>
      <c r="Q417" s="111"/>
      <c r="R417" s="111"/>
      <c r="S417" s="108"/>
      <c r="T417" s="110"/>
    </row>
    <row r="418" spans="1:20" x14ac:dyDescent="0.25">
      <c r="A418" s="113"/>
      <c r="B418" s="108"/>
      <c r="C418" s="111"/>
      <c r="D418" s="111"/>
      <c r="E418" s="111"/>
      <c r="F418" s="108"/>
      <c r="G418" s="108"/>
      <c r="H418" s="112"/>
      <c r="I418" s="111"/>
      <c r="J418" s="111"/>
      <c r="K418" s="111"/>
      <c r="L418" s="108"/>
      <c r="M418" s="108"/>
      <c r="N418" s="108"/>
      <c r="O418" s="108"/>
      <c r="P418" s="111"/>
      <c r="Q418" s="111"/>
      <c r="R418" s="111"/>
      <c r="S418" s="108"/>
      <c r="T418" s="110"/>
    </row>
    <row r="419" spans="1:20" x14ac:dyDescent="0.25">
      <c r="A419" s="113"/>
      <c r="B419" s="108"/>
      <c r="C419" s="111"/>
      <c r="D419" s="111"/>
      <c r="E419" s="111"/>
      <c r="F419" s="108"/>
      <c r="G419" s="108"/>
      <c r="H419" s="112"/>
      <c r="I419" s="111"/>
      <c r="J419" s="111"/>
      <c r="K419" s="111"/>
      <c r="L419" s="108"/>
      <c r="M419" s="108"/>
      <c r="N419" s="108"/>
      <c r="O419" s="108"/>
      <c r="P419" s="111"/>
      <c r="Q419" s="111"/>
      <c r="R419" s="111"/>
      <c r="S419" s="108"/>
      <c r="T419" s="110"/>
    </row>
    <row r="420" spans="1:20" x14ac:dyDescent="0.25">
      <c r="A420" s="113"/>
      <c r="B420" s="108"/>
      <c r="C420" s="111"/>
      <c r="D420" s="111"/>
      <c r="E420" s="111"/>
      <c r="F420" s="108"/>
      <c r="G420" s="108"/>
      <c r="H420" s="112"/>
      <c r="I420" s="111"/>
      <c r="J420" s="111"/>
      <c r="K420" s="111"/>
      <c r="L420" s="108"/>
      <c r="M420" s="108"/>
      <c r="N420" s="108"/>
      <c r="O420" s="108"/>
      <c r="P420" s="111"/>
      <c r="Q420" s="111"/>
      <c r="R420" s="111"/>
      <c r="S420" s="108"/>
      <c r="T420" s="110"/>
    </row>
    <row r="421" spans="1:20" x14ac:dyDescent="0.25">
      <c r="A421" s="113"/>
      <c r="B421" s="108"/>
      <c r="C421" s="111"/>
      <c r="D421" s="111"/>
      <c r="E421" s="111"/>
      <c r="F421" s="108"/>
      <c r="G421" s="108"/>
      <c r="H421" s="112"/>
      <c r="I421" s="111"/>
      <c r="J421" s="111"/>
      <c r="K421" s="111"/>
      <c r="L421" s="108"/>
      <c r="M421" s="108"/>
      <c r="N421" s="108"/>
      <c r="O421" s="108"/>
      <c r="P421" s="111"/>
      <c r="Q421" s="111"/>
      <c r="R421" s="111"/>
      <c r="S421" s="108"/>
      <c r="T421" s="110"/>
    </row>
    <row r="422" spans="1:20" x14ac:dyDescent="0.25">
      <c r="A422" s="113"/>
      <c r="B422" s="108"/>
      <c r="C422" s="111"/>
      <c r="D422" s="111"/>
      <c r="E422" s="111"/>
      <c r="F422" s="108"/>
      <c r="G422" s="108"/>
      <c r="H422" s="112"/>
      <c r="I422" s="111"/>
      <c r="J422" s="111"/>
      <c r="K422" s="111"/>
      <c r="L422" s="108"/>
      <c r="M422" s="108"/>
      <c r="N422" s="108"/>
      <c r="O422" s="108"/>
      <c r="P422" s="111"/>
      <c r="Q422" s="111"/>
      <c r="R422" s="111"/>
      <c r="S422" s="108"/>
      <c r="T422" s="110"/>
    </row>
    <row r="423" spans="1:20" x14ac:dyDescent="0.25">
      <c r="A423" s="113"/>
      <c r="B423" s="108"/>
      <c r="C423" s="111"/>
      <c r="D423" s="111"/>
      <c r="E423" s="111"/>
      <c r="F423" s="108"/>
      <c r="G423" s="108"/>
      <c r="H423" s="112"/>
      <c r="I423" s="111"/>
      <c r="J423" s="111"/>
      <c r="K423" s="111"/>
      <c r="L423" s="108"/>
      <c r="M423" s="108"/>
      <c r="N423" s="108"/>
      <c r="O423" s="108"/>
      <c r="P423" s="111"/>
      <c r="Q423" s="111"/>
      <c r="R423" s="111"/>
      <c r="S423" s="108"/>
      <c r="T423" s="110"/>
    </row>
    <row r="424" spans="1:20" x14ac:dyDescent="0.25">
      <c r="A424" s="113"/>
      <c r="B424" s="108"/>
      <c r="C424" s="111"/>
      <c r="D424" s="111"/>
      <c r="E424" s="111"/>
      <c r="F424" s="108"/>
      <c r="G424" s="108"/>
      <c r="H424" s="112"/>
      <c r="I424" s="111"/>
      <c r="J424" s="111"/>
      <c r="K424" s="111"/>
      <c r="L424" s="108"/>
      <c r="M424" s="108"/>
      <c r="N424" s="108"/>
      <c r="O424" s="108"/>
      <c r="P424" s="111"/>
      <c r="Q424" s="111"/>
      <c r="R424" s="111"/>
      <c r="S424" s="108"/>
      <c r="T424" s="110"/>
    </row>
    <row r="425" spans="1:20" x14ac:dyDescent="0.25">
      <c r="A425" s="113"/>
      <c r="B425" s="108"/>
      <c r="C425" s="111"/>
      <c r="D425" s="111"/>
      <c r="E425" s="111"/>
      <c r="F425" s="108"/>
      <c r="G425" s="108"/>
      <c r="H425" s="112"/>
      <c r="I425" s="111"/>
      <c r="J425" s="111"/>
      <c r="K425" s="111"/>
      <c r="L425" s="108"/>
      <c r="M425" s="108"/>
      <c r="N425" s="108"/>
      <c r="O425" s="108"/>
      <c r="P425" s="111"/>
      <c r="Q425" s="111"/>
      <c r="R425" s="111"/>
      <c r="S425" s="108"/>
      <c r="T425" s="110"/>
    </row>
    <row r="426" spans="1:20" x14ac:dyDescent="0.25">
      <c r="A426" s="113"/>
      <c r="B426" s="108"/>
      <c r="C426" s="111"/>
      <c r="D426" s="111"/>
      <c r="E426" s="111"/>
      <c r="F426" s="108"/>
      <c r="G426" s="108"/>
      <c r="H426" s="112"/>
      <c r="I426" s="111"/>
      <c r="J426" s="111"/>
      <c r="K426" s="111"/>
      <c r="L426" s="108"/>
      <c r="M426" s="108"/>
      <c r="N426" s="108"/>
      <c r="O426" s="108"/>
      <c r="P426" s="111"/>
      <c r="Q426" s="111"/>
      <c r="R426" s="111"/>
      <c r="S426" s="108"/>
      <c r="T426" s="110"/>
    </row>
    <row r="427" spans="1:20" x14ac:dyDescent="0.25">
      <c r="A427" s="113"/>
      <c r="B427" s="108"/>
      <c r="C427" s="111"/>
      <c r="D427" s="111"/>
      <c r="E427" s="111"/>
      <c r="F427" s="108"/>
      <c r="G427" s="108"/>
      <c r="H427" s="112"/>
      <c r="I427" s="111"/>
      <c r="J427" s="111"/>
      <c r="K427" s="111"/>
      <c r="L427" s="108"/>
      <c r="M427" s="108"/>
      <c r="N427" s="108"/>
      <c r="O427" s="108"/>
      <c r="P427" s="111"/>
      <c r="Q427" s="111"/>
      <c r="R427" s="111"/>
      <c r="S427" s="108"/>
      <c r="T427" s="110"/>
    </row>
    <row r="428" spans="1:20" x14ac:dyDescent="0.25">
      <c r="A428" s="113"/>
      <c r="B428" s="108"/>
      <c r="C428" s="111"/>
      <c r="D428" s="111"/>
      <c r="E428" s="111"/>
      <c r="F428" s="108"/>
      <c r="G428" s="108"/>
      <c r="H428" s="112"/>
      <c r="I428" s="111"/>
      <c r="J428" s="111"/>
      <c r="K428" s="111"/>
      <c r="L428" s="108"/>
      <c r="M428" s="108"/>
      <c r="N428" s="108"/>
      <c r="O428" s="108"/>
      <c r="P428" s="111"/>
      <c r="Q428" s="111"/>
      <c r="R428" s="111"/>
      <c r="S428" s="108"/>
      <c r="T428" s="110"/>
    </row>
    <row r="429" spans="1:20" x14ac:dyDescent="0.25">
      <c r="A429" s="113"/>
      <c r="B429" s="108"/>
      <c r="C429" s="111"/>
      <c r="D429" s="111"/>
      <c r="E429" s="111"/>
      <c r="F429" s="108"/>
      <c r="G429" s="108"/>
      <c r="H429" s="112"/>
      <c r="I429" s="111"/>
      <c r="J429" s="111"/>
      <c r="K429" s="111"/>
      <c r="L429" s="108"/>
      <c r="M429" s="108"/>
      <c r="N429" s="108"/>
      <c r="O429" s="108"/>
      <c r="P429" s="111"/>
      <c r="Q429" s="111"/>
      <c r="R429" s="111"/>
      <c r="S429" s="108"/>
      <c r="T429" s="110"/>
    </row>
    <row r="430" spans="1:20" x14ac:dyDescent="0.25">
      <c r="A430" s="113"/>
      <c r="B430" s="108"/>
      <c r="C430" s="111"/>
      <c r="D430" s="111"/>
      <c r="E430" s="111"/>
      <c r="F430" s="108"/>
      <c r="G430" s="108"/>
      <c r="H430" s="112"/>
      <c r="I430" s="111"/>
      <c r="J430" s="111"/>
      <c r="K430" s="111"/>
      <c r="L430" s="108"/>
      <c r="M430" s="108"/>
      <c r="N430" s="108"/>
      <c r="O430" s="108"/>
      <c r="P430" s="111"/>
      <c r="Q430" s="111"/>
      <c r="R430" s="111"/>
      <c r="S430" s="108"/>
      <c r="T430" s="110"/>
    </row>
    <row r="431" spans="1:20" x14ac:dyDescent="0.25">
      <c r="A431" s="113"/>
      <c r="B431" s="108"/>
      <c r="C431" s="111"/>
      <c r="D431" s="111"/>
      <c r="E431" s="111"/>
      <c r="F431" s="108"/>
      <c r="G431" s="108"/>
      <c r="H431" s="112"/>
      <c r="I431" s="111"/>
      <c r="J431" s="111"/>
      <c r="K431" s="111"/>
      <c r="L431" s="108"/>
      <c r="M431" s="108"/>
      <c r="N431" s="108"/>
      <c r="O431" s="108"/>
      <c r="P431" s="111"/>
      <c r="Q431" s="111"/>
      <c r="R431" s="111"/>
      <c r="S431" s="108"/>
      <c r="T431" s="110"/>
    </row>
    <row r="432" spans="1:20" x14ac:dyDescent="0.25">
      <c r="A432" s="113"/>
      <c r="B432" s="108"/>
      <c r="C432" s="111"/>
      <c r="D432" s="111"/>
      <c r="E432" s="111"/>
      <c r="F432" s="108"/>
      <c r="G432" s="108"/>
      <c r="H432" s="112"/>
      <c r="I432" s="111"/>
      <c r="J432" s="111"/>
      <c r="K432" s="111"/>
      <c r="L432" s="108"/>
      <c r="M432" s="108"/>
      <c r="N432" s="108"/>
      <c r="O432" s="108"/>
      <c r="P432" s="111"/>
      <c r="Q432" s="111"/>
      <c r="R432" s="111"/>
      <c r="S432" s="108"/>
      <c r="T432" s="110"/>
    </row>
    <row r="433" spans="1:20" x14ac:dyDescent="0.25">
      <c r="A433" s="113"/>
      <c r="B433" s="108"/>
      <c r="C433" s="111"/>
      <c r="D433" s="111"/>
      <c r="E433" s="111"/>
      <c r="F433" s="108"/>
      <c r="G433" s="108"/>
      <c r="H433" s="112"/>
      <c r="I433" s="111"/>
      <c r="J433" s="111"/>
      <c r="K433" s="111"/>
      <c r="L433" s="108"/>
      <c r="M433" s="108"/>
      <c r="N433" s="108"/>
      <c r="O433" s="108"/>
      <c r="P433" s="111"/>
      <c r="Q433" s="111"/>
      <c r="R433" s="111"/>
      <c r="S433" s="108"/>
      <c r="T433" s="110"/>
    </row>
    <row r="434" spans="1:20" x14ac:dyDescent="0.25">
      <c r="A434" s="113"/>
      <c r="B434" s="108"/>
      <c r="C434" s="111"/>
      <c r="D434" s="111"/>
      <c r="E434" s="111"/>
      <c r="F434" s="108"/>
      <c r="G434" s="108"/>
      <c r="H434" s="112"/>
      <c r="I434" s="111"/>
      <c r="J434" s="111"/>
      <c r="K434" s="111"/>
      <c r="L434" s="108"/>
      <c r="M434" s="108"/>
      <c r="N434" s="108"/>
      <c r="O434" s="108"/>
      <c r="P434" s="111"/>
      <c r="Q434" s="111"/>
      <c r="R434" s="111"/>
      <c r="S434" s="108"/>
      <c r="T434" s="110"/>
    </row>
    <row r="435" spans="1:20" x14ac:dyDescent="0.25">
      <c r="A435" s="113"/>
      <c r="B435" s="108"/>
      <c r="C435" s="111"/>
      <c r="D435" s="111"/>
      <c r="E435" s="111"/>
      <c r="F435" s="108"/>
      <c r="G435" s="108"/>
      <c r="H435" s="112"/>
      <c r="I435" s="111"/>
      <c r="J435" s="111"/>
      <c r="K435" s="111"/>
      <c r="L435" s="108"/>
      <c r="M435" s="108"/>
      <c r="N435" s="108"/>
      <c r="O435" s="108"/>
      <c r="P435" s="111"/>
      <c r="Q435" s="111"/>
      <c r="R435" s="111"/>
      <c r="S435" s="108"/>
      <c r="T435" s="110"/>
    </row>
    <row r="436" spans="1:20" x14ac:dyDescent="0.25">
      <c r="A436" s="113"/>
      <c r="B436" s="108"/>
      <c r="C436" s="111"/>
      <c r="D436" s="111"/>
      <c r="E436" s="111"/>
      <c r="F436" s="108"/>
      <c r="G436" s="108"/>
      <c r="H436" s="112"/>
      <c r="I436" s="111"/>
      <c r="J436" s="111"/>
      <c r="K436" s="111"/>
      <c r="L436" s="108"/>
      <c r="M436" s="108"/>
      <c r="N436" s="108"/>
      <c r="O436" s="108"/>
      <c r="P436" s="111"/>
      <c r="Q436" s="111"/>
      <c r="R436" s="111"/>
      <c r="S436" s="108"/>
      <c r="T436" s="110"/>
    </row>
    <row r="437" spans="1:20" x14ac:dyDescent="0.25">
      <c r="A437" s="113"/>
      <c r="B437" s="108"/>
      <c r="C437" s="111"/>
      <c r="D437" s="111"/>
      <c r="E437" s="111"/>
      <c r="F437" s="108"/>
      <c r="G437" s="108"/>
      <c r="H437" s="112"/>
      <c r="I437" s="111"/>
      <c r="J437" s="111"/>
      <c r="K437" s="111"/>
      <c r="L437" s="108"/>
      <c r="M437" s="108"/>
      <c r="N437" s="108"/>
      <c r="O437" s="108"/>
      <c r="P437" s="111"/>
      <c r="Q437" s="111"/>
      <c r="R437" s="111"/>
      <c r="S437" s="108"/>
      <c r="T437" s="110"/>
    </row>
    <row r="438" spans="1:20" x14ac:dyDescent="0.25">
      <c r="A438" s="113"/>
      <c r="B438" s="108"/>
      <c r="C438" s="111"/>
      <c r="D438" s="111"/>
      <c r="E438" s="111"/>
      <c r="F438" s="108"/>
      <c r="G438" s="108"/>
      <c r="H438" s="112"/>
      <c r="I438" s="111"/>
      <c r="J438" s="111"/>
      <c r="K438" s="111"/>
      <c r="L438" s="108"/>
      <c r="M438" s="108"/>
      <c r="N438" s="108"/>
      <c r="O438" s="108"/>
      <c r="P438" s="111"/>
      <c r="Q438" s="111"/>
      <c r="R438" s="111"/>
      <c r="S438" s="108"/>
      <c r="T438" s="110"/>
    </row>
    <row r="439" spans="1:20" x14ac:dyDescent="0.25">
      <c r="A439" s="113"/>
      <c r="B439" s="108"/>
      <c r="C439" s="111"/>
      <c r="D439" s="111"/>
      <c r="E439" s="111"/>
      <c r="F439" s="108"/>
      <c r="G439" s="108"/>
      <c r="H439" s="112"/>
      <c r="I439" s="111"/>
      <c r="J439" s="111"/>
      <c r="K439" s="111"/>
      <c r="L439" s="108"/>
      <c r="M439" s="108"/>
      <c r="N439" s="108"/>
      <c r="O439" s="108"/>
      <c r="P439" s="111"/>
      <c r="Q439" s="111"/>
      <c r="R439" s="111"/>
      <c r="S439" s="108"/>
      <c r="T439" s="110"/>
    </row>
    <row r="440" spans="1:20" x14ac:dyDescent="0.25">
      <c r="A440" s="113"/>
      <c r="B440" s="108"/>
      <c r="C440" s="111"/>
      <c r="D440" s="111"/>
      <c r="E440" s="111"/>
      <c r="F440" s="108"/>
      <c r="G440" s="108"/>
      <c r="H440" s="112"/>
      <c r="I440" s="111"/>
      <c r="J440" s="111"/>
      <c r="K440" s="111"/>
      <c r="L440" s="108"/>
      <c r="M440" s="108"/>
      <c r="N440" s="108"/>
      <c r="O440" s="108"/>
      <c r="P440" s="111"/>
      <c r="Q440" s="111"/>
      <c r="R440" s="111"/>
      <c r="S440" s="108"/>
      <c r="T440" s="110"/>
    </row>
    <row r="441" spans="1:20" x14ac:dyDescent="0.25">
      <c r="A441" s="113"/>
      <c r="B441" s="108"/>
      <c r="C441" s="111"/>
      <c r="D441" s="111"/>
      <c r="E441" s="111"/>
      <c r="F441" s="108"/>
      <c r="G441" s="108"/>
      <c r="H441" s="112"/>
      <c r="I441" s="111"/>
      <c r="J441" s="111"/>
      <c r="K441" s="111"/>
      <c r="L441" s="108"/>
      <c r="M441" s="108"/>
      <c r="N441" s="108"/>
      <c r="O441" s="108"/>
      <c r="P441" s="111"/>
      <c r="Q441" s="111"/>
      <c r="R441" s="111"/>
      <c r="S441" s="108"/>
      <c r="T441" s="110"/>
    </row>
    <row r="442" spans="1:20" x14ac:dyDescent="0.25">
      <c r="A442" s="113"/>
      <c r="B442" s="108"/>
      <c r="C442" s="111"/>
      <c r="D442" s="111"/>
      <c r="E442" s="111"/>
      <c r="F442" s="108"/>
      <c r="G442" s="108"/>
      <c r="H442" s="112"/>
      <c r="I442" s="111"/>
      <c r="J442" s="111"/>
      <c r="K442" s="111"/>
      <c r="L442" s="108"/>
      <c r="M442" s="108"/>
      <c r="N442" s="108"/>
      <c r="O442" s="108"/>
      <c r="P442" s="111"/>
      <c r="Q442" s="111"/>
      <c r="R442" s="111"/>
      <c r="S442" s="108"/>
      <c r="T442" s="110"/>
    </row>
    <row r="443" spans="1:20" x14ac:dyDescent="0.25">
      <c r="A443" s="113"/>
      <c r="B443" s="108"/>
      <c r="C443" s="111"/>
      <c r="D443" s="111"/>
      <c r="E443" s="111"/>
      <c r="F443" s="108"/>
      <c r="G443" s="108"/>
      <c r="H443" s="112"/>
      <c r="I443" s="111"/>
      <c r="J443" s="111"/>
      <c r="K443" s="111"/>
      <c r="L443" s="108"/>
      <c r="M443" s="108"/>
      <c r="N443" s="108"/>
      <c r="O443" s="108"/>
      <c r="P443" s="111"/>
      <c r="Q443" s="111"/>
      <c r="R443" s="111"/>
      <c r="S443" s="108"/>
      <c r="T443" s="110"/>
    </row>
    <row r="444" spans="1:20" x14ac:dyDescent="0.25">
      <c r="A444" s="113"/>
      <c r="B444" s="108"/>
      <c r="C444" s="111"/>
      <c r="D444" s="111"/>
      <c r="E444" s="111"/>
      <c r="F444" s="108"/>
      <c r="G444" s="108"/>
      <c r="H444" s="112"/>
      <c r="I444" s="111"/>
      <c r="J444" s="111"/>
      <c r="K444" s="111"/>
      <c r="L444" s="108"/>
      <c r="M444" s="108"/>
      <c r="N444" s="108"/>
      <c r="O444" s="108"/>
      <c r="P444" s="111"/>
      <c r="Q444" s="111"/>
      <c r="R444" s="111"/>
      <c r="S444" s="108"/>
      <c r="T444" s="110"/>
    </row>
    <row r="445" spans="1:20" x14ac:dyDescent="0.25">
      <c r="A445" s="113"/>
      <c r="B445" s="108"/>
      <c r="C445" s="111"/>
      <c r="D445" s="111"/>
      <c r="E445" s="111"/>
      <c r="F445" s="108"/>
      <c r="G445" s="108"/>
      <c r="H445" s="112"/>
      <c r="I445" s="111"/>
      <c r="J445" s="111"/>
      <c r="K445" s="111"/>
      <c r="L445" s="108"/>
      <c r="M445" s="108"/>
      <c r="N445" s="108"/>
      <c r="O445" s="108"/>
      <c r="P445" s="111"/>
      <c r="Q445" s="111"/>
      <c r="R445" s="111"/>
      <c r="S445" s="108"/>
      <c r="T445" s="110"/>
    </row>
    <row r="446" spans="1:20" x14ac:dyDescent="0.25">
      <c r="A446" s="113"/>
      <c r="B446" s="108"/>
      <c r="C446" s="111"/>
      <c r="D446" s="111"/>
      <c r="E446" s="111"/>
      <c r="F446" s="108"/>
      <c r="G446" s="108"/>
      <c r="H446" s="112"/>
      <c r="I446" s="111"/>
      <c r="J446" s="111"/>
      <c r="K446" s="111"/>
      <c r="L446" s="108"/>
      <c r="M446" s="108"/>
      <c r="N446" s="108"/>
      <c r="O446" s="108"/>
      <c r="P446" s="111"/>
      <c r="Q446" s="111"/>
      <c r="R446" s="111"/>
      <c r="S446" s="108"/>
      <c r="T446" s="110"/>
    </row>
    <row r="447" spans="1:20" x14ac:dyDescent="0.25">
      <c r="A447" s="113"/>
      <c r="B447" s="108"/>
      <c r="C447" s="111"/>
      <c r="D447" s="111"/>
      <c r="E447" s="111"/>
      <c r="F447" s="108"/>
      <c r="G447" s="108"/>
      <c r="H447" s="112"/>
      <c r="I447" s="111"/>
      <c r="J447" s="111"/>
      <c r="K447" s="111"/>
      <c r="L447" s="108"/>
      <c r="M447" s="108"/>
      <c r="N447" s="108"/>
      <c r="O447" s="108"/>
      <c r="P447" s="111"/>
      <c r="Q447" s="111"/>
      <c r="R447" s="111"/>
      <c r="S447" s="108"/>
      <c r="T447" s="110"/>
    </row>
    <row r="448" spans="1:20" x14ac:dyDescent="0.25">
      <c r="A448" s="113"/>
      <c r="B448" s="108"/>
      <c r="C448" s="111"/>
      <c r="D448" s="111"/>
      <c r="E448" s="111"/>
      <c r="F448" s="108"/>
      <c r="G448" s="108"/>
      <c r="H448" s="112"/>
      <c r="I448" s="111"/>
      <c r="J448" s="111"/>
      <c r="K448" s="111"/>
      <c r="L448" s="108"/>
      <c r="M448" s="108"/>
      <c r="N448" s="108"/>
      <c r="O448" s="108"/>
      <c r="P448" s="111"/>
      <c r="Q448" s="111"/>
      <c r="R448" s="111"/>
      <c r="S448" s="108"/>
      <c r="T448" s="110"/>
    </row>
    <row r="449" spans="1:20" x14ac:dyDescent="0.25">
      <c r="A449" s="113"/>
      <c r="B449" s="108"/>
      <c r="C449" s="111"/>
      <c r="D449" s="111"/>
      <c r="E449" s="111"/>
      <c r="F449" s="108"/>
      <c r="G449" s="108"/>
      <c r="H449" s="112"/>
      <c r="I449" s="111"/>
      <c r="J449" s="111"/>
      <c r="K449" s="111"/>
      <c r="L449" s="108"/>
      <c r="M449" s="108"/>
      <c r="N449" s="108"/>
      <c r="O449" s="108"/>
      <c r="P449" s="111"/>
      <c r="Q449" s="111"/>
      <c r="R449" s="111"/>
      <c r="S449" s="108"/>
      <c r="T449" s="110"/>
    </row>
    <row r="450" spans="1:20" x14ac:dyDescent="0.25">
      <c r="A450" s="113"/>
      <c r="B450" s="108"/>
      <c r="C450" s="111"/>
      <c r="D450" s="111"/>
      <c r="E450" s="111"/>
      <c r="F450" s="108"/>
      <c r="G450" s="108"/>
      <c r="H450" s="112"/>
      <c r="I450" s="111"/>
      <c r="J450" s="111"/>
      <c r="K450" s="111"/>
      <c r="L450" s="108"/>
      <c r="M450" s="108"/>
      <c r="N450" s="108"/>
      <c r="O450" s="108"/>
      <c r="P450" s="111"/>
      <c r="Q450" s="111"/>
      <c r="R450" s="111"/>
      <c r="S450" s="108"/>
      <c r="T450" s="110"/>
    </row>
    <row r="451" spans="1:20" x14ac:dyDescent="0.25">
      <c r="A451" s="113"/>
      <c r="B451" s="108"/>
      <c r="C451" s="111"/>
      <c r="D451" s="111"/>
      <c r="E451" s="111"/>
      <c r="F451" s="108"/>
      <c r="G451" s="108"/>
      <c r="H451" s="112"/>
      <c r="I451" s="111"/>
      <c r="J451" s="111"/>
      <c r="K451" s="111"/>
      <c r="L451" s="108"/>
      <c r="M451" s="108"/>
      <c r="N451" s="108"/>
      <c r="O451" s="108"/>
      <c r="P451" s="111"/>
      <c r="Q451" s="111"/>
      <c r="R451" s="111"/>
      <c r="S451" s="108"/>
      <c r="T451" s="110"/>
    </row>
    <row r="452" spans="1:20" x14ac:dyDescent="0.25">
      <c r="A452" s="113"/>
      <c r="B452" s="108"/>
      <c r="C452" s="111"/>
      <c r="D452" s="111"/>
      <c r="E452" s="111"/>
      <c r="F452" s="108"/>
      <c r="G452" s="108"/>
      <c r="H452" s="112"/>
      <c r="I452" s="111"/>
      <c r="J452" s="111"/>
      <c r="K452" s="111"/>
      <c r="L452" s="108"/>
      <c r="M452" s="108"/>
      <c r="N452" s="108"/>
      <c r="O452" s="108"/>
      <c r="P452" s="111"/>
      <c r="Q452" s="111"/>
      <c r="R452" s="111"/>
      <c r="S452" s="108"/>
      <c r="T452" s="110"/>
    </row>
    <row r="453" spans="1:20" x14ac:dyDescent="0.25">
      <c r="A453" s="113"/>
      <c r="B453" s="108"/>
      <c r="C453" s="111"/>
      <c r="D453" s="111"/>
      <c r="E453" s="111"/>
      <c r="F453" s="108"/>
      <c r="G453" s="108"/>
      <c r="H453" s="112"/>
      <c r="I453" s="111"/>
      <c r="J453" s="111"/>
      <c r="K453" s="111"/>
      <c r="L453" s="108"/>
      <c r="M453" s="108"/>
      <c r="N453" s="108"/>
      <c r="O453" s="108"/>
      <c r="P453" s="111"/>
      <c r="Q453" s="111"/>
      <c r="R453" s="111"/>
      <c r="S453" s="108"/>
      <c r="T453" s="110"/>
    </row>
    <row r="454" spans="1:20" x14ac:dyDescent="0.25">
      <c r="A454" s="113"/>
      <c r="B454" s="108"/>
      <c r="C454" s="111"/>
      <c r="D454" s="111"/>
      <c r="E454" s="111"/>
      <c r="F454" s="108"/>
      <c r="G454" s="108"/>
      <c r="H454" s="112"/>
      <c r="I454" s="111"/>
      <c r="J454" s="111"/>
      <c r="K454" s="111"/>
      <c r="L454" s="108"/>
      <c r="M454" s="108"/>
      <c r="N454" s="108"/>
      <c r="O454" s="108"/>
      <c r="P454" s="111"/>
      <c r="Q454" s="111"/>
      <c r="R454" s="111"/>
      <c r="S454" s="108"/>
      <c r="T454" s="110"/>
    </row>
    <row r="455" spans="1:20" x14ac:dyDescent="0.25">
      <c r="A455" s="113"/>
      <c r="B455" s="108"/>
      <c r="C455" s="111"/>
      <c r="D455" s="111"/>
      <c r="E455" s="111"/>
      <c r="F455" s="108"/>
      <c r="G455" s="108"/>
      <c r="H455" s="112"/>
      <c r="I455" s="111"/>
      <c r="J455" s="111"/>
      <c r="K455" s="111"/>
      <c r="L455" s="108"/>
      <c r="M455" s="108"/>
      <c r="N455" s="108"/>
      <c r="O455" s="108"/>
      <c r="P455" s="111"/>
      <c r="Q455" s="111"/>
      <c r="R455" s="111"/>
      <c r="S455" s="108"/>
      <c r="T455" s="110"/>
    </row>
    <row r="456" spans="1:20" x14ac:dyDescent="0.25">
      <c r="A456" s="113"/>
      <c r="B456" s="108"/>
      <c r="C456" s="111"/>
      <c r="D456" s="111"/>
      <c r="E456" s="111"/>
      <c r="F456" s="108"/>
      <c r="G456" s="108"/>
      <c r="H456" s="112"/>
      <c r="I456" s="111"/>
      <c r="J456" s="111"/>
      <c r="K456" s="111"/>
      <c r="L456" s="108"/>
      <c r="M456" s="108"/>
      <c r="N456" s="108"/>
      <c r="O456" s="108"/>
      <c r="P456" s="111"/>
      <c r="Q456" s="111"/>
      <c r="R456" s="111"/>
      <c r="S456" s="108"/>
      <c r="T456" s="110"/>
    </row>
    <row r="457" spans="1:20" x14ac:dyDescent="0.25">
      <c r="A457" s="113"/>
      <c r="B457" s="108"/>
      <c r="C457" s="111"/>
      <c r="D457" s="111"/>
      <c r="E457" s="111"/>
      <c r="F457" s="108"/>
      <c r="G457" s="108"/>
      <c r="H457" s="112"/>
      <c r="I457" s="111"/>
      <c r="J457" s="111"/>
      <c r="K457" s="111"/>
      <c r="L457" s="108"/>
      <c r="M457" s="108"/>
      <c r="N457" s="108"/>
      <c r="O457" s="108"/>
      <c r="P457" s="111"/>
      <c r="Q457" s="111"/>
      <c r="R457" s="111"/>
      <c r="S457" s="108"/>
      <c r="T457" s="110"/>
    </row>
    <row r="458" spans="1:20" x14ac:dyDescent="0.25">
      <c r="A458" s="113"/>
      <c r="B458" s="108"/>
      <c r="C458" s="111"/>
      <c r="D458" s="111"/>
      <c r="E458" s="111"/>
      <c r="F458" s="108"/>
      <c r="G458" s="108"/>
      <c r="H458" s="112"/>
      <c r="I458" s="111"/>
      <c r="J458" s="111"/>
      <c r="K458" s="111"/>
      <c r="L458" s="108"/>
      <c r="M458" s="108"/>
      <c r="N458" s="108"/>
      <c r="O458" s="108"/>
      <c r="P458" s="111"/>
      <c r="Q458" s="111"/>
      <c r="R458" s="111"/>
      <c r="S458" s="108"/>
      <c r="T458" s="110"/>
    </row>
    <row r="459" spans="1:20" x14ac:dyDescent="0.25">
      <c r="A459" s="113"/>
      <c r="B459" s="108"/>
      <c r="C459" s="111"/>
      <c r="D459" s="111"/>
      <c r="E459" s="111"/>
      <c r="F459" s="108"/>
      <c r="G459" s="108"/>
      <c r="H459" s="112"/>
      <c r="I459" s="111"/>
      <c r="J459" s="111"/>
      <c r="K459" s="111"/>
      <c r="L459" s="108"/>
      <c r="M459" s="108"/>
      <c r="N459" s="108"/>
      <c r="O459" s="108"/>
      <c r="P459" s="111"/>
      <c r="Q459" s="111"/>
      <c r="R459" s="111"/>
      <c r="S459" s="108"/>
      <c r="T459" s="110"/>
    </row>
    <row r="460" spans="1:20" x14ac:dyDescent="0.25">
      <c r="A460" s="113"/>
      <c r="B460" s="108"/>
      <c r="C460" s="111"/>
      <c r="D460" s="111"/>
      <c r="E460" s="111"/>
      <c r="F460" s="108"/>
      <c r="G460" s="108"/>
      <c r="H460" s="112"/>
      <c r="I460" s="111"/>
      <c r="J460" s="111"/>
      <c r="K460" s="111"/>
      <c r="L460" s="108"/>
      <c r="M460" s="108"/>
      <c r="N460" s="108"/>
      <c r="O460" s="108"/>
      <c r="P460" s="111"/>
      <c r="Q460" s="111"/>
      <c r="R460" s="111"/>
      <c r="S460" s="108"/>
      <c r="T460" s="110"/>
    </row>
    <row r="461" spans="1:20" x14ac:dyDescent="0.25">
      <c r="A461" s="113"/>
      <c r="B461" s="108"/>
      <c r="C461" s="111"/>
      <c r="D461" s="111"/>
      <c r="E461" s="111"/>
      <c r="F461" s="108"/>
      <c r="G461" s="108"/>
      <c r="H461" s="112"/>
      <c r="I461" s="111"/>
      <c r="J461" s="111"/>
      <c r="K461" s="111"/>
      <c r="L461" s="108"/>
      <c r="M461" s="108"/>
      <c r="N461" s="108"/>
      <c r="O461" s="108"/>
      <c r="P461" s="111"/>
      <c r="Q461" s="111"/>
      <c r="R461" s="111"/>
      <c r="S461" s="108"/>
      <c r="T461" s="110"/>
    </row>
    <row r="462" spans="1:20" x14ac:dyDescent="0.25">
      <c r="A462" s="113"/>
      <c r="B462" s="108"/>
      <c r="C462" s="111"/>
      <c r="D462" s="111"/>
      <c r="E462" s="111"/>
      <c r="F462" s="108"/>
      <c r="G462" s="108"/>
      <c r="H462" s="112"/>
      <c r="I462" s="111"/>
      <c r="J462" s="111"/>
      <c r="K462" s="111"/>
      <c r="L462" s="108"/>
      <c r="M462" s="108"/>
      <c r="N462" s="108"/>
      <c r="O462" s="108"/>
      <c r="P462" s="111"/>
      <c r="Q462" s="111"/>
      <c r="R462" s="111"/>
      <c r="S462" s="108"/>
      <c r="T462" s="110"/>
    </row>
    <row r="463" spans="1:20" x14ac:dyDescent="0.25">
      <c r="A463" s="113"/>
      <c r="B463" s="108"/>
      <c r="C463" s="111"/>
      <c r="D463" s="111"/>
      <c r="E463" s="111"/>
      <c r="F463" s="108"/>
      <c r="G463" s="108"/>
      <c r="H463" s="112"/>
      <c r="I463" s="111"/>
      <c r="J463" s="111"/>
      <c r="K463" s="111"/>
      <c r="L463" s="108"/>
      <c r="M463" s="108"/>
      <c r="N463" s="108"/>
      <c r="O463" s="108"/>
      <c r="P463" s="111"/>
      <c r="Q463" s="111"/>
      <c r="R463" s="111"/>
      <c r="S463" s="108"/>
      <c r="T463" s="110"/>
    </row>
    <row r="464" spans="1:20" x14ac:dyDescent="0.25">
      <c r="A464" s="113"/>
      <c r="B464" s="108"/>
      <c r="C464" s="111"/>
      <c r="D464" s="111"/>
      <c r="E464" s="111"/>
      <c r="F464" s="108"/>
      <c r="G464" s="108"/>
      <c r="H464" s="112"/>
      <c r="I464" s="111"/>
      <c r="J464" s="111"/>
      <c r="K464" s="111"/>
      <c r="L464" s="108"/>
      <c r="M464" s="108"/>
      <c r="N464" s="108"/>
      <c r="O464" s="108"/>
      <c r="P464" s="111"/>
      <c r="Q464" s="111"/>
      <c r="R464" s="111"/>
      <c r="S464" s="108"/>
      <c r="T464" s="110"/>
    </row>
    <row r="465" spans="1:20" x14ac:dyDescent="0.25">
      <c r="A465" s="113"/>
      <c r="B465" s="108"/>
      <c r="C465" s="111"/>
      <c r="D465" s="111"/>
      <c r="E465" s="111"/>
      <c r="F465" s="108"/>
      <c r="G465" s="108"/>
      <c r="H465" s="112"/>
      <c r="I465" s="111"/>
      <c r="J465" s="111"/>
      <c r="K465" s="111"/>
      <c r="L465" s="108"/>
      <c r="M465" s="108"/>
      <c r="N465" s="108"/>
      <c r="O465" s="108"/>
      <c r="P465" s="111"/>
      <c r="Q465" s="111"/>
      <c r="R465" s="111"/>
      <c r="S465" s="108"/>
      <c r="T465" s="110"/>
    </row>
    <row r="466" spans="1:20" x14ac:dyDescent="0.25">
      <c r="A466" s="113"/>
      <c r="B466" s="108"/>
      <c r="C466" s="111"/>
      <c r="D466" s="111"/>
      <c r="E466" s="111"/>
      <c r="F466" s="108"/>
      <c r="G466" s="108"/>
      <c r="H466" s="112"/>
      <c r="I466" s="111"/>
      <c r="J466" s="111"/>
      <c r="K466" s="111"/>
      <c r="L466" s="108"/>
      <c r="M466" s="108"/>
      <c r="N466" s="108"/>
      <c r="O466" s="108"/>
      <c r="P466" s="111"/>
      <c r="Q466" s="111"/>
      <c r="R466" s="111"/>
      <c r="S466" s="108"/>
      <c r="T466" s="110"/>
    </row>
    <row r="467" spans="1:20" x14ac:dyDescent="0.25">
      <c r="A467" s="113"/>
      <c r="B467" s="108"/>
      <c r="C467" s="111"/>
      <c r="D467" s="111"/>
      <c r="E467" s="111"/>
      <c r="F467" s="108"/>
      <c r="G467" s="108"/>
      <c r="H467" s="112"/>
      <c r="I467" s="111"/>
      <c r="J467" s="111"/>
      <c r="K467" s="111"/>
      <c r="L467" s="108"/>
      <c r="M467" s="108"/>
      <c r="N467" s="108"/>
      <c r="O467" s="108"/>
      <c r="P467" s="111"/>
      <c r="Q467" s="111"/>
      <c r="R467" s="111"/>
      <c r="S467" s="108"/>
      <c r="T467" s="110"/>
    </row>
    <row r="468" spans="1:20" x14ac:dyDescent="0.25">
      <c r="A468" s="113"/>
      <c r="B468" s="108"/>
      <c r="C468" s="111"/>
      <c r="D468" s="111"/>
      <c r="E468" s="111"/>
      <c r="F468" s="108"/>
      <c r="G468" s="108"/>
      <c r="H468" s="112"/>
      <c r="I468" s="111"/>
      <c r="J468" s="111"/>
      <c r="K468" s="111"/>
      <c r="L468" s="108"/>
      <c r="M468" s="108"/>
      <c r="N468" s="108"/>
      <c r="O468" s="108"/>
      <c r="P468" s="111"/>
      <c r="Q468" s="111"/>
      <c r="R468" s="111"/>
      <c r="S468" s="108"/>
      <c r="T468" s="110"/>
    </row>
    <row r="469" spans="1:20" x14ac:dyDescent="0.25">
      <c r="A469" s="113"/>
      <c r="B469" s="108"/>
      <c r="C469" s="111"/>
      <c r="D469" s="111"/>
      <c r="E469" s="111"/>
      <c r="F469" s="108"/>
      <c r="G469" s="108"/>
      <c r="H469" s="112"/>
      <c r="I469" s="111"/>
      <c r="J469" s="111"/>
      <c r="K469" s="111"/>
      <c r="L469" s="108"/>
      <c r="M469" s="108"/>
      <c r="N469" s="108"/>
      <c r="O469" s="108"/>
      <c r="P469" s="111"/>
      <c r="Q469" s="111"/>
      <c r="R469" s="111"/>
      <c r="S469" s="108"/>
      <c r="T469" s="110"/>
    </row>
    <row r="470" spans="1:20" x14ac:dyDescent="0.25">
      <c r="A470" s="113"/>
      <c r="B470" s="108"/>
      <c r="C470" s="111"/>
      <c r="D470" s="111"/>
      <c r="E470" s="111"/>
      <c r="F470" s="108"/>
      <c r="G470" s="108"/>
      <c r="H470" s="112"/>
      <c r="I470" s="111"/>
      <c r="J470" s="111"/>
      <c r="K470" s="111"/>
      <c r="L470" s="108"/>
      <c r="M470" s="108"/>
      <c r="N470" s="108"/>
      <c r="O470" s="108"/>
      <c r="P470" s="111"/>
      <c r="Q470" s="111"/>
      <c r="R470" s="111"/>
      <c r="S470" s="108"/>
      <c r="T470" s="110"/>
    </row>
    <row r="471" spans="1:20" x14ac:dyDescent="0.25">
      <c r="A471" s="113"/>
      <c r="B471" s="108"/>
      <c r="C471" s="111"/>
      <c r="D471" s="111"/>
      <c r="E471" s="111"/>
      <c r="F471" s="108"/>
      <c r="G471" s="108"/>
      <c r="H471" s="112"/>
      <c r="I471" s="111"/>
      <c r="J471" s="111"/>
      <c r="K471" s="111"/>
      <c r="L471" s="108"/>
      <c r="M471" s="108"/>
      <c r="N471" s="108"/>
      <c r="O471" s="108"/>
      <c r="P471" s="111"/>
      <c r="Q471" s="111"/>
      <c r="R471" s="111"/>
      <c r="S471" s="108"/>
      <c r="T471" s="110"/>
    </row>
    <row r="472" spans="1:20" x14ac:dyDescent="0.25">
      <c r="A472" s="113"/>
      <c r="B472" s="108"/>
      <c r="C472" s="111"/>
      <c r="D472" s="111"/>
      <c r="E472" s="111"/>
      <c r="F472" s="108"/>
      <c r="G472" s="108"/>
      <c r="H472" s="112"/>
      <c r="I472" s="111"/>
      <c r="J472" s="111"/>
      <c r="K472" s="111"/>
      <c r="L472" s="108"/>
      <c r="M472" s="108"/>
      <c r="N472" s="108"/>
      <c r="O472" s="108"/>
      <c r="P472" s="111"/>
      <c r="Q472" s="111"/>
      <c r="R472" s="111"/>
      <c r="S472" s="108"/>
      <c r="T472" s="110"/>
    </row>
    <row r="473" spans="1:20" x14ac:dyDescent="0.25">
      <c r="A473" s="113"/>
      <c r="B473" s="108"/>
      <c r="C473" s="111"/>
      <c r="D473" s="111"/>
      <c r="E473" s="111"/>
      <c r="F473" s="108"/>
      <c r="G473" s="108"/>
      <c r="H473" s="112"/>
      <c r="I473" s="111"/>
      <c r="J473" s="111"/>
      <c r="K473" s="111"/>
      <c r="L473" s="108"/>
      <c r="M473" s="108"/>
      <c r="N473" s="108"/>
      <c r="O473" s="108"/>
      <c r="P473" s="111"/>
      <c r="Q473" s="111"/>
      <c r="R473" s="111"/>
      <c r="S473" s="108"/>
      <c r="T473" s="110"/>
    </row>
    <row r="474" spans="1:20" x14ac:dyDescent="0.25">
      <c r="A474" s="113"/>
      <c r="B474" s="108"/>
      <c r="C474" s="111"/>
      <c r="D474" s="111"/>
      <c r="E474" s="111"/>
      <c r="F474" s="108"/>
      <c r="G474" s="108"/>
      <c r="H474" s="112"/>
      <c r="I474" s="111"/>
      <c r="J474" s="111"/>
      <c r="K474" s="111"/>
      <c r="L474" s="108"/>
      <c r="M474" s="108"/>
      <c r="N474" s="108"/>
      <c r="O474" s="108"/>
      <c r="P474" s="111"/>
      <c r="Q474" s="111"/>
      <c r="R474" s="111"/>
      <c r="S474" s="108"/>
      <c r="T474" s="110"/>
    </row>
    <row r="475" spans="1:20" x14ac:dyDescent="0.25">
      <c r="A475" s="113"/>
      <c r="B475" s="108"/>
      <c r="C475" s="111"/>
      <c r="D475" s="111"/>
      <c r="E475" s="111"/>
      <c r="F475" s="108"/>
      <c r="G475" s="108"/>
      <c r="H475" s="112"/>
      <c r="I475" s="111"/>
      <c r="J475" s="111"/>
      <c r="K475" s="111"/>
      <c r="L475" s="108"/>
      <c r="M475" s="108"/>
      <c r="N475" s="108"/>
      <c r="O475" s="108"/>
      <c r="P475" s="111"/>
      <c r="Q475" s="111"/>
      <c r="R475" s="111"/>
      <c r="S475" s="108"/>
      <c r="T475" s="110"/>
    </row>
    <row r="476" spans="1:20" x14ac:dyDescent="0.25">
      <c r="A476" s="113"/>
      <c r="B476" s="108"/>
      <c r="C476" s="111"/>
      <c r="D476" s="111"/>
      <c r="E476" s="111"/>
      <c r="F476" s="108"/>
      <c r="G476" s="108"/>
      <c r="H476" s="112"/>
      <c r="I476" s="111"/>
      <c r="J476" s="111"/>
      <c r="K476" s="111"/>
      <c r="L476" s="108"/>
      <c r="M476" s="108"/>
      <c r="N476" s="108"/>
      <c r="O476" s="108"/>
      <c r="P476" s="111"/>
      <c r="Q476" s="111"/>
      <c r="R476" s="111"/>
      <c r="S476" s="108"/>
      <c r="T476" s="110"/>
    </row>
    <row r="477" spans="1:20" x14ac:dyDescent="0.25">
      <c r="A477" s="113"/>
      <c r="B477" s="108"/>
      <c r="C477" s="111"/>
      <c r="D477" s="111"/>
      <c r="E477" s="111"/>
      <c r="F477" s="108"/>
      <c r="G477" s="108"/>
      <c r="H477" s="112"/>
      <c r="I477" s="111"/>
      <c r="J477" s="111"/>
      <c r="K477" s="111"/>
      <c r="L477" s="108"/>
      <c r="M477" s="108"/>
      <c r="N477" s="108"/>
      <c r="O477" s="108"/>
      <c r="P477" s="111"/>
      <c r="Q477" s="111"/>
      <c r="R477" s="111"/>
      <c r="S477" s="108"/>
      <c r="T477" s="110"/>
    </row>
    <row r="478" spans="1:20" x14ac:dyDescent="0.25">
      <c r="A478" s="113"/>
      <c r="B478" s="108"/>
      <c r="C478" s="111"/>
      <c r="D478" s="111"/>
      <c r="E478" s="111"/>
      <c r="F478" s="108"/>
      <c r="G478" s="108"/>
      <c r="H478" s="112"/>
      <c r="I478" s="111"/>
      <c r="J478" s="111"/>
      <c r="K478" s="111"/>
      <c r="L478" s="108"/>
      <c r="M478" s="108"/>
      <c r="N478" s="108"/>
      <c r="O478" s="108"/>
      <c r="P478" s="111"/>
      <c r="Q478" s="111"/>
      <c r="R478" s="111"/>
      <c r="S478" s="108"/>
      <c r="T478" s="110"/>
    </row>
    <row r="479" spans="1:20" x14ac:dyDescent="0.25">
      <c r="A479" s="113"/>
      <c r="B479" s="108"/>
      <c r="C479" s="111"/>
      <c r="D479" s="111"/>
      <c r="E479" s="111"/>
      <c r="F479" s="108"/>
      <c r="G479" s="108"/>
      <c r="H479" s="112"/>
      <c r="I479" s="111"/>
      <c r="J479" s="111"/>
      <c r="K479" s="111"/>
      <c r="L479" s="108"/>
      <c r="M479" s="108"/>
      <c r="N479" s="108"/>
      <c r="O479" s="108"/>
      <c r="P479" s="111"/>
      <c r="Q479" s="111"/>
      <c r="R479" s="111"/>
      <c r="S479" s="108"/>
      <c r="T479" s="110"/>
    </row>
    <row r="480" spans="1:20" x14ac:dyDescent="0.25">
      <c r="A480" s="113"/>
      <c r="B480" s="108"/>
      <c r="C480" s="111"/>
      <c r="D480" s="111"/>
      <c r="E480" s="111"/>
      <c r="F480" s="108"/>
      <c r="G480" s="108"/>
      <c r="H480" s="112"/>
      <c r="I480" s="111"/>
      <c r="J480" s="111"/>
      <c r="K480" s="111"/>
      <c r="L480" s="108"/>
      <c r="M480" s="108"/>
      <c r="N480" s="108"/>
      <c r="O480" s="108"/>
      <c r="P480" s="111"/>
      <c r="Q480" s="111"/>
      <c r="R480" s="111"/>
      <c r="S480" s="108"/>
      <c r="T480" s="110"/>
    </row>
    <row r="481" spans="1:20" x14ac:dyDescent="0.25">
      <c r="A481" s="113"/>
      <c r="B481" s="108"/>
      <c r="C481" s="111"/>
      <c r="D481" s="111"/>
      <c r="E481" s="111"/>
      <c r="F481" s="108"/>
      <c r="G481" s="108"/>
      <c r="H481" s="112"/>
      <c r="I481" s="111"/>
      <c r="J481" s="111"/>
      <c r="K481" s="111"/>
      <c r="L481" s="108"/>
      <c r="M481" s="108"/>
      <c r="N481" s="108"/>
      <c r="O481" s="108"/>
      <c r="P481" s="111"/>
      <c r="Q481" s="111"/>
      <c r="R481" s="111"/>
      <c r="S481" s="108"/>
      <c r="T481" s="110"/>
    </row>
    <row r="482" spans="1:20" x14ac:dyDescent="0.25">
      <c r="A482" s="113"/>
      <c r="B482" s="108"/>
      <c r="C482" s="111"/>
      <c r="D482" s="111"/>
      <c r="E482" s="111"/>
      <c r="F482" s="108"/>
      <c r="G482" s="108"/>
      <c r="H482" s="112"/>
      <c r="I482" s="111"/>
      <c r="J482" s="111"/>
      <c r="K482" s="111"/>
      <c r="L482" s="108"/>
      <c r="M482" s="108"/>
      <c r="N482" s="108"/>
      <c r="O482" s="108"/>
      <c r="P482" s="111"/>
      <c r="Q482" s="111"/>
      <c r="R482" s="111"/>
      <c r="S482" s="108"/>
      <c r="T482" s="110"/>
    </row>
    <row r="483" spans="1:20" x14ac:dyDescent="0.25">
      <c r="A483" s="113"/>
      <c r="B483" s="108"/>
      <c r="C483" s="111"/>
      <c r="D483" s="111"/>
      <c r="E483" s="111"/>
      <c r="F483" s="108"/>
      <c r="G483" s="108"/>
      <c r="H483" s="112"/>
      <c r="I483" s="111"/>
      <c r="J483" s="111"/>
      <c r="K483" s="111"/>
      <c r="L483" s="108"/>
      <c r="M483" s="108"/>
      <c r="N483" s="108"/>
      <c r="O483" s="108"/>
      <c r="P483" s="111"/>
      <c r="Q483" s="111"/>
      <c r="R483" s="111"/>
      <c r="S483" s="108"/>
      <c r="T483" s="110"/>
    </row>
    <row r="484" spans="1:20" x14ac:dyDescent="0.25">
      <c r="A484" s="113"/>
      <c r="B484" s="108"/>
      <c r="C484" s="111"/>
      <c r="D484" s="111"/>
      <c r="E484" s="111"/>
      <c r="F484" s="108"/>
      <c r="G484" s="108"/>
      <c r="H484" s="112"/>
      <c r="I484" s="111"/>
      <c r="J484" s="111"/>
      <c r="K484" s="111"/>
      <c r="L484" s="108"/>
      <c r="M484" s="108"/>
      <c r="N484" s="108"/>
      <c r="O484" s="108"/>
      <c r="P484" s="111"/>
      <c r="Q484" s="111"/>
      <c r="R484" s="111"/>
      <c r="S484" s="108"/>
      <c r="T484" s="110"/>
    </row>
    <row r="485" spans="1:20" x14ac:dyDescent="0.25">
      <c r="A485" s="113"/>
      <c r="B485" s="108"/>
      <c r="C485" s="111"/>
      <c r="D485" s="111"/>
      <c r="E485" s="111"/>
      <c r="F485" s="108"/>
      <c r="G485" s="108"/>
      <c r="H485" s="112"/>
      <c r="I485" s="111"/>
      <c r="J485" s="111"/>
      <c r="K485" s="111"/>
      <c r="L485" s="108"/>
      <c r="M485" s="108"/>
      <c r="N485" s="108"/>
      <c r="O485" s="108"/>
      <c r="P485" s="111"/>
      <c r="Q485" s="111"/>
      <c r="R485" s="111"/>
      <c r="S485" s="108"/>
      <c r="T485" s="110"/>
    </row>
    <row r="486" spans="1:20" x14ac:dyDescent="0.25">
      <c r="A486" s="113"/>
      <c r="B486" s="108"/>
      <c r="C486" s="111"/>
      <c r="D486" s="111"/>
      <c r="E486" s="111"/>
      <c r="F486" s="108"/>
      <c r="G486" s="108"/>
      <c r="H486" s="112"/>
      <c r="I486" s="111"/>
      <c r="J486" s="111"/>
      <c r="K486" s="111"/>
      <c r="L486" s="108"/>
      <c r="M486" s="108"/>
      <c r="N486" s="108"/>
      <c r="O486" s="108"/>
      <c r="P486" s="111"/>
      <c r="Q486" s="111"/>
      <c r="R486" s="111"/>
      <c r="S486" s="108"/>
      <c r="T486" s="110"/>
    </row>
    <row r="487" spans="1:20" x14ac:dyDescent="0.25">
      <c r="A487" s="113"/>
      <c r="B487" s="108"/>
      <c r="C487" s="111"/>
      <c r="D487" s="111"/>
      <c r="E487" s="111"/>
      <c r="F487" s="108"/>
      <c r="G487" s="108"/>
      <c r="H487" s="112"/>
      <c r="I487" s="111"/>
      <c r="J487" s="111"/>
      <c r="K487" s="111"/>
      <c r="L487" s="108"/>
      <c r="M487" s="108"/>
      <c r="N487" s="108"/>
      <c r="O487" s="108"/>
      <c r="P487" s="111"/>
      <c r="Q487" s="111"/>
      <c r="R487" s="111"/>
      <c r="S487" s="108"/>
      <c r="T487" s="110"/>
    </row>
    <row r="488" spans="1:20" x14ac:dyDescent="0.25">
      <c r="A488" s="113"/>
      <c r="B488" s="108"/>
      <c r="C488" s="111"/>
      <c r="D488" s="111"/>
      <c r="E488" s="111"/>
      <c r="F488" s="108"/>
      <c r="G488" s="108"/>
      <c r="H488" s="112"/>
      <c r="I488" s="111"/>
      <c r="J488" s="111"/>
      <c r="K488" s="111"/>
      <c r="L488" s="108"/>
      <c r="M488" s="108"/>
      <c r="N488" s="108"/>
      <c r="O488" s="108"/>
      <c r="P488" s="111"/>
      <c r="Q488" s="111"/>
      <c r="R488" s="111"/>
      <c r="S488" s="108"/>
      <c r="T488" s="110"/>
    </row>
    <row r="489" spans="1:20" x14ac:dyDescent="0.25">
      <c r="A489" s="113"/>
      <c r="B489" s="108"/>
      <c r="C489" s="111"/>
      <c r="D489" s="111"/>
      <c r="E489" s="111"/>
      <c r="F489" s="108"/>
      <c r="G489" s="108"/>
      <c r="H489" s="112"/>
      <c r="I489" s="111"/>
      <c r="J489" s="111"/>
      <c r="K489" s="111"/>
      <c r="L489" s="108"/>
      <c r="M489" s="108"/>
      <c r="N489" s="108"/>
      <c r="O489" s="108"/>
      <c r="P489" s="111"/>
      <c r="Q489" s="111"/>
      <c r="R489" s="111"/>
      <c r="S489" s="108"/>
      <c r="T489" s="110"/>
    </row>
    <row r="490" spans="1:20" x14ac:dyDescent="0.25">
      <c r="A490" s="113"/>
      <c r="B490" s="108"/>
      <c r="C490" s="111"/>
      <c r="D490" s="111"/>
      <c r="E490" s="111"/>
      <c r="F490" s="108"/>
      <c r="G490" s="108"/>
      <c r="H490" s="112"/>
      <c r="I490" s="111"/>
      <c r="J490" s="111"/>
      <c r="K490" s="111"/>
      <c r="L490" s="108"/>
      <c r="M490" s="108"/>
      <c r="N490" s="108"/>
      <c r="O490" s="108"/>
      <c r="P490" s="111"/>
      <c r="Q490" s="111"/>
      <c r="R490" s="111"/>
      <c r="S490" s="108"/>
      <c r="T490" s="110"/>
    </row>
    <row r="491" spans="1:20" x14ac:dyDescent="0.25">
      <c r="A491" s="113"/>
      <c r="B491" s="108"/>
      <c r="C491" s="111"/>
      <c r="D491" s="111"/>
      <c r="E491" s="111"/>
      <c r="F491" s="108"/>
      <c r="G491" s="108"/>
      <c r="H491" s="112"/>
      <c r="I491" s="111"/>
      <c r="J491" s="111"/>
      <c r="K491" s="111"/>
      <c r="L491" s="108"/>
      <c r="M491" s="108"/>
      <c r="N491" s="108"/>
      <c r="O491" s="108"/>
      <c r="P491" s="111"/>
      <c r="Q491" s="111"/>
      <c r="R491" s="111"/>
      <c r="S491" s="108"/>
      <c r="T491" s="110"/>
    </row>
    <row r="492" spans="1:20" x14ac:dyDescent="0.25">
      <c r="A492" s="113"/>
      <c r="B492" s="108"/>
      <c r="C492" s="111"/>
      <c r="D492" s="111"/>
      <c r="E492" s="111"/>
      <c r="F492" s="108"/>
      <c r="G492" s="108"/>
      <c r="H492" s="112"/>
      <c r="I492" s="111"/>
      <c r="J492" s="111"/>
      <c r="K492" s="111"/>
      <c r="L492" s="108"/>
      <c r="M492" s="108"/>
      <c r="N492" s="108"/>
      <c r="O492" s="108"/>
      <c r="P492" s="111"/>
      <c r="Q492" s="111"/>
      <c r="R492" s="111"/>
      <c r="S492" s="108"/>
      <c r="T492" s="110"/>
    </row>
    <row r="493" spans="1:20" x14ac:dyDescent="0.25">
      <c r="A493" s="113"/>
      <c r="B493" s="108"/>
      <c r="C493" s="111"/>
      <c r="D493" s="111"/>
      <c r="E493" s="111"/>
      <c r="F493" s="108"/>
      <c r="G493" s="108"/>
      <c r="H493" s="112"/>
      <c r="I493" s="111"/>
      <c r="J493" s="111"/>
      <c r="K493" s="111"/>
      <c r="L493" s="108"/>
      <c r="M493" s="108"/>
      <c r="N493" s="108"/>
      <c r="O493" s="108"/>
      <c r="P493" s="111"/>
      <c r="Q493" s="111"/>
      <c r="R493" s="111"/>
      <c r="S493" s="108"/>
      <c r="T493" s="110"/>
    </row>
    <row r="494" spans="1:20" x14ac:dyDescent="0.25">
      <c r="A494" s="113"/>
      <c r="B494" s="108"/>
      <c r="C494" s="111"/>
      <c r="D494" s="111"/>
      <c r="E494" s="111"/>
      <c r="F494" s="108"/>
      <c r="G494" s="108"/>
      <c r="H494" s="112"/>
      <c r="I494" s="111"/>
      <c r="J494" s="111"/>
      <c r="K494" s="111"/>
      <c r="L494" s="108"/>
      <c r="M494" s="108"/>
      <c r="N494" s="108"/>
      <c r="O494" s="108"/>
      <c r="P494" s="111"/>
      <c r="Q494" s="111"/>
      <c r="R494" s="111"/>
      <c r="S494" s="108"/>
      <c r="T494" s="110"/>
    </row>
    <row r="495" spans="1:20" x14ac:dyDescent="0.25">
      <c r="A495" s="113"/>
      <c r="B495" s="108"/>
      <c r="C495" s="111"/>
      <c r="D495" s="111"/>
      <c r="E495" s="111"/>
      <c r="F495" s="108"/>
      <c r="G495" s="108"/>
      <c r="H495" s="112"/>
      <c r="I495" s="111"/>
      <c r="J495" s="111"/>
      <c r="K495" s="111"/>
      <c r="L495" s="108"/>
      <c r="M495" s="108"/>
      <c r="N495" s="108"/>
      <c r="O495" s="108"/>
      <c r="P495" s="111"/>
      <c r="Q495" s="111"/>
      <c r="R495" s="111"/>
      <c r="S495" s="108"/>
      <c r="T495" s="110"/>
    </row>
    <row r="496" spans="1:20" x14ac:dyDescent="0.25">
      <c r="A496" s="113"/>
      <c r="B496" s="108"/>
      <c r="C496" s="111"/>
      <c r="D496" s="111"/>
      <c r="E496" s="111"/>
      <c r="F496" s="108"/>
      <c r="G496" s="108"/>
      <c r="H496" s="112"/>
      <c r="I496" s="111"/>
      <c r="J496" s="111"/>
      <c r="K496" s="111"/>
      <c r="L496" s="108"/>
      <c r="M496" s="108"/>
      <c r="N496" s="108"/>
      <c r="O496" s="108"/>
      <c r="P496" s="111"/>
      <c r="Q496" s="111"/>
      <c r="R496" s="111"/>
      <c r="S496" s="108"/>
      <c r="T496" s="110"/>
    </row>
    <row r="497" spans="1:20" x14ac:dyDescent="0.25">
      <c r="A497" s="113"/>
      <c r="B497" s="108"/>
      <c r="C497" s="111"/>
      <c r="D497" s="111"/>
      <c r="E497" s="111"/>
      <c r="F497" s="108"/>
      <c r="G497" s="108"/>
      <c r="H497" s="112"/>
      <c r="I497" s="111"/>
      <c r="J497" s="111"/>
      <c r="K497" s="111"/>
      <c r="L497" s="108"/>
      <c r="M497" s="108"/>
      <c r="N497" s="108"/>
      <c r="O497" s="108"/>
      <c r="P497" s="111"/>
      <c r="Q497" s="111"/>
      <c r="R497" s="111"/>
      <c r="S497" s="108"/>
      <c r="T497" s="110"/>
    </row>
    <row r="498" spans="1:20" x14ac:dyDescent="0.25">
      <c r="A498" s="113"/>
      <c r="B498" s="108"/>
      <c r="C498" s="111"/>
      <c r="D498" s="111"/>
      <c r="E498" s="111"/>
      <c r="F498" s="108"/>
      <c r="G498" s="108"/>
      <c r="H498" s="112"/>
      <c r="I498" s="111"/>
      <c r="J498" s="111"/>
      <c r="K498" s="111"/>
      <c r="L498" s="108"/>
      <c r="M498" s="108"/>
      <c r="N498" s="108"/>
      <c r="O498" s="108"/>
      <c r="P498" s="111"/>
      <c r="Q498" s="111"/>
      <c r="R498" s="111"/>
      <c r="S498" s="108"/>
      <c r="T498" s="110"/>
    </row>
    <row r="499" spans="1:20" x14ac:dyDescent="0.25">
      <c r="A499" s="113"/>
      <c r="B499" s="108"/>
      <c r="C499" s="111"/>
      <c r="D499" s="111"/>
      <c r="E499" s="111"/>
      <c r="F499" s="108"/>
      <c r="G499" s="108"/>
      <c r="H499" s="112"/>
      <c r="I499" s="111"/>
      <c r="J499" s="111"/>
      <c r="K499" s="111"/>
      <c r="L499" s="108"/>
      <c r="M499" s="108"/>
      <c r="N499" s="108"/>
      <c r="O499" s="108"/>
      <c r="P499" s="111"/>
      <c r="Q499" s="111"/>
      <c r="R499" s="111"/>
      <c r="S499" s="108"/>
      <c r="T499" s="110"/>
    </row>
    <row r="500" spans="1:20" x14ac:dyDescent="0.25">
      <c r="A500" s="113"/>
      <c r="B500" s="108"/>
      <c r="C500" s="111"/>
      <c r="D500" s="111"/>
      <c r="E500" s="111"/>
      <c r="F500" s="108"/>
      <c r="G500" s="108"/>
      <c r="H500" s="112"/>
      <c r="I500" s="111"/>
      <c r="J500" s="111"/>
      <c r="K500" s="111"/>
      <c r="L500" s="108"/>
      <c r="M500" s="108"/>
      <c r="N500" s="108"/>
      <c r="O500" s="108"/>
      <c r="P500" s="111"/>
      <c r="Q500" s="111"/>
      <c r="R500" s="111"/>
      <c r="S500" s="108"/>
      <c r="T500" s="110"/>
    </row>
    <row r="501" spans="1:20" x14ac:dyDescent="0.25">
      <c r="A501" s="113"/>
      <c r="B501" s="108"/>
      <c r="C501" s="111"/>
      <c r="D501" s="111"/>
      <c r="E501" s="111"/>
      <c r="F501" s="108"/>
      <c r="G501" s="108"/>
      <c r="H501" s="112"/>
      <c r="I501" s="111"/>
      <c r="J501" s="111"/>
      <c r="K501" s="111"/>
      <c r="L501" s="108"/>
      <c r="M501" s="108"/>
      <c r="N501" s="108"/>
      <c r="O501" s="108"/>
      <c r="P501" s="111"/>
      <c r="Q501" s="111"/>
      <c r="R501" s="111"/>
      <c r="S501" s="108"/>
      <c r="T501" s="110"/>
    </row>
    <row r="502" spans="1:20" x14ac:dyDescent="0.25">
      <c r="A502" s="113"/>
      <c r="B502" s="108"/>
      <c r="C502" s="111"/>
      <c r="D502" s="111"/>
      <c r="E502" s="111"/>
      <c r="F502" s="108"/>
      <c r="G502" s="108"/>
      <c r="H502" s="112"/>
      <c r="I502" s="111"/>
      <c r="J502" s="111"/>
      <c r="K502" s="111"/>
      <c r="L502" s="108"/>
      <c r="M502" s="108"/>
      <c r="N502" s="108"/>
      <c r="O502" s="108"/>
      <c r="P502" s="111"/>
      <c r="Q502" s="111"/>
      <c r="R502" s="111"/>
      <c r="S502" s="108"/>
      <c r="T502" s="110"/>
    </row>
    <row r="503" spans="1:20" x14ac:dyDescent="0.25">
      <c r="A503" s="113"/>
      <c r="B503" s="108"/>
      <c r="C503" s="111"/>
      <c r="D503" s="111"/>
      <c r="E503" s="111"/>
      <c r="F503" s="108"/>
      <c r="G503" s="108"/>
      <c r="H503" s="112"/>
      <c r="I503" s="111"/>
      <c r="J503" s="111"/>
      <c r="K503" s="111"/>
      <c r="L503" s="108"/>
      <c r="M503" s="108"/>
      <c r="N503" s="108"/>
      <c r="O503" s="108"/>
      <c r="P503" s="111"/>
      <c r="Q503" s="111"/>
      <c r="R503" s="111"/>
      <c r="S503" s="108"/>
      <c r="T503" s="110"/>
    </row>
    <row r="504" spans="1:20" x14ac:dyDescent="0.25">
      <c r="A504" s="113"/>
      <c r="B504" s="108"/>
      <c r="C504" s="111"/>
      <c r="D504" s="111"/>
      <c r="E504" s="111"/>
      <c r="F504" s="108"/>
      <c r="G504" s="108"/>
      <c r="H504" s="112"/>
      <c r="I504" s="111"/>
      <c r="J504" s="111"/>
      <c r="K504" s="111"/>
      <c r="L504" s="108"/>
      <c r="M504" s="108"/>
      <c r="N504" s="108"/>
      <c r="O504" s="108"/>
      <c r="P504" s="111"/>
      <c r="Q504" s="111"/>
      <c r="R504" s="111"/>
      <c r="S504" s="108"/>
      <c r="T504" s="110"/>
    </row>
    <row r="505" spans="1:20" x14ac:dyDescent="0.25">
      <c r="A505" s="113"/>
      <c r="B505" s="108"/>
      <c r="C505" s="111"/>
      <c r="D505" s="111"/>
      <c r="E505" s="111"/>
      <c r="F505" s="108"/>
      <c r="G505" s="108"/>
      <c r="H505" s="112"/>
      <c r="I505" s="111"/>
      <c r="J505" s="111"/>
      <c r="K505" s="111"/>
      <c r="L505" s="108"/>
      <c r="M505" s="108"/>
      <c r="N505" s="108"/>
      <c r="O505" s="108"/>
      <c r="P505" s="111"/>
      <c r="Q505" s="111"/>
      <c r="R505" s="111"/>
      <c r="S505" s="108"/>
      <c r="T505" s="110"/>
    </row>
    <row r="506" spans="1:20" x14ac:dyDescent="0.25">
      <c r="A506" s="113"/>
      <c r="B506" s="108"/>
      <c r="C506" s="111"/>
      <c r="D506" s="111"/>
      <c r="E506" s="111"/>
      <c r="F506" s="108"/>
      <c r="G506" s="108"/>
      <c r="H506" s="112"/>
      <c r="I506" s="111"/>
      <c r="J506" s="111"/>
      <c r="K506" s="111"/>
      <c r="L506" s="108"/>
      <c r="M506" s="108"/>
      <c r="N506" s="108"/>
      <c r="O506" s="108"/>
      <c r="P506" s="111"/>
      <c r="Q506" s="111"/>
      <c r="R506" s="111"/>
      <c r="S506" s="108"/>
      <c r="T506" s="110"/>
    </row>
    <row r="507" spans="1:20" x14ac:dyDescent="0.25">
      <c r="A507" s="113"/>
      <c r="B507" s="108"/>
      <c r="C507" s="111"/>
      <c r="D507" s="111"/>
      <c r="E507" s="111"/>
      <c r="F507" s="108"/>
      <c r="G507" s="108"/>
      <c r="H507" s="112"/>
      <c r="I507" s="111"/>
      <c r="J507" s="111"/>
      <c r="K507" s="111"/>
      <c r="L507" s="108"/>
      <c r="M507" s="108"/>
      <c r="N507" s="108"/>
      <c r="O507" s="108"/>
      <c r="P507" s="111"/>
      <c r="Q507" s="111"/>
      <c r="R507" s="111"/>
      <c r="S507" s="108"/>
      <c r="T507" s="110"/>
    </row>
    <row r="508" spans="1:20" x14ac:dyDescent="0.25">
      <c r="A508" s="113"/>
      <c r="B508" s="108"/>
      <c r="C508" s="111"/>
      <c r="D508" s="111"/>
      <c r="E508" s="111"/>
      <c r="F508" s="108"/>
      <c r="G508" s="108"/>
      <c r="H508" s="112"/>
      <c r="I508" s="111"/>
      <c r="J508" s="111"/>
      <c r="K508" s="111"/>
      <c r="L508" s="108"/>
      <c r="M508" s="108"/>
      <c r="N508" s="108"/>
      <c r="O508" s="108"/>
      <c r="P508" s="111"/>
      <c r="Q508" s="111"/>
      <c r="R508" s="111"/>
      <c r="S508" s="108"/>
      <c r="T508" s="110"/>
    </row>
    <row r="509" spans="1:20" x14ac:dyDescent="0.25">
      <c r="A509" s="113"/>
      <c r="B509" s="108"/>
      <c r="C509" s="111"/>
      <c r="D509" s="111"/>
      <c r="E509" s="111"/>
      <c r="F509" s="108"/>
      <c r="G509" s="108"/>
      <c r="H509" s="112"/>
      <c r="I509" s="111"/>
      <c r="J509" s="111"/>
      <c r="K509" s="111"/>
      <c r="L509" s="108"/>
      <c r="M509" s="108"/>
      <c r="N509" s="108"/>
      <c r="O509" s="108"/>
      <c r="P509" s="111"/>
      <c r="Q509" s="111"/>
      <c r="R509" s="111"/>
      <c r="S509" s="108"/>
      <c r="T509" s="110"/>
    </row>
    <row r="510" spans="1:20" x14ac:dyDescent="0.25">
      <c r="A510" s="113"/>
      <c r="B510" s="108"/>
      <c r="C510" s="111"/>
      <c r="D510" s="111"/>
      <c r="E510" s="111"/>
      <c r="F510" s="108"/>
      <c r="G510" s="108"/>
      <c r="H510" s="112"/>
      <c r="I510" s="111"/>
      <c r="J510" s="111"/>
      <c r="K510" s="111"/>
      <c r="L510" s="108"/>
      <c r="M510" s="108"/>
      <c r="N510" s="108"/>
      <c r="O510" s="108"/>
      <c r="P510" s="111"/>
      <c r="Q510" s="111"/>
      <c r="R510" s="111"/>
      <c r="S510" s="108"/>
      <c r="T510" s="110"/>
    </row>
    <row r="511" spans="1:20" x14ac:dyDescent="0.25">
      <c r="A511" s="113"/>
      <c r="B511" s="108"/>
      <c r="C511" s="111"/>
      <c r="D511" s="111"/>
      <c r="E511" s="111"/>
      <c r="F511" s="108"/>
      <c r="G511" s="108"/>
      <c r="H511" s="112"/>
      <c r="I511" s="111"/>
      <c r="J511" s="111"/>
      <c r="K511" s="111"/>
      <c r="L511" s="108"/>
      <c r="M511" s="108"/>
      <c r="N511" s="108"/>
      <c r="O511" s="108"/>
      <c r="P511" s="111"/>
      <c r="Q511" s="111"/>
      <c r="R511" s="111"/>
      <c r="S511" s="108"/>
      <c r="T511" s="110"/>
    </row>
    <row r="512" spans="1:20" x14ac:dyDescent="0.25">
      <c r="A512" s="113"/>
      <c r="B512" s="108"/>
      <c r="C512" s="111"/>
      <c r="D512" s="111"/>
      <c r="E512" s="111"/>
      <c r="F512" s="108"/>
      <c r="G512" s="108"/>
      <c r="H512" s="112"/>
      <c r="I512" s="111"/>
      <c r="J512" s="111"/>
      <c r="K512" s="111"/>
      <c r="L512" s="108"/>
      <c r="M512" s="108"/>
      <c r="N512" s="108"/>
      <c r="O512" s="108"/>
      <c r="P512" s="111"/>
      <c r="Q512" s="111"/>
      <c r="R512" s="111"/>
      <c r="S512" s="108"/>
      <c r="T512" s="110"/>
    </row>
    <row r="513" spans="1:20" x14ac:dyDescent="0.25">
      <c r="A513" s="113"/>
      <c r="B513" s="108"/>
      <c r="C513" s="111"/>
      <c r="D513" s="111"/>
      <c r="E513" s="111"/>
      <c r="F513" s="108"/>
      <c r="G513" s="108"/>
      <c r="H513" s="112"/>
      <c r="I513" s="111"/>
      <c r="J513" s="111"/>
      <c r="K513" s="111"/>
      <c r="L513" s="108"/>
      <c r="M513" s="108"/>
      <c r="N513" s="108"/>
      <c r="O513" s="108"/>
      <c r="P513" s="111"/>
      <c r="Q513" s="111"/>
      <c r="R513" s="111"/>
      <c r="S513" s="108"/>
      <c r="T513" s="110"/>
    </row>
    <row r="514" spans="1:20" x14ac:dyDescent="0.25">
      <c r="A514" s="113"/>
      <c r="B514" s="108"/>
      <c r="C514" s="111"/>
      <c r="D514" s="111"/>
      <c r="E514" s="111"/>
      <c r="F514" s="108"/>
      <c r="G514" s="108"/>
      <c r="H514" s="112"/>
      <c r="I514" s="111"/>
      <c r="J514" s="111"/>
      <c r="K514" s="111"/>
      <c r="L514" s="108"/>
      <c r="M514" s="108"/>
      <c r="N514" s="108"/>
      <c r="O514" s="108"/>
      <c r="P514" s="111"/>
      <c r="Q514" s="111"/>
      <c r="R514" s="111"/>
      <c r="S514" s="108"/>
      <c r="T514" s="110"/>
    </row>
    <row r="515" spans="1:20" x14ac:dyDescent="0.25">
      <c r="A515" s="113"/>
      <c r="B515" s="108"/>
      <c r="C515" s="111"/>
      <c r="D515" s="111"/>
      <c r="E515" s="111"/>
      <c r="F515" s="108"/>
      <c r="G515" s="108"/>
      <c r="H515" s="112"/>
      <c r="I515" s="111"/>
      <c r="J515" s="111"/>
      <c r="K515" s="111"/>
      <c r="L515" s="108"/>
      <c r="M515" s="108"/>
      <c r="N515" s="108"/>
      <c r="O515" s="108"/>
      <c r="P515" s="111"/>
      <c r="Q515" s="111"/>
      <c r="R515" s="111"/>
      <c r="S515" s="108"/>
      <c r="T515" s="110"/>
    </row>
    <row r="516" spans="1:20" x14ac:dyDescent="0.25">
      <c r="A516" s="113"/>
      <c r="B516" s="108"/>
      <c r="C516" s="111"/>
      <c r="D516" s="111"/>
      <c r="E516" s="111"/>
      <c r="F516" s="108"/>
      <c r="G516" s="108"/>
      <c r="H516" s="112"/>
      <c r="I516" s="111"/>
      <c r="J516" s="111"/>
      <c r="K516" s="111"/>
      <c r="L516" s="108"/>
      <c r="M516" s="108"/>
      <c r="N516" s="108"/>
      <c r="O516" s="108"/>
      <c r="P516" s="111"/>
      <c r="Q516" s="111"/>
      <c r="R516" s="111"/>
      <c r="S516" s="108"/>
      <c r="T516" s="110"/>
    </row>
    <row r="517" spans="1:20" x14ac:dyDescent="0.25">
      <c r="A517" s="113"/>
      <c r="B517" s="108"/>
      <c r="C517" s="111"/>
      <c r="D517" s="111"/>
      <c r="E517" s="111"/>
      <c r="F517" s="108"/>
      <c r="G517" s="108"/>
      <c r="H517" s="112"/>
      <c r="I517" s="111"/>
      <c r="J517" s="111"/>
      <c r="K517" s="111"/>
      <c r="L517" s="108"/>
      <c r="M517" s="108"/>
      <c r="N517" s="108"/>
      <c r="O517" s="108"/>
      <c r="P517" s="111"/>
      <c r="Q517" s="111"/>
      <c r="R517" s="111"/>
      <c r="S517" s="108"/>
      <c r="T517" s="110"/>
    </row>
    <row r="518" spans="1:20" x14ac:dyDescent="0.25">
      <c r="A518" s="113"/>
      <c r="B518" s="108"/>
      <c r="C518" s="111"/>
      <c r="D518" s="111"/>
      <c r="E518" s="111"/>
      <c r="F518" s="108"/>
      <c r="G518" s="108"/>
      <c r="H518" s="112"/>
      <c r="I518" s="111"/>
      <c r="J518" s="111"/>
      <c r="K518" s="111"/>
      <c r="L518" s="108"/>
      <c r="M518" s="108"/>
      <c r="N518" s="108"/>
      <c r="O518" s="108"/>
      <c r="P518" s="111"/>
      <c r="Q518" s="111"/>
      <c r="R518" s="111"/>
      <c r="S518" s="108"/>
      <c r="T518" s="110"/>
    </row>
    <row r="519" spans="1:20" x14ac:dyDescent="0.25">
      <c r="A519" s="113"/>
      <c r="B519" s="108"/>
      <c r="C519" s="111"/>
      <c r="D519" s="111"/>
      <c r="E519" s="111"/>
      <c r="F519" s="108"/>
      <c r="G519" s="108"/>
      <c r="H519" s="112"/>
      <c r="I519" s="111"/>
      <c r="J519" s="111"/>
      <c r="K519" s="111"/>
      <c r="L519" s="108"/>
      <c r="M519" s="108"/>
      <c r="N519" s="108"/>
      <c r="O519" s="108"/>
      <c r="P519" s="111"/>
      <c r="Q519" s="111"/>
      <c r="R519" s="111"/>
      <c r="S519" s="108"/>
      <c r="T519" s="110"/>
    </row>
    <row r="520" spans="1:20" x14ac:dyDescent="0.25">
      <c r="A520" s="113"/>
      <c r="B520" s="108"/>
      <c r="C520" s="111"/>
      <c r="D520" s="111"/>
      <c r="E520" s="111"/>
      <c r="F520" s="108"/>
      <c r="G520" s="108"/>
      <c r="H520" s="112"/>
      <c r="I520" s="111"/>
      <c r="J520" s="111"/>
      <c r="K520" s="111"/>
      <c r="L520" s="108"/>
      <c r="M520" s="108"/>
      <c r="N520" s="108"/>
      <c r="O520" s="108"/>
      <c r="P520" s="111"/>
      <c r="Q520" s="111"/>
      <c r="R520" s="111"/>
      <c r="S520" s="108"/>
      <c r="T520" s="110"/>
    </row>
    <row r="521" spans="1:20" x14ac:dyDescent="0.25">
      <c r="A521" s="113"/>
      <c r="B521" s="108"/>
      <c r="C521" s="111"/>
      <c r="D521" s="111"/>
      <c r="E521" s="111"/>
      <c r="F521" s="108"/>
      <c r="G521" s="108"/>
      <c r="H521" s="112"/>
      <c r="I521" s="111"/>
      <c r="J521" s="111"/>
      <c r="K521" s="111"/>
      <c r="L521" s="108"/>
      <c r="M521" s="108"/>
      <c r="N521" s="108"/>
      <c r="O521" s="108"/>
      <c r="P521" s="111"/>
      <c r="Q521" s="111"/>
      <c r="R521" s="111"/>
      <c r="S521" s="108"/>
      <c r="T521" s="110"/>
    </row>
    <row r="522" spans="1:20" x14ac:dyDescent="0.25">
      <c r="A522" s="113"/>
      <c r="B522" s="108"/>
      <c r="C522" s="111"/>
      <c r="D522" s="111"/>
      <c r="E522" s="111"/>
      <c r="F522" s="108"/>
      <c r="G522" s="108"/>
      <c r="H522" s="112"/>
      <c r="I522" s="111"/>
      <c r="J522" s="111"/>
      <c r="K522" s="111"/>
      <c r="L522" s="108"/>
      <c r="M522" s="108"/>
      <c r="N522" s="108"/>
      <c r="O522" s="108"/>
      <c r="P522" s="111"/>
      <c r="Q522" s="111"/>
      <c r="R522" s="111"/>
      <c r="S522" s="108"/>
      <c r="T522" s="110"/>
    </row>
    <row r="523" spans="1:20" x14ac:dyDescent="0.25">
      <c r="A523" s="113"/>
      <c r="B523" s="108"/>
      <c r="C523" s="111"/>
      <c r="D523" s="111"/>
      <c r="E523" s="111"/>
      <c r="F523" s="108"/>
      <c r="G523" s="108"/>
      <c r="H523" s="112"/>
      <c r="I523" s="111"/>
      <c r="J523" s="111"/>
      <c r="K523" s="111"/>
      <c r="L523" s="108"/>
      <c r="M523" s="108"/>
      <c r="N523" s="108"/>
      <c r="O523" s="108"/>
      <c r="P523" s="111"/>
      <c r="Q523" s="111"/>
      <c r="R523" s="111"/>
      <c r="S523" s="108"/>
      <c r="T523" s="110"/>
    </row>
    <row r="524" spans="1:20" x14ac:dyDescent="0.25">
      <c r="A524" s="113"/>
      <c r="B524" s="108"/>
      <c r="C524" s="111"/>
      <c r="D524" s="111"/>
      <c r="E524" s="111"/>
      <c r="F524" s="108"/>
      <c r="G524" s="108"/>
      <c r="H524" s="112"/>
      <c r="I524" s="111"/>
      <c r="J524" s="111"/>
      <c r="K524" s="111"/>
      <c r="L524" s="108"/>
      <c r="M524" s="108"/>
      <c r="N524" s="108"/>
      <c r="O524" s="108"/>
      <c r="P524" s="111"/>
      <c r="Q524" s="111"/>
      <c r="R524" s="111"/>
      <c r="S524" s="108"/>
      <c r="T524" s="110"/>
    </row>
    <row r="525" spans="1:20" x14ac:dyDescent="0.25">
      <c r="A525" s="113"/>
      <c r="B525" s="108"/>
      <c r="C525" s="111"/>
      <c r="D525" s="111"/>
      <c r="E525" s="111"/>
      <c r="F525" s="108"/>
      <c r="G525" s="108"/>
      <c r="H525" s="112"/>
      <c r="I525" s="111"/>
      <c r="J525" s="111"/>
      <c r="K525" s="111"/>
      <c r="L525" s="108"/>
      <c r="M525" s="108"/>
      <c r="N525" s="108"/>
      <c r="O525" s="108"/>
      <c r="P525" s="111"/>
      <c r="Q525" s="111"/>
      <c r="R525" s="111"/>
      <c r="S525" s="108"/>
      <c r="T525" s="110"/>
    </row>
    <row r="526" spans="1:20" x14ac:dyDescent="0.25">
      <c r="A526" s="113"/>
      <c r="B526" s="108"/>
      <c r="C526" s="111"/>
      <c r="D526" s="111"/>
      <c r="E526" s="111"/>
      <c r="F526" s="108"/>
      <c r="G526" s="108"/>
      <c r="H526" s="112"/>
      <c r="I526" s="111"/>
      <c r="J526" s="111"/>
      <c r="K526" s="111"/>
      <c r="L526" s="108"/>
      <c r="M526" s="108"/>
      <c r="N526" s="108"/>
      <c r="O526" s="108"/>
      <c r="P526" s="111"/>
      <c r="Q526" s="111"/>
      <c r="R526" s="111"/>
      <c r="S526" s="108"/>
      <c r="T526" s="110"/>
    </row>
    <row r="527" spans="1:20" x14ac:dyDescent="0.25">
      <c r="A527" s="113"/>
      <c r="B527" s="108"/>
      <c r="C527" s="111"/>
      <c r="D527" s="111"/>
      <c r="E527" s="111"/>
      <c r="F527" s="108"/>
      <c r="G527" s="108"/>
      <c r="H527" s="112"/>
      <c r="I527" s="111"/>
      <c r="J527" s="111"/>
      <c r="K527" s="111"/>
      <c r="L527" s="108"/>
      <c r="M527" s="108"/>
      <c r="N527" s="108"/>
      <c r="O527" s="108"/>
      <c r="P527" s="111"/>
      <c r="Q527" s="111"/>
      <c r="R527" s="111"/>
      <c r="S527" s="108"/>
      <c r="T527" s="110"/>
    </row>
    <row r="528" spans="1:20" x14ac:dyDescent="0.25">
      <c r="A528" s="113"/>
      <c r="B528" s="108"/>
      <c r="C528" s="111"/>
      <c r="D528" s="111"/>
      <c r="E528" s="111"/>
      <c r="F528" s="108"/>
      <c r="G528" s="108"/>
      <c r="H528" s="112"/>
      <c r="I528" s="111"/>
      <c r="J528" s="111"/>
      <c r="K528" s="111"/>
      <c r="L528" s="108"/>
      <c r="M528" s="108"/>
      <c r="N528" s="108"/>
      <c r="O528" s="108"/>
      <c r="P528" s="111"/>
      <c r="Q528" s="111"/>
      <c r="R528" s="111"/>
      <c r="S528" s="108"/>
      <c r="T528" s="110"/>
    </row>
    <row r="529" spans="1:20" x14ac:dyDescent="0.25">
      <c r="A529" s="113"/>
      <c r="B529" s="108"/>
      <c r="C529" s="111"/>
      <c r="D529" s="111"/>
      <c r="E529" s="111"/>
      <c r="F529" s="108"/>
      <c r="G529" s="108"/>
      <c r="H529" s="112"/>
      <c r="I529" s="111"/>
      <c r="J529" s="111"/>
      <c r="K529" s="111"/>
      <c r="L529" s="108"/>
      <c r="M529" s="108"/>
      <c r="N529" s="108"/>
      <c r="O529" s="108"/>
      <c r="P529" s="111"/>
      <c r="Q529" s="111"/>
      <c r="R529" s="111"/>
      <c r="S529" s="108"/>
      <c r="T529" s="110"/>
    </row>
    <row r="530" spans="1:20" x14ac:dyDescent="0.25">
      <c r="A530" s="113"/>
      <c r="B530" s="108"/>
      <c r="C530" s="111"/>
      <c r="D530" s="111"/>
      <c r="E530" s="111"/>
      <c r="F530" s="108"/>
      <c r="G530" s="108"/>
      <c r="H530" s="112"/>
      <c r="I530" s="111"/>
      <c r="J530" s="111"/>
      <c r="K530" s="111"/>
      <c r="L530" s="108"/>
      <c r="M530" s="108"/>
      <c r="N530" s="108"/>
      <c r="O530" s="108"/>
      <c r="P530" s="111"/>
      <c r="Q530" s="111"/>
      <c r="R530" s="111"/>
      <c r="S530" s="108"/>
      <c r="T530" s="110"/>
    </row>
    <row r="531" spans="1:20" x14ac:dyDescent="0.25">
      <c r="A531" s="113"/>
      <c r="B531" s="108"/>
      <c r="C531" s="111"/>
      <c r="D531" s="111"/>
      <c r="E531" s="111"/>
      <c r="F531" s="108"/>
      <c r="G531" s="108"/>
      <c r="H531" s="112"/>
      <c r="I531" s="111"/>
      <c r="J531" s="111"/>
      <c r="K531" s="111"/>
      <c r="L531" s="108"/>
      <c r="M531" s="108"/>
      <c r="N531" s="108"/>
      <c r="O531" s="108"/>
      <c r="P531" s="111"/>
      <c r="Q531" s="111"/>
      <c r="R531" s="111"/>
      <c r="S531" s="108"/>
      <c r="T531" s="110"/>
    </row>
    <row r="532" spans="1:20" x14ac:dyDescent="0.25">
      <c r="A532" s="113"/>
      <c r="B532" s="108"/>
      <c r="C532" s="111"/>
      <c r="D532" s="111"/>
      <c r="E532" s="111"/>
      <c r="F532" s="108"/>
      <c r="G532" s="108"/>
      <c r="H532" s="112"/>
      <c r="I532" s="111"/>
      <c r="J532" s="111"/>
      <c r="K532" s="111"/>
      <c r="L532" s="108"/>
      <c r="M532" s="108"/>
      <c r="N532" s="108"/>
      <c r="O532" s="108"/>
      <c r="P532" s="111"/>
      <c r="Q532" s="111"/>
      <c r="R532" s="111"/>
      <c r="S532" s="108"/>
      <c r="T532" s="110"/>
    </row>
    <row r="533" spans="1:20" x14ac:dyDescent="0.25">
      <c r="A533" s="113"/>
      <c r="B533" s="108"/>
      <c r="C533" s="111"/>
      <c r="D533" s="111"/>
      <c r="E533" s="111"/>
      <c r="F533" s="108"/>
      <c r="G533" s="108"/>
      <c r="H533" s="112"/>
      <c r="I533" s="111"/>
      <c r="J533" s="111"/>
      <c r="K533" s="111"/>
      <c r="L533" s="108"/>
      <c r="M533" s="108"/>
      <c r="N533" s="108"/>
      <c r="O533" s="108"/>
      <c r="P533" s="111"/>
      <c r="Q533" s="111"/>
      <c r="R533" s="111"/>
      <c r="S533" s="108"/>
      <c r="T533" s="110"/>
    </row>
    <row r="534" spans="1:20" x14ac:dyDescent="0.25">
      <c r="A534" s="113"/>
      <c r="B534" s="108"/>
      <c r="C534" s="111"/>
      <c r="D534" s="111"/>
      <c r="E534" s="111"/>
      <c r="F534" s="108"/>
      <c r="G534" s="108"/>
      <c r="H534" s="112"/>
      <c r="I534" s="111"/>
      <c r="J534" s="111"/>
      <c r="K534" s="111"/>
      <c r="L534" s="108"/>
      <c r="M534" s="108"/>
      <c r="N534" s="108"/>
      <c r="O534" s="108"/>
      <c r="P534" s="111"/>
      <c r="Q534" s="111"/>
      <c r="R534" s="111"/>
      <c r="S534" s="108"/>
      <c r="T534" s="110"/>
    </row>
    <row r="535" spans="1:20" x14ac:dyDescent="0.25">
      <c r="A535" s="113"/>
      <c r="B535" s="108"/>
      <c r="C535" s="111"/>
      <c r="D535" s="111"/>
      <c r="E535" s="111"/>
      <c r="F535" s="108"/>
      <c r="G535" s="108"/>
      <c r="H535" s="112"/>
      <c r="I535" s="111"/>
      <c r="J535" s="111"/>
      <c r="K535" s="111"/>
      <c r="L535" s="108"/>
      <c r="M535" s="108"/>
      <c r="N535" s="108"/>
      <c r="O535" s="108"/>
      <c r="P535" s="111"/>
      <c r="Q535" s="111"/>
      <c r="R535" s="111"/>
      <c r="S535" s="108"/>
      <c r="T535" s="110"/>
    </row>
    <row r="536" spans="1:20" x14ac:dyDescent="0.25">
      <c r="A536" s="113"/>
      <c r="B536" s="108"/>
      <c r="C536" s="111"/>
      <c r="D536" s="111"/>
      <c r="E536" s="111"/>
      <c r="F536" s="108"/>
      <c r="G536" s="108"/>
      <c r="H536" s="112"/>
      <c r="I536" s="111"/>
      <c r="J536" s="111"/>
      <c r="K536" s="111"/>
      <c r="L536" s="108"/>
      <c r="M536" s="108"/>
      <c r="N536" s="108"/>
      <c r="O536" s="108"/>
      <c r="P536" s="111"/>
      <c r="Q536" s="111"/>
      <c r="R536" s="111"/>
      <c r="S536" s="108"/>
      <c r="T536" s="110"/>
    </row>
    <row r="537" spans="1:20" x14ac:dyDescent="0.25">
      <c r="A537" s="113"/>
      <c r="B537" s="108"/>
      <c r="C537" s="111"/>
      <c r="D537" s="111"/>
      <c r="E537" s="111"/>
      <c r="F537" s="108"/>
      <c r="G537" s="108"/>
      <c r="H537" s="112"/>
      <c r="I537" s="111"/>
      <c r="J537" s="111"/>
      <c r="K537" s="111"/>
      <c r="L537" s="108"/>
      <c r="M537" s="108"/>
      <c r="N537" s="108"/>
      <c r="O537" s="108"/>
      <c r="P537" s="111"/>
      <c r="Q537" s="111"/>
      <c r="R537" s="111"/>
      <c r="S537" s="108"/>
      <c r="T537" s="110"/>
    </row>
    <row r="538" spans="1:20" x14ac:dyDescent="0.25">
      <c r="A538" s="113"/>
      <c r="B538" s="108"/>
      <c r="C538" s="111"/>
      <c r="D538" s="111"/>
      <c r="E538" s="111"/>
      <c r="F538" s="108"/>
      <c r="G538" s="108"/>
      <c r="H538" s="112"/>
      <c r="I538" s="111"/>
      <c r="J538" s="111"/>
      <c r="K538" s="111"/>
      <c r="L538" s="108"/>
      <c r="M538" s="108"/>
      <c r="N538" s="108"/>
      <c r="O538" s="108"/>
      <c r="P538" s="111"/>
      <c r="Q538" s="111"/>
      <c r="R538" s="111"/>
      <c r="S538" s="108"/>
      <c r="T538" s="110"/>
    </row>
    <row r="539" spans="1:20" x14ac:dyDescent="0.25">
      <c r="A539" s="113"/>
      <c r="B539" s="108"/>
      <c r="C539" s="111"/>
      <c r="D539" s="111"/>
      <c r="E539" s="111"/>
      <c r="F539" s="108"/>
      <c r="G539" s="108"/>
      <c r="H539" s="112"/>
      <c r="I539" s="111"/>
      <c r="J539" s="111"/>
      <c r="K539" s="111"/>
      <c r="L539" s="108"/>
      <c r="M539" s="108"/>
      <c r="N539" s="108"/>
      <c r="O539" s="108"/>
      <c r="P539" s="111"/>
      <c r="Q539" s="111"/>
      <c r="R539" s="111"/>
      <c r="S539" s="108"/>
      <c r="T539" s="110"/>
    </row>
    <row r="540" spans="1:20" x14ac:dyDescent="0.25">
      <c r="A540" s="113"/>
      <c r="B540" s="108"/>
      <c r="C540" s="111"/>
      <c r="D540" s="111"/>
      <c r="E540" s="111"/>
      <c r="F540" s="108"/>
      <c r="G540" s="108"/>
      <c r="H540" s="112"/>
      <c r="I540" s="111"/>
      <c r="J540" s="111"/>
      <c r="K540" s="111"/>
      <c r="L540" s="108"/>
      <c r="M540" s="108"/>
      <c r="N540" s="108"/>
      <c r="O540" s="108"/>
      <c r="P540" s="111"/>
      <c r="Q540" s="111"/>
      <c r="R540" s="111"/>
      <c r="S540" s="108"/>
      <c r="T540" s="110"/>
    </row>
    <row r="541" spans="1:20" x14ac:dyDescent="0.25">
      <c r="A541" s="113"/>
      <c r="B541" s="108"/>
      <c r="C541" s="111"/>
      <c r="D541" s="111"/>
      <c r="E541" s="111"/>
      <c r="F541" s="108"/>
      <c r="G541" s="108"/>
      <c r="H541" s="112"/>
      <c r="I541" s="111"/>
      <c r="J541" s="111"/>
      <c r="K541" s="111"/>
      <c r="L541" s="108"/>
      <c r="M541" s="108"/>
      <c r="N541" s="108"/>
      <c r="O541" s="108"/>
      <c r="P541" s="111"/>
      <c r="Q541" s="111"/>
      <c r="R541" s="111"/>
      <c r="S541" s="108"/>
      <c r="T541" s="110"/>
    </row>
    <row r="542" spans="1:20" x14ac:dyDescent="0.25">
      <c r="A542" s="113"/>
      <c r="B542" s="108"/>
      <c r="C542" s="111"/>
      <c r="D542" s="111"/>
      <c r="E542" s="111"/>
      <c r="F542" s="108"/>
      <c r="G542" s="108"/>
      <c r="H542" s="112"/>
      <c r="I542" s="111"/>
      <c r="J542" s="111"/>
      <c r="K542" s="111"/>
      <c r="L542" s="108"/>
      <c r="M542" s="108"/>
      <c r="N542" s="108"/>
      <c r="O542" s="108"/>
      <c r="P542" s="111"/>
      <c r="Q542" s="111"/>
      <c r="R542" s="111"/>
      <c r="S542" s="108"/>
      <c r="T542" s="110"/>
    </row>
    <row r="543" spans="1:20" x14ac:dyDescent="0.25">
      <c r="A543" s="113"/>
      <c r="B543" s="108"/>
      <c r="C543" s="111"/>
      <c r="D543" s="111"/>
      <c r="E543" s="111"/>
      <c r="F543" s="108"/>
      <c r="G543" s="108"/>
      <c r="H543" s="112"/>
      <c r="I543" s="111"/>
      <c r="J543" s="111"/>
      <c r="K543" s="111"/>
      <c r="L543" s="108"/>
      <c r="M543" s="108"/>
      <c r="N543" s="108"/>
      <c r="O543" s="108"/>
      <c r="P543" s="111"/>
      <c r="Q543" s="111"/>
      <c r="R543" s="111"/>
      <c r="S543" s="108"/>
      <c r="T543" s="110"/>
    </row>
    <row r="544" spans="1:20" x14ac:dyDescent="0.25">
      <c r="A544" s="113"/>
      <c r="B544" s="108"/>
      <c r="C544" s="111"/>
      <c r="D544" s="111"/>
      <c r="E544" s="111"/>
      <c r="F544" s="108"/>
      <c r="G544" s="108"/>
      <c r="H544" s="112"/>
      <c r="I544" s="111"/>
      <c r="J544" s="111"/>
      <c r="K544" s="111"/>
      <c r="L544" s="108"/>
      <c r="M544" s="108"/>
      <c r="N544" s="108"/>
      <c r="O544" s="108"/>
      <c r="P544" s="111"/>
      <c r="Q544" s="111"/>
      <c r="R544" s="111"/>
      <c r="S544" s="108"/>
      <c r="T544" s="110"/>
    </row>
    <row r="545" spans="1:20" x14ac:dyDescent="0.25">
      <c r="A545" s="113"/>
      <c r="B545" s="108"/>
      <c r="C545" s="111"/>
      <c r="D545" s="111"/>
      <c r="E545" s="111"/>
      <c r="F545" s="108"/>
      <c r="G545" s="108"/>
      <c r="H545" s="112"/>
      <c r="I545" s="111"/>
      <c r="J545" s="111"/>
      <c r="K545" s="111"/>
      <c r="L545" s="108"/>
      <c r="M545" s="108"/>
      <c r="N545" s="108"/>
      <c r="O545" s="108"/>
      <c r="P545" s="111"/>
      <c r="Q545" s="111"/>
      <c r="R545" s="111"/>
      <c r="S545" s="108"/>
      <c r="T545" s="110"/>
    </row>
    <row r="546" spans="1:20" x14ac:dyDescent="0.25">
      <c r="A546" s="113"/>
      <c r="B546" s="108"/>
      <c r="C546" s="111"/>
      <c r="D546" s="111"/>
      <c r="E546" s="111"/>
      <c r="F546" s="108"/>
      <c r="G546" s="108"/>
      <c r="H546" s="112"/>
      <c r="I546" s="111"/>
      <c r="J546" s="111"/>
      <c r="K546" s="111"/>
      <c r="L546" s="108"/>
      <c r="M546" s="108"/>
      <c r="N546" s="108"/>
      <c r="O546" s="108"/>
      <c r="P546" s="111"/>
      <c r="Q546" s="111"/>
      <c r="R546" s="111"/>
      <c r="S546" s="108"/>
      <c r="T546" s="110"/>
    </row>
    <row r="547" spans="1:20" x14ac:dyDescent="0.25">
      <c r="A547" s="113"/>
      <c r="B547" s="108"/>
      <c r="C547" s="111"/>
      <c r="D547" s="111"/>
      <c r="E547" s="111"/>
      <c r="F547" s="108"/>
      <c r="G547" s="108"/>
      <c r="H547" s="112"/>
      <c r="I547" s="111"/>
      <c r="J547" s="111"/>
      <c r="K547" s="111"/>
      <c r="L547" s="108"/>
      <c r="M547" s="108"/>
      <c r="N547" s="108"/>
      <c r="O547" s="108"/>
      <c r="P547" s="111"/>
      <c r="Q547" s="111"/>
      <c r="R547" s="111"/>
      <c r="S547" s="108"/>
      <c r="T547" s="110"/>
    </row>
    <row r="548" spans="1:20" x14ac:dyDescent="0.25">
      <c r="A548" s="113"/>
      <c r="B548" s="108"/>
      <c r="C548" s="111"/>
      <c r="D548" s="111"/>
      <c r="E548" s="111"/>
      <c r="F548" s="108"/>
      <c r="G548" s="108"/>
      <c r="H548" s="112"/>
      <c r="I548" s="111"/>
      <c r="J548" s="111"/>
      <c r="K548" s="111"/>
      <c r="L548" s="108"/>
      <c r="M548" s="108"/>
      <c r="N548" s="108"/>
      <c r="O548" s="108"/>
      <c r="P548" s="111"/>
      <c r="Q548" s="111"/>
      <c r="R548" s="111"/>
      <c r="S548" s="108"/>
      <c r="T548" s="110"/>
    </row>
    <row r="549" spans="1:20" x14ac:dyDescent="0.25">
      <c r="A549" s="113"/>
      <c r="B549" s="108"/>
      <c r="C549" s="111"/>
      <c r="D549" s="111"/>
      <c r="E549" s="111"/>
      <c r="F549" s="108"/>
      <c r="G549" s="108"/>
      <c r="H549" s="112"/>
      <c r="I549" s="111"/>
      <c r="J549" s="111"/>
      <c r="K549" s="111"/>
      <c r="L549" s="108"/>
      <c r="M549" s="108"/>
      <c r="N549" s="108"/>
      <c r="O549" s="108"/>
      <c r="P549" s="111"/>
      <c r="Q549" s="111"/>
      <c r="R549" s="111"/>
      <c r="S549" s="108"/>
      <c r="T549" s="110"/>
    </row>
    <row r="550" spans="1:20" x14ac:dyDescent="0.25">
      <c r="A550" s="113"/>
      <c r="B550" s="108"/>
      <c r="C550" s="111"/>
      <c r="D550" s="111"/>
      <c r="E550" s="111"/>
      <c r="F550" s="108"/>
      <c r="G550" s="108"/>
      <c r="H550" s="112"/>
      <c r="I550" s="111"/>
      <c r="J550" s="111"/>
      <c r="K550" s="111"/>
      <c r="L550" s="108"/>
      <c r="M550" s="108"/>
      <c r="N550" s="108"/>
      <c r="O550" s="108"/>
      <c r="P550" s="111"/>
      <c r="Q550" s="111"/>
      <c r="R550" s="111"/>
      <c r="S550" s="108"/>
      <c r="T550" s="110"/>
    </row>
    <row r="555" spans="1:20" x14ac:dyDescent="0.25">
      <c r="K555" t="s">
        <v>697</v>
      </c>
    </row>
    <row r="556" spans="1:20" x14ac:dyDescent="0.25">
      <c r="E556" t="s">
        <v>697</v>
      </c>
    </row>
    <row r="562" spans="8:12" x14ac:dyDescent="0.25">
      <c r="L562" t="s">
        <v>697</v>
      </c>
    </row>
    <row r="565" spans="8:12" x14ac:dyDescent="0.25">
      <c r="H565" s="109" t="s">
        <v>697</v>
      </c>
    </row>
  </sheetData>
  <mergeCells count="2">
    <mergeCell ref="P1:Q1"/>
    <mergeCell ref="M1:O1"/>
  </mergeCells>
  <conditionalFormatting sqref="P3:P550">
    <cfRule type="expression" dxfId="1" priority="1">
      <formula>P3 &lt;&gt; SUM(#REF!)</formula>
    </cfRule>
  </conditionalFormatting>
  <conditionalFormatting sqref="Q3:Q550">
    <cfRule type="expression" dxfId="0" priority="2">
      <formula>Q3&lt;&gt;SUM(#REF!)</formula>
    </cfRule>
  </conditionalFormatting>
  <dataValidations count="2">
    <dataValidation type="list" allowBlank="1" showInputMessage="1" showErrorMessage="1" sqref="F3:F550" xr:uid="{00000000-0002-0000-0B00-000000000000}">
      <formula1>"Ward,Village,Camp"</formula1>
    </dataValidation>
    <dataValidation type="list" allowBlank="1" showInputMessage="1" showErrorMessage="1" sqref="G3:G550" xr:uid="{00000000-0002-0000-0B00-000001000000}">
      <formula1>"IDP, Refugee, Others"</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2000000}">
          <x14:formula1>
            <xm:f>'C:\Users\MangLamPau(RIMMR)\OneDrive - Relief International\BHA\BHA_Form&amp;Format_Draft_2024\Nutrition\New folder\[Jun_16_2024_BHA_MEAL_database_Combined.xlsx]datavalidation'!#REF!</xm:f>
          </x14:formula1>
          <xm:sqref>I3:I550 B3:B550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V49"/>
  <sheetViews>
    <sheetView zoomScale="84" zoomScaleNormal="85" workbookViewId="0">
      <selection activeCell="J8" sqref="J8"/>
    </sheetView>
  </sheetViews>
  <sheetFormatPr defaultColWidth="12" defaultRowHeight="15.75" customHeight="1" x14ac:dyDescent="0.25"/>
  <cols>
    <col min="1" max="1" width="4.85546875" style="79" customWidth="1"/>
    <col min="2" max="2" width="25.5703125" style="79" customWidth="1"/>
    <col min="3" max="3" width="28" style="79" customWidth="1"/>
    <col min="4" max="4" width="8.140625" style="79" customWidth="1"/>
    <col min="5" max="5" width="9.140625" style="79" customWidth="1"/>
    <col min="6" max="6" width="24.5703125" style="79" customWidth="1"/>
    <col min="7" max="9" width="19" style="79" customWidth="1"/>
    <col min="10" max="10" width="28.140625" style="79" customWidth="1"/>
    <col min="11" max="11" width="25.140625" style="79" customWidth="1"/>
    <col min="12" max="12" width="36.140625" style="79" customWidth="1"/>
    <col min="13" max="13" width="27.140625" style="79" customWidth="1"/>
    <col min="14" max="14" width="34.85546875" style="79" customWidth="1"/>
    <col min="15" max="15" width="24" style="79" customWidth="1"/>
    <col min="16" max="17" width="20.85546875" style="79" customWidth="1"/>
    <col min="18" max="18" width="17.85546875" style="79" customWidth="1"/>
    <col min="19" max="19" width="18.5703125" style="79" customWidth="1"/>
    <col min="20" max="20" width="21.42578125" style="79" customWidth="1"/>
    <col min="21" max="21" width="24.5703125" style="79" customWidth="1"/>
    <col min="22" max="22" width="22.140625" style="79" customWidth="1"/>
    <col min="23" max="16384" width="12" style="79"/>
  </cols>
  <sheetData>
    <row r="1" spans="1:22" ht="25.5" customHeight="1" x14ac:dyDescent="0.35">
      <c r="B1" s="80" t="s">
        <v>698</v>
      </c>
      <c r="M1" s="99" t="s">
        <v>699</v>
      </c>
    </row>
    <row r="2" spans="1:22" ht="25.5" customHeight="1" x14ac:dyDescent="0.25">
      <c r="D2" s="81"/>
      <c r="M2" s="100" t="s">
        <v>700</v>
      </c>
    </row>
    <row r="3" spans="1:22" ht="25.5" customHeight="1" x14ac:dyDescent="0.25">
      <c r="C3" s="316" t="s">
        <v>701</v>
      </c>
      <c r="D3" s="317"/>
      <c r="E3" s="318"/>
      <c r="F3" s="319"/>
      <c r="G3" s="320" t="s">
        <v>702</v>
      </c>
      <c r="H3" s="321"/>
      <c r="I3" s="87"/>
      <c r="J3" s="87"/>
      <c r="K3" s="87"/>
      <c r="L3" s="87"/>
      <c r="M3" s="101" t="s">
        <v>703</v>
      </c>
    </row>
    <row r="4" spans="1:22" ht="25.5" customHeight="1" thickBot="1" x14ac:dyDescent="0.3">
      <c r="C4" s="316" t="s">
        <v>704</v>
      </c>
      <c r="D4" s="317"/>
      <c r="E4" s="318"/>
      <c r="F4" s="319"/>
      <c r="G4" s="320" t="s">
        <v>705</v>
      </c>
      <c r="H4" s="321"/>
      <c r="I4" s="87"/>
      <c r="J4" s="87"/>
      <c r="K4" s="87"/>
      <c r="L4" s="87"/>
      <c r="M4" s="101" t="s">
        <v>706</v>
      </c>
    </row>
    <row r="5" spans="1:22" s="86" customFormat="1" ht="47.45" customHeight="1" x14ac:dyDescent="0.25">
      <c r="A5" s="82" t="s">
        <v>654</v>
      </c>
      <c r="B5" s="83" t="s">
        <v>707</v>
      </c>
      <c r="C5" s="83" t="s">
        <v>708</v>
      </c>
      <c r="D5" s="83" t="s">
        <v>379</v>
      </c>
      <c r="E5" s="83" t="s">
        <v>305</v>
      </c>
      <c r="F5" s="83" t="s">
        <v>709</v>
      </c>
      <c r="G5" s="83" t="s">
        <v>367</v>
      </c>
      <c r="H5" s="83" t="s">
        <v>0</v>
      </c>
      <c r="I5" s="83" t="s">
        <v>710</v>
      </c>
      <c r="J5" s="83" t="s">
        <v>711</v>
      </c>
      <c r="K5" s="83" t="s">
        <v>712</v>
      </c>
      <c r="L5" s="83" t="s">
        <v>713</v>
      </c>
      <c r="M5" s="83" t="s">
        <v>714</v>
      </c>
      <c r="N5" s="83" t="s">
        <v>715</v>
      </c>
      <c r="O5" s="83" t="s">
        <v>716</v>
      </c>
      <c r="P5" s="84" t="s">
        <v>659</v>
      </c>
      <c r="Q5" s="83" t="s">
        <v>717</v>
      </c>
      <c r="R5" s="83" t="s">
        <v>718</v>
      </c>
      <c r="S5" s="83" t="s">
        <v>719</v>
      </c>
      <c r="T5" s="84" t="s">
        <v>720</v>
      </c>
      <c r="U5" s="85" t="s">
        <v>721</v>
      </c>
      <c r="V5" s="85" t="s">
        <v>637</v>
      </c>
    </row>
    <row r="6" spans="1:22" x14ac:dyDescent="0.25">
      <c r="A6" s="87"/>
      <c r="B6" s="87"/>
      <c r="C6" s="87"/>
      <c r="D6" s="87"/>
      <c r="E6" s="87"/>
      <c r="F6" s="87"/>
      <c r="G6" s="87"/>
      <c r="H6" s="87"/>
      <c r="I6" s="87"/>
      <c r="J6" s="87"/>
      <c r="K6" s="87" t="s">
        <v>722</v>
      </c>
      <c r="L6" s="87"/>
      <c r="M6" s="87"/>
      <c r="N6" s="87"/>
      <c r="O6" s="87"/>
      <c r="P6" s="87"/>
      <c r="Q6" s="87"/>
      <c r="R6" s="87"/>
      <c r="S6" s="87"/>
      <c r="T6" s="87"/>
      <c r="U6" s="87"/>
      <c r="V6" s="87"/>
    </row>
    <row r="7" spans="1:22" x14ac:dyDescent="0.25">
      <c r="A7" s="87"/>
      <c r="B7" s="87"/>
      <c r="C7" s="87"/>
      <c r="D7" s="87"/>
      <c r="E7" s="87"/>
      <c r="F7" s="87"/>
      <c r="G7" s="87"/>
      <c r="H7" s="87"/>
      <c r="I7" s="87"/>
      <c r="J7" s="87"/>
      <c r="K7" s="87"/>
      <c r="L7" s="87"/>
      <c r="M7" s="87"/>
      <c r="N7" s="87"/>
      <c r="O7" s="87"/>
      <c r="P7" s="87"/>
      <c r="Q7" s="87"/>
      <c r="R7" s="87"/>
      <c r="S7" s="87"/>
      <c r="T7" s="87"/>
      <c r="U7" s="87"/>
      <c r="V7" s="87"/>
    </row>
    <row r="8" spans="1:22" x14ac:dyDescent="0.25">
      <c r="A8" s="87"/>
      <c r="B8" s="87"/>
      <c r="C8" s="87"/>
      <c r="D8" s="87"/>
      <c r="E8" s="87"/>
      <c r="F8" s="87"/>
      <c r="G8" s="87"/>
      <c r="H8" s="87"/>
      <c r="I8" s="87"/>
      <c r="J8" s="87"/>
      <c r="K8" s="87"/>
      <c r="L8" s="87"/>
      <c r="M8" s="87"/>
      <c r="N8" s="87"/>
      <c r="O8" s="87"/>
      <c r="P8" s="87"/>
      <c r="Q8" s="87"/>
      <c r="R8" s="87"/>
      <c r="S8" s="87"/>
      <c r="T8" s="87"/>
      <c r="U8" s="87"/>
      <c r="V8" s="87"/>
    </row>
    <row r="9" spans="1:22" x14ac:dyDescent="0.25">
      <c r="A9" s="87"/>
      <c r="B9" s="87"/>
      <c r="C9" s="87"/>
      <c r="D9" s="87"/>
      <c r="E9" s="87"/>
      <c r="F9" s="87"/>
      <c r="G9" s="87"/>
      <c r="H9" s="87"/>
      <c r="I9" s="87"/>
      <c r="J9" s="87"/>
      <c r="K9" s="87"/>
      <c r="L9" s="87"/>
      <c r="M9" s="87"/>
      <c r="N9" s="87"/>
      <c r="O9" s="87"/>
      <c r="P9" s="87"/>
      <c r="Q9" s="87"/>
      <c r="R9" s="87"/>
      <c r="S9" s="87"/>
      <c r="T9" s="87"/>
      <c r="U9" s="87"/>
      <c r="V9" s="87"/>
    </row>
    <row r="10" spans="1:22" x14ac:dyDescent="0.25">
      <c r="A10" s="87"/>
      <c r="B10" s="87"/>
      <c r="C10" s="87"/>
      <c r="D10" s="87"/>
      <c r="E10" s="87"/>
      <c r="F10" s="87"/>
      <c r="G10" s="87"/>
      <c r="H10" s="87"/>
      <c r="I10" s="87"/>
      <c r="J10" s="87"/>
      <c r="K10" s="87"/>
      <c r="L10" s="87"/>
      <c r="M10" s="87"/>
      <c r="N10" s="87"/>
      <c r="O10" s="87"/>
      <c r="P10" s="87"/>
      <c r="Q10" s="87"/>
      <c r="R10" s="87"/>
      <c r="S10" s="87"/>
      <c r="T10" s="87"/>
      <c r="U10" s="87"/>
      <c r="V10" s="87"/>
    </row>
    <row r="11" spans="1:22" x14ac:dyDescent="0.25">
      <c r="A11" s="87"/>
      <c r="B11" s="87"/>
      <c r="C11" s="87"/>
      <c r="D11" s="87"/>
      <c r="E11" s="87"/>
      <c r="F11" s="87"/>
      <c r="G11" s="87"/>
      <c r="H11" s="87"/>
      <c r="I11" s="87"/>
      <c r="J11" s="87"/>
      <c r="K11" s="87"/>
      <c r="L11" s="87"/>
      <c r="M11" s="87"/>
      <c r="N11" s="87"/>
      <c r="O11" s="87"/>
      <c r="P11" s="87"/>
      <c r="Q11" s="87"/>
      <c r="R11" s="87"/>
      <c r="S11" s="87"/>
      <c r="T11" s="87"/>
      <c r="U11" s="87"/>
      <c r="V11" s="87"/>
    </row>
    <row r="12" spans="1:22" x14ac:dyDescent="0.25">
      <c r="A12" s="87"/>
      <c r="B12" s="87"/>
      <c r="C12" s="87"/>
      <c r="D12" s="87"/>
      <c r="E12" s="87"/>
      <c r="F12" s="87"/>
      <c r="G12" s="87"/>
      <c r="H12" s="87"/>
      <c r="I12" s="87"/>
      <c r="J12" s="87"/>
      <c r="K12" s="87"/>
      <c r="L12" s="87"/>
      <c r="M12" s="87"/>
      <c r="N12" s="87"/>
      <c r="O12" s="87"/>
      <c r="P12" s="87"/>
      <c r="Q12" s="87"/>
      <c r="R12" s="87"/>
      <c r="S12" s="87"/>
      <c r="T12" s="87"/>
      <c r="U12" s="87"/>
      <c r="V12" s="87"/>
    </row>
    <row r="13" spans="1:22" x14ac:dyDescent="0.25">
      <c r="A13" s="87"/>
      <c r="B13" s="87"/>
      <c r="C13" s="87"/>
      <c r="D13" s="87"/>
      <c r="E13" s="87"/>
      <c r="F13" s="87"/>
      <c r="G13" s="87"/>
      <c r="H13" s="87"/>
      <c r="I13" s="87"/>
      <c r="J13" s="87"/>
      <c r="K13" s="87"/>
      <c r="L13" s="87"/>
      <c r="M13" s="87"/>
      <c r="N13" s="87"/>
      <c r="O13" s="87"/>
      <c r="P13" s="87"/>
      <c r="Q13" s="87"/>
      <c r="R13" s="87"/>
      <c r="S13" s="87"/>
      <c r="T13" s="87"/>
      <c r="U13" s="87"/>
      <c r="V13" s="87"/>
    </row>
    <row r="14" spans="1:22" x14ac:dyDescent="0.25">
      <c r="A14" s="87"/>
      <c r="B14" s="87"/>
      <c r="C14" s="87"/>
      <c r="D14" s="87"/>
      <c r="E14" s="87"/>
      <c r="F14" s="87"/>
      <c r="G14" s="87"/>
      <c r="H14" s="87"/>
      <c r="I14" s="87"/>
      <c r="J14" s="87"/>
      <c r="K14" s="87"/>
      <c r="L14" s="87"/>
      <c r="M14" s="87"/>
      <c r="N14" s="87"/>
      <c r="O14" s="87"/>
      <c r="P14" s="87"/>
      <c r="Q14" s="87"/>
      <c r="R14" s="87"/>
      <c r="S14" s="87"/>
      <c r="T14" s="87"/>
      <c r="U14" s="87"/>
      <c r="V14" s="87"/>
    </row>
    <row r="15" spans="1:22" x14ac:dyDescent="0.25">
      <c r="A15" s="87"/>
      <c r="B15" s="87"/>
      <c r="C15" s="87"/>
      <c r="D15" s="87"/>
      <c r="E15" s="87"/>
      <c r="F15" s="87"/>
      <c r="G15" s="87"/>
      <c r="H15" s="87"/>
      <c r="I15" s="87"/>
      <c r="J15" s="87"/>
      <c r="K15" s="87"/>
      <c r="L15" s="87"/>
      <c r="M15" s="87"/>
      <c r="N15" s="87"/>
      <c r="O15" s="87"/>
      <c r="P15" s="87"/>
      <c r="Q15" s="87"/>
      <c r="R15" s="87"/>
      <c r="S15" s="87"/>
      <c r="T15" s="87"/>
      <c r="U15" s="87"/>
      <c r="V15" s="87"/>
    </row>
    <row r="16" spans="1:22" x14ac:dyDescent="0.25">
      <c r="A16" s="87"/>
      <c r="B16" s="87"/>
      <c r="C16" s="87"/>
      <c r="D16" s="87"/>
      <c r="E16" s="87"/>
      <c r="F16" s="87"/>
      <c r="G16" s="87"/>
      <c r="H16" s="87"/>
      <c r="I16" s="87"/>
      <c r="J16" s="87"/>
      <c r="K16" s="87"/>
      <c r="L16" s="87"/>
      <c r="M16" s="87"/>
      <c r="N16" s="87"/>
      <c r="O16" s="87"/>
      <c r="P16" s="87"/>
      <c r="Q16" s="87"/>
      <c r="R16" s="87"/>
      <c r="S16" s="87"/>
      <c r="T16" s="87"/>
      <c r="U16" s="87"/>
      <c r="V16" s="87"/>
    </row>
    <row r="17" spans="1:22" x14ac:dyDescent="0.25">
      <c r="A17" s="87"/>
      <c r="B17" s="87"/>
      <c r="C17" s="87"/>
      <c r="D17" s="87"/>
      <c r="E17" s="87"/>
      <c r="F17" s="87"/>
      <c r="G17" s="87"/>
      <c r="H17" s="87"/>
      <c r="I17" s="87"/>
      <c r="J17" s="87"/>
      <c r="K17" s="87"/>
      <c r="L17" s="87"/>
      <c r="M17" s="87"/>
      <c r="N17" s="87"/>
      <c r="O17" s="87"/>
      <c r="P17" s="87"/>
      <c r="Q17" s="87"/>
      <c r="R17" s="87"/>
      <c r="S17" s="87"/>
      <c r="T17" s="87"/>
      <c r="U17" s="87"/>
      <c r="V17" s="87"/>
    </row>
    <row r="18" spans="1:22" x14ac:dyDescent="0.25">
      <c r="A18" s="87"/>
      <c r="B18" s="87"/>
      <c r="C18" s="87"/>
      <c r="D18" s="87"/>
      <c r="E18" s="87"/>
      <c r="F18" s="87"/>
      <c r="G18" s="87"/>
      <c r="H18" s="87"/>
      <c r="I18" s="87"/>
      <c r="J18" s="87"/>
      <c r="K18" s="87"/>
      <c r="L18" s="87"/>
      <c r="M18" s="87"/>
      <c r="N18" s="87"/>
      <c r="O18" s="87"/>
      <c r="P18" s="87"/>
      <c r="Q18" s="87"/>
      <c r="R18" s="87"/>
      <c r="S18" s="87"/>
      <c r="T18" s="87"/>
      <c r="U18" s="87"/>
      <c r="V18" s="87"/>
    </row>
    <row r="19" spans="1:22" x14ac:dyDescent="0.25">
      <c r="A19" s="87"/>
      <c r="B19" s="87"/>
      <c r="C19" s="87"/>
      <c r="D19" s="87"/>
      <c r="E19" s="87"/>
      <c r="F19" s="87"/>
      <c r="G19" s="87"/>
      <c r="H19" s="87"/>
      <c r="I19" s="87"/>
      <c r="J19" s="87"/>
      <c r="K19" s="87"/>
      <c r="L19" s="87"/>
      <c r="M19" s="87"/>
      <c r="N19" s="87"/>
      <c r="O19" s="87"/>
      <c r="P19" s="87"/>
      <c r="Q19" s="87"/>
      <c r="R19" s="87"/>
      <c r="S19" s="87"/>
      <c r="T19" s="87"/>
      <c r="U19" s="87"/>
      <c r="V19" s="87"/>
    </row>
    <row r="20" spans="1:22" x14ac:dyDescent="0.25">
      <c r="A20" s="87"/>
      <c r="B20" s="87"/>
      <c r="C20" s="87"/>
      <c r="D20" s="87"/>
      <c r="E20" s="87"/>
      <c r="F20" s="87"/>
      <c r="G20" s="87"/>
      <c r="H20" s="87"/>
      <c r="I20" s="87"/>
      <c r="J20" s="87"/>
      <c r="K20" s="87"/>
      <c r="L20" s="87"/>
      <c r="M20" s="87"/>
      <c r="N20" s="87"/>
      <c r="O20" s="87"/>
      <c r="P20" s="87"/>
      <c r="Q20" s="87"/>
      <c r="R20" s="87"/>
      <c r="S20" s="87"/>
      <c r="T20" s="87"/>
      <c r="U20" s="87"/>
      <c r="V20" s="87"/>
    </row>
    <row r="21" spans="1:22" x14ac:dyDescent="0.25">
      <c r="A21" s="87"/>
      <c r="B21" s="87"/>
      <c r="C21" s="87"/>
      <c r="D21" s="87"/>
      <c r="E21" s="87"/>
      <c r="F21" s="87"/>
      <c r="G21" s="87"/>
      <c r="H21" s="87"/>
      <c r="I21" s="87"/>
      <c r="J21" s="87"/>
      <c r="K21" s="87"/>
      <c r="L21" s="87"/>
      <c r="M21" s="87"/>
      <c r="N21" s="87"/>
      <c r="O21" s="87"/>
      <c r="P21" s="87"/>
      <c r="Q21" s="87"/>
      <c r="R21" s="87"/>
      <c r="S21" s="87"/>
      <c r="T21" s="87"/>
      <c r="U21" s="87"/>
      <c r="V21" s="87"/>
    </row>
    <row r="22" spans="1:22" x14ac:dyDescent="0.25">
      <c r="A22" s="87"/>
      <c r="B22" s="87"/>
      <c r="C22" s="87"/>
      <c r="D22" s="87"/>
      <c r="E22" s="87"/>
      <c r="F22" s="87"/>
      <c r="G22" s="87"/>
      <c r="H22" s="87"/>
      <c r="I22" s="87"/>
      <c r="J22" s="87"/>
      <c r="K22" s="87"/>
      <c r="L22" s="87"/>
      <c r="M22" s="87"/>
      <c r="N22" s="87"/>
      <c r="O22" s="87"/>
      <c r="P22" s="87"/>
      <c r="Q22" s="87"/>
      <c r="R22" s="87"/>
      <c r="S22" s="87"/>
      <c r="T22" s="87"/>
      <c r="U22" s="87"/>
      <c r="V22" s="87"/>
    </row>
    <row r="23" spans="1:22" x14ac:dyDescent="0.25">
      <c r="A23" s="87"/>
      <c r="B23" s="87"/>
      <c r="C23" s="87"/>
      <c r="D23" s="87"/>
      <c r="E23" s="87"/>
      <c r="F23" s="87"/>
      <c r="G23" s="87"/>
      <c r="H23" s="87"/>
      <c r="I23" s="87"/>
      <c r="J23" s="87"/>
      <c r="K23" s="87"/>
      <c r="L23" s="87"/>
      <c r="M23" s="87"/>
      <c r="N23" s="87"/>
      <c r="O23" s="87"/>
      <c r="P23" s="87"/>
      <c r="Q23" s="87"/>
      <c r="R23" s="87"/>
      <c r="S23" s="87"/>
      <c r="T23" s="87"/>
      <c r="U23" s="87"/>
      <c r="V23" s="87"/>
    </row>
    <row r="24" spans="1:22" x14ac:dyDescent="0.25">
      <c r="A24" s="87"/>
      <c r="B24" s="87"/>
      <c r="C24" s="87"/>
      <c r="D24" s="87"/>
      <c r="E24" s="87"/>
      <c r="F24" s="87"/>
      <c r="G24" s="87"/>
      <c r="H24" s="87"/>
      <c r="I24" s="87"/>
      <c r="J24" s="87"/>
      <c r="K24" s="87"/>
      <c r="L24" s="87"/>
      <c r="M24" s="87"/>
      <c r="N24" s="87"/>
      <c r="O24" s="87"/>
      <c r="P24" s="87"/>
      <c r="Q24" s="87"/>
      <c r="R24" s="87"/>
      <c r="S24" s="87"/>
      <c r="T24" s="87"/>
      <c r="U24" s="87"/>
      <c r="V24" s="87"/>
    </row>
    <row r="25" spans="1:22" x14ac:dyDescent="0.25">
      <c r="A25" s="87"/>
      <c r="B25" s="87"/>
      <c r="C25" s="87"/>
      <c r="D25" s="87"/>
      <c r="E25" s="87"/>
      <c r="F25" s="87"/>
      <c r="G25" s="87"/>
      <c r="H25" s="87"/>
      <c r="I25" s="87"/>
      <c r="J25" s="87"/>
      <c r="K25" s="87"/>
      <c r="L25" s="87"/>
      <c r="M25" s="87"/>
      <c r="N25" s="87"/>
      <c r="O25" s="87"/>
      <c r="P25" s="87"/>
      <c r="Q25" s="87"/>
      <c r="R25" s="87"/>
      <c r="S25" s="87"/>
      <c r="T25" s="87"/>
      <c r="U25" s="87"/>
      <c r="V25" s="87"/>
    </row>
    <row r="26" spans="1:22" x14ac:dyDescent="0.25">
      <c r="A26" s="87"/>
      <c r="B26" s="87"/>
      <c r="C26" s="87"/>
      <c r="D26" s="87"/>
      <c r="E26" s="87"/>
      <c r="F26" s="87"/>
      <c r="G26" s="87"/>
      <c r="H26" s="87"/>
      <c r="I26" s="87"/>
      <c r="J26" s="87"/>
      <c r="K26" s="87"/>
      <c r="L26" s="87"/>
      <c r="M26" s="87"/>
      <c r="N26" s="87"/>
      <c r="O26" s="87"/>
      <c r="P26" s="87"/>
      <c r="Q26" s="87"/>
      <c r="R26" s="87"/>
      <c r="S26" s="87"/>
      <c r="T26" s="87"/>
      <c r="U26" s="87"/>
      <c r="V26" s="87"/>
    </row>
    <row r="27" spans="1:22" x14ac:dyDescent="0.25">
      <c r="A27" s="87"/>
      <c r="B27" s="87"/>
      <c r="C27" s="87"/>
      <c r="D27" s="87"/>
      <c r="E27" s="87"/>
      <c r="F27" s="87"/>
      <c r="G27" s="87"/>
      <c r="H27" s="87"/>
      <c r="I27" s="87"/>
      <c r="J27" s="87"/>
      <c r="K27" s="87"/>
      <c r="L27" s="87"/>
      <c r="M27" s="87"/>
      <c r="N27" s="87"/>
      <c r="O27" s="87"/>
      <c r="P27" s="87"/>
      <c r="Q27" s="87"/>
      <c r="R27" s="87"/>
      <c r="S27" s="87"/>
      <c r="T27" s="87"/>
      <c r="U27" s="87"/>
      <c r="V27" s="87"/>
    </row>
    <row r="28" spans="1:22" x14ac:dyDescent="0.25">
      <c r="A28" s="87"/>
      <c r="B28" s="87"/>
      <c r="C28" s="87"/>
      <c r="D28" s="87"/>
      <c r="E28" s="87"/>
      <c r="F28" s="87"/>
      <c r="G28" s="87"/>
      <c r="H28" s="87"/>
      <c r="I28" s="87"/>
      <c r="J28" s="87"/>
      <c r="K28" s="87"/>
      <c r="L28" s="87"/>
      <c r="M28" s="87"/>
      <c r="N28" s="87"/>
      <c r="O28" s="87"/>
      <c r="P28" s="87"/>
      <c r="Q28" s="87"/>
      <c r="R28" s="87"/>
      <c r="S28" s="87"/>
      <c r="T28" s="87"/>
      <c r="U28" s="87"/>
      <c r="V28" s="87"/>
    </row>
    <row r="29" spans="1:22" x14ac:dyDescent="0.25">
      <c r="A29" s="87"/>
      <c r="B29" s="87"/>
      <c r="C29" s="87"/>
      <c r="D29" s="87"/>
      <c r="E29" s="87"/>
      <c r="F29" s="87"/>
      <c r="G29" s="87"/>
      <c r="H29" s="87"/>
      <c r="I29" s="87"/>
      <c r="J29" s="87"/>
      <c r="K29" s="87"/>
      <c r="L29" s="87"/>
      <c r="M29" s="87"/>
      <c r="N29" s="87"/>
      <c r="O29" s="87"/>
      <c r="P29" s="87"/>
      <c r="Q29" s="87"/>
      <c r="R29" s="87"/>
      <c r="S29" s="87"/>
      <c r="T29" s="87"/>
      <c r="U29" s="87"/>
      <c r="V29" s="87"/>
    </row>
    <row r="30" spans="1:22" x14ac:dyDescent="0.25">
      <c r="A30" s="87"/>
      <c r="B30" s="87"/>
      <c r="C30" s="87"/>
      <c r="D30" s="87"/>
      <c r="E30" s="87"/>
      <c r="F30" s="87"/>
      <c r="G30" s="87"/>
      <c r="H30" s="87"/>
      <c r="I30" s="87"/>
      <c r="J30" s="87"/>
      <c r="K30" s="87"/>
      <c r="L30" s="87"/>
      <c r="M30" s="87"/>
      <c r="N30" s="87"/>
      <c r="O30" s="87"/>
      <c r="P30" s="87"/>
      <c r="Q30" s="87"/>
      <c r="R30" s="87"/>
      <c r="S30" s="87"/>
      <c r="T30" s="87"/>
      <c r="U30" s="87"/>
      <c r="V30" s="87"/>
    </row>
    <row r="31" spans="1:22" x14ac:dyDescent="0.25">
      <c r="A31" s="87"/>
      <c r="B31" s="87"/>
      <c r="C31" s="87"/>
      <c r="D31" s="87"/>
      <c r="E31" s="87"/>
      <c r="F31" s="87"/>
      <c r="G31" s="87"/>
      <c r="H31" s="87"/>
      <c r="I31" s="87"/>
      <c r="J31" s="87"/>
      <c r="K31" s="87"/>
      <c r="L31" s="87"/>
      <c r="M31" s="87"/>
      <c r="N31" s="87"/>
      <c r="O31" s="87"/>
      <c r="P31" s="87"/>
      <c r="Q31" s="87"/>
      <c r="R31" s="87"/>
      <c r="S31" s="87"/>
      <c r="T31" s="87"/>
      <c r="U31" s="87"/>
      <c r="V31" s="87"/>
    </row>
    <row r="32" spans="1:22" x14ac:dyDescent="0.25">
      <c r="A32" s="87"/>
      <c r="B32" s="87"/>
      <c r="C32" s="87"/>
      <c r="D32" s="87"/>
      <c r="E32" s="87"/>
      <c r="F32" s="87"/>
      <c r="G32" s="87"/>
      <c r="H32" s="87"/>
      <c r="I32" s="87"/>
      <c r="J32" s="87"/>
      <c r="K32" s="87"/>
      <c r="L32" s="87"/>
      <c r="M32" s="87"/>
      <c r="N32" s="87"/>
      <c r="O32" s="87"/>
      <c r="P32" s="87"/>
      <c r="Q32" s="87"/>
      <c r="R32" s="87"/>
      <c r="S32" s="87"/>
      <c r="T32" s="87"/>
      <c r="U32" s="87"/>
      <c r="V32" s="87"/>
    </row>
    <row r="33" spans="1:22" x14ac:dyDescent="0.25">
      <c r="A33" s="87"/>
      <c r="B33" s="87"/>
      <c r="C33" s="87"/>
      <c r="D33" s="87"/>
      <c r="E33" s="87"/>
      <c r="F33" s="87"/>
      <c r="G33" s="87"/>
      <c r="H33" s="87"/>
      <c r="I33" s="87"/>
      <c r="J33" s="87"/>
      <c r="K33" s="87"/>
      <c r="L33" s="87"/>
      <c r="M33" s="87"/>
      <c r="N33" s="87"/>
      <c r="O33" s="87"/>
      <c r="P33" s="87"/>
      <c r="Q33" s="87"/>
      <c r="R33" s="87"/>
      <c r="S33" s="87"/>
      <c r="T33" s="87"/>
      <c r="U33" s="87"/>
      <c r="V33" s="87"/>
    </row>
    <row r="34" spans="1:22" x14ac:dyDescent="0.25">
      <c r="A34" s="87"/>
      <c r="B34" s="87"/>
      <c r="C34" s="87"/>
      <c r="D34" s="87"/>
      <c r="E34" s="87"/>
      <c r="F34" s="87"/>
      <c r="G34" s="87"/>
      <c r="H34" s="87"/>
      <c r="I34" s="87"/>
      <c r="J34" s="87"/>
      <c r="K34" s="87"/>
      <c r="L34" s="87"/>
      <c r="M34" s="87"/>
      <c r="N34" s="87"/>
      <c r="O34" s="87"/>
      <c r="P34" s="87"/>
      <c r="Q34" s="87"/>
      <c r="R34" s="87"/>
      <c r="S34" s="87"/>
      <c r="T34" s="87"/>
      <c r="U34" s="87"/>
      <c r="V34" s="87"/>
    </row>
    <row r="35" spans="1:22" x14ac:dyDescent="0.25">
      <c r="A35" s="87"/>
      <c r="B35" s="87"/>
      <c r="C35" s="87"/>
      <c r="D35" s="87"/>
      <c r="E35" s="87"/>
      <c r="F35" s="87"/>
      <c r="G35" s="87"/>
      <c r="H35" s="87"/>
      <c r="I35" s="87"/>
      <c r="J35" s="87"/>
      <c r="K35" s="87"/>
      <c r="L35" s="87"/>
      <c r="M35" s="87"/>
      <c r="N35" s="87"/>
      <c r="O35" s="87"/>
      <c r="P35" s="87"/>
      <c r="Q35" s="87"/>
      <c r="R35" s="87"/>
      <c r="S35" s="87"/>
      <c r="T35" s="87"/>
      <c r="U35" s="87"/>
      <c r="V35" s="87"/>
    </row>
    <row r="36" spans="1:22" x14ac:dyDescent="0.25">
      <c r="A36" s="87"/>
      <c r="B36" s="87"/>
      <c r="C36" s="87"/>
      <c r="D36" s="87"/>
      <c r="E36" s="87"/>
      <c r="F36" s="87"/>
      <c r="G36" s="87"/>
      <c r="H36" s="87"/>
      <c r="I36" s="87"/>
      <c r="J36" s="87"/>
      <c r="K36" s="87"/>
      <c r="L36" s="87"/>
      <c r="M36" s="87"/>
      <c r="N36" s="87"/>
      <c r="O36" s="87"/>
      <c r="P36" s="87"/>
      <c r="Q36" s="87"/>
      <c r="R36" s="87"/>
      <c r="S36" s="87"/>
      <c r="T36" s="87"/>
      <c r="U36" s="87"/>
      <c r="V36" s="87"/>
    </row>
    <row r="37" spans="1:22" x14ac:dyDescent="0.25">
      <c r="A37" s="87"/>
      <c r="B37" s="87"/>
      <c r="C37" s="87"/>
      <c r="D37" s="87"/>
      <c r="E37" s="87"/>
      <c r="F37" s="87"/>
      <c r="G37" s="87"/>
      <c r="H37" s="87"/>
      <c r="I37" s="87"/>
      <c r="J37" s="87"/>
      <c r="K37" s="87"/>
      <c r="L37" s="87"/>
      <c r="M37" s="87"/>
      <c r="N37" s="87"/>
      <c r="O37" s="87"/>
      <c r="P37" s="87"/>
      <c r="Q37" s="87"/>
      <c r="R37" s="87"/>
      <c r="S37" s="87"/>
      <c r="T37" s="87"/>
      <c r="U37" s="87"/>
      <c r="V37" s="87"/>
    </row>
    <row r="38" spans="1:22" x14ac:dyDescent="0.25">
      <c r="A38" s="87"/>
      <c r="B38" s="87"/>
      <c r="C38" s="87"/>
      <c r="D38" s="87"/>
      <c r="E38" s="87"/>
      <c r="F38" s="87"/>
      <c r="G38" s="87"/>
      <c r="H38" s="87"/>
      <c r="I38" s="87"/>
      <c r="J38" s="87"/>
      <c r="K38" s="87"/>
      <c r="L38" s="87"/>
      <c r="M38" s="87"/>
      <c r="N38" s="87"/>
      <c r="O38" s="87"/>
      <c r="P38" s="87"/>
      <c r="Q38" s="87"/>
      <c r="R38" s="87"/>
      <c r="S38" s="87"/>
      <c r="T38" s="87"/>
      <c r="U38" s="87"/>
      <c r="V38" s="87"/>
    </row>
    <row r="39" spans="1:22" x14ac:dyDescent="0.25">
      <c r="A39" s="87"/>
      <c r="B39" s="87"/>
      <c r="C39" s="87"/>
      <c r="D39" s="87"/>
      <c r="E39" s="87"/>
      <c r="F39" s="87"/>
      <c r="G39" s="87"/>
      <c r="H39" s="87"/>
      <c r="I39" s="87"/>
      <c r="J39" s="87"/>
      <c r="K39" s="87"/>
      <c r="L39" s="87"/>
      <c r="M39" s="87"/>
      <c r="N39" s="87"/>
      <c r="O39" s="87"/>
      <c r="P39" s="87"/>
      <c r="Q39" s="87"/>
      <c r="R39" s="87"/>
      <c r="S39" s="87"/>
      <c r="T39" s="87"/>
      <c r="U39" s="87"/>
      <c r="V39" s="87"/>
    </row>
    <row r="40" spans="1:22" x14ac:dyDescent="0.25">
      <c r="A40" s="87"/>
      <c r="B40" s="87"/>
      <c r="C40" s="87"/>
      <c r="D40" s="87"/>
      <c r="E40" s="87"/>
      <c r="F40" s="87"/>
      <c r="G40" s="87"/>
      <c r="H40" s="87"/>
      <c r="I40" s="87"/>
      <c r="J40" s="87"/>
      <c r="K40" s="87"/>
      <c r="L40" s="87"/>
      <c r="M40" s="87"/>
      <c r="N40" s="87"/>
      <c r="O40" s="87"/>
      <c r="P40" s="87"/>
      <c r="Q40" s="87"/>
      <c r="R40" s="87"/>
      <c r="S40" s="87"/>
      <c r="T40" s="87"/>
      <c r="U40" s="87"/>
      <c r="V40" s="87"/>
    </row>
    <row r="41" spans="1:22" x14ac:dyDescent="0.25">
      <c r="A41" s="87"/>
      <c r="B41" s="87"/>
      <c r="C41" s="87"/>
      <c r="D41" s="87"/>
      <c r="E41" s="87"/>
      <c r="F41" s="87"/>
      <c r="G41" s="87"/>
      <c r="H41" s="87"/>
      <c r="I41" s="87"/>
      <c r="J41" s="87"/>
      <c r="K41" s="87"/>
      <c r="L41" s="87"/>
      <c r="M41" s="87"/>
      <c r="N41" s="87"/>
      <c r="O41" s="87"/>
      <c r="P41" s="87"/>
      <c r="Q41" s="87"/>
      <c r="R41" s="87"/>
      <c r="S41" s="87"/>
      <c r="T41" s="87"/>
      <c r="U41" s="87"/>
      <c r="V41" s="87"/>
    </row>
    <row r="42" spans="1:22" x14ac:dyDescent="0.25">
      <c r="A42" s="87"/>
      <c r="B42" s="87"/>
      <c r="C42" s="87"/>
      <c r="D42" s="87"/>
      <c r="E42" s="87"/>
      <c r="F42" s="87"/>
      <c r="G42" s="87"/>
      <c r="H42" s="87"/>
      <c r="I42" s="87"/>
      <c r="J42" s="87"/>
      <c r="K42" s="87"/>
      <c r="L42" s="87"/>
      <c r="M42" s="87"/>
      <c r="N42" s="87"/>
      <c r="O42" s="87"/>
      <c r="P42" s="87"/>
      <c r="Q42" s="87"/>
      <c r="R42" s="87"/>
      <c r="S42" s="87"/>
      <c r="T42" s="87"/>
      <c r="U42" s="87"/>
      <c r="V42" s="87"/>
    </row>
    <row r="43" spans="1:22" x14ac:dyDescent="0.25">
      <c r="A43" s="87"/>
      <c r="B43" s="87"/>
      <c r="C43" s="87"/>
      <c r="D43" s="87"/>
      <c r="E43" s="87"/>
      <c r="F43" s="87"/>
      <c r="G43" s="87"/>
      <c r="H43" s="87"/>
      <c r="I43" s="87"/>
      <c r="J43" s="87"/>
      <c r="K43" s="87"/>
      <c r="L43" s="87"/>
      <c r="M43" s="87"/>
      <c r="N43" s="87"/>
      <c r="O43" s="87"/>
      <c r="P43" s="87"/>
      <c r="Q43" s="87"/>
      <c r="R43" s="87"/>
      <c r="S43" s="87"/>
      <c r="T43" s="87"/>
      <c r="U43" s="87"/>
      <c r="V43" s="87"/>
    </row>
    <row r="44" spans="1:22" x14ac:dyDescent="0.25">
      <c r="A44" s="87"/>
      <c r="B44" s="87"/>
      <c r="C44" s="87"/>
      <c r="D44" s="87"/>
      <c r="E44" s="87"/>
      <c r="F44" s="87"/>
      <c r="G44" s="87"/>
      <c r="H44" s="87"/>
      <c r="I44" s="87"/>
      <c r="J44" s="87"/>
      <c r="K44" s="87"/>
      <c r="L44" s="87"/>
      <c r="M44" s="87"/>
      <c r="N44" s="87"/>
      <c r="O44" s="87"/>
      <c r="P44" s="87"/>
      <c r="Q44" s="87"/>
      <c r="R44" s="87"/>
      <c r="S44" s="87"/>
      <c r="T44" s="87"/>
      <c r="U44" s="87"/>
      <c r="V44" s="87"/>
    </row>
    <row r="45" spans="1:22" x14ac:dyDescent="0.25">
      <c r="A45" s="87"/>
      <c r="B45" s="87"/>
      <c r="C45" s="87"/>
      <c r="D45" s="87"/>
      <c r="E45" s="87"/>
      <c r="F45" s="87"/>
      <c r="G45" s="87"/>
      <c r="H45" s="87"/>
      <c r="I45" s="87"/>
      <c r="J45" s="87"/>
      <c r="K45" s="87"/>
      <c r="L45" s="87"/>
      <c r="M45" s="87"/>
      <c r="N45" s="87"/>
      <c r="O45" s="87"/>
      <c r="P45" s="87"/>
      <c r="Q45" s="87"/>
      <c r="R45" s="87"/>
      <c r="S45" s="87"/>
      <c r="T45" s="87"/>
      <c r="U45" s="87"/>
      <c r="V45" s="87"/>
    </row>
    <row r="46" spans="1:22" x14ac:dyDescent="0.25">
      <c r="A46" s="87"/>
      <c r="B46" s="87"/>
      <c r="C46" s="87"/>
      <c r="D46" s="87"/>
      <c r="E46" s="87"/>
      <c r="F46" s="87"/>
      <c r="G46" s="87"/>
      <c r="H46" s="87"/>
      <c r="I46" s="87"/>
      <c r="J46" s="87"/>
      <c r="K46" s="87"/>
      <c r="L46" s="87"/>
      <c r="M46" s="87"/>
      <c r="N46" s="87"/>
      <c r="O46" s="87"/>
      <c r="P46" s="87"/>
      <c r="Q46" s="87"/>
      <c r="R46" s="87"/>
      <c r="S46" s="87"/>
      <c r="T46" s="87"/>
      <c r="U46" s="87"/>
      <c r="V46" s="87"/>
    </row>
    <row r="47" spans="1:22" x14ac:dyDescent="0.25">
      <c r="A47" s="87"/>
      <c r="B47" s="87"/>
      <c r="C47" s="87"/>
      <c r="D47" s="87"/>
      <c r="E47" s="87"/>
      <c r="F47" s="87"/>
      <c r="G47" s="87"/>
      <c r="H47" s="87"/>
      <c r="I47" s="87"/>
      <c r="J47" s="87"/>
      <c r="K47" s="87"/>
      <c r="L47" s="87"/>
      <c r="M47" s="87"/>
      <c r="N47" s="87"/>
      <c r="O47" s="87"/>
      <c r="P47" s="87"/>
      <c r="Q47" s="87"/>
      <c r="R47" s="87"/>
      <c r="S47" s="87"/>
      <c r="T47" s="87"/>
      <c r="U47" s="87"/>
      <c r="V47" s="87"/>
    </row>
    <row r="48" spans="1:22" x14ac:dyDescent="0.25">
      <c r="A48" s="87"/>
      <c r="B48" s="87"/>
      <c r="C48" s="87"/>
      <c r="D48" s="87"/>
      <c r="E48" s="87"/>
      <c r="F48" s="87"/>
      <c r="G48" s="87"/>
      <c r="H48" s="87"/>
      <c r="I48" s="87"/>
      <c r="J48" s="87"/>
      <c r="K48" s="87"/>
      <c r="L48" s="87"/>
      <c r="M48" s="87"/>
      <c r="N48" s="87"/>
      <c r="O48" s="87"/>
      <c r="P48" s="87"/>
      <c r="Q48" s="87"/>
      <c r="R48" s="87"/>
      <c r="S48" s="87"/>
      <c r="T48" s="87"/>
      <c r="U48" s="87"/>
      <c r="V48" s="87"/>
    </row>
    <row r="49" spans="1:22" x14ac:dyDescent="0.25">
      <c r="A49" s="87"/>
      <c r="B49" s="87"/>
      <c r="C49" s="87"/>
      <c r="D49" s="87"/>
      <c r="E49" s="87"/>
      <c r="F49" s="87"/>
      <c r="G49" s="87"/>
      <c r="H49" s="87"/>
      <c r="I49" s="87"/>
      <c r="J49" s="87"/>
      <c r="K49" s="87"/>
      <c r="L49" s="87"/>
      <c r="M49" s="87"/>
      <c r="N49" s="87"/>
      <c r="O49" s="87"/>
      <c r="P49" s="87"/>
      <c r="Q49" s="87"/>
      <c r="R49" s="87"/>
      <c r="S49" s="87"/>
      <c r="T49" s="87"/>
      <c r="U49" s="87"/>
      <c r="V49" s="87"/>
    </row>
  </sheetData>
  <mergeCells count="6">
    <mergeCell ref="C3:D3"/>
    <mergeCell ref="E3:F3"/>
    <mergeCell ref="G3:H3"/>
    <mergeCell ref="C4:D4"/>
    <mergeCell ref="E4:F4"/>
    <mergeCell ref="G4:H4"/>
  </mergeCells>
  <dataValidations count="4">
    <dataValidation type="list" allowBlank="1" showInputMessage="1" showErrorMessage="1" sqref="K6:K12" xr:uid="{00000000-0002-0000-0C00-000000000000}">
      <formula1>"In Person, Letter, Phone, Helpdesk, Suggesstion Box, Social Media (WhatsApps/Signal/Skype/FB), Others"</formula1>
    </dataValidation>
    <dataValidation type="list" allowBlank="1" showInputMessage="1" showErrorMessage="1" sqref="M6:M49" xr:uid="{00000000-0002-0000-0C00-000001000000}">
      <formula1>"Programatic Feedback, Minor Complaint, Major Complaint, Reportable Incident"</formula1>
    </dataValidation>
    <dataValidation type="list" allowBlank="1" showInputMessage="1" showErrorMessage="1" sqref="T6:T49" xr:uid="{00000000-0002-0000-0C00-000002000000}">
      <formula1>"No Response Yet, On-going, Closed"</formula1>
    </dataValidation>
    <dataValidation allowBlank="1" showInputMessage="1" showErrorMessage="1" sqref="L6:L49" xr:uid="{6D4BDB4B-5E23-4136-A130-5F7C51244FF1}"/>
  </dataValidations>
  <pageMargins left="0.75" right="0.75" top="1" bottom="1" header="0.5" footer="0.5"/>
  <pageSetup paperSize="9" orientation="portrait" horizontalDpi="4294967292" verticalDpi="4294967292" r:id="rId1"/>
  <headerFooter>
    <oddFooter>&amp;C&amp;P&amp;N&amp;R&amp;D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EB45-F121-4CE5-B905-F31F5EDF750E}">
  <sheetPr>
    <tabColor rgb="FFFFFF00"/>
  </sheetPr>
  <dimension ref="A1:AJ994"/>
  <sheetViews>
    <sheetView topLeftCell="C235" zoomScale="115" zoomScaleNormal="115" workbookViewId="0">
      <selection activeCell="M244" sqref="M244"/>
    </sheetView>
  </sheetViews>
  <sheetFormatPr defaultColWidth="14.42578125" defaultRowHeight="15" customHeight="1" x14ac:dyDescent="0.25"/>
  <cols>
    <col min="1" max="1" width="6.5703125" style="249" customWidth="1"/>
    <col min="2" max="2" width="11.7109375" style="249" customWidth="1"/>
    <col min="3" max="3" width="17.28515625" style="249" customWidth="1"/>
    <col min="4" max="4" width="10.7109375" style="249" customWidth="1"/>
    <col min="5" max="5" width="11.7109375" style="249" customWidth="1"/>
    <col min="6" max="7" width="27.28515625" style="249" customWidth="1"/>
    <col min="8" max="8" width="24.5703125" style="249" customWidth="1"/>
    <col min="9" max="9" width="27.28515625" style="249" customWidth="1"/>
    <col min="10" max="10" width="16.42578125" style="249" customWidth="1"/>
    <col min="11" max="11" width="18" style="249" customWidth="1"/>
    <col min="12" max="12" width="15.28515625" style="249" customWidth="1"/>
    <col min="13" max="13" width="18.42578125" style="249" customWidth="1"/>
    <col min="14" max="15" width="9.28515625" style="249" customWidth="1"/>
    <col min="16" max="16" width="25.7109375" style="249" customWidth="1"/>
    <col min="17" max="17" width="16.42578125" style="249" customWidth="1"/>
    <col min="18" max="24" width="5.7109375" style="249" customWidth="1"/>
    <col min="25" max="29" width="6.28515625" style="249" customWidth="1"/>
    <col min="30" max="30" width="67.5703125" style="249" customWidth="1"/>
    <col min="31" max="35" width="15.7109375" style="249" customWidth="1"/>
    <col min="36" max="36" width="26.42578125" style="249" customWidth="1"/>
    <col min="37" max="16384" width="14.42578125" style="249"/>
  </cols>
  <sheetData>
    <row r="1" spans="1:36" ht="15" customHeight="1" x14ac:dyDescent="0.25">
      <c r="A1" s="243"/>
      <c r="B1" s="322" t="s">
        <v>2432</v>
      </c>
      <c r="C1" s="323"/>
      <c r="D1" s="324"/>
      <c r="E1" s="244"/>
      <c r="F1" s="245"/>
      <c r="G1" s="245"/>
      <c r="H1" s="246"/>
      <c r="I1" s="246"/>
      <c r="J1" s="247"/>
      <c r="K1" s="248"/>
      <c r="L1" s="248"/>
      <c r="M1" s="246"/>
      <c r="N1" s="246"/>
      <c r="O1" s="246"/>
      <c r="P1" s="246"/>
      <c r="Q1" s="246"/>
      <c r="R1" s="325" t="s">
        <v>2433</v>
      </c>
      <c r="S1" s="326"/>
      <c r="T1" s="326"/>
      <c r="U1" s="326"/>
      <c r="V1" s="326"/>
      <c r="W1" s="326"/>
      <c r="X1" s="327"/>
      <c r="Y1" s="331" t="s">
        <v>2434</v>
      </c>
      <c r="Z1" s="326"/>
      <c r="AA1" s="326"/>
      <c r="AB1" s="326"/>
      <c r="AC1" s="327"/>
      <c r="AD1" s="243"/>
      <c r="AE1" s="243"/>
      <c r="AF1" s="243"/>
      <c r="AG1" s="243"/>
      <c r="AH1" s="243"/>
      <c r="AI1" s="243"/>
      <c r="AJ1" s="243"/>
    </row>
    <row r="2" spans="1:36" ht="14.25" customHeight="1" x14ac:dyDescent="0.25">
      <c r="A2" s="243"/>
      <c r="B2" s="250"/>
      <c r="C2" s="250"/>
      <c r="D2" s="250"/>
      <c r="E2" s="250"/>
      <c r="F2" s="245"/>
      <c r="G2" s="245"/>
      <c r="H2" s="246"/>
      <c r="I2" s="246"/>
      <c r="J2" s="247"/>
      <c r="K2" s="248"/>
      <c r="L2" s="248"/>
      <c r="M2" s="246"/>
      <c r="N2" s="246"/>
      <c r="O2" s="246"/>
      <c r="P2" s="246"/>
      <c r="Q2" s="246"/>
      <c r="R2" s="328"/>
      <c r="S2" s="329"/>
      <c r="T2" s="329"/>
      <c r="U2" s="329"/>
      <c r="V2" s="329"/>
      <c r="W2" s="329"/>
      <c r="X2" s="330"/>
      <c r="Y2" s="328"/>
      <c r="Z2" s="329"/>
      <c r="AA2" s="329"/>
      <c r="AB2" s="329"/>
      <c r="AC2" s="330"/>
      <c r="AD2" s="243"/>
      <c r="AE2" s="243"/>
      <c r="AF2" s="243"/>
      <c r="AG2" s="243"/>
      <c r="AH2" s="243"/>
      <c r="AI2" s="243"/>
      <c r="AJ2" s="243"/>
    </row>
    <row r="3" spans="1:36" ht="86.25" x14ac:dyDescent="0.25">
      <c r="A3" s="251" t="s">
        <v>2435</v>
      </c>
      <c r="B3" s="252" t="s">
        <v>363</v>
      </c>
      <c r="C3" s="252" t="s">
        <v>364</v>
      </c>
      <c r="D3" s="252" t="s">
        <v>365</v>
      </c>
      <c r="E3" s="253" t="s">
        <v>366</v>
      </c>
      <c r="F3" s="253" t="s">
        <v>0</v>
      </c>
      <c r="G3" s="253" t="s">
        <v>367</v>
      </c>
      <c r="H3" s="252" t="s">
        <v>2436</v>
      </c>
      <c r="I3" s="252" t="s">
        <v>369</v>
      </c>
      <c r="J3" s="252" t="s">
        <v>2437</v>
      </c>
      <c r="K3" s="252" t="s">
        <v>2438</v>
      </c>
      <c r="L3" s="252" t="s">
        <v>2439</v>
      </c>
      <c r="M3" s="252" t="s">
        <v>2440</v>
      </c>
      <c r="N3" s="252" t="s">
        <v>305</v>
      </c>
      <c r="O3" s="252" t="s">
        <v>642</v>
      </c>
      <c r="P3" s="252" t="s">
        <v>2441</v>
      </c>
      <c r="Q3" s="252" t="s">
        <v>2442</v>
      </c>
      <c r="R3" s="254" t="s">
        <v>1636</v>
      </c>
      <c r="S3" s="254" t="s">
        <v>1637</v>
      </c>
      <c r="T3" s="254" t="s">
        <v>1638</v>
      </c>
      <c r="U3" s="254" t="s">
        <v>1639</v>
      </c>
      <c r="V3" s="254" t="s">
        <v>1640</v>
      </c>
      <c r="W3" s="254" t="s">
        <v>1641</v>
      </c>
      <c r="X3" s="254" t="s">
        <v>388</v>
      </c>
      <c r="Y3" s="255" t="s">
        <v>1661</v>
      </c>
      <c r="Z3" s="255" t="s">
        <v>2443</v>
      </c>
      <c r="AA3" s="255" t="s">
        <v>2444</v>
      </c>
      <c r="AB3" s="255" t="s">
        <v>2445</v>
      </c>
      <c r="AC3" s="255" t="s">
        <v>2446</v>
      </c>
      <c r="AD3" s="252" t="s">
        <v>2447</v>
      </c>
      <c r="AE3" s="252" t="s">
        <v>2448</v>
      </c>
      <c r="AF3" s="252" t="s">
        <v>2449</v>
      </c>
      <c r="AG3" s="252" t="s">
        <v>2450</v>
      </c>
      <c r="AH3" s="252" t="s">
        <v>2451</v>
      </c>
      <c r="AI3" s="252" t="s">
        <v>2452</v>
      </c>
      <c r="AJ3" s="252" t="s">
        <v>396</v>
      </c>
    </row>
    <row r="4" spans="1:36" s="256" customFormat="1" ht="14.25" customHeight="1" x14ac:dyDescent="0.25">
      <c r="A4" s="256">
        <v>1</v>
      </c>
      <c r="B4" s="256" t="s">
        <v>2453</v>
      </c>
      <c r="C4" s="256" t="s">
        <v>2454</v>
      </c>
      <c r="D4" s="256" t="s">
        <v>2454</v>
      </c>
      <c r="E4" s="256" t="s">
        <v>1998</v>
      </c>
      <c r="F4" s="256" t="s">
        <v>2455</v>
      </c>
      <c r="H4" s="256" t="s">
        <v>2456</v>
      </c>
      <c r="I4" s="256" t="s">
        <v>579</v>
      </c>
      <c r="J4" s="256" t="s">
        <v>2457</v>
      </c>
      <c r="K4" s="257">
        <v>45817</v>
      </c>
      <c r="L4" s="256">
        <v>1</v>
      </c>
      <c r="M4" s="256" t="s">
        <v>2458</v>
      </c>
      <c r="N4" s="256">
        <v>88</v>
      </c>
      <c r="O4" s="256" t="s">
        <v>402</v>
      </c>
      <c r="P4" s="256" t="s">
        <v>2458</v>
      </c>
      <c r="Q4" s="256" t="s">
        <v>2459</v>
      </c>
      <c r="R4" s="256">
        <v>1</v>
      </c>
      <c r="S4" s="256">
        <v>1</v>
      </c>
      <c r="T4" s="256">
        <v>4</v>
      </c>
      <c r="U4" s="256">
        <v>1</v>
      </c>
      <c r="V4" s="256">
        <v>4</v>
      </c>
      <c r="W4" s="256">
        <v>1</v>
      </c>
      <c r="X4" s="256" t="str">
        <f>IF(AND('[18]Assistive Device Support'!$R4="",'[18]Assistive Device Support'!$S4="",'[18]Assistive Device Support'!$T4="",'[18]Assistive Device Support'!$U4="",'[18]Assistive Device Support'!$V4="",'[18]Assistive Device Support'!$W4=""),"",IF(OR('[18]Assistive Device Support'!$R4&gt;2,'[18]Assistive Device Support'!$S4&gt;2,'[18]Assistive Device Support'!$T4&gt;2,'[18]Assistive Device Support'!$U4&gt;2,'[18]Assistive Device Support'!$V4&gt;2,'[18]Assistive Device Support'!$W4&gt;2),"Yes","No"))</f>
        <v>Yes</v>
      </c>
      <c r="Y4" s="256" t="s">
        <v>2420</v>
      </c>
      <c r="Z4" s="256" t="s">
        <v>654</v>
      </c>
      <c r="AA4" s="256" t="s">
        <v>654</v>
      </c>
      <c r="AB4" s="256" t="s">
        <v>654</v>
      </c>
      <c r="AC4" s="256" t="s">
        <v>654</v>
      </c>
      <c r="AD4" s="256" t="s">
        <v>2460</v>
      </c>
    </row>
    <row r="5" spans="1:36" s="256" customFormat="1" ht="14.25" customHeight="1" x14ac:dyDescent="0.25">
      <c r="A5" s="256">
        <v>2</v>
      </c>
      <c r="B5" s="256" t="s">
        <v>2461</v>
      </c>
      <c r="C5" s="256" t="s">
        <v>2454</v>
      </c>
      <c r="D5" s="256" t="s">
        <v>2454</v>
      </c>
      <c r="E5" s="256" t="s">
        <v>1998</v>
      </c>
      <c r="F5" s="256" t="s">
        <v>1999</v>
      </c>
      <c r="H5" s="256" t="s">
        <v>2462</v>
      </c>
      <c r="I5" s="256" t="s">
        <v>619</v>
      </c>
      <c r="J5" s="256" t="s">
        <v>2463</v>
      </c>
      <c r="K5" s="257">
        <v>45839</v>
      </c>
      <c r="L5" s="256">
        <v>2</v>
      </c>
      <c r="M5" s="256" t="s">
        <v>2464</v>
      </c>
      <c r="N5" s="256">
        <v>45</v>
      </c>
      <c r="O5" s="256" t="s">
        <v>402</v>
      </c>
      <c r="P5" s="256" t="s">
        <v>2464</v>
      </c>
      <c r="Q5" s="256" t="s">
        <v>2459</v>
      </c>
      <c r="R5" s="256">
        <v>1</v>
      </c>
      <c r="S5" s="256">
        <v>1</v>
      </c>
      <c r="T5" s="256">
        <v>3</v>
      </c>
      <c r="U5" s="256">
        <v>1</v>
      </c>
      <c r="V5" s="256">
        <v>4</v>
      </c>
      <c r="W5" s="256">
        <v>1</v>
      </c>
      <c r="X5" s="256" t="str">
        <f>IF(AND('[18]Assistive Device Support'!$R5="",'[18]Assistive Device Support'!$S5="",'[18]Assistive Device Support'!$T5="",'[18]Assistive Device Support'!$U5="",'[18]Assistive Device Support'!$V5="",'[18]Assistive Device Support'!$W5=""),"",IF(OR('[18]Assistive Device Support'!$R5&gt;2,'[18]Assistive Device Support'!$S5&gt;2,'[18]Assistive Device Support'!$T5&gt;2,'[18]Assistive Device Support'!$U5&gt;2,'[18]Assistive Device Support'!$V5&gt;2,'[18]Assistive Device Support'!$W5&gt;2),"Yes","No"))</f>
        <v>Yes</v>
      </c>
      <c r="Y5" s="256" t="s">
        <v>2420</v>
      </c>
      <c r="Z5" s="256" t="s">
        <v>654</v>
      </c>
      <c r="AA5" s="256" t="s">
        <v>654</v>
      </c>
      <c r="AB5" s="256" t="s">
        <v>654</v>
      </c>
      <c r="AC5" s="256" t="s">
        <v>654</v>
      </c>
      <c r="AD5" s="256" t="s">
        <v>2465</v>
      </c>
    </row>
    <row r="6" spans="1:36" s="256" customFormat="1" ht="14.25" customHeight="1" x14ac:dyDescent="0.25">
      <c r="A6" s="256">
        <v>3</v>
      </c>
      <c r="B6" s="256" t="s">
        <v>2453</v>
      </c>
      <c r="C6" s="256" t="s">
        <v>2454</v>
      </c>
      <c r="D6" s="256" t="s">
        <v>2454</v>
      </c>
      <c r="E6" s="256" t="s">
        <v>1998</v>
      </c>
      <c r="F6" s="256" t="s">
        <v>2455</v>
      </c>
      <c r="H6" s="256" t="s">
        <v>2466</v>
      </c>
      <c r="I6" s="256" t="s">
        <v>619</v>
      </c>
      <c r="J6" s="256" t="s">
        <v>2467</v>
      </c>
      <c r="K6" s="257">
        <v>45839</v>
      </c>
      <c r="L6" s="256">
        <v>3</v>
      </c>
      <c r="M6" s="256" t="s">
        <v>2468</v>
      </c>
      <c r="N6" s="256">
        <v>14</v>
      </c>
      <c r="O6" s="256" t="s">
        <v>402</v>
      </c>
      <c r="P6" s="256" t="s">
        <v>2469</v>
      </c>
      <c r="Q6" s="256" t="s">
        <v>2470</v>
      </c>
      <c r="R6" s="256">
        <v>2</v>
      </c>
      <c r="S6" s="256">
        <v>3</v>
      </c>
      <c r="T6" s="256">
        <v>4</v>
      </c>
      <c r="U6" s="256">
        <v>4</v>
      </c>
      <c r="V6" s="256">
        <v>4</v>
      </c>
      <c r="W6" s="256">
        <v>4</v>
      </c>
      <c r="X6" s="256" t="str">
        <f>IF(AND('[18]Assistive Device Support'!$R6="",'[18]Assistive Device Support'!$S6="",'[18]Assistive Device Support'!$T6="",'[18]Assistive Device Support'!$U6="",'[18]Assistive Device Support'!$V6="",'[18]Assistive Device Support'!$W6=""),"",IF(OR('[18]Assistive Device Support'!$R6&gt;2,'[18]Assistive Device Support'!$S6&gt;2,'[18]Assistive Device Support'!$T6&gt;2,'[18]Assistive Device Support'!$U6&gt;2,'[18]Assistive Device Support'!$V6&gt;2,'[18]Assistive Device Support'!$W6&gt;2),"Yes","No"))</f>
        <v>Yes</v>
      </c>
      <c r="Y6" s="256" t="s">
        <v>2420</v>
      </c>
      <c r="Z6" s="256" t="s">
        <v>654</v>
      </c>
      <c r="AA6" s="256" t="s">
        <v>654</v>
      </c>
      <c r="AB6" s="256" t="s">
        <v>654</v>
      </c>
      <c r="AC6" s="256" t="s">
        <v>654</v>
      </c>
      <c r="AD6" s="256" t="s">
        <v>2471</v>
      </c>
    </row>
    <row r="7" spans="1:36" s="256" customFormat="1" ht="14.25" customHeight="1" x14ac:dyDescent="0.25">
      <c r="A7" s="256">
        <v>4</v>
      </c>
      <c r="B7" s="256" t="s">
        <v>2461</v>
      </c>
      <c r="C7" s="256" t="s">
        <v>2454</v>
      </c>
      <c r="D7" s="256" t="s">
        <v>2454</v>
      </c>
      <c r="E7" s="256" t="s">
        <v>1998</v>
      </c>
      <c r="F7" s="256" t="s">
        <v>2472</v>
      </c>
      <c r="H7" s="256" t="s">
        <v>2473</v>
      </c>
      <c r="I7" s="256" t="s">
        <v>619</v>
      </c>
      <c r="J7" s="256" t="s">
        <v>2474</v>
      </c>
      <c r="K7" s="257">
        <v>45840</v>
      </c>
      <c r="L7" s="256">
        <v>4</v>
      </c>
      <c r="M7" s="256" t="s">
        <v>2475</v>
      </c>
      <c r="N7" s="256">
        <v>27</v>
      </c>
      <c r="O7" s="256" t="s">
        <v>402</v>
      </c>
      <c r="P7" s="256" t="s">
        <v>2476</v>
      </c>
      <c r="Q7" s="256" t="s">
        <v>2477</v>
      </c>
      <c r="R7" s="256">
        <v>2</v>
      </c>
      <c r="S7" s="256">
        <v>2</v>
      </c>
      <c r="T7" s="256">
        <v>4</v>
      </c>
      <c r="U7" s="256">
        <v>4</v>
      </c>
      <c r="V7" s="256">
        <v>4</v>
      </c>
      <c r="W7" s="256">
        <v>4</v>
      </c>
      <c r="X7" s="256" t="str">
        <f>IF(AND('[18]Assistive Device Support'!$R7="",'[18]Assistive Device Support'!$S7="",'[18]Assistive Device Support'!$T7="",'[18]Assistive Device Support'!$U7="",'[18]Assistive Device Support'!$V7="",'[18]Assistive Device Support'!$W7=""),"",IF(OR('[18]Assistive Device Support'!$R7&gt;2,'[18]Assistive Device Support'!$S7&gt;2,'[18]Assistive Device Support'!$T7&gt;2,'[18]Assistive Device Support'!$U7&gt;2,'[18]Assistive Device Support'!$V7&gt;2,'[18]Assistive Device Support'!$W7&gt;2),"Yes","No"))</f>
        <v>Yes</v>
      </c>
      <c r="Y7" s="256" t="s">
        <v>2420</v>
      </c>
      <c r="Z7" s="256" t="s">
        <v>654</v>
      </c>
      <c r="AA7" s="256" t="s">
        <v>654</v>
      </c>
      <c r="AB7" s="256" t="s">
        <v>654</v>
      </c>
      <c r="AC7" s="256" t="s">
        <v>654</v>
      </c>
      <c r="AD7" s="256" t="s">
        <v>2471</v>
      </c>
    </row>
    <row r="8" spans="1:36" s="256" customFormat="1" ht="14.25" customHeight="1" x14ac:dyDescent="0.25">
      <c r="A8" s="256">
        <v>5</v>
      </c>
      <c r="B8" s="256" t="s">
        <v>2461</v>
      </c>
      <c r="C8" s="256" t="s">
        <v>2454</v>
      </c>
      <c r="D8" s="256" t="s">
        <v>2454</v>
      </c>
      <c r="E8" s="256" t="s">
        <v>1998</v>
      </c>
      <c r="F8" s="256" t="s">
        <v>2478</v>
      </c>
      <c r="H8" s="256" t="s">
        <v>2479</v>
      </c>
      <c r="I8" s="256" t="s">
        <v>619</v>
      </c>
      <c r="J8" s="256" t="s">
        <v>2480</v>
      </c>
      <c r="K8" s="257">
        <v>45841</v>
      </c>
      <c r="L8" s="256">
        <v>5</v>
      </c>
      <c r="M8" s="256" t="s">
        <v>2481</v>
      </c>
      <c r="N8" s="256">
        <v>14</v>
      </c>
      <c r="O8" s="256" t="s">
        <v>402</v>
      </c>
      <c r="P8" s="256" t="s">
        <v>2482</v>
      </c>
      <c r="Q8" s="256" t="s">
        <v>2483</v>
      </c>
      <c r="R8" s="256">
        <v>1</v>
      </c>
      <c r="S8" s="256">
        <v>1</v>
      </c>
      <c r="T8" s="256">
        <v>4</v>
      </c>
      <c r="U8" s="256">
        <v>1</v>
      </c>
      <c r="V8" s="256">
        <v>4</v>
      </c>
      <c r="W8" s="256">
        <v>1</v>
      </c>
      <c r="X8" s="256" t="str">
        <f>IF(AND('[18]Assistive Device Support'!$R8="",'[18]Assistive Device Support'!$S8="",'[18]Assistive Device Support'!$T8="",'[18]Assistive Device Support'!$U8="",'[18]Assistive Device Support'!$V8="",'[18]Assistive Device Support'!$W8=""),"",IF(OR('[18]Assistive Device Support'!$R8&gt;2,'[18]Assistive Device Support'!$S8&gt;2,'[18]Assistive Device Support'!$T8&gt;2,'[18]Assistive Device Support'!$U8&gt;2,'[18]Assistive Device Support'!$V8&gt;2,'[18]Assistive Device Support'!$W8&gt;2),"Yes","No"))</f>
        <v>Yes</v>
      </c>
      <c r="Y8" s="256" t="s">
        <v>2420</v>
      </c>
      <c r="Z8" s="256" t="s">
        <v>654</v>
      </c>
      <c r="AA8" s="256" t="s">
        <v>654</v>
      </c>
      <c r="AB8" s="256" t="s">
        <v>654</v>
      </c>
      <c r="AC8" s="256" t="s">
        <v>654</v>
      </c>
      <c r="AD8" s="256" t="s">
        <v>2484</v>
      </c>
      <c r="AE8" s="256" t="s">
        <v>2485</v>
      </c>
    </row>
    <row r="9" spans="1:36" s="256" customFormat="1" ht="14.25" customHeight="1" x14ac:dyDescent="0.25">
      <c r="A9" s="256">
        <v>6</v>
      </c>
      <c r="B9" s="256" t="s">
        <v>2461</v>
      </c>
      <c r="C9" s="256" t="s">
        <v>2454</v>
      </c>
      <c r="D9" s="256" t="s">
        <v>2454</v>
      </c>
      <c r="E9" s="256" t="s">
        <v>1998</v>
      </c>
      <c r="F9" s="256" t="s">
        <v>2478</v>
      </c>
      <c r="H9" s="256" t="s">
        <v>2479</v>
      </c>
      <c r="I9" s="256" t="s">
        <v>619</v>
      </c>
      <c r="J9" s="256" t="s">
        <v>2486</v>
      </c>
      <c r="K9" s="257">
        <v>45841</v>
      </c>
      <c r="L9" s="256">
        <v>6</v>
      </c>
      <c r="M9" s="256" t="s">
        <v>2487</v>
      </c>
      <c r="N9" s="256">
        <v>92</v>
      </c>
      <c r="O9" s="256" t="s">
        <v>603</v>
      </c>
      <c r="P9" s="256" t="s">
        <v>2488</v>
      </c>
      <c r="Q9" s="256" t="s">
        <v>2489</v>
      </c>
      <c r="R9" s="256">
        <v>1</v>
      </c>
      <c r="S9" s="256">
        <v>1</v>
      </c>
      <c r="T9" s="256">
        <v>4</v>
      </c>
      <c r="U9" s="256">
        <v>4</v>
      </c>
      <c r="V9" s="256">
        <v>4</v>
      </c>
      <c r="W9" s="256">
        <v>1</v>
      </c>
      <c r="X9" s="256" t="str">
        <f>IF(AND('[18]Assistive Device Support'!$R9="",'[18]Assistive Device Support'!$S9="",'[18]Assistive Device Support'!$T9="",'[18]Assistive Device Support'!$U9="",'[18]Assistive Device Support'!$V9="",'[18]Assistive Device Support'!$W9=""),"",IF(OR('[18]Assistive Device Support'!$R9&gt;2,'[18]Assistive Device Support'!$S9&gt;2,'[18]Assistive Device Support'!$T9&gt;2,'[18]Assistive Device Support'!$U9&gt;2,'[18]Assistive Device Support'!$V9&gt;2,'[18]Assistive Device Support'!$W9&gt;2),"Yes","No"))</f>
        <v>Yes</v>
      </c>
      <c r="Y9" s="256" t="s">
        <v>2420</v>
      </c>
      <c r="Z9" s="256" t="s">
        <v>654</v>
      </c>
      <c r="AA9" s="256" t="s">
        <v>654</v>
      </c>
      <c r="AB9" s="256" t="s">
        <v>654</v>
      </c>
      <c r="AC9" s="256" t="s">
        <v>654</v>
      </c>
      <c r="AD9" s="256" t="s">
        <v>2490</v>
      </c>
    </row>
    <row r="10" spans="1:36" s="256" customFormat="1" ht="14.25" customHeight="1" x14ac:dyDescent="0.25">
      <c r="A10" s="256">
        <v>7</v>
      </c>
      <c r="B10" s="256" t="s">
        <v>2461</v>
      </c>
      <c r="C10" s="256" t="s">
        <v>2454</v>
      </c>
      <c r="D10" s="256" t="s">
        <v>2454</v>
      </c>
      <c r="E10" s="256" t="s">
        <v>1998</v>
      </c>
      <c r="F10" s="256" t="s">
        <v>2491</v>
      </c>
      <c r="H10" s="256" t="s">
        <v>2492</v>
      </c>
      <c r="I10" s="256" t="s">
        <v>579</v>
      </c>
      <c r="J10" s="256" t="s">
        <v>2493</v>
      </c>
      <c r="K10" s="257">
        <v>45841</v>
      </c>
      <c r="L10" s="256">
        <v>7</v>
      </c>
      <c r="M10" s="256" t="s">
        <v>2494</v>
      </c>
      <c r="N10" s="256">
        <v>24</v>
      </c>
      <c r="O10" s="256" t="s">
        <v>402</v>
      </c>
      <c r="P10" s="256" t="s">
        <v>2494</v>
      </c>
      <c r="Q10" s="256" t="s">
        <v>2459</v>
      </c>
      <c r="R10" s="256">
        <v>1</v>
      </c>
      <c r="S10" s="256">
        <v>1</v>
      </c>
      <c r="T10" s="256">
        <v>3</v>
      </c>
      <c r="U10" s="256">
        <v>1</v>
      </c>
      <c r="V10" s="256">
        <v>4</v>
      </c>
      <c r="W10" s="256">
        <v>1</v>
      </c>
      <c r="X10" s="256" t="str">
        <f>IF(AND('[18]Assistive Device Support'!$R10="",'[18]Assistive Device Support'!$S10="",'[18]Assistive Device Support'!$T10="",'[18]Assistive Device Support'!$U10="",'[18]Assistive Device Support'!$V10="",'[18]Assistive Device Support'!$W10=""),"",IF(OR('[18]Assistive Device Support'!$R10&gt;2,'[18]Assistive Device Support'!$S10&gt;2,'[18]Assistive Device Support'!$T10&gt;2,'[18]Assistive Device Support'!$U10&gt;2,'[18]Assistive Device Support'!$V10&gt;2,'[18]Assistive Device Support'!$W10&gt;2),"Yes","No"))</f>
        <v>Yes</v>
      </c>
      <c r="Y10" s="256" t="s">
        <v>2420</v>
      </c>
      <c r="Z10" s="256" t="s">
        <v>654</v>
      </c>
      <c r="AA10" s="256" t="s">
        <v>654</v>
      </c>
      <c r="AB10" s="256" t="s">
        <v>654</v>
      </c>
      <c r="AC10" s="256" t="s">
        <v>654</v>
      </c>
      <c r="AD10" s="256" t="s">
        <v>2471</v>
      </c>
    </row>
    <row r="11" spans="1:36" s="256" customFormat="1" ht="14.25" customHeight="1" x14ac:dyDescent="0.25">
      <c r="A11" s="256">
        <v>8</v>
      </c>
      <c r="B11" s="256" t="s">
        <v>2461</v>
      </c>
      <c r="C11" s="256" t="s">
        <v>2454</v>
      </c>
      <c r="D11" s="256" t="s">
        <v>2454</v>
      </c>
      <c r="E11" s="256" t="s">
        <v>1998</v>
      </c>
      <c r="F11" s="256" t="s">
        <v>1999</v>
      </c>
      <c r="H11" s="256" t="s">
        <v>2495</v>
      </c>
      <c r="I11" s="256" t="s">
        <v>619</v>
      </c>
      <c r="J11" s="256" t="s">
        <v>2496</v>
      </c>
      <c r="K11" s="257">
        <v>45841</v>
      </c>
      <c r="L11" s="256">
        <v>8</v>
      </c>
      <c r="M11" s="256" t="s">
        <v>2497</v>
      </c>
      <c r="N11" s="256">
        <v>75</v>
      </c>
      <c r="O11" s="256" t="s">
        <v>402</v>
      </c>
      <c r="P11" s="256" t="s">
        <v>2497</v>
      </c>
      <c r="Q11" s="256" t="s">
        <v>2459</v>
      </c>
      <c r="R11" s="256">
        <v>2</v>
      </c>
      <c r="S11" s="256">
        <v>1</v>
      </c>
      <c r="T11" s="256">
        <v>3</v>
      </c>
      <c r="U11" s="256">
        <v>2</v>
      </c>
      <c r="V11" s="256">
        <v>4</v>
      </c>
      <c r="W11" s="256">
        <v>1</v>
      </c>
      <c r="X11" s="256" t="str">
        <f>IF(AND('[18]Assistive Device Support'!$R11="",'[18]Assistive Device Support'!$S11="",'[18]Assistive Device Support'!$T11="",'[18]Assistive Device Support'!$U11="",'[18]Assistive Device Support'!$V11="",'[18]Assistive Device Support'!$W11=""),"",IF(OR('[18]Assistive Device Support'!$R11&gt;2,'[18]Assistive Device Support'!$S11&gt;2,'[18]Assistive Device Support'!$T11&gt;2,'[18]Assistive Device Support'!$U11&gt;2,'[18]Assistive Device Support'!$V11&gt;2,'[18]Assistive Device Support'!$W11&gt;2),"Yes","No"))</f>
        <v>Yes</v>
      </c>
      <c r="Y11" s="256" t="s">
        <v>2420</v>
      </c>
      <c r="Z11" s="256" t="s">
        <v>654</v>
      </c>
      <c r="AA11" s="256" t="s">
        <v>654</v>
      </c>
      <c r="AB11" s="256" t="s">
        <v>654</v>
      </c>
      <c r="AC11" s="256" t="s">
        <v>654</v>
      </c>
      <c r="AD11" s="256" t="s">
        <v>2490</v>
      </c>
    </row>
    <row r="12" spans="1:36" s="256" customFormat="1" ht="14.25" customHeight="1" x14ac:dyDescent="0.25">
      <c r="A12" s="256">
        <v>9</v>
      </c>
      <c r="B12" s="256" t="s">
        <v>2461</v>
      </c>
      <c r="C12" s="256" t="s">
        <v>2454</v>
      </c>
      <c r="D12" s="256" t="s">
        <v>2454</v>
      </c>
      <c r="E12" s="256" t="s">
        <v>1998</v>
      </c>
      <c r="F12" s="256" t="s">
        <v>2478</v>
      </c>
      <c r="H12" s="256" t="s">
        <v>2498</v>
      </c>
      <c r="I12" s="256" t="s">
        <v>619</v>
      </c>
      <c r="J12" s="256" t="s">
        <v>2499</v>
      </c>
      <c r="K12" s="257">
        <v>45841</v>
      </c>
      <c r="L12" s="256">
        <v>9</v>
      </c>
      <c r="M12" s="256" t="s">
        <v>2500</v>
      </c>
      <c r="N12" s="256">
        <v>74</v>
      </c>
      <c r="O12" s="256" t="s">
        <v>603</v>
      </c>
      <c r="P12" s="256" t="s">
        <v>2501</v>
      </c>
      <c r="Q12" s="256" t="s">
        <v>2502</v>
      </c>
      <c r="R12" s="256">
        <v>2</v>
      </c>
      <c r="S12" s="256">
        <v>2</v>
      </c>
      <c r="T12" s="256">
        <v>3</v>
      </c>
      <c r="U12" s="256">
        <v>2</v>
      </c>
      <c r="V12" s="256">
        <v>4</v>
      </c>
      <c r="W12" s="256">
        <v>2</v>
      </c>
      <c r="X12" s="256" t="str">
        <f>IF(AND('[18]Assistive Device Support'!$R12="",'[18]Assistive Device Support'!$S12="",'[18]Assistive Device Support'!$T12="",'[18]Assistive Device Support'!$U12="",'[18]Assistive Device Support'!$V12="",'[18]Assistive Device Support'!$W12=""),"",IF(OR('[18]Assistive Device Support'!$R12&gt;2,'[18]Assistive Device Support'!$S12&gt;2,'[18]Assistive Device Support'!$T12&gt;2,'[18]Assistive Device Support'!$U12&gt;2,'[18]Assistive Device Support'!$V12&gt;2,'[18]Assistive Device Support'!$W12&gt;2),"Yes","No"))</f>
        <v>Yes</v>
      </c>
      <c r="Y12" s="256" t="s">
        <v>2420</v>
      </c>
      <c r="Z12" s="256" t="s">
        <v>654</v>
      </c>
      <c r="AA12" s="256" t="s">
        <v>654</v>
      </c>
      <c r="AB12" s="256" t="s">
        <v>654</v>
      </c>
      <c r="AC12" s="256" t="s">
        <v>654</v>
      </c>
      <c r="AD12" s="256" t="s">
        <v>2460</v>
      </c>
    </row>
    <row r="13" spans="1:36" s="256" customFormat="1" ht="14.25" customHeight="1" x14ac:dyDescent="0.25">
      <c r="A13" s="256">
        <v>10</v>
      </c>
      <c r="B13" s="256" t="s">
        <v>2461</v>
      </c>
      <c r="C13" s="256" t="s">
        <v>2454</v>
      </c>
      <c r="D13" s="256" t="s">
        <v>2454</v>
      </c>
      <c r="E13" s="256" t="s">
        <v>1998</v>
      </c>
      <c r="F13" s="256" t="s">
        <v>2491</v>
      </c>
      <c r="H13" s="256" t="s">
        <v>2503</v>
      </c>
      <c r="I13" s="256" t="s">
        <v>579</v>
      </c>
      <c r="J13" s="256" t="s">
        <v>2504</v>
      </c>
      <c r="K13" s="257">
        <v>45841</v>
      </c>
      <c r="L13" s="256">
        <v>10</v>
      </c>
      <c r="M13" s="256" t="s">
        <v>2505</v>
      </c>
      <c r="N13" s="256">
        <v>74</v>
      </c>
      <c r="O13" s="256" t="s">
        <v>402</v>
      </c>
      <c r="P13" s="256" t="s">
        <v>2506</v>
      </c>
      <c r="Q13" s="256" t="s">
        <v>2489</v>
      </c>
      <c r="R13" s="256">
        <v>2</v>
      </c>
      <c r="S13" s="256">
        <v>2</v>
      </c>
      <c r="T13" s="256">
        <v>4</v>
      </c>
      <c r="U13" s="256">
        <v>4</v>
      </c>
      <c r="V13" s="256">
        <v>4</v>
      </c>
      <c r="W13" s="256">
        <v>4</v>
      </c>
      <c r="X13" s="256" t="str">
        <f>IF(AND('[18]Assistive Device Support'!$R13="",'[18]Assistive Device Support'!$S13="",'[18]Assistive Device Support'!$T13="",'[18]Assistive Device Support'!$U13="",'[18]Assistive Device Support'!$V13="",'[18]Assistive Device Support'!$W13=""),"",IF(OR('[18]Assistive Device Support'!$R13&gt;2,'[18]Assistive Device Support'!$S13&gt;2,'[18]Assistive Device Support'!$T13&gt;2,'[18]Assistive Device Support'!$U13&gt;2,'[18]Assistive Device Support'!$V13&gt;2,'[18]Assistive Device Support'!$W13&gt;2),"Yes","No"))</f>
        <v>Yes</v>
      </c>
      <c r="Y13" s="256" t="s">
        <v>2420</v>
      </c>
      <c r="Z13" s="256" t="s">
        <v>654</v>
      </c>
      <c r="AA13" s="256" t="s">
        <v>654</v>
      </c>
      <c r="AB13" s="256" t="s">
        <v>654</v>
      </c>
      <c r="AC13" s="256" t="s">
        <v>654</v>
      </c>
      <c r="AD13" s="256" t="s">
        <v>2460</v>
      </c>
    </row>
    <row r="14" spans="1:36" s="256" customFormat="1" ht="14.25" customHeight="1" x14ac:dyDescent="0.25">
      <c r="A14" s="256">
        <v>11</v>
      </c>
      <c r="B14" s="256" t="s">
        <v>2461</v>
      </c>
      <c r="C14" s="256" t="s">
        <v>2454</v>
      </c>
      <c r="D14" s="256" t="s">
        <v>2454</v>
      </c>
      <c r="E14" s="256" t="s">
        <v>1998</v>
      </c>
      <c r="F14" s="256" t="s">
        <v>2455</v>
      </c>
      <c r="H14" s="256" t="s">
        <v>2455</v>
      </c>
      <c r="I14" s="256" t="s">
        <v>619</v>
      </c>
      <c r="J14" s="256" t="s">
        <v>2507</v>
      </c>
      <c r="K14" s="257">
        <v>45842</v>
      </c>
      <c r="L14" s="256">
        <v>11</v>
      </c>
      <c r="M14" s="256" t="s">
        <v>2508</v>
      </c>
      <c r="N14" s="256">
        <v>55</v>
      </c>
      <c r="O14" s="256" t="s">
        <v>402</v>
      </c>
      <c r="P14" s="256" t="s">
        <v>2508</v>
      </c>
      <c r="Q14" s="256" t="s">
        <v>2459</v>
      </c>
      <c r="R14" s="256">
        <v>1</v>
      </c>
      <c r="S14" s="256">
        <v>1</v>
      </c>
      <c r="T14" s="256">
        <v>4</v>
      </c>
      <c r="U14" s="256">
        <v>1</v>
      </c>
      <c r="V14" s="256">
        <v>4</v>
      </c>
      <c r="W14" s="256">
        <v>1</v>
      </c>
      <c r="X14" s="256" t="str">
        <f>IF(AND('[18]Assistive Device Support'!$R14="",'[18]Assistive Device Support'!$S14="",'[18]Assistive Device Support'!$T14="",'[18]Assistive Device Support'!$U14="",'[18]Assistive Device Support'!$V14="",'[18]Assistive Device Support'!$W14=""),"",IF(OR('[18]Assistive Device Support'!$R14&gt;2,'[18]Assistive Device Support'!$S14&gt;2,'[18]Assistive Device Support'!$T14&gt;2,'[18]Assistive Device Support'!$U14&gt;2,'[18]Assistive Device Support'!$V14&gt;2,'[18]Assistive Device Support'!$W14&gt;2),"Yes","No"))</f>
        <v>Yes</v>
      </c>
      <c r="Y14" s="256" t="s">
        <v>2420</v>
      </c>
      <c r="Z14" s="256" t="s">
        <v>654</v>
      </c>
      <c r="AA14" s="256" t="s">
        <v>654</v>
      </c>
      <c r="AB14" s="256" t="s">
        <v>654</v>
      </c>
      <c r="AC14" s="256" t="s">
        <v>654</v>
      </c>
      <c r="AD14" s="256" t="s">
        <v>2460</v>
      </c>
    </row>
    <row r="15" spans="1:36" s="256" customFormat="1" ht="14.25" customHeight="1" x14ac:dyDescent="0.25">
      <c r="A15" s="256">
        <v>12</v>
      </c>
      <c r="B15" s="256" t="s">
        <v>2461</v>
      </c>
      <c r="C15" s="256" t="s">
        <v>2454</v>
      </c>
      <c r="D15" s="256" t="s">
        <v>2454</v>
      </c>
      <c r="E15" s="256" t="s">
        <v>1998</v>
      </c>
      <c r="F15" s="256" t="s">
        <v>1999</v>
      </c>
      <c r="H15" s="256" t="s">
        <v>2509</v>
      </c>
      <c r="I15" s="256" t="s">
        <v>619</v>
      </c>
      <c r="J15" s="256" t="s">
        <v>2510</v>
      </c>
      <c r="K15" s="257">
        <v>45842</v>
      </c>
      <c r="L15" s="256">
        <v>12</v>
      </c>
      <c r="M15" s="256" t="s">
        <v>2511</v>
      </c>
      <c r="N15" s="256">
        <v>52</v>
      </c>
      <c r="O15" s="256" t="s">
        <v>603</v>
      </c>
      <c r="P15" s="256" t="s">
        <v>2512</v>
      </c>
      <c r="Q15" s="256" t="s">
        <v>2513</v>
      </c>
      <c r="R15" s="256">
        <v>1</v>
      </c>
      <c r="S15" s="256">
        <v>1</v>
      </c>
      <c r="T15" s="256">
        <v>4</v>
      </c>
      <c r="U15" s="256">
        <v>3</v>
      </c>
      <c r="V15" s="256">
        <v>4</v>
      </c>
      <c r="W15" s="256">
        <v>3</v>
      </c>
      <c r="X15" s="256" t="str">
        <f>IF(AND('[18]Assistive Device Support'!$R15="",'[18]Assistive Device Support'!$S15="",'[18]Assistive Device Support'!$T15="",'[18]Assistive Device Support'!$U15="",'[18]Assistive Device Support'!$V15="",'[18]Assistive Device Support'!$W15=""),"",IF(OR('[18]Assistive Device Support'!$R15&gt;2,'[18]Assistive Device Support'!$S15&gt;2,'[18]Assistive Device Support'!$T15&gt;2,'[18]Assistive Device Support'!$U15&gt;2,'[18]Assistive Device Support'!$V15&gt;2,'[18]Assistive Device Support'!$W15&gt;2),"Yes","No"))</f>
        <v>Yes</v>
      </c>
      <c r="Y15" s="256" t="s">
        <v>2420</v>
      </c>
      <c r="Z15" s="256" t="s">
        <v>654</v>
      </c>
      <c r="AA15" s="256" t="s">
        <v>654</v>
      </c>
      <c r="AB15" s="256" t="s">
        <v>654</v>
      </c>
      <c r="AC15" s="256" t="s">
        <v>654</v>
      </c>
      <c r="AD15" s="256" t="s">
        <v>2460</v>
      </c>
    </row>
    <row r="16" spans="1:36" s="256" customFormat="1" ht="14.25" customHeight="1" x14ac:dyDescent="0.25">
      <c r="A16" s="256">
        <v>13</v>
      </c>
      <c r="B16" s="256" t="s">
        <v>2461</v>
      </c>
      <c r="C16" s="256" t="s">
        <v>2454</v>
      </c>
      <c r="D16" s="256" t="s">
        <v>2454</v>
      </c>
      <c r="E16" s="256" t="s">
        <v>1998</v>
      </c>
      <c r="F16" s="256" t="s">
        <v>2297</v>
      </c>
      <c r="H16" s="256" t="s">
        <v>2514</v>
      </c>
      <c r="I16" s="256" t="s">
        <v>579</v>
      </c>
      <c r="J16" s="256" t="s">
        <v>2515</v>
      </c>
      <c r="K16" s="257">
        <v>45842</v>
      </c>
      <c r="L16" s="256">
        <v>13</v>
      </c>
      <c r="M16" s="256" t="s">
        <v>2516</v>
      </c>
      <c r="N16" s="256">
        <v>14</v>
      </c>
      <c r="O16" s="256" t="s">
        <v>603</v>
      </c>
      <c r="P16" s="256" t="s">
        <v>2517</v>
      </c>
      <c r="Q16" s="256" t="s">
        <v>2513</v>
      </c>
      <c r="R16" s="256">
        <v>1</v>
      </c>
      <c r="S16" s="256">
        <v>1</v>
      </c>
      <c r="T16" s="256">
        <v>3</v>
      </c>
      <c r="U16" s="256">
        <v>1</v>
      </c>
      <c r="V16" s="256">
        <v>1</v>
      </c>
      <c r="W16" s="256">
        <v>1</v>
      </c>
      <c r="X16" s="256" t="str">
        <f>IF(AND('[18]Assistive Device Support'!$R16="",'[18]Assistive Device Support'!$S16="",'[18]Assistive Device Support'!$T16="",'[18]Assistive Device Support'!$U16="",'[18]Assistive Device Support'!$V16="",'[18]Assistive Device Support'!$W16=""),"",IF(OR('[18]Assistive Device Support'!$R16&gt;2,'[18]Assistive Device Support'!$S16&gt;2,'[18]Assistive Device Support'!$T16&gt;2,'[18]Assistive Device Support'!$U16&gt;2,'[18]Assistive Device Support'!$V16&gt;2,'[18]Assistive Device Support'!$W16&gt;2),"Yes","No"))</f>
        <v>Yes</v>
      </c>
      <c r="Y16" s="256" t="s">
        <v>2420</v>
      </c>
      <c r="Z16" s="256" t="s">
        <v>654</v>
      </c>
      <c r="AA16" s="256" t="s">
        <v>654</v>
      </c>
      <c r="AB16" s="256" t="s">
        <v>654</v>
      </c>
      <c r="AC16" s="256" t="s">
        <v>654</v>
      </c>
      <c r="AD16" s="256" t="s">
        <v>2471</v>
      </c>
    </row>
    <row r="17" spans="1:30" s="256" customFormat="1" ht="14.25" customHeight="1" x14ac:dyDescent="0.25">
      <c r="A17" s="256">
        <v>14</v>
      </c>
      <c r="B17" s="256" t="s">
        <v>2461</v>
      </c>
      <c r="C17" s="256" t="s">
        <v>2454</v>
      </c>
      <c r="D17" s="256" t="s">
        <v>2454</v>
      </c>
      <c r="E17" s="256" t="s">
        <v>1998</v>
      </c>
      <c r="F17" s="256" t="s">
        <v>2472</v>
      </c>
      <c r="H17" s="256" t="s">
        <v>2518</v>
      </c>
      <c r="I17" s="256" t="s">
        <v>619</v>
      </c>
      <c r="J17" s="256" t="s">
        <v>2519</v>
      </c>
      <c r="K17" s="257">
        <v>45842</v>
      </c>
      <c r="L17" s="256">
        <v>14</v>
      </c>
      <c r="M17" s="256" t="s">
        <v>2520</v>
      </c>
      <c r="N17" s="256">
        <v>56</v>
      </c>
      <c r="O17" s="256" t="s">
        <v>603</v>
      </c>
      <c r="P17" s="256" t="s">
        <v>2521</v>
      </c>
      <c r="Q17" s="256" t="s">
        <v>2522</v>
      </c>
      <c r="R17" s="256">
        <v>1</v>
      </c>
      <c r="S17" s="256">
        <v>1</v>
      </c>
      <c r="T17" s="256">
        <v>3</v>
      </c>
      <c r="U17" s="256">
        <v>2</v>
      </c>
      <c r="V17" s="256">
        <v>4</v>
      </c>
      <c r="W17" s="256">
        <v>1</v>
      </c>
      <c r="X17" s="256" t="str">
        <f>IF(AND('[18]Assistive Device Support'!$R17="",'[18]Assistive Device Support'!$S17="",'[18]Assistive Device Support'!$T17="",'[18]Assistive Device Support'!$U17="",'[18]Assistive Device Support'!$V17="",'[18]Assistive Device Support'!$W17=""),"",IF(OR('[18]Assistive Device Support'!$R17&gt;2,'[18]Assistive Device Support'!$S17&gt;2,'[18]Assistive Device Support'!$T17&gt;2,'[18]Assistive Device Support'!$U17&gt;2,'[18]Assistive Device Support'!$V17&gt;2,'[18]Assistive Device Support'!$W17&gt;2),"Yes","No"))</f>
        <v>Yes</v>
      </c>
      <c r="Y17" s="256" t="s">
        <v>2420</v>
      </c>
      <c r="Z17" s="256" t="s">
        <v>654</v>
      </c>
      <c r="AA17" s="256" t="s">
        <v>654</v>
      </c>
      <c r="AB17" s="256" t="s">
        <v>654</v>
      </c>
      <c r="AC17" s="256" t="s">
        <v>654</v>
      </c>
      <c r="AD17" s="256" t="s">
        <v>2490</v>
      </c>
    </row>
    <row r="18" spans="1:30" s="256" customFormat="1" ht="14.25" customHeight="1" x14ac:dyDescent="0.25">
      <c r="A18" s="256">
        <v>15</v>
      </c>
      <c r="B18" s="256" t="s">
        <v>2461</v>
      </c>
      <c r="C18" s="256" t="s">
        <v>2454</v>
      </c>
      <c r="D18" s="256" t="s">
        <v>2454</v>
      </c>
      <c r="E18" s="256" t="s">
        <v>1998</v>
      </c>
      <c r="F18" s="256" t="s">
        <v>1999</v>
      </c>
      <c r="H18" s="256" t="s">
        <v>2523</v>
      </c>
      <c r="I18" s="256" t="s">
        <v>619</v>
      </c>
      <c r="J18" s="256" t="s">
        <v>2524</v>
      </c>
      <c r="K18" s="257">
        <v>45844</v>
      </c>
      <c r="L18" s="256">
        <v>15</v>
      </c>
      <c r="M18" s="256" t="s">
        <v>2525</v>
      </c>
      <c r="N18" s="256">
        <v>43</v>
      </c>
      <c r="O18" s="256" t="s">
        <v>603</v>
      </c>
      <c r="P18" s="256" t="s">
        <v>2525</v>
      </c>
      <c r="Q18" s="256" t="s">
        <v>2459</v>
      </c>
      <c r="R18" s="256">
        <v>1</v>
      </c>
      <c r="S18" s="256">
        <v>1</v>
      </c>
      <c r="T18" s="256">
        <v>3</v>
      </c>
      <c r="U18" s="256">
        <v>1</v>
      </c>
      <c r="V18" s="256">
        <v>1</v>
      </c>
      <c r="W18" s="256">
        <v>1</v>
      </c>
      <c r="X18" s="256" t="str">
        <f>IF(AND('[18]Assistive Device Support'!$R18="",'[18]Assistive Device Support'!$S18="",'[18]Assistive Device Support'!$T18="",'[18]Assistive Device Support'!$U18="",'[18]Assistive Device Support'!$V18="",'[18]Assistive Device Support'!$W18=""),"",IF(OR('[18]Assistive Device Support'!$R18&gt;2,'[18]Assistive Device Support'!$S18&gt;2,'[18]Assistive Device Support'!$T18&gt;2,'[18]Assistive Device Support'!$U18&gt;2,'[18]Assistive Device Support'!$V18&gt;2,'[18]Assistive Device Support'!$W18&gt;2),"Yes","No"))</f>
        <v>Yes</v>
      </c>
      <c r="Y18" s="256" t="s">
        <v>2420</v>
      </c>
      <c r="Z18" s="256" t="s">
        <v>654</v>
      </c>
      <c r="AA18" s="256" t="s">
        <v>654</v>
      </c>
      <c r="AB18" s="256" t="s">
        <v>654</v>
      </c>
      <c r="AC18" s="256" t="s">
        <v>654</v>
      </c>
      <c r="AD18" s="256" t="s">
        <v>2526</v>
      </c>
    </row>
    <row r="19" spans="1:30" s="256" customFormat="1" ht="14.25" customHeight="1" x14ac:dyDescent="0.25">
      <c r="A19" s="256">
        <v>16</v>
      </c>
      <c r="B19" s="256" t="s">
        <v>2461</v>
      </c>
      <c r="C19" s="256" t="s">
        <v>2454</v>
      </c>
      <c r="D19" s="256" t="s">
        <v>2454</v>
      </c>
      <c r="E19" s="256" t="s">
        <v>1998</v>
      </c>
      <c r="F19" s="256" t="s">
        <v>1999</v>
      </c>
      <c r="H19" s="256" t="s">
        <v>2527</v>
      </c>
      <c r="I19" s="256" t="s">
        <v>579</v>
      </c>
      <c r="J19" s="256" t="s">
        <v>2528</v>
      </c>
      <c r="K19" s="257">
        <v>45845</v>
      </c>
      <c r="L19" s="256">
        <v>16</v>
      </c>
      <c r="M19" s="256" t="s">
        <v>2529</v>
      </c>
      <c r="N19" s="256">
        <v>12</v>
      </c>
      <c r="O19" s="256" t="s">
        <v>402</v>
      </c>
      <c r="P19" s="256" t="s">
        <v>2530</v>
      </c>
      <c r="Q19" s="256" t="s">
        <v>2477</v>
      </c>
      <c r="R19" s="256">
        <v>3</v>
      </c>
      <c r="S19" s="256">
        <v>3</v>
      </c>
      <c r="T19" s="256">
        <v>4</v>
      </c>
      <c r="U19" s="256">
        <v>4</v>
      </c>
      <c r="V19" s="256">
        <v>4</v>
      </c>
      <c r="W19" s="256">
        <v>4</v>
      </c>
      <c r="X19" s="256" t="str">
        <f>IF(AND('[18]Assistive Device Support'!$R19="",'[18]Assistive Device Support'!$S19="",'[18]Assistive Device Support'!$T19="",'[18]Assistive Device Support'!$U19="",'[18]Assistive Device Support'!$V19="",'[18]Assistive Device Support'!$W19=""),"",IF(OR('[18]Assistive Device Support'!$R19&gt;2,'[18]Assistive Device Support'!$S19&gt;2,'[18]Assistive Device Support'!$T19&gt;2,'[18]Assistive Device Support'!$U19&gt;2,'[18]Assistive Device Support'!$V19&gt;2,'[18]Assistive Device Support'!$W19&gt;2),"Yes","No"))</f>
        <v>Yes</v>
      </c>
      <c r="Y19" s="256" t="s">
        <v>2420</v>
      </c>
      <c r="Z19" s="256" t="s">
        <v>654</v>
      </c>
      <c r="AA19" s="256" t="s">
        <v>654</v>
      </c>
      <c r="AB19" s="256" t="s">
        <v>654</v>
      </c>
      <c r="AC19" s="256" t="s">
        <v>654</v>
      </c>
      <c r="AD19" s="256" t="s">
        <v>2531</v>
      </c>
    </row>
    <row r="20" spans="1:30" s="256" customFormat="1" ht="14.25" customHeight="1" x14ac:dyDescent="0.25">
      <c r="A20" s="256">
        <v>17</v>
      </c>
      <c r="B20" s="256" t="s">
        <v>2461</v>
      </c>
      <c r="C20" s="256" t="s">
        <v>2454</v>
      </c>
      <c r="D20" s="256" t="s">
        <v>2454</v>
      </c>
      <c r="E20" s="256" t="s">
        <v>1998</v>
      </c>
      <c r="F20" s="256" t="s">
        <v>1999</v>
      </c>
      <c r="H20" s="256" t="s">
        <v>2532</v>
      </c>
      <c r="I20" s="256" t="s">
        <v>579</v>
      </c>
      <c r="J20" s="256" t="s">
        <v>2533</v>
      </c>
      <c r="K20" s="257">
        <v>45847</v>
      </c>
      <c r="L20" s="256">
        <v>17</v>
      </c>
      <c r="M20" s="256" t="s">
        <v>2534</v>
      </c>
      <c r="N20" s="256">
        <v>22</v>
      </c>
      <c r="O20" s="256" t="s">
        <v>402</v>
      </c>
      <c r="P20" s="256" t="s">
        <v>2535</v>
      </c>
      <c r="Q20" s="256" t="s">
        <v>2513</v>
      </c>
      <c r="R20" s="256">
        <v>1</v>
      </c>
      <c r="S20" s="256">
        <v>2</v>
      </c>
      <c r="T20" s="256">
        <v>4</v>
      </c>
      <c r="U20" s="256">
        <v>3</v>
      </c>
      <c r="V20" s="256">
        <v>4</v>
      </c>
      <c r="W20" s="256">
        <v>4</v>
      </c>
      <c r="X20" s="256" t="str">
        <f>IF(AND('[18]Assistive Device Support'!$R20="",'[18]Assistive Device Support'!$S20="",'[18]Assistive Device Support'!$T20="",'[18]Assistive Device Support'!$U20="",'[18]Assistive Device Support'!$V20="",'[18]Assistive Device Support'!$W20=""),"",IF(OR('[18]Assistive Device Support'!$R20&gt;2,'[18]Assistive Device Support'!$S20&gt;2,'[18]Assistive Device Support'!$T20&gt;2,'[18]Assistive Device Support'!$U20&gt;2,'[18]Assistive Device Support'!$V20&gt;2,'[18]Assistive Device Support'!$W20&gt;2),"Yes","No"))</f>
        <v>Yes</v>
      </c>
      <c r="Y20" s="256" t="s">
        <v>2420</v>
      </c>
      <c r="Z20" s="256" t="s">
        <v>654</v>
      </c>
      <c r="AA20" s="256" t="s">
        <v>654</v>
      </c>
      <c r="AB20" s="256" t="s">
        <v>654</v>
      </c>
      <c r="AC20" s="256" t="s">
        <v>654</v>
      </c>
      <c r="AD20" s="256" t="s">
        <v>2471</v>
      </c>
    </row>
    <row r="21" spans="1:30" s="256" customFormat="1" ht="14.25" customHeight="1" x14ac:dyDescent="0.25">
      <c r="A21" s="256">
        <v>18</v>
      </c>
      <c r="B21" s="256" t="s">
        <v>2461</v>
      </c>
      <c r="C21" s="256" t="s">
        <v>2454</v>
      </c>
      <c r="D21" s="256" t="s">
        <v>2454</v>
      </c>
      <c r="E21" s="256" t="s">
        <v>1998</v>
      </c>
      <c r="F21" s="256" t="s">
        <v>1999</v>
      </c>
      <c r="H21" s="256" t="s">
        <v>2536</v>
      </c>
      <c r="I21" s="256" t="s">
        <v>579</v>
      </c>
      <c r="J21" s="256" t="s">
        <v>2537</v>
      </c>
      <c r="K21" s="257">
        <v>45857</v>
      </c>
      <c r="L21" s="256">
        <v>18</v>
      </c>
      <c r="M21" s="256" t="s">
        <v>2538</v>
      </c>
      <c r="N21" s="256">
        <v>65</v>
      </c>
      <c r="O21" s="256" t="s">
        <v>402</v>
      </c>
      <c r="P21" s="256" t="s">
        <v>2539</v>
      </c>
      <c r="Q21" s="256" t="s">
        <v>2513</v>
      </c>
      <c r="R21" s="256">
        <v>2</v>
      </c>
      <c r="S21" s="256">
        <v>2</v>
      </c>
      <c r="T21" s="256">
        <v>4</v>
      </c>
      <c r="U21" s="256">
        <v>1</v>
      </c>
      <c r="V21" s="256">
        <v>3</v>
      </c>
      <c r="W21" s="256">
        <v>1</v>
      </c>
      <c r="X21" s="256" t="str">
        <f>IF(AND('[18]Assistive Device Support'!$R21="",'[18]Assistive Device Support'!$S21="",'[18]Assistive Device Support'!$T21="",'[18]Assistive Device Support'!$U21="",'[18]Assistive Device Support'!$V21="",'[18]Assistive Device Support'!$W21=""),"",IF(OR('[18]Assistive Device Support'!$R21&gt;2,'[18]Assistive Device Support'!$S21&gt;2,'[18]Assistive Device Support'!$T21&gt;2,'[18]Assistive Device Support'!$U21&gt;2,'[18]Assistive Device Support'!$V21&gt;2,'[18]Assistive Device Support'!$W21&gt;2),"Yes","No"))</f>
        <v>Yes</v>
      </c>
      <c r="Y21" s="256" t="s">
        <v>2420</v>
      </c>
      <c r="Z21" s="256" t="s">
        <v>654</v>
      </c>
      <c r="AA21" s="256" t="s">
        <v>654</v>
      </c>
      <c r="AB21" s="256" t="s">
        <v>654</v>
      </c>
      <c r="AC21" s="256" t="s">
        <v>654</v>
      </c>
      <c r="AD21" s="256" t="s">
        <v>2460</v>
      </c>
    </row>
    <row r="22" spans="1:30" s="256" customFormat="1" ht="14.25" customHeight="1" x14ac:dyDescent="0.25">
      <c r="A22" s="256">
        <v>19</v>
      </c>
      <c r="B22" s="256" t="s">
        <v>2461</v>
      </c>
      <c r="C22" s="256" t="s">
        <v>2454</v>
      </c>
      <c r="D22" s="256" t="s">
        <v>2454</v>
      </c>
      <c r="E22" s="256" t="s">
        <v>1998</v>
      </c>
      <c r="F22" s="256" t="s">
        <v>1999</v>
      </c>
      <c r="H22" s="256" t="s">
        <v>2540</v>
      </c>
      <c r="I22" s="256" t="s">
        <v>579</v>
      </c>
      <c r="J22" s="256" t="s">
        <v>2541</v>
      </c>
      <c r="K22" s="257">
        <v>45857</v>
      </c>
      <c r="L22" s="256">
        <v>19</v>
      </c>
      <c r="M22" s="256" t="s">
        <v>2542</v>
      </c>
      <c r="N22" s="256">
        <v>10</v>
      </c>
      <c r="O22" s="256" t="s">
        <v>603</v>
      </c>
      <c r="P22" s="256" t="s">
        <v>2543</v>
      </c>
      <c r="Q22" s="256" t="s">
        <v>2513</v>
      </c>
      <c r="R22" s="256">
        <v>1</v>
      </c>
      <c r="S22" s="256">
        <v>1</v>
      </c>
      <c r="T22" s="256">
        <v>3</v>
      </c>
      <c r="U22" s="256">
        <v>1</v>
      </c>
      <c r="V22" s="256">
        <v>1</v>
      </c>
      <c r="W22" s="256">
        <v>1</v>
      </c>
      <c r="X22" s="256" t="str">
        <f>IF(AND('[18]Assistive Device Support'!$R22="",'[18]Assistive Device Support'!$S22="",'[18]Assistive Device Support'!$T22="",'[18]Assistive Device Support'!$U22="",'[18]Assistive Device Support'!$V22="",'[18]Assistive Device Support'!$W22=""),"",IF(OR('[18]Assistive Device Support'!$R22&gt;2,'[18]Assistive Device Support'!$S22&gt;2,'[18]Assistive Device Support'!$T22&gt;2,'[18]Assistive Device Support'!$U22&gt;2,'[18]Assistive Device Support'!$V22&gt;2,'[18]Assistive Device Support'!$W22&gt;2),"Yes","No"))</f>
        <v>Yes</v>
      </c>
      <c r="Y22" s="256" t="s">
        <v>2420</v>
      </c>
      <c r="Z22" s="256" t="s">
        <v>654</v>
      </c>
      <c r="AA22" s="256" t="s">
        <v>654</v>
      </c>
      <c r="AB22" s="256" t="s">
        <v>654</v>
      </c>
      <c r="AC22" s="256" t="s">
        <v>654</v>
      </c>
      <c r="AD22" s="256" t="s">
        <v>2531</v>
      </c>
    </row>
    <row r="23" spans="1:30" s="256" customFormat="1" ht="14.25" customHeight="1" x14ac:dyDescent="0.25">
      <c r="A23" s="256">
        <v>20</v>
      </c>
      <c r="B23" s="256" t="s">
        <v>2461</v>
      </c>
      <c r="C23" s="256" t="s">
        <v>2454</v>
      </c>
      <c r="D23" s="256" t="s">
        <v>2454</v>
      </c>
      <c r="E23" s="256" t="s">
        <v>1998</v>
      </c>
      <c r="F23" s="256" t="s">
        <v>2544</v>
      </c>
      <c r="H23" s="256" t="s">
        <v>2545</v>
      </c>
      <c r="I23" s="256" t="s">
        <v>619</v>
      </c>
      <c r="J23" s="256" t="s">
        <v>2546</v>
      </c>
      <c r="K23" s="257">
        <v>45857</v>
      </c>
      <c r="L23" s="256">
        <v>20</v>
      </c>
      <c r="M23" s="256" t="s">
        <v>2547</v>
      </c>
      <c r="N23" s="256">
        <v>25</v>
      </c>
      <c r="O23" s="256" t="s">
        <v>402</v>
      </c>
      <c r="P23" s="256" t="s">
        <v>2548</v>
      </c>
      <c r="Q23" s="256" t="s">
        <v>2477</v>
      </c>
      <c r="R23" s="256">
        <v>1</v>
      </c>
      <c r="S23" s="256">
        <v>1</v>
      </c>
      <c r="T23" s="256">
        <v>4</v>
      </c>
      <c r="U23" s="256">
        <v>4</v>
      </c>
      <c r="V23" s="256">
        <v>4</v>
      </c>
      <c r="W23" s="256">
        <v>4</v>
      </c>
      <c r="X23" s="256" t="str">
        <f>IF(AND('[18]Assistive Device Support'!$R23="",'[18]Assistive Device Support'!$S23="",'[18]Assistive Device Support'!$T23="",'[18]Assistive Device Support'!$U23="",'[18]Assistive Device Support'!$V23="",'[18]Assistive Device Support'!$W23=""),"",IF(OR('[18]Assistive Device Support'!$R23&gt;2,'[18]Assistive Device Support'!$S23&gt;2,'[18]Assistive Device Support'!$T23&gt;2,'[18]Assistive Device Support'!$U23&gt;2,'[18]Assistive Device Support'!$V23&gt;2,'[18]Assistive Device Support'!$W23&gt;2),"Yes","No"))</f>
        <v>Yes</v>
      </c>
      <c r="Y23" s="256" t="s">
        <v>2420</v>
      </c>
      <c r="Z23" s="256" t="s">
        <v>654</v>
      </c>
      <c r="AA23" s="256" t="s">
        <v>654</v>
      </c>
      <c r="AB23" s="256" t="s">
        <v>654</v>
      </c>
      <c r="AC23" s="256" t="s">
        <v>654</v>
      </c>
      <c r="AD23" s="256" t="s">
        <v>2531</v>
      </c>
    </row>
    <row r="24" spans="1:30" s="256" customFormat="1" ht="14.25" customHeight="1" x14ac:dyDescent="0.25">
      <c r="A24" s="256">
        <v>21</v>
      </c>
      <c r="B24" s="256" t="s">
        <v>2461</v>
      </c>
      <c r="C24" s="256" t="s">
        <v>2454</v>
      </c>
      <c r="D24" s="256" t="s">
        <v>2454</v>
      </c>
      <c r="E24" s="256" t="s">
        <v>1998</v>
      </c>
      <c r="F24" s="256" t="s">
        <v>1999</v>
      </c>
      <c r="H24" s="256" t="s">
        <v>2536</v>
      </c>
      <c r="I24" s="256" t="s">
        <v>579</v>
      </c>
      <c r="J24" s="256" t="s">
        <v>2549</v>
      </c>
      <c r="K24" s="257">
        <v>45857</v>
      </c>
      <c r="L24" s="256">
        <v>21</v>
      </c>
      <c r="M24" s="256" t="s">
        <v>2550</v>
      </c>
      <c r="N24" s="256">
        <v>68</v>
      </c>
      <c r="O24" s="256" t="s">
        <v>402</v>
      </c>
      <c r="P24" s="256" t="s">
        <v>2551</v>
      </c>
      <c r="Q24" s="256" t="s">
        <v>2552</v>
      </c>
      <c r="R24" s="256">
        <v>1</v>
      </c>
      <c r="S24" s="256">
        <v>1</v>
      </c>
      <c r="T24" s="256">
        <v>4</v>
      </c>
      <c r="U24" s="256">
        <v>1</v>
      </c>
      <c r="V24" s="256">
        <v>4</v>
      </c>
      <c r="W24" s="256">
        <v>1</v>
      </c>
      <c r="X24" s="256" t="str">
        <f>IF(AND('[18]Assistive Device Support'!$R24="",'[18]Assistive Device Support'!$S24="",'[18]Assistive Device Support'!$T24="",'[18]Assistive Device Support'!$U24="",'[18]Assistive Device Support'!$V24="",'[18]Assistive Device Support'!$W24=""),"",IF(OR('[18]Assistive Device Support'!$R24&gt;2,'[18]Assistive Device Support'!$S24&gt;2,'[18]Assistive Device Support'!$T24&gt;2,'[18]Assistive Device Support'!$U24&gt;2,'[18]Assistive Device Support'!$V24&gt;2,'[18]Assistive Device Support'!$W24&gt;2),"Yes","No"))</f>
        <v>Yes</v>
      </c>
      <c r="Y24" s="256" t="s">
        <v>2420</v>
      </c>
      <c r="Z24" s="256" t="s">
        <v>654</v>
      </c>
      <c r="AA24" s="256" t="s">
        <v>654</v>
      </c>
      <c r="AB24" s="256" t="s">
        <v>654</v>
      </c>
      <c r="AC24" s="256" t="s">
        <v>654</v>
      </c>
      <c r="AD24" s="256" t="s">
        <v>2460</v>
      </c>
    </row>
    <row r="25" spans="1:30" s="256" customFormat="1" ht="14.25" customHeight="1" x14ac:dyDescent="0.25">
      <c r="A25" s="256">
        <v>22</v>
      </c>
      <c r="B25" s="256" t="s">
        <v>2461</v>
      </c>
      <c r="C25" s="256" t="s">
        <v>2454</v>
      </c>
      <c r="D25" s="256" t="s">
        <v>2454</v>
      </c>
      <c r="E25" s="256" t="s">
        <v>1998</v>
      </c>
      <c r="F25" s="256" t="s">
        <v>1999</v>
      </c>
      <c r="H25" s="256" t="s">
        <v>2536</v>
      </c>
      <c r="I25" s="256" t="s">
        <v>579</v>
      </c>
      <c r="J25" s="256" t="s">
        <v>2553</v>
      </c>
      <c r="K25" s="257">
        <v>45857</v>
      </c>
      <c r="L25" s="256">
        <v>22</v>
      </c>
      <c r="M25" s="256" t="s">
        <v>2554</v>
      </c>
      <c r="N25" s="256">
        <v>75</v>
      </c>
      <c r="O25" s="256" t="s">
        <v>603</v>
      </c>
      <c r="P25" s="256" t="s">
        <v>2555</v>
      </c>
      <c r="Q25" s="256" t="s">
        <v>2556</v>
      </c>
      <c r="R25" s="256">
        <v>1</v>
      </c>
      <c r="S25" s="256">
        <v>1</v>
      </c>
      <c r="T25" s="256">
        <v>3</v>
      </c>
      <c r="U25" s="256">
        <v>2</v>
      </c>
      <c r="V25" s="256">
        <v>4</v>
      </c>
      <c r="W25" s="256">
        <v>1</v>
      </c>
      <c r="X25" s="256" t="str">
        <f>IF(AND('[18]Assistive Device Support'!$R25="",'[18]Assistive Device Support'!$S25="",'[18]Assistive Device Support'!$T25="",'[18]Assistive Device Support'!$U25="",'[18]Assistive Device Support'!$V25="",'[18]Assistive Device Support'!$W25=""),"",IF(OR('[18]Assistive Device Support'!$R25&gt;2,'[18]Assistive Device Support'!$S25&gt;2,'[18]Assistive Device Support'!$T25&gt;2,'[18]Assistive Device Support'!$U25&gt;2,'[18]Assistive Device Support'!$V25&gt;2,'[18]Assistive Device Support'!$W25&gt;2),"Yes","No"))</f>
        <v>Yes</v>
      </c>
      <c r="Y25" s="256" t="s">
        <v>2420</v>
      </c>
      <c r="Z25" s="256" t="s">
        <v>654</v>
      </c>
      <c r="AA25" s="256" t="s">
        <v>654</v>
      </c>
      <c r="AB25" s="256" t="s">
        <v>654</v>
      </c>
      <c r="AC25" s="256" t="s">
        <v>654</v>
      </c>
      <c r="AD25" s="256" t="s">
        <v>2460</v>
      </c>
    </row>
    <row r="26" spans="1:30" s="256" customFormat="1" ht="14.25" customHeight="1" x14ac:dyDescent="0.25">
      <c r="A26" s="256">
        <v>23</v>
      </c>
      <c r="B26" s="256" t="s">
        <v>2461</v>
      </c>
      <c r="C26" s="256" t="s">
        <v>2454</v>
      </c>
      <c r="D26" s="256" t="s">
        <v>2454</v>
      </c>
      <c r="E26" s="256" t="s">
        <v>1998</v>
      </c>
      <c r="F26" s="256" t="s">
        <v>2478</v>
      </c>
      <c r="H26" s="256" t="s">
        <v>2557</v>
      </c>
      <c r="I26" s="256" t="s">
        <v>619</v>
      </c>
      <c r="J26" s="256" t="s">
        <v>2558</v>
      </c>
      <c r="K26" s="257">
        <v>45857</v>
      </c>
      <c r="L26" s="256">
        <v>23</v>
      </c>
      <c r="M26" s="256" t="s">
        <v>2550</v>
      </c>
      <c r="N26" s="256">
        <v>42</v>
      </c>
      <c r="O26" s="256" t="s">
        <v>402</v>
      </c>
      <c r="P26" s="256" t="s">
        <v>2550</v>
      </c>
      <c r="Q26" s="256" t="s">
        <v>2459</v>
      </c>
      <c r="R26" s="256">
        <v>2</v>
      </c>
      <c r="S26" s="256">
        <v>1</v>
      </c>
      <c r="T26" s="256">
        <v>3</v>
      </c>
      <c r="U26" s="256">
        <v>1</v>
      </c>
      <c r="V26" s="256">
        <v>4</v>
      </c>
      <c r="W26" s="256">
        <v>1</v>
      </c>
      <c r="X26" s="256" t="str">
        <f>IF(AND('[18]Assistive Device Support'!$R26="",'[18]Assistive Device Support'!$S26="",'[18]Assistive Device Support'!$T26="",'[18]Assistive Device Support'!$U26="",'[18]Assistive Device Support'!$V26="",'[18]Assistive Device Support'!$W26=""),"",IF(OR('[18]Assistive Device Support'!$R26&gt;2,'[18]Assistive Device Support'!$S26&gt;2,'[18]Assistive Device Support'!$T26&gt;2,'[18]Assistive Device Support'!$U26&gt;2,'[18]Assistive Device Support'!$V26&gt;2,'[18]Assistive Device Support'!$W26&gt;2),"Yes","No"))</f>
        <v>Yes</v>
      </c>
      <c r="Y26" s="256" t="s">
        <v>2420</v>
      </c>
      <c r="Z26" s="256" t="s">
        <v>654</v>
      </c>
      <c r="AA26" s="256" t="s">
        <v>654</v>
      </c>
      <c r="AB26" s="256" t="s">
        <v>654</v>
      </c>
      <c r="AC26" s="256" t="s">
        <v>654</v>
      </c>
      <c r="AD26" s="256" t="s">
        <v>2465</v>
      </c>
    </row>
    <row r="27" spans="1:30" s="256" customFormat="1" ht="14.25" customHeight="1" x14ac:dyDescent="0.25">
      <c r="A27" s="256">
        <v>24</v>
      </c>
      <c r="B27" s="256" t="s">
        <v>2461</v>
      </c>
      <c r="C27" s="256" t="s">
        <v>2454</v>
      </c>
      <c r="D27" s="256" t="s">
        <v>2454</v>
      </c>
      <c r="E27" s="256" t="s">
        <v>1998</v>
      </c>
      <c r="F27" s="256" t="s">
        <v>1999</v>
      </c>
      <c r="H27" s="256" t="s">
        <v>2536</v>
      </c>
      <c r="I27" s="256" t="s">
        <v>579</v>
      </c>
      <c r="J27" s="256" t="s">
        <v>2553</v>
      </c>
      <c r="K27" s="257">
        <v>45857</v>
      </c>
      <c r="L27" s="256">
        <v>24</v>
      </c>
      <c r="M27" s="256" t="s">
        <v>2559</v>
      </c>
      <c r="N27" s="256">
        <v>36</v>
      </c>
      <c r="O27" s="256" t="s">
        <v>402</v>
      </c>
      <c r="P27" s="256" t="s">
        <v>2555</v>
      </c>
      <c r="Q27" s="256" t="s">
        <v>2560</v>
      </c>
      <c r="R27" s="256">
        <v>1</v>
      </c>
      <c r="S27" s="256">
        <v>1</v>
      </c>
      <c r="T27" s="256">
        <v>3</v>
      </c>
      <c r="U27" s="256">
        <v>1</v>
      </c>
      <c r="V27" s="256">
        <v>2</v>
      </c>
      <c r="W27" s="256">
        <v>1</v>
      </c>
      <c r="X27" s="256" t="str">
        <f>IF(AND('[18]Assistive Device Support'!$R27="",'[18]Assistive Device Support'!$S27="",'[18]Assistive Device Support'!$T27="",'[18]Assistive Device Support'!$U27="",'[18]Assistive Device Support'!$V27="",'[18]Assistive Device Support'!$W27=""),"",IF(OR('[18]Assistive Device Support'!$R27&gt;2,'[18]Assistive Device Support'!$S27&gt;2,'[18]Assistive Device Support'!$T27&gt;2,'[18]Assistive Device Support'!$U27&gt;2,'[18]Assistive Device Support'!$V27&gt;2,'[18]Assistive Device Support'!$W27&gt;2),"Yes","No"))</f>
        <v>Yes</v>
      </c>
      <c r="Y27" s="256" t="s">
        <v>2420</v>
      </c>
      <c r="Z27" s="256" t="s">
        <v>654</v>
      </c>
      <c r="AA27" s="256" t="s">
        <v>654</v>
      </c>
      <c r="AB27" s="256" t="s">
        <v>654</v>
      </c>
      <c r="AC27" s="256" t="s">
        <v>654</v>
      </c>
      <c r="AD27" s="256" t="s">
        <v>2465</v>
      </c>
    </row>
    <row r="28" spans="1:30" s="256" customFormat="1" ht="14.25" customHeight="1" x14ac:dyDescent="0.25">
      <c r="A28" s="256">
        <v>25</v>
      </c>
      <c r="B28" s="256" t="s">
        <v>2461</v>
      </c>
      <c r="C28" s="256" t="s">
        <v>2454</v>
      </c>
      <c r="D28" s="256" t="s">
        <v>2454</v>
      </c>
      <c r="E28" s="256" t="s">
        <v>1998</v>
      </c>
      <c r="F28" s="256" t="s">
        <v>2561</v>
      </c>
      <c r="H28" s="256" t="s">
        <v>2562</v>
      </c>
      <c r="I28" s="256" t="s">
        <v>619</v>
      </c>
      <c r="J28" s="256" t="s">
        <v>2563</v>
      </c>
      <c r="K28" s="257">
        <v>45857</v>
      </c>
      <c r="L28" s="256">
        <v>25</v>
      </c>
      <c r="M28" s="256" t="s">
        <v>2564</v>
      </c>
      <c r="N28" s="256">
        <v>82</v>
      </c>
      <c r="O28" s="256" t="s">
        <v>603</v>
      </c>
      <c r="P28" s="256" t="s">
        <v>2565</v>
      </c>
      <c r="Q28" s="256" t="s">
        <v>2502</v>
      </c>
      <c r="R28" s="256">
        <v>3</v>
      </c>
      <c r="S28" s="256">
        <v>1</v>
      </c>
      <c r="T28" s="256">
        <v>4</v>
      </c>
      <c r="U28" s="256">
        <v>2</v>
      </c>
      <c r="V28" s="256">
        <v>4</v>
      </c>
      <c r="W28" s="256">
        <v>2</v>
      </c>
      <c r="X28" s="256" t="str">
        <f>IF(AND('[18]Assistive Device Support'!$R28="",'[18]Assistive Device Support'!$S28="",'[18]Assistive Device Support'!$T28="",'[18]Assistive Device Support'!$U28="",'[18]Assistive Device Support'!$V28="",'[18]Assistive Device Support'!$W28=""),"",IF(OR('[18]Assistive Device Support'!$R28&gt;2,'[18]Assistive Device Support'!$S28&gt;2,'[18]Assistive Device Support'!$T28&gt;2,'[18]Assistive Device Support'!$U28&gt;2,'[18]Assistive Device Support'!$V28&gt;2,'[18]Assistive Device Support'!$W28&gt;2),"Yes","No"))</f>
        <v>Yes</v>
      </c>
      <c r="Y28" s="256" t="s">
        <v>2420</v>
      </c>
      <c r="Z28" s="256" t="s">
        <v>654</v>
      </c>
      <c r="AA28" s="256" t="s">
        <v>654</v>
      </c>
      <c r="AB28" s="256" t="s">
        <v>654</v>
      </c>
      <c r="AC28" s="256" t="s">
        <v>654</v>
      </c>
      <c r="AD28" s="256" t="s">
        <v>2460</v>
      </c>
    </row>
    <row r="29" spans="1:30" s="256" customFormat="1" ht="14.25" customHeight="1" x14ac:dyDescent="0.25">
      <c r="A29" s="256">
        <v>26</v>
      </c>
      <c r="B29" s="256" t="s">
        <v>2461</v>
      </c>
      <c r="C29" s="256" t="s">
        <v>2454</v>
      </c>
      <c r="D29" s="256" t="s">
        <v>2454</v>
      </c>
      <c r="E29" s="256" t="s">
        <v>1998</v>
      </c>
      <c r="F29" s="256" t="s">
        <v>2472</v>
      </c>
      <c r="H29" s="256" t="s">
        <v>2566</v>
      </c>
      <c r="I29" s="256" t="s">
        <v>619</v>
      </c>
      <c r="J29" s="256" t="s">
        <v>2567</v>
      </c>
      <c r="K29" s="257">
        <v>45857</v>
      </c>
      <c r="L29" s="256">
        <v>26</v>
      </c>
      <c r="M29" s="256" t="s">
        <v>2568</v>
      </c>
      <c r="N29" s="256">
        <v>12</v>
      </c>
      <c r="O29" s="256" t="s">
        <v>402</v>
      </c>
      <c r="P29" s="256" t="s">
        <v>2023</v>
      </c>
      <c r="Q29" s="256" t="s">
        <v>2477</v>
      </c>
      <c r="R29" s="256">
        <v>1</v>
      </c>
      <c r="S29" s="256">
        <v>1</v>
      </c>
      <c r="T29" s="256">
        <v>3</v>
      </c>
      <c r="U29" s="256">
        <v>2</v>
      </c>
      <c r="V29" s="256">
        <v>2</v>
      </c>
      <c r="W29" s="256">
        <v>1</v>
      </c>
      <c r="X29" s="256" t="str">
        <f>IF(AND('[18]Assistive Device Support'!$R29="",'[18]Assistive Device Support'!$S29="",'[18]Assistive Device Support'!$T29="",'[18]Assistive Device Support'!$U29="",'[18]Assistive Device Support'!$V29="",'[18]Assistive Device Support'!$W29=""),"",IF(OR('[18]Assistive Device Support'!$R29&gt;2,'[18]Assistive Device Support'!$S29&gt;2,'[18]Assistive Device Support'!$T29&gt;2,'[18]Assistive Device Support'!$U29&gt;2,'[18]Assistive Device Support'!$V29&gt;2,'[18]Assistive Device Support'!$W29&gt;2),"Yes","No"))</f>
        <v>Yes</v>
      </c>
      <c r="Y29" s="256" t="s">
        <v>2420</v>
      </c>
      <c r="Z29" s="256" t="s">
        <v>654</v>
      </c>
      <c r="AA29" s="256" t="s">
        <v>654</v>
      </c>
      <c r="AB29" s="256" t="s">
        <v>654</v>
      </c>
      <c r="AC29" s="256" t="s">
        <v>654</v>
      </c>
      <c r="AD29" s="256" t="s">
        <v>2490</v>
      </c>
    </row>
    <row r="30" spans="1:30" s="256" customFormat="1" ht="14.25" customHeight="1" x14ac:dyDescent="0.25">
      <c r="A30" s="256">
        <v>27</v>
      </c>
      <c r="B30" s="256" t="s">
        <v>2461</v>
      </c>
      <c r="C30" s="256" t="s">
        <v>2454</v>
      </c>
      <c r="D30" s="256" t="s">
        <v>2454</v>
      </c>
      <c r="E30" s="256" t="s">
        <v>1998</v>
      </c>
      <c r="F30" s="256" t="s">
        <v>2472</v>
      </c>
      <c r="H30" s="256" t="s">
        <v>2569</v>
      </c>
      <c r="I30" s="256" t="s">
        <v>619</v>
      </c>
      <c r="J30" s="256" t="s">
        <v>2570</v>
      </c>
      <c r="K30" s="257">
        <v>45857</v>
      </c>
      <c r="L30" s="256">
        <v>27</v>
      </c>
      <c r="M30" s="256" t="s">
        <v>2571</v>
      </c>
      <c r="N30" s="256">
        <v>65</v>
      </c>
      <c r="O30" s="256" t="s">
        <v>603</v>
      </c>
      <c r="P30" s="256" t="s">
        <v>2571</v>
      </c>
      <c r="Q30" s="256" t="s">
        <v>2459</v>
      </c>
      <c r="R30" s="256">
        <v>2</v>
      </c>
      <c r="S30" s="256">
        <v>2</v>
      </c>
      <c r="T30" s="256">
        <v>3</v>
      </c>
      <c r="U30" s="256">
        <v>2</v>
      </c>
      <c r="V30" s="256">
        <v>4</v>
      </c>
      <c r="W30" s="256">
        <v>2</v>
      </c>
      <c r="X30" s="256" t="str">
        <f>IF(AND('[18]Assistive Device Support'!$R30="",'[18]Assistive Device Support'!$S30="",'[18]Assistive Device Support'!$T30="",'[18]Assistive Device Support'!$U30="",'[18]Assistive Device Support'!$V30="",'[18]Assistive Device Support'!$W30=""),"",IF(OR('[18]Assistive Device Support'!$R30&gt;2,'[18]Assistive Device Support'!$S30&gt;2,'[18]Assistive Device Support'!$T30&gt;2,'[18]Assistive Device Support'!$U30&gt;2,'[18]Assistive Device Support'!$V30&gt;2,'[18]Assistive Device Support'!$W30&gt;2),"Yes","No"))</f>
        <v>Yes</v>
      </c>
      <c r="Y30" s="256" t="s">
        <v>2420</v>
      </c>
      <c r="Z30" s="256" t="s">
        <v>654</v>
      </c>
      <c r="AA30" s="256" t="s">
        <v>654</v>
      </c>
      <c r="AB30" s="256" t="s">
        <v>654</v>
      </c>
      <c r="AC30" s="256" t="s">
        <v>654</v>
      </c>
      <c r="AD30" s="256" t="s">
        <v>2490</v>
      </c>
    </row>
    <row r="31" spans="1:30" s="256" customFormat="1" ht="14.25" customHeight="1" x14ac:dyDescent="0.25">
      <c r="A31" s="256">
        <v>28</v>
      </c>
      <c r="B31" s="256" t="s">
        <v>2461</v>
      </c>
      <c r="C31" s="256" t="s">
        <v>2454</v>
      </c>
      <c r="D31" s="256" t="s">
        <v>2454</v>
      </c>
      <c r="E31" s="256" t="s">
        <v>2246</v>
      </c>
      <c r="F31" s="256" t="s">
        <v>2246</v>
      </c>
      <c r="H31" s="256" t="s">
        <v>2572</v>
      </c>
      <c r="I31" s="256" t="s">
        <v>619</v>
      </c>
      <c r="J31" s="256" t="s">
        <v>2573</v>
      </c>
      <c r="K31" s="257">
        <v>45864</v>
      </c>
      <c r="L31" s="256">
        <v>29</v>
      </c>
      <c r="M31" s="256" t="s">
        <v>2574</v>
      </c>
      <c r="N31" s="256">
        <v>66</v>
      </c>
      <c r="O31" s="256" t="s">
        <v>402</v>
      </c>
      <c r="P31" s="256" t="s">
        <v>2574</v>
      </c>
      <c r="Q31" s="256" t="s">
        <v>2459</v>
      </c>
      <c r="R31" s="256">
        <v>1</v>
      </c>
      <c r="S31" s="256">
        <v>1</v>
      </c>
      <c r="T31" s="256">
        <v>3</v>
      </c>
      <c r="U31" s="256">
        <v>1</v>
      </c>
      <c r="V31" s="256">
        <v>1</v>
      </c>
      <c r="W31" s="256">
        <v>1</v>
      </c>
      <c r="X31" s="256" t="str">
        <f>IF(AND('[18]Assistive Device Support'!$R32="",'[18]Assistive Device Support'!$S32="",'[18]Assistive Device Support'!$T32="",'[18]Assistive Device Support'!$U32="",'[18]Assistive Device Support'!$V32="",'[18]Assistive Device Support'!$W32=""),"",IF(OR('[18]Assistive Device Support'!$R32&gt;2,'[18]Assistive Device Support'!$S32&gt;2,'[18]Assistive Device Support'!$T32&gt;2,'[18]Assistive Device Support'!$U32&gt;2,'[18]Assistive Device Support'!$V32&gt;2,'[18]Assistive Device Support'!$W32&gt;2),"Yes","No"))</f>
        <v>Yes</v>
      </c>
      <c r="Y31" s="256" t="s">
        <v>2420</v>
      </c>
      <c r="Z31" s="256" t="s">
        <v>654</v>
      </c>
      <c r="AA31" s="256" t="s">
        <v>654</v>
      </c>
      <c r="AB31" s="256" t="s">
        <v>654</v>
      </c>
      <c r="AC31" s="256" t="s">
        <v>654</v>
      </c>
      <c r="AD31" s="256" t="s">
        <v>2531</v>
      </c>
    </row>
    <row r="32" spans="1:30" s="256" customFormat="1" ht="14.25" customHeight="1" x14ac:dyDescent="0.25">
      <c r="A32" s="256">
        <v>29</v>
      </c>
      <c r="B32" s="256" t="s">
        <v>2461</v>
      </c>
      <c r="C32" s="256" t="s">
        <v>2454</v>
      </c>
      <c r="D32" s="256" t="s">
        <v>2454</v>
      </c>
      <c r="E32" s="256" t="s">
        <v>2246</v>
      </c>
      <c r="F32" s="256" t="s">
        <v>2246</v>
      </c>
      <c r="H32" s="256" t="s">
        <v>2575</v>
      </c>
      <c r="I32" s="256" t="s">
        <v>619</v>
      </c>
      <c r="J32" s="256" t="s">
        <v>2576</v>
      </c>
      <c r="K32" s="257">
        <v>45864</v>
      </c>
      <c r="L32" s="256">
        <v>30</v>
      </c>
      <c r="M32" s="256" t="s">
        <v>2577</v>
      </c>
      <c r="N32" s="256">
        <v>51</v>
      </c>
      <c r="O32" s="256" t="s">
        <v>402</v>
      </c>
      <c r="P32" s="256" t="s">
        <v>2577</v>
      </c>
      <c r="Q32" s="256" t="s">
        <v>2459</v>
      </c>
      <c r="R32" s="256">
        <v>1</v>
      </c>
      <c r="S32" s="256">
        <v>1</v>
      </c>
      <c r="T32" s="256">
        <v>3</v>
      </c>
      <c r="U32" s="256">
        <v>1</v>
      </c>
      <c r="V32" s="256">
        <v>1</v>
      </c>
      <c r="W32" s="256">
        <v>1</v>
      </c>
      <c r="X32" s="256" t="str">
        <f>IF(AND('[18]Assistive Device Support'!$R33="",'[18]Assistive Device Support'!$S33="",'[18]Assistive Device Support'!$T33="",'[18]Assistive Device Support'!$U33="",'[18]Assistive Device Support'!$V33="",'[18]Assistive Device Support'!$W33=""),"",IF(OR('[18]Assistive Device Support'!$R33&gt;2,'[18]Assistive Device Support'!$S33&gt;2,'[18]Assistive Device Support'!$T33&gt;2,'[18]Assistive Device Support'!$U33&gt;2,'[18]Assistive Device Support'!$V33&gt;2,'[18]Assistive Device Support'!$W33&gt;2),"Yes","No"))</f>
        <v>Yes</v>
      </c>
      <c r="Y32" s="256" t="s">
        <v>2420</v>
      </c>
      <c r="Z32" s="256" t="s">
        <v>654</v>
      </c>
      <c r="AA32" s="256" t="s">
        <v>654</v>
      </c>
      <c r="AB32" s="256" t="s">
        <v>654</v>
      </c>
      <c r="AC32" s="256" t="s">
        <v>654</v>
      </c>
      <c r="AD32" s="256" t="s">
        <v>2465</v>
      </c>
    </row>
    <row r="33" spans="1:31" s="256" customFormat="1" ht="14.25" customHeight="1" x14ac:dyDescent="0.25">
      <c r="A33" s="256">
        <v>30</v>
      </c>
      <c r="B33" s="256" t="s">
        <v>2461</v>
      </c>
      <c r="C33" s="256" t="s">
        <v>2454</v>
      </c>
      <c r="D33" s="256" t="s">
        <v>2454</v>
      </c>
      <c r="E33" s="256" t="s">
        <v>2246</v>
      </c>
      <c r="F33" s="256" t="s">
        <v>2246</v>
      </c>
      <c r="H33" s="256" t="s">
        <v>2572</v>
      </c>
      <c r="I33" s="256" t="s">
        <v>619</v>
      </c>
      <c r="J33" s="256" t="s">
        <v>2578</v>
      </c>
      <c r="K33" s="257">
        <v>45864</v>
      </c>
      <c r="L33" s="256">
        <v>31</v>
      </c>
      <c r="M33" s="256" t="s">
        <v>2579</v>
      </c>
      <c r="N33" s="256">
        <v>32</v>
      </c>
      <c r="O33" s="256" t="s">
        <v>402</v>
      </c>
      <c r="P33" s="256" t="s">
        <v>2579</v>
      </c>
      <c r="Q33" s="256" t="s">
        <v>2459</v>
      </c>
      <c r="R33" s="256">
        <v>1</v>
      </c>
      <c r="S33" s="256">
        <v>1</v>
      </c>
      <c r="T33" s="256">
        <v>3</v>
      </c>
      <c r="U33" s="256">
        <v>1</v>
      </c>
      <c r="V33" s="256">
        <v>3</v>
      </c>
      <c r="W33" s="256">
        <v>1</v>
      </c>
      <c r="X33" s="256" t="str">
        <f>IF(AND('[18]Assistive Device Support'!$R34="",'[18]Assistive Device Support'!$S34="",'[18]Assistive Device Support'!$T34="",'[18]Assistive Device Support'!$U34="",'[18]Assistive Device Support'!$V34="",'[18]Assistive Device Support'!$W34=""),"",IF(OR('[18]Assistive Device Support'!$R34&gt;2,'[18]Assistive Device Support'!$S34&gt;2,'[18]Assistive Device Support'!$T34&gt;2,'[18]Assistive Device Support'!$U34&gt;2,'[18]Assistive Device Support'!$V34&gt;2,'[18]Assistive Device Support'!$W34&gt;2),"Yes","No"))</f>
        <v>Yes</v>
      </c>
      <c r="Y33" s="256" t="s">
        <v>2420</v>
      </c>
      <c r="Z33" s="256" t="s">
        <v>654</v>
      </c>
      <c r="AA33" s="256" t="s">
        <v>654</v>
      </c>
      <c r="AB33" s="256" t="s">
        <v>654</v>
      </c>
      <c r="AC33" s="256" t="s">
        <v>654</v>
      </c>
      <c r="AD33" s="256" t="s">
        <v>2460</v>
      </c>
    </row>
    <row r="34" spans="1:31" s="256" customFormat="1" ht="14.25" customHeight="1" x14ac:dyDescent="0.25">
      <c r="A34" s="256">
        <v>31</v>
      </c>
      <c r="B34" s="256" t="s">
        <v>2461</v>
      </c>
      <c r="C34" s="256" t="s">
        <v>2454</v>
      </c>
      <c r="D34" s="256" t="s">
        <v>2454</v>
      </c>
      <c r="E34" s="256" t="s">
        <v>2246</v>
      </c>
      <c r="F34" s="256" t="s">
        <v>2246</v>
      </c>
      <c r="H34" s="256" t="s">
        <v>2580</v>
      </c>
      <c r="I34" s="256" t="s">
        <v>579</v>
      </c>
      <c r="J34" s="256" t="s">
        <v>2581</v>
      </c>
      <c r="K34" s="257">
        <v>45864</v>
      </c>
      <c r="L34" s="256">
        <v>32</v>
      </c>
      <c r="M34" s="256" t="s">
        <v>2582</v>
      </c>
      <c r="N34" s="256">
        <v>67</v>
      </c>
      <c r="O34" s="256" t="s">
        <v>603</v>
      </c>
      <c r="P34" s="256" t="s">
        <v>2582</v>
      </c>
      <c r="Q34" s="256" t="s">
        <v>2459</v>
      </c>
      <c r="R34" s="256">
        <v>1</v>
      </c>
      <c r="S34" s="256">
        <v>1</v>
      </c>
      <c r="T34" s="256">
        <v>3</v>
      </c>
      <c r="U34" s="256">
        <v>1</v>
      </c>
      <c r="V34" s="256">
        <v>3</v>
      </c>
      <c r="W34" s="256">
        <v>1</v>
      </c>
      <c r="X34" s="256" t="str">
        <f>IF(AND('[18]Assistive Device Support'!$R35="",'[18]Assistive Device Support'!$S35="",'[18]Assistive Device Support'!$T35="",'[18]Assistive Device Support'!$U35="",'[18]Assistive Device Support'!$V35="",'[18]Assistive Device Support'!$W35=""),"",IF(OR('[18]Assistive Device Support'!$R35&gt;2,'[18]Assistive Device Support'!$S35&gt;2,'[18]Assistive Device Support'!$T35&gt;2,'[18]Assistive Device Support'!$U35&gt;2,'[18]Assistive Device Support'!$V35&gt;2,'[18]Assistive Device Support'!$W35&gt;2),"Yes","No"))</f>
        <v>Yes</v>
      </c>
      <c r="Y34" s="256" t="s">
        <v>2420</v>
      </c>
      <c r="Z34" s="256" t="s">
        <v>654</v>
      </c>
      <c r="AA34" s="256" t="s">
        <v>654</v>
      </c>
      <c r="AB34" s="256" t="s">
        <v>654</v>
      </c>
      <c r="AC34" s="256" t="s">
        <v>654</v>
      </c>
      <c r="AD34" s="256" t="s">
        <v>2583</v>
      </c>
    </row>
    <row r="35" spans="1:31" s="256" customFormat="1" ht="14.25" customHeight="1" x14ac:dyDescent="0.25">
      <c r="A35" s="256">
        <v>32</v>
      </c>
      <c r="B35" s="256" t="s">
        <v>2461</v>
      </c>
      <c r="C35" s="256" t="s">
        <v>2454</v>
      </c>
      <c r="D35" s="256" t="s">
        <v>2454</v>
      </c>
      <c r="E35" s="256" t="s">
        <v>1998</v>
      </c>
      <c r="F35" s="256" t="s">
        <v>1999</v>
      </c>
      <c r="H35" s="256" t="s">
        <v>2584</v>
      </c>
      <c r="I35" s="256" t="s">
        <v>579</v>
      </c>
      <c r="J35" s="256" t="s">
        <v>2585</v>
      </c>
      <c r="K35" s="257">
        <v>45867</v>
      </c>
      <c r="L35" s="256">
        <v>33</v>
      </c>
      <c r="M35" s="256" t="s">
        <v>2586</v>
      </c>
      <c r="N35" s="256">
        <v>23</v>
      </c>
      <c r="O35" s="256" t="s">
        <v>603</v>
      </c>
      <c r="P35" s="256" t="s">
        <v>2587</v>
      </c>
      <c r="Q35" s="256" t="s">
        <v>2470</v>
      </c>
      <c r="R35" s="256">
        <v>2</v>
      </c>
      <c r="S35" s="256">
        <v>2</v>
      </c>
      <c r="T35" s="256">
        <v>4</v>
      </c>
      <c r="U35" s="256">
        <v>4</v>
      </c>
      <c r="V35" s="256">
        <v>4</v>
      </c>
      <c r="W35" s="256">
        <v>4</v>
      </c>
      <c r="X35" s="256" t="str">
        <f>IF(AND('[18]Assistive Device Support'!$R36="",'[18]Assistive Device Support'!$S36="",'[18]Assistive Device Support'!$T36="",'[18]Assistive Device Support'!$U36="",'[18]Assistive Device Support'!$V36="",'[18]Assistive Device Support'!$W36=""),"",IF(OR('[18]Assistive Device Support'!$R36&gt;2,'[18]Assistive Device Support'!$S36&gt;2,'[18]Assistive Device Support'!$T36&gt;2,'[18]Assistive Device Support'!$U36&gt;2,'[18]Assistive Device Support'!$V36&gt;2,'[18]Assistive Device Support'!$W36&gt;2),"Yes","No"))</f>
        <v>Yes</v>
      </c>
      <c r="Y35" s="256" t="s">
        <v>2420</v>
      </c>
      <c r="Z35" s="256" t="s">
        <v>654</v>
      </c>
      <c r="AA35" s="256" t="s">
        <v>654</v>
      </c>
      <c r="AB35" s="256" t="s">
        <v>654</v>
      </c>
      <c r="AC35" s="256" t="s">
        <v>654</v>
      </c>
      <c r="AD35" s="256" t="s">
        <v>2531</v>
      </c>
    </row>
    <row r="36" spans="1:31" s="256" customFormat="1" ht="14.25" customHeight="1" x14ac:dyDescent="0.25">
      <c r="A36" s="256">
        <v>33</v>
      </c>
      <c r="B36" s="256" t="s">
        <v>2461</v>
      </c>
      <c r="C36" s="256" t="s">
        <v>2454</v>
      </c>
      <c r="D36" s="256" t="s">
        <v>2454</v>
      </c>
      <c r="E36" s="256" t="s">
        <v>1998</v>
      </c>
      <c r="F36" s="256" t="s">
        <v>2472</v>
      </c>
      <c r="H36" s="256" t="s">
        <v>2588</v>
      </c>
      <c r="I36" s="256" t="s">
        <v>619</v>
      </c>
      <c r="J36" s="256" t="s">
        <v>2589</v>
      </c>
      <c r="K36" s="257">
        <v>45868</v>
      </c>
      <c r="L36" s="256">
        <v>35</v>
      </c>
      <c r="M36" s="256" t="s">
        <v>2292</v>
      </c>
      <c r="N36" s="256">
        <v>37</v>
      </c>
      <c r="O36" s="256" t="s">
        <v>603</v>
      </c>
      <c r="P36" s="256" t="s">
        <v>2590</v>
      </c>
      <c r="Q36" s="256" t="s">
        <v>2470</v>
      </c>
      <c r="R36" s="256">
        <v>2</v>
      </c>
      <c r="S36" s="256">
        <v>2</v>
      </c>
      <c r="T36" s="256">
        <v>4</v>
      </c>
      <c r="U36" s="256">
        <v>4</v>
      </c>
      <c r="V36" s="256">
        <v>4</v>
      </c>
      <c r="W36" s="256">
        <v>4</v>
      </c>
      <c r="X36" s="256" t="str">
        <f>IF(AND('[18]Assistive Device Support'!$R38="",'[18]Assistive Device Support'!$S38="",'[18]Assistive Device Support'!$T38="",'[18]Assistive Device Support'!$U38="",'[18]Assistive Device Support'!$V38="",'[18]Assistive Device Support'!$W38=""),"",IF(OR('[18]Assistive Device Support'!$R38&gt;2,'[18]Assistive Device Support'!$S38&gt;2,'[18]Assistive Device Support'!$T38&gt;2,'[18]Assistive Device Support'!$U38&gt;2,'[18]Assistive Device Support'!$V38&gt;2,'[18]Assistive Device Support'!$W38&gt;2),"Yes","No"))</f>
        <v>Yes</v>
      </c>
      <c r="Y36" s="256" t="s">
        <v>2420</v>
      </c>
      <c r="Z36" s="256" t="s">
        <v>654</v>
      </c>
      <c r="AA36" s="256" t="s">
        <v>654</v>
      </c>
      <c r="AB36" s="256" t="s">
        <v>654</v>
      </c>
      <c r="AC36" s="256" t="s">
        <v>654</v>
      </c>
      <c r="AD36" s="256" t="s">
        <v>2526</v>
      </c>
    </row>
    <row r="37" spans="1:31" s="256" customFormat="1" ht="14.25" customHeight="1" x14ac:dyDescent="0.25">
      <c r="A37" s="256">
        <v>34</v>
      </c>
      <c r="B37" s="256" t="s">
        <v>399</v>
      </c>
      <c r="C37" s="256" t="s">
        <v>2454</v>
      </c>
      <c r="D37" s="256" t="s">
        <v>2454</v>
      </c>
      <c r="E37" s="256" t="s">
        <v>1998</v>
      </c>
      <c r="F37" s="256" t="s">
        <v>2591</v>
      </c>
      <c r="H37" s="256" t="s">
        <v>2592</v>
      </c>
      <c r="I37" s="256" t="s">
        <v>619</v>
      </c>
      <c r="J37" s="256" t="s">
        <v>2593</v>
      </c>
      <c r="K37" s="257">
        <v>45857</v>
      </c>
      <c r="L37" s="256">
        <v>36</v>
      </c>
      <c r="M37" s="256" t="s">
        <v>2594</v>
      </c>
      <c r="N37" s="256">
        <v>72</v>
      </c>
      <c r="O37" s="256" t="s">
        <v>603</v>
      </c>
      <c r="P37" s="256" t="s">
        <v>2594</v>
      </c>
      <c r="Q37" s="256" t="s">
        <v>2459</v>
      </c>
      <c r="R37" s="256">
        <v>1</v>
      </c>
      <c r="S37" s="256">
        <v>1</v>
      </c>
      <c r="T37" s="256">
        <v>4</v>
      </c>
      <c r="U37" s="256">
        <v>1</v>
      </c>
      <c r="V37" s="256">
        <v>1</v>
      </c>
      <c r="W37" s="256">
        <v>1</v>
      </c>
      <c r="X37" s="256" t="str">
        <f>IF(AND('[18]Assistive Device Support'!$R39="",'[18]Assistive Device Support'!$S39="",'[18]Assistive Device Support'!$T39="",'[18]Assistive Device Support'!$U39="",'[18]Assistive Device Support'!$V39="",'[18]Assistive Device Support'!$W39=""),"",IF(OR('[18]Assistive Device Support'!$R39&gt;2,'[18]Assistive Device Support'!$S39&gt;2,'[18]Assistive Device Support'!$T39&gt;2,'[18]Assistive Device Support'!$U39&gt;2,'[18]Assistive Device Support'!$V39&gt;2,'[18]Assistive Device Support'!$W39&gt;2),"Yes","No"))</f>
        <v>Yes</v>
      </c>
      <c r="Y37" s="256" t="s">
        <v>2420</v>
      </c>
      <c r="Z37" s="256" t="s">
        <v>654</v>
      </c>
      <c r="AA37" s="256" t="s">
        <v>654</v>
      </c>
      <c r="AB37" s="256" t="s">
        <v>654</v>
      </c>
      <c r="AC37" s="256" t="s">
        <v>654</v>
      </c>
      <c r="AD37" s="256" t="s">
        <v>2595</v>
      </c>
    </row>
    <row r="38" spans="1:31" s="256" customFormat="1" ht="14.25" customHeight="1" x14ac:dyDescent="0.25">
      <c r="A38" s="256">
        <v>35</v>
      </c>
      <c r="B38" s="256" t="s">
        <v>2461</v>
      </c>
      <c r="C38" s="256" t="s">
        <v>2454</v>
      </c>
      <c r="D38" s="256" t="s">
        <v>2454</v>
      </c>
      <c r="E38" s="256" t="s">
        <v>1998</v>
      </c>
      <c r="F38" s="256" t="s">
        <v>2472</v>
      </c>
      <c r="H38" s="256" t="s">
        <v>2596</v>
      </c>
      <c r="I38" s="256" t="s">
        <v>619</v>
      </c>
      <c r="J38" s="256" t="s">
        <v>2597</v>
      </c>
      <c r="K38" s="257">
        <v>45870</v>
      </c>
      <c r="L38" s="256">
        <v>1</v>
      </c>
      <c r="M38" s="256" t="s">
        <v>2598</v>
      </c>
      <c r="N38" s="256">
        <v>55</v>
      </c>
      <c r="O38" s="256" t="s">
        <v>603</v>
      </c>
      <c r="P38" s="256" t="s">
        <v>2599</v>
      </c>
      <c r="Q38" s="256" t="s">
        <v>2560</v>
      </c>
      <c r="R38" s="256">
        <v>2</v>
      </c>
      <c r="S38" s="256">
        <v>2</v>
      </c>
      <c r="T38" s="256">
        <v>3</v>
      </c>
      <c r="U38" s="256">
        <v>2</v>
      </c>
      <c r="V38" s="256">
        <v>4</v>
      </c>
      <c r="W38" s="256">
        <v>2</v>
      </c>
      <c r="X38" s="256" t="str">
        <f>IF(AND('[18]Assistive Device Support'!$R40="",'[18]Assistive Device Support'!$S40="",'[18]Assistive Device Support'!$T40="",'[18]Assistive Device Support'!$U40="",'[18]Assistive Device Support'!$V40="",'[18]Assistive Device Support'!$W40=""),"",IF(OR('[18]Assistive Device Support'!$R40&gt;2,'[18]Assistive Device Support'!$S40&gt;2,'[18]Assistive Device Support'!$T40&gt;2,'[18]Assistive Device Support'!$U40&gt;2,'[18]Assistive Device Support'!$V40&gt;2,'[18]Assistive Device Support'!$W40&gt;2),"Yes","No"))</f>
        <v>Yes</v>
      </c>
      <c r="Y38" s="256" t="s">
        <v>2420</v>
      </c>
      <c r="Z38" s="256" t="s">
        <v>654</v>
      </c>
      <c r="AA38" s="256" t="s">
        <v>654</v>
      </c>
      <c r="AB38" s="256" t="s">
        <v>654</v>
      </c>
      <c r="AC38" s="256" t="s">
        <v>654</v>
      </c>
      <c r="AD38" s="256" t="s">
        <v>2490</v>
      </c>
    </row>
    <row r="39" spans="1:31" s="256" customFormat="1" ht="14.25" customHeight="1" x14ac:dyDescent="0.25">
      <c r="A39" s="256">
        <v>36</v>
      </c>
      <c r="B39" s="256" t="s">
        <v>2461</v>
      </c>
      <c r="C39" s="256" t="s">
        <v>2454</v>
      </c>
      <c r="D39" s="256" t="s">
        <v>2454</v>
      </c>
      <c r="E39" s="256" t="s">
        <v>1998</v>
      </c>
      <c r="F39" s="256" t="s">
        <v>2472</v>
      </c>
      <c r="H39" s="256" t="s">
        <v>2600</v>
      </c>
      <c r="I39" s="256" t="s">
        <v>619</v>
      </c>
      <c r="J39" s="256" t="s">
        <v>2601</v>
      </c>
      <c r="K39" s="257">
        <v>45870</v>
      </c>
      <c r="L39" s="256">
        <v>2</v>
      </c>
      <c r="M39" s="256" t="s">
        <v>2602</v>
      </c>
      <c r="N39" s="256">
        <v>75</v>
      </c>
      <c r="O39" s="256" t="s">
        <v>603</v>
      </c>
      <c r="P39" s="256" t="s">
        <v>2603</v>
      </c>
      <c r="Q39" s="256" t="s">
        <v>2556</v>
      </c>
      <c r="R39" s="256">
        <v>2</v>
      </c>
      <c r="S39" s="256">
        <v>2</v>
      </c>
      <c r="T39" s="256">
        <v>3</v>
      </c>
      <c r="U39" s="256">
        <v>2</v>
      </c>
      <c r="V39" s="256">
        <v>4</v>
      </c>
      <c r="W39" s="256">
        <v>2</v>
      </c>
      <c r="X39" s="256" t="str">
        <f>IF(AND('[18]Assistive Device Support'!$R41="",'[18]Assistive Device Support'!$S41="",'[18]Assistive Device Support'!$T41="",'[18]Assistive Device Support'!$U41="",'[18]Assistive Device Support'!$V41="",'[18]Assistive Device Support'!$W41=""),"",IF(OR('[18]Assistive Device Support'!$R41&gt;2,'[18]Assistive Device Support'!$S41&gt;2,'[18]Assistive Device Support'!$T41&gt;2,'[18]Assistive Device Support'!$U41&gt;2,'[18]Assistive Device Support'!$V41&gt;2,'[18]Assistive Device Support'!$W41&gt;2),"Yes","No"))</f>
        <v>Yes</v>
      </c>
      <c r="Y39" s="256" t="s">
        <v>2420</v>
      </c>
      <c r="Z39" s="256" t="s">
        <v>654</v>
      </c>
      <c r="AA39" s="256" t="s">
        <v>654</v>
      </c>
      <c r="AB39" s="256" t="s">
        <v>654</v>
      </c>
      <c r="AC39" s="256" t="s">
        <v>654</v>
      </c>
      <c r="AD39" s="256" t="s">
        <v>2490</v>
      </c>
    </row>
    <row r="40" spans="1:31" s="256" customFormat="1" ht="14.25" customHeight="1" x14ac:dyDescent="0.25">
      <c r="A40" s="256">
        <v>37</v>
      </c>
      <c r="B40" s="256" t="s">
        <v>2461</v>
      </c>
      <c r="C40" s="256" t="s">
        <v>2454</v>
      </c>
      <c r="D40" s="256" t="s">
        <v>2454</v>
      </c>
      <c r="E40" s="256" t="s">
        <v>1998</v>
      </c>
      <c r="F40" s="256" t="s">
        <v>2472</v>
      </c>
      <c r="H40" s="256" t="s">
        <v>2600</v>
      </c>
      <c r="I40" s="256" t="s">
        <v>619</v>
      </c>
      <c r="J40" s="256" t="s">
        <v>2604</v>
      </c>
      <c r="K40" s="257">
        <v>45870</v>
      </c>
      <c r="L40" s="256">
        <v>3</v>
      </c>
      <c r="M40" s="256" t="s">
        <v>2605</v>
      </c>
      <c r="N40" s="256">
        <v>54</v>
      </c>
      <c r="O40" s="256" t="s">
        <v>603</v>
      </c>
      <c r="P40" s="256" t="s">
        <v>2606</v>
      </c>
      <c r="Q40" s="256" t="s">
        <v>2489</v>
      </c>
      <c r="R40" s="256">
        <v>2</v>
      </c>
      <c r="S40" s="256">
        <v>2</v>
      </c>
      <c r="T40" s="256">
        <v>3</v>
      </c>
      <c r="U40" s="256">
        <v>2</v>
      </c>
      <c r="V40" s="256">
        <v>4</v>
      </c>
      <c r="W40" s="256">
        <v>2</v>
      </c>
      <c r="X40" s="256" t="str">
        <f>IF(AND('[18]Assistive Device Support'!$R42="",'[18]Assistive Device Support'!$S42="",'[18]Assistive Device Support'!$T42="",'[18]Assistive Device Support'!$U42="",'[18]Assistive Device Support'!$V42="",'[18]Assistive Device Support'!$W42=""),"",IF(OR('[18]Assistive Device Support'!$R42&gt;2,'[18]Assistive Device Support'!$S42&gt;2,'[18]Assistive Device Support'!$T42&gt;2,'[18]Assistive Device Support'!$U42&gt;2,'[18]Assistive Device Support'!$V42&gt;2,'[18]Assistive Device Support'!$W42&gt;2),"Yes","No"))</f>
        <v>Yes</v>
      </c>
      <c r="Y40" s="256" t="s">
        <v>2420</v>
      </c>
      <c r="Z40" s="256" t="s">
        <v>654</v>
      </c>
      <c r="AA40" s="256" t="s">
        <v>654</v>
      </c>
      <c r="AB40" s="256" t="s">
        <v>654</v>
      </c>
      <c r="AC40" s="256" t="s">
        <v>654</v>
      </c>
      <c r="AD40" s="256" t="s">
        <v>2490</v>
      </c>
    </row>
    <row r="41" spans="1:31" s="256" customFormat="1" ht="14.25" customHeight="1" x14ac:dyDescent="0.25">
      <c r="A41" s="256">
        <v>38</v>
      </c>
      <c r="B41" s="256" t="s">
        <v>2461</v>
      </c>
      <c r="C41" s="256" t="s">
        <v>2454</v>
      </c>
      <c r="D41" s="256" t="s">
        <v>2454</v>
      </c>
      <c r="E41" s="256" t="s">
        <v>1998</v>
      </c>
      <c r="F41" s="256" t="s">
        <v>2472</v>
      </c>
      <c r="H41" s="256" t="s">
        <v>2600</v>
      </c>
      <c r="I41" s="256" t="s">
        <v>619</v>
      </c>
      <c r="J41" s="256" t="s">
        <v>2601</v>
      </c>
      <c r="K41" s="257">
        <v>45870</v>
      </c>
      <c r="L41" s="256">
        <v>4</v>
      </c>
      <c r="M41" s="256" t="s">
        <v>2607</v>
      </c>
      <c r="N41" s="256">
        <v>88</v>
      </c>
      <c r="O41" s="256" t="s">
        <v>402</v>
      </c>
      <c r="P41" s="256" t="s">
        <v>2608</v>
      </c>
      <c r="Q41" s="256" t="s">
        <v>2556</v>
      </c>
      <c r="R41" s="256">
        <v>2</v>
      </c>
      <c r="S41" s="256">
        <v>2</v>
      </c>
      <c r="T41" s="256">
        <v>3</v>
      </c>
      <c r="U41" s="256">
        <v>2</v>
      </c>
      <c r="V41" s="256">
        <v>3</v>
      </c>
      <c r="W41" s="256">
        <v>2</v>
      </c>
      <c r="X41" s="256" t="str">
        <f>IF(AND('[18]Assistive Device Support'!$R43="",'[18]Assistive Device Support'!$S43="",'[18]Assistive Device Support'!$T43="",'[18]Assistive Device Support'!$U43="",'[18]Assistive Device Support'!$V43="",'[18]Assistive Device Support'!$W43=""),"",IF(OR('[18]Assistive Device Support'!$R43&gt;2,'[18]Assistive Device Support'!$S43&gt;2,'[18]Assistive Device Support'!$T43&gt;2,'[18]Assistive Device Support'!$U43&gt;2,'[18]Assistive Device Support'!$V43&gt;2,'[18]Assistive Device Support'!$W43&gt;2),"Yes","No"))</f>
        <v>Yes</v>
      </c>
      <c r="Y41" s="256" t="s">
        <v>2420</v>
      </c>
      <c r="Z41" s="256" t="s">
        <v>654</v>
      </c>
      <c r="AA41" s="256" t="s">
        <v>654</v>
      </c>
      <c r="AB41" s="256" t="s">
        <v>654</v>
      </c>
      <c r="AC41" s="256" t="s">
        <v>654</v>
      </c>
      <c r="AD41" s="256" t="s">
        <v>2609</v>
      </c>
    </row>
    <row r="42" spans="1:31" s="256" customFormat="1" ht="14.25" customHeight="1" x14ac:dyDescent="0.25">
      <c r="A42" s="256">
        <v>39</v>
      </c>
      <c r="B42" s="256" t="s">
        <v>2461</v>
      </c>
      <c r="C42" s="256" t="s">
        <v>2454</v>
      </c>
      <c r="D42" s="256" t="s">
        <v>2454</v>
      </c>
      <c r="E42" s="256" t="s">
        <v>1998</v>
      </c>
      <c r="F42" s="256" t="s">
        <v>1999</v>
      </c>
      <c r="H42" s="256" t="s">
        <v>2610</v>
      </c>
      <c r="I42" s="256" t="s">
        <v>579</v>
      </c>
      <c r="J42" s="256" t="s">
        <v>2611</v>
      </c>
      <c r="K42" s="257">
        <v>45870</v>
      </c>
      <c r="L42" s="256">
        <v>5</v>
      </c>
      <c r="M42" s="256" t="s">
        <v>2612</v>
      </c>
      <c r="N42" s="256">
        <v>5</v>
      </c>
      <c r="O42" s="256" t="s">
        <v>603</v>
      </c>
      <c r="P42" s="256" t="s">
        <v>2613</v>
      </c>
      <c r="Q42" s="256" t="s">
        <v>2477</v>
      </c>
      <c r="R42" s="256">
        <v>2</v>
      </c>
      <c r="S42" s="256">
        <v>1</v>
      </c>
      <c r="T42" s="256">
        <v>4</v>
      </c>
      <c r="U42" s="256">
        <v>4</v>
      </c>
      <c r="V42" s="256">
        <v>4</v>
      </c>
      <c r="W42" s="256">
        <v>4</v>
      </c>
      <c r="X42" s="256" t="s">
        <v>2420</v>
      </c>
      <c r="Y42" s="256" t="s">
        <v>2420</v>
      </c>
      <c r="Z42" s="256" t="s">
        <v>654</v>
      </c>
      <c r="AA42" s="256" t="s">
        <v>654</v>
      </c>
      <c r="AB42" s="256" t="s">
        <v>654</v>
      </c>
      <c r="AC42" s="256" t="s">
        <v>654</v>
      </c>
      <c r="AD42" s="256" t="s">
        <v>2460</v>
      </c>
    </row>
    <row r="43" spans="1:31" s="256" customFormat="1" ht="14.25" customHeight="1" x14ac:dyDescent="0.25">
      <c r="A43" s="256">
        <v>40</v>
      </c>
      <c r="B43" s="256" t="s">
        <v>2461</v>
      </c>
      <c r="C43" s="256" t="s">
        <v>2454</v>
      </c>
      <c r="D43" s="256" t="s">
        <v>2454</v>
      </c>
      <c r="E43" s="256" t="s">
        <v>1998</v>
      </c>
      <c r="F43" s="256" t="s">
        <v>1999</v>
      </c>
      <c r="H43" s="256" t="s">
        <v>2610</v>
      </c>
      <c r="I43" s="256" t="s">
        <v>579</v>
      </c>
      <c r="J43" s="256" t="s">
        <v>2614</v>
      </c>
      <c r="K43" s="257">
        <v>45870</v>
      </c>
      <c r="L43" s="256">
        <v>6</v>
      </c>
      <c r="M43" s="256" t="s">
        <v>2615</v>
      </c>
      <c r="N43" s="256">
        <v>82</v>
      </c>
      <c r="O43" s="256" t="s">
        <v>402</v>
      </c>
      <c r="P43" s="256" t="s">
        <v>2616</v>
      </c>
      <c r="Q43" s="256" t="s">
        <v>2489</v>
      </c>
      <c r="R43" s="256">
        <v>3</v>
      </c>
      <c r="S43" s="256">
        <v>3</v>
      </c>
      <c r="T43" s="256">
        <v>3</v>
      </c>
      <c r="U43" s="256">
        <v>3</v>
      </c>
      <c r="V43" s="256">
        <v>4</v>
      </c>
      <c r="W43" s="256">
        <v>3</v>
      </c>
      <c r="X43" s="256" t="s">
        <v>2420</v>
      </c>
      <c r="Y43" s="256" t="s">
        <v>2420</v>
      </c>
      <c r="Z43" s="256" t="s">
        <v>654</v>
      </c>
      <c r="AA43" s="256" t="s">
        <v>654</v>
      </c>
      <c r="AB43" s="256" t="s">
        <v>654</v>
      </c>
      <c r="AC43" s="256" t="s">
        <v>654</v>
      </c>
      <c r="AD43" s="256" t="s">
        <v>2490</v>
      </c>
    </row>
    <row r="44" spans="1:31" s="256" customFormat="1" ht="14.25" customHeight="1" x14ac:dyDescent="0.25">
      <c r="A44" s="256">
        <v>41</v>
      </c>
      <c r="B44" s="256" t="s">
        <v>2461</v>
      </c>
      <c r="C44" s="256" t="s">
        <v>2454</v>
      </c>
      <c r="D44" s="256" t="s">
        <v>2454</v>
      </c>
      <c r="E44" s="256" t="s">
        <v>1998</v>
      </c>
      <c r="F44" s="256" t="s">
        <v>1999</v>
      </c>
      <c r="H44" s="256" t="s">
        <v>2617</v>
      </c>
      <c r="I44" s="256" t="s">
        <v>579</v>
      </c>
      <c r="J44" s="256" t="s">
        <v>2618</v>
      </c>
      <c r="K44" s="257">
        <v>45870</v>
      </c>
      <c r="L44" s="256">
        <v>7</v>
      </c>
      <c r="M44" s="256" t="s">
        <v>2619</v>
      </c>
      <c r="N44" s="256">
        <v>89</v>
      </c>
      <c r="O44" s="256" t="s">
        <v>402</v>
      </c>
      <c r="P44" s="256" t="s">
        <v>2619</v>
      </c>
      <c r="Q44" s="256" t="s">
        <v>2459</v>
      </c>
      <c r="R44" s="256">
        <v>1</v>
      </c>
      <c r="S44" s="256">
        <v>1</v>
      </c>
      <c r="T44" s="256">
        <v>3</v>
      </c>
      <c r="U44" s="256">
        <v>1</v>
      </c>
      <c r="V44" s="256">
        <v>3</v>
      </c>
      <c r="W44" s="256">
        <v>1</v>
      </c>
      <c r="X44" s="256" t="s">
        <v>2420</v>
      </c>
      <c r="Y44" s="256" t="s">
        <v>2420</v>
      </c>
      <c r="Z44" s="256" t="s">
        <v>654</v>
      </c>
      <c r="AA44" s="256" t="s">
        <v>654</v>
      </c>
      <c r="AB44" s="256" t="s">
        <v>654</v>
      </c>
      <c r="AC44" s="256" t="s">
        <v>654</v>
      </c>
      <c r="AD44" s="256" t="s">
        <v>2465</v>
      </c>
      <c r="AE44" s="256" t="s">
        <v>2485</v>
      </c>
    </row>
    <row r="45" spans="1:31" s="256" customFormat="1" ht="14.25" customHeight="1" x14ac:dyDescent="0.25">
      <c r="A45" s="256">
        <v>42</v>
      </c>
      <c r="B45" s="256" t="s">
        <v>2461</v>
      </c>
      <c r="C45" s="256" t="s">
        <v>2454</v>
      </c>
      <c r="D45" s="256" t="s">
        <v>2454</v>
      </c>
      <c r="E45" s="256" t="s">
        <v>2246</v>
      </c>
      <c r="F45" s="256" t="s">
        <v>2246</v>
      </c>
      <c r="H45" s="256" t="s">
        <v>2620</v>
      </c>
      <c r="I45" s="256" t="s">
        <v>619</v>
      </c>
      <c r="J45" s="256" t="s">
        <v>2621</v>
      </c>
      <c r="K45" s="257">
        <v>45870</v>
      </c>
      <c r="L45" s="256">
        <v>8</v>
      </c>
      <c r="M45" s="256" t="s">
        <v>2622</v>
      </c>
      <c r="N45" s="256">
        <v>50</v>
      </c>
      <c r="O45" s="256" t="s">
        <v>603</v>
      </c>
      <c r="P45" s="256" t="s">
        <v>2622</v>
      </c>
      <c r="Q45" s="256" t="s">
        <v>2459</v>
      </c>
      <c r="R45" s="256">
        <v>1</v>
      </c>
      <c r="S45" s="256">
        <v>1</v>
      </c>
      <c r="T45" s="256">
        <v>3</v>
      </c>
      <c r="U45" s="256">
        <v>1</v>
      </c>
      <c r="V45" s="256">
        <v>1</v>
      </c>
      <c r="W45" s="256">
        <v>1</v>
      </c>
      <c r="X45" s="256" t="s">
        <v>2420</v>
      </c>
      <c r="Y45" s="256" t="s">
        <v>2420</v>
      </c>
      <c r="Z45" s="256" t="s">
        <v>654</v>
      </c>
      <c r="AA45" s="256" t="s">
        <v>654</v>
      </c>
      <c r="AB45" s="256" t="s">
        <v>654</v>
      </c>
      <c r="AC45" s="256" t="s">
        <v>654</v>
      </c>
      <c r="AD45" s="256" t="s">
        <v>2465</v>
      </c>
    </row>
    <row r="46" spans="1:31" s="256" customFormat="1" ht="14.25" customHeight="1" x14ac:dyDescent="0.25">
      <c r="A46" s="256">
        <v>43</v>
      </c>
      <c r="B46" s="256" t="s">
        <v>2461</v>
      </c>
      <c r="C46" s="256" t="s">
        <v>2454</v>
      </c>
      <c r="D46" s="256" t="s">
        <v>2454</v>
      </c>
      <c r="E46" s="256" t="s">
        <v>2246</v>
      </c>
      <c r="F46" s="256" t="s">
        <v>2246</v>
      </c>
      <c r="H46" s="256" t="s">
        <v>2620</v>
      </c>
      <c r="I46" s="256" t="s">
        <v>619</v>
      </c>
      <c r="J46" s="256" t="s">
        <v>2623</v>
      </c>
      <c r="K46" s="257">
        <v>45870</v>
      </c>
      <c r="L46" s="256">
        <v>9</v>
      </c>
      <c r="M46" s="256" t="s">
        <v>2624</v>
      </c>
      <c r="N46" s="256">
        <v>72</v>
      </c>
      <c r="O46" s="256" t="s">
        <v>402</v>
      </c>
      <c r="P46" s="256" t="s">
        <v>2624</v>
      </c>
      <c r="Q46" s="256" t="s">
        <v>2459</v>
      </c>
      <c r="R46" s="256">
        <v>1</v>
      </c>
      <c r="S46" s="256">
        <v>1</v>
      </c>
      <c r="T46" s="256">
        <v>3</v>
      </c>
      <c r="U46" s="256">
        <v>1</v>
      </c>
      <c r="V46" s="256">
        <v>3</v>
      </c>
      <c r="W46" s="256">
        <v>1</v>
      </c>
      <c r="X46" s="256" t="s">
        <v>2420</v>
      </c>
      <c r="Y46" s="256" t="s">
        <v>2420</v>
      </c>
      <c r="Z46" s="256" t="s">
        <v>654</v>
      </c>
      <c r="AA46" s="256" t="s">
        <v>654</v>
      </c>
      <c r="AB46" s="256" t="s">
        <v>654</v>
      </c>
      <c r="AC46" s="256" t="s">
        <v>654</v>
      </c>
      <c r="AD46" s="256" t="s">
        <v>2465</v>
      </c>
    </row>
    <row r="47" spans="1:31" s="256" customFormat="1" ht="14.25" customHeight="1" x14ac:dyDescent="0.25">
      <c r="A47" s="256">
        <v>44</v>
      </c>
      <c r="B47" s="256" t="s">
        <v>2461</v>
      </c>
      <c r="C47" s="256" t="s">
        <v>2454</v>
      </c>
      <c r="D47" s="256" t="s">
        <v>2454</v>
      </c>
      <c r="E47" s="256" t="s">
        <v>2246</v>
      </c>
      <c r="F47" s="256" t="s">
        <v>2246</v>
      </c>
      <c r="H47" s="256" t="s">
        <v>2625</v>
      </c>
      <c r="I47" s="256" t="s">
        <v>579</v>
      </c>
      <c r="J47" s="256" t="s">
        <v>2626</v>
      </c>
      <c r="K47" s="257">
        <v>45870</v>
      </c>
      <c r="L47" s="256">
        <v>10</v>
      </c>
      <c r="M47" s="256" t="s">
        <v>2627</v>
      </c>
      <c r="N47" s="256">
        <v>81</v>
      </c>
      <c r="O47" s="256" t="s">
        <v>402</v>
      </c>
      <c r="P47" s="256" t="s">
        <v>2627</v>
      </c>
      <c r="Q47" s="256" t="s">
        <v>2459</v>
      </c>
      <c r="R47" s="256">
        <v>1</v>
      </c>
      <c r="S47" s="256">
        <v>1</v>
      </c>
      <c r="T47" s="256">
        <v>3</v>
      </c>
      <c r="U47" s="256">
        <v>1</v>
      </c>
      <c r="V47" s="256">
        <v>3</v>
      </c>
      <c r="W47" s="256">
        <v>1</v>
      </c>
      <c r="X47" s="256" t="s">
        <v>2420</v>
      </c>
      <c r="Y47" s="256" t="s">
        <v>2420</v>
      </c>
      <c r="Z47" s="256" t="s">
        <v>654</v>
      </c>
      <c r="AA47" s="256" t="s">
        <v>654</v>
      </c>
      <c r="AB47" s="256" t="s">
        <v>654</v>
      </c>
      <c r="AC47" s="256" t="s">
        <v>654</v>
      </c>
      <c r="AD47" s="256" t="s">
        <v>2465</v>
      </c>
    </row>
    <row r="48" spans="1:31" s="256" customFormat="1" ht="14.25" customHeight="1" x14ac:dyDescent="0.25">
      <c r="A48" s="256">
        <v>45</v>
      </c>
      <c r="B48" s="256" t="s">
        <v>2461</v>
      </c>
      <c r="C48" s="256" t="s">
        <v>2454</v>
      </c>
      <c r="D48" s="256" t="s">
        <v>2454</v>
      </c>
      <c r="E48" s="256" t="s">
        <v>1998</v>
      </c>
      <c r="F48" s="256" t="s">
        <v>2472</v>
      </c>
      <c r="H48" s="256" t="s">
        <v>2628</v>
      </c>
      <c r="I48" s="256" t="s">
        <v>619</v>
      </c>
      <c r="J48" s="256" t="s">
        <v>2629</v>
      </c>
      <c r="K48" s="257">
        <v>45870</v>
      </c>
      <c r="L48" s="256">
        <v>11</v>
      </c>
      <c r="M48" s="256" t="s">
        <v>2630</v>
      </c>
      <c r="N48" s="256">
        <v>68</v>
      </c>
      <c r="O48" s="256" t="s">
        <v>402</v>
      </c>
      <c r="P48" s="256" t="s">
        <v>2630</v>
      </c>
      <c r="Q48" s="256" t="s">
        <v>2459</v>
      </c>
      <c r="R48" s="256">
        <v>2</v>
      </c>
      <c r="S48" s="256">
        <v>2</v>
      </c>
      <c r="T48" s="256">
        <v>3</v>
      </c>
      <c r="U48" s="256">
        <v>3</v>
      </c>
      <c r="V48" s="256">
        <v>3</v>
      </c>
      <c r="W48" s="256">
        <v>2</v>
      </c>
      <c r="X48" s="256" t="s">
        <v>2420</v>
      </c>
      <c r="Y48" s="256" t="s">
        <v>2420</v>
      </c>
      <c r="Z48" s="256" t="s">
        <v>654</v>
      </c>
      <c r="AA48" s="256" t="s">
        <v>654</v>
      </c>
      <c r="AB48" s="256" t="s">
        <v>654</v>
      </c>
      <c r="AC48" s="256" t="s">
        <v>654</v>
      </c>
      <c r="AD48" s="256" t="s">
        <v>2490</v>
      </c>
    </row>
    <row r="49" spans="1:36" s="256" customFormat="1" ht="14.25" customHeight="1" x14ac:dyDescent="0.25">
      <c r="A49" s="256">
        <v>46</v>
      </c>
      <c r="B49" s="256" t="s">
        <v>399</v>
      </c>
      <c r="C49" s="256" t="s">
        <v>2454</v>
      </c>
      <c r="D49" s="256" t="s">
        <v>2454</v>
      </c>
      <c r="E49" s="256" t="s">
        <v>2246</v>
      </c>
      <c r="F49" s="256" t="s">
        <v>2246</v>
      </c>
      <c r="H49" s="256" t="s">
        <v>2631</v>
      </c>
      <c r="I49" s="256" t="s">
        <v>619</v>
      </c>
      <c r="J49" s="256" t="s">
        <v>2632</v>
      </c>
      <c r="K49" s="257">
        <v>45888</v>
      </c>
      <c r="L49" s="256">
        <v>12</v>
      </c>
      <c r="M49" s="256" t="s">
        <v>2633</v>
      </c>
      <c r="N49" s="256">
        <v>69</v>
      </c>
      <c r="O49" s="256" t="s">
        <v>603</v>
      </c>
      <c r="P49" s="256" t="s">
        <v>2633</v>
      </c>
      <c r="Q49" s="256" t="s">
        <v>2459</v>
      </c>
      <c r="R49" s="256">
        <v>3</v>
      </c>
      <c r="S49" s="256">
        <v>3</v>
      </c>
      <c r="T49" s="256">
        <v>4</v>
      </c>
      <c r="U49" s="256">
        <v>3</v>
      </c>
      <c r="V49" s="256">
        <v>3</v>
      </c>
      <c r="W49" s="256">
        <v>2</v>
      </c>
      <c r="X49" s="256" t="s">
        <v>2420</v>
      </c>
      <c r="Y49" s="256" t="s">
        <v>2420</v>
      </c>
      <c r="Z49" s="256" t="s">
        <v>654</v>
      </c>
      <c r="AA49" s="256" t="s">
        <v>654</v>
      </c>
      <c r="AB49" s="256" t="s">
        <v>654</v>
      </c>
      <c r="AC49" s="256" t="s">
        <v>654</v>
      </c>
      <c r="AD49" s="256" t="s">
        <v>2595</v>
      </c>
      <c r="AJ49" s="256" t="s">
        <v>2634</v>
      </c>
    </row>
    <row r="50" spans="1:36" s="256" customFormat="1" ht="14.25" customHeight="1" x14ac:dyDescent="0.25">
      <c r="A50" s="256">
        <v>47</v>
      </c>
      <c r="B50" s="256" t="s">
        <v>399</v>
      </c>
      <c r="C50" s="256" t="s">
        <v>2454</v>
      </c>
      <c r="D50" s="256" t="s">
        <v>2454</v>
      </c>
      <c r="E50" s="256" t="s">
        <v>1998</v>
      </c>
      <c r="F50" s="256" t="s">
        <v>1999</v>
      </c>
      <c r="H50" s="256" t="s">
        <v>2635</v>
      </c>
      <c r="I50" s="256" t="s">
        <v>619</v>
      </c>
      <c r="J50" s="256" t="s">
        <v>2636</v>
      </c>
      <c r="K50" s="257">
        <v>45888</v>
      </c>
      <c r="L50" s="256">
        <v>13</v>
      </c>
      <c r="M50" s="256" t="s">
        <v>2637</v>
      </c>
      <c r="N50" s="256">
        <v>100</v>
      </c>
      <c r="O50" s="256" t="s">
        <v>603</v>
      </c>
      <c r="P50" s="256" t="s">
        <v>2638</v>
      </c>
      <c r="Q50" s="256" t="s">
        <v>2556</v>
      </c>
      <c r="R50" s="256">
        <v>3</v>
      </c>
      <c r="S50" s="256">
        <v>4</v>
      </c>
      <c r="T50" s="256">
        <v>3</v>
      </c>
      <c r="U50" s="256">
        <v>3</v>
      </c>
      <c r="V50" s="256">
        <v>4</v>
      </c>
      <c r="W50" s="256">
        <v>2</v>
      </c>
      <c r="X50" s="256" t="s">
        <v>2420</v>
      </c>
      <c r="Y50" s="256" t="s">
        <v>2420</v>
      </c>
      <c r="Z50" s="256" t="s">
        <v>654</v>
      </c>
      <c r="AA50" s="256" t="s">
        <v>654</v>
      </c>
      <c r="AB50" s="256" t="s">
        <v>654</v>
      </c>
      <c r="AC50" s="256" t="s">
        <v>654</v>
      </c>
      <c r="AD50" s="256" t="s">
        <v>2595</v>
      </c>
      <c r="AJ50" s="256" t="s">
        <v>2634</v>
      </c>
    </row>
    <row r="51" spans="1:36" s="256" customFormat="1" ht="14.25" customHeight="1" x14ac:dyDescent="0.25">
      <c r="A51" s="256">
        <v>48</v>
      </c>
      <c r="B51" s="256" t="s">
        <v>399</v>
      </c>
      <c r="C51" s="256" t="s">
        <v>2454</v>
      </c>
      <c r="D51" s="256" t="s">
        <v>2454</v>
      </c>
      <c r="E51" s="256" t="s">
        <v>2246</v>
      </c>
      <c r="F51" s="256" t="s">
        <v>2246</v>
      </c>
      <c r="H51" s="256" t="s">
        <v>2038</v>
      </c>
      <c r="I51" s="256" t="s">
        <v>619</v>
      </c>
      <c r="J51" s="256" t="s">
        <v>2639</v>
      </c>
      <c r="K51" s="257">
        <v>45888</v>
      </c>
      <c r="L51" s="256">
        <v>14</v>
      </c>
      <c r="M51" s="256" t="s">
        <v>2038</v>
      </c>
      <c r="N51" s="256">
        <v>68</v>
      </c>
      <c r="O51" s="256" t="s">
        <v>603</v>
      </c>
      <c r="P51" s="256" t="s">
        <v>2038</v>
      </c>
      <c r="Q51" s="256" t="s">
        <v>2459</v>
      </c>
      <c r="R51" s="256">
        <v>2</v>
      </c>
      <c r="S51" s="256">
        <v>2</v>
      </c>
      <c r="T51" s="256">
        <v>3</v>
      </c>
      <c r="U51" s="256">
        <v>3</v>
      </c>
      <c r="V51" s="256">
        <v>3</v>
      </c>
      <c r="W51" s="256">
        <v>1</v>
      </c>
      <c r="X51" s="256" t="s">
        <v>2420</v>
      </c>
      <c r="Y51" s="256" t="s">
        <v>2420</v>
      </c>
      <c r="Z51" s="256" t="s">
        <v>654</v>
      </c>
      <c r="AA51" s="256" t="s">
        <v>654</v>
      </c>
      <c r="AB51" s="256" t="s">
        <v>654</v>
      </c>
      <c r="AC51" s="256" t="s">
        <v>654</v>
      </c>
      <c r="AD51" s="256" t="s">
        <v>2595</v>
      </c>
      <c r="AJ51" s="256" t="s">
        <v>2634</v>
      </c>
    </row>
    <row r="52" spans="1:36" s="256" customFormat="1" ht="14.25" customHeight="1" x14ac:dyDescent="0.25">
      <c r="A52" s="256">
        <v>49</v>
      </c>
      <c r="B52" s="256" t="s">
        <v>399</v>
      </c>
      <c r="C52" s="256" t="s">
        <v>2454</v>
      </c>
      <c r="D52" s="256" t="s">
        <v>2454</v>
      </c>
      <c r="E52" s="256" t="s">
        <v>2246</v>
      </c>
      <c r="F52" s="256" t="s">
        <v>2246</v>
      </c>
      <c r="H52" s="256" t="s">
        <v>2640</v>
      </c>
      <c r="I52" s="256" t="s">
        <v>619</v>
      </c>
      <c r="J52" s="256" t="s">
        <v>2641</v>
      </c>
      <c r="K52" s="257">
        <v>45888</v>
      </c>
      <c r="L52" s="256">
        <v>15</v>
      </c>
      <c r="M52" s="256" t="s">
        <v>2642</v>
      </c>
      <c r="N52" s="256">
        <v>70</v>
      </c>
      <c r="O52" s="256" t="s">
        <v>603</v>
      </c>
      <c r="P52" s="256" t="s">
        <v>2642</v>
      </c>
      <c r="Q52" s="256" t="s">
        <v>2459</v>
      </c>
      <c r="R52" s="256">
        <v>3</v>
      </c>
      <c r="S52" s="256">
        <v>3</v>
      </c>
      <c r="T52" s="256">
        <v>3</v>
      </c>
      <c r="U52" s="256">
        <v>3</v>
      </c>
      <c r="V52" s="256">
        <v>4</v>
      </c>
      <c r="W52" s="256">
        <v>2</v>
      </c>
      <c r="X52" s="256" t="s">
        <v>2420</v>
      </c>
      <c r="Y52" s="256" t="s">
        <v>2420</v>
      </c>
      <c r="Z52" s="256" t="s">
        <v>654</v>
      </c>
      <c r="AA52" s="256" t="s">
        <v>654</v>
      </c>
      <c r="AB52" s="256" t="s">
        <v>654</v>
      </c>
      <c r="AC52" s="256" t="s">
        <v>654</v>
      </c>
      <c r="AD52" s="256" t="s">
        <v>2595</v>
      </c>
      <c r="AJ52" s="256" t="s">
        <v>2634</v>
      </c>
    </row>
    <row r="53" spans="1:36" s="256" customFormat="1" ht="14.25" customHeight="1" x14ac:dyDescent="0.25">
      <c r="A53" s="256">
        <v>50</v>
      </c>
      <c r="B53" s="256" t="s">
        <v>2461</v>
      </c>
      <c r="C53" s="256" t="s">
        <v>2454</v>
      </c>
      <c r="D53" s="256" t="s">
        <v>2454</v>
      </c>
      <c r="E53" s="256" t="s">
        <v>1998</v>
      </c>
      <c r="F53" s="256" t="s">
        <v>2478</v>
      </c>
      <c r="H53" s="256" t="s">
        <v>2643</v>
      </c>
      <c r="I53" s="256" t="s">
        <v>619</v>
      </c>
      <c r="J53" s="256" t="s">
        <v>2644</v>
      </c>
      <c r="K53" s="257">
        <v>45890</v>
      </c>
      <c r="L53" s="256">
        <v>16</v>
      </c>
      <c r="M53" s="256" t="s">
        <v>2645</v>
      </c>
      <c r="N53" s="256">
        <v>82</v>
      </c>
      <c r="O53" s="256" t="s">
        <v>603</v>
      </c>
      <c r="P53" s="256" t="s">
        <v>2646</v>
      </c>
      <c r="Q53" s="256" t="s">
        <v>2556</v>
      </c>
      <c r="R53" s="256">
        <v>3</v>
      </c>
      <c r="S53" s="256">
        <v>3</v>
      </c>
      <c r="T53" s="256">
        <v>3</v>
      </c>
      <c r="U53" s="256">
        <v>3</v>
      </c>
      <c r="V53" s="256">
        <v>4</v>
      </c>
      <c r="W53" s="256">
        <v>3</v>
      </c>
      <c r="X53" s="256" t="s">
        <v>2420</v>
      </c>
      <c r="Y53" s="256" t="s">
        <v>2420</v>
      </c>
      <c r="Z53" s="256" t="s">
        <v>654</v>
      </c>
      <c r="AA53" s="256" t="s">
        <v>654</v>
      </c>
      <c r="AB53" s="256" t="s">
        <v>654</v>
      </c>
      <c r="AC53" s="256" t="s">
        <v>654</v>
      </c>
      <c r="AD53" s="256" t="s">
        <v>2609</v>
      </c>
    </row>
    <row r="54" spans="1:36" s="256" customFormat="1" ht="14.25" customHeight="1" x14ac:dyDescent="0.25">
      <c r="A54" s="256">
        <v>51</v>
      </c>
      <c r="B54" s="256" t="s">
        <v>2461</v>
      </c>
      <c r="C54" s="256" t="s">
        <v>2454</v>
      </c>
      <c r="D54" s="256" t="s">
        <v>2454</v>
      </c>
      <c r="E54" s="256" t="s">
        <v>1998</v>
      </c>
      <c r="F54" s="256" t="s">
        <v>2478</v>
      </c>
      <c r="H54" s="256" t="s">
        <v>2647</v>
      </c>
      <c r="I54" s="256" t="s">
        <v>619</v>
      </c>
      <c r="J54" s="256" t="s">
        <v>2648</v>
      </c>
      <c r="K54" s="257">
        <v>45890</v>
      </c>
      <c r="L54" s="256">
        <v>17</v>
      </c>
      <c r="M54" s="256" t="s">
        <v>2649</v>
      </c>
      <c r="N54" s="256">
        <v>75</v>
      </c>
      <c r="O54" s="256" t="s">
        <v>603</v>
      </c>
      <c r="P54" s="256" t="s">
        <v>2649</v>
      </c>
      <c r="Q54" s="256" t="s">
        <v>2459</v>
      </c>
      <c r="R54" s="256">
        <v>3</v>
      </c>
      <c r="S54" s="256">
        <v>3</v>
      </c>
      <c r="T54" s="256">
        <v>3</v>
      </c>
      <c r="U54" s="256">
        <v>3</v>
      </c>
      <c r="V54" s="256">
        <v>4</v>
      </c>
      <c r="W54" s="256">
        <v>3</v>
      </c>
      <c r="X54" s="256" t="s">
        <v>2420</v>
      </c>
      <c r="Y54" s="256" t="s">
        <v>2420</v>
      </c>
      <c r="Z54" s="256" t="s">
        <v>654</v>
      </c>
      <c r="AA54" s="256" t="s">
        <v>654</v>
      </c>
      <c r="AB54" s="256" t="s">
        <v>654</v>
      </c>
      <c r="AC54" s="256" t="s">
        <v>654</v>
      </c>
      <c r="AD54" s="256" t="s">
        <v>2609</v>
      </c>
    </row>
    <row r="55" spans="1:36" s="256" customFormat="1" ht="14.25" customHeight="1" x14ac:dyDescent="0.25">
      <c r="A55" s="256">
        <v>52</v>
      </c>
      <c r="B55" s="256" t="s">
        <v>2461</v>
      </c>
      <c r="C55" s="256" t="s">
        <v>2454</v>
      </c>
      <c r="D55" s="256" t="s">
        <v>2454</v>
      </c>
      <c r="E55" s="256" t="s">
        <v>1998</v>
      </c>
      <c r="F55" s="256" t="s">
        <v>2472</v>
      </c>
      <c r="H55" s="256" t="s">
        <v>2650</v>
      </c>
      <c r="I55" s="256" t="s">
        <v>619</v>
      </c>
      <c r="J55" s="256" t="s">
        <v>2651</v>
      </c>
      <c r="K55" s="257">
        <v>45890</v>
      </c>
      <c r="L55" s="256">
        <v>18</v>
      </c>
      <c r="M55" s="256" t="s">
        <v>2652</v>
      </c>
      <c r="N55" s="256">
        <v>78</v>
      </c>
      <c r="O55" s="256" t="s">
        <v>603</v>
      </c>
      <c r="P55" s="256" t="s">
        <v>2652</v>
      </c>
      <c r="Q55" s="256" t="s">
        <v>2459</v>
      </c>
      <c r="R55" s="256">
        <v>3</v>
      </c>
      <c r="S55" s="256">
        <v>4</v>
      </c>
      <c r="T55" s="256">
        <v>4</v>
      </c>
      <c r="U55" s="256">
        <v>4</v>
      </c>
      <c r="V55" s="256">
        <v>4</v>
      </c>
      <c r="W55" s="256">
        <v>3</v>
      </c>
      <c r="X55" s="256" t="s">
        <v>2420</v>
      </c>
      <c r="Y55" s="256" t="s">
        <v>2420</v>
      </c>
      <c r="Z55" s="256" t="s">
        <v>654</v>
      </c>
      <c r="AA55" s="256" t="s">
        <v>654</v>
      </c>
      <c r="AB55" s="256" t="s">
        <v>654</v>
      </c>
      <c r="AC55" s="256" t="s">
        <v>654</v>
      </c>
      <c r="AD55" s="256" t="s">
        <v>2609</v>
      </c>
    </row>
    <row r="56" spans="1:36" s="256" customFormat="1" ht="14.25" customHeight="1" x14ac:dyDescent="0.25">
      <c r="A56" s="256">
        <v>53</v>
      </c>
      <c r="B56" s="256" t="s">
        <v>2461</v>
      </c>
      <c r="C56" s="256" t="s">
        <v>2454</v>
      </c>
      <c r="D56" s="256" t="s">
        <v>2454</v>
      </c>
      <c r="E56" s="256" t="s">
        <v>1998</v>
      </c>
      <c r="F56" s="256" t="s">
        <v>2472</v>
      </c>
      <c r="H56" s="256" t="s">
        <v>2653</v>
      </c>
      <c r="I56" s="256" t="s">
        <v>619</v>
      </c>
      <c r="J56" s="256" t="s">
        <v>2654</v>
      </c>
      <c r="K56" s="257">
        <v>45890</v>
      </c>
      <c r="L56" s="256">
        <v>19</v>
      </c>
      <c r="M56" s="256" t="s">
        <v>2655</v>
      </c>
      <c r="N56" s="256">
        <v>80</v>
      </c>
      <c r="O56" s="256" t="s">
        <v>603</v>
      </c>
      <c r="P56" s="256" t="s">
        <v>2006</v>
      </c>
      <c r="Q56" s="256" t="s">
        <v>2513</v>
      </c>
      <c r="R56" s="256">
        <v>3</v>
      </c>
      <c r="S56" s="256">
        <v>4</v>
      </c>
      <c r="T56" s="256">
        <v>3</v>
      </c>
      <c r="U56" s="256">
        <v>3</v>
      </c>
      <c r="V56" s="256">
        <v>4</v>
      </c>
      <c r="W56" s="256">
        <v>3</v>
      </c>
      <c r="X56" s="256" t="s">
        <v>2420</v>
      </c>
      <c r="Y56" s="256" t="s">
        <v>2420</v>
      </c>
      <c r="Z56" s="256" t="s">
        <v>654</v>
      </c>
      <c r="AA56" s="256" t="s">
        <v>654</v>
      </c>
      <c r="AB56" s="256" t="s">
        <v>654</v>
      </c>
      <c r="AC56" s="256" t="s">
        <v>654</v>
      </c>
      <c r="AD56" s="256" t="s">
        <v>2609</v>
      </c>
    </row>
    <row r="57" spans="1:36" s="256" customFormat="1" ht="14.25" customHeight="1" x14ac:dyDescent="0.25">
      <c r="A57" s="256">
        <v>54</v>
      </c>
      <c r="B57" s="256" t="s">
        <v>2461</v>
      </c>
      <c r="C57" s="256" t="s">
        <v>2454</v>
      </c>
      <c r="D57" s="256" t="s">
        <v>2454</v>
      </c>
      <c r="E57" s="256" t="s">
        <v>1998</v>
      </c>
      <c r="F57" s="256" t="s">
        <v>2544</v>
      </c>
      <c r="H57" s="256" t="s">
        <v>2656</v>
      </c>
      <c r="I57" s="256" t="s">
        <v>579</v>
      </c>
      <c r="J57" s="256" t="s">
        <v>2657</v>
      </c>
      <c r="K57" s="257">
        <v>45890</v>
      </c>
      <c r="L57" s="256">
        <v>20</v>
      </c>
      <c r="M57" s="256" t="s">
        <v>2658</v>
      </c>
      <c r="N57" s="256">
        <v>72</v>
      </c>
      <c r="O57" s="256" t="s">
        <v>603</v>
      </c>
      <c r="P57" s="256" t="s">
        <v>2659</v>
      </c>
      <c r="Q57" s="256" t="s">
        <v>2459</v>
      </c>
      <c r="R57" s="256">
        <v>3</v>
      </c>
      <c r="S57" s="256">
        <v>3</v>
      </c>
      <c r="T57" s="256">
        <v>4</v>
      </c>
      <c r="U57" s="256">
        <v>4</v>
      </c>
      <c r="V57" s="256">
        <v>4</v>
      </c>
      <c r="W57" s="256">
        <v>3</v>
      </c>
      <c r="X57" s="256" t="s">
        <v>2420</v>
      </c>
      <c r="Y57" s="256" t="s">
        <v>2420</v>
      </c>
      <c r="Z57" s="256" t="s">
        <v>654</v>
      </c>
      <c r="AA57" s="256" t="s">
        <v>654</v>
      </c>
      <c r="AB57" s="256" t="s">
        <v>654</v>
      </c>
      <c r="AC57" s="256" t="s">
        <v>654</v>
      </c>
      <c r="AD57" s="256" t="s">
        <v>2490</v>
      </c>
    </row>
    <row r="58" spans="1:36" s="256" customFormat="1" ht="14.25" customHeight="1" x14ac:dyDescent="0.25">
      <c r="A58" s="256">
        <v>55</v>
      </c>
      <c r="B58" s="256" t="s">
        <v>2461</v>
      </c>
      <c r="C58" s="256" t="s">
        <v>2454</v>
      </c>
      <c r="D58" s="256" t="s">
        <v>2454</v>
      </c>
      <c r="E58" s="256" t="s">
        <v>1998</v>
      </c>
      <c r="F58" s="256" t="s">
        <v>2472</v>
      </c>
      <c r="H58" s="256" t="s">
        <v>2660</v>
      </c>
      <c r="I58" s="256" t="s">
        <v>619</v>
      </c>
      <c r="J58" s="256" t="s">
        <v>2661</v>
      </c>
      <c r="K58" s="257">
        <v>45890</v>
      </c>
      <c r="L58" s="256">
        <v>21</v>
      </c>
      <c r="M58" s="256" t="s">
        <v>2662</v>
      </c>
      <c r="N58" s="256">
        <v>43</v>
      </c>
      <c r="O58" s="256" t="s">
        <v>402</v>
      </c>
      <c r="P58" s="256" t="s">
        <v>2662</v>
      </c>
      <c r="Q58" s="256" t="s">
        <v>2459</v>
      </c>
      <c r="R58" s="256">
        <v>2</v>
      </c>
      <c r="S58" s="256">
        <v>2</v>
      </c>
      <c r="T58" s="256">
        <v>3</v>
      </c>
      <c r="U58" s="256">
        <v>3</v>
      </c>
      <c r="V58" s="256">
        <v>4</v>
      </c>
      <c r="W58" s="256">
        <v>2</v>
      </c>
      <c r="X58" s="256" t="s">
        <v>2420</v>
      </c>
      <c r="Y58" s="256" t="s">
        <v>2420</v>
      </c>
      <c r="Z58" s="256" t="s">
        <v>654</v>
      </c>
      <c r="AA58" s="256" t="s">
        <v>654</v>
      </c>
      <c r="AB58" s="256" t="s">
        <v>654</v>
      </c>
      <c r="AC58" s="256" t="s">
        <v>654</v>
      </c>
      <c r="AD58" s="256" t="s">
        <v>2490</v>
      </c>
    </row>
    <row r="59" spans="1:36" s="256" customFormat="1" ht="14.25" customHeight="1" x14ac:dyDescent="0.25">
      <c r="A59" s="256">
        <v>56</v>
      </c>
      <c r="B59" s="256" t="s">
        <v>2461</v>
      </c>
      <c r="C59" s="256" t="s">
        <v>2454</v>
      </c>
      <c r="D59" s="256" t="s">
        <v>2454</v>
      </c>
      <c r="E59" s="256" t="s">
        <v>1998</v>
      </c>
      <c r="F59" s="256" t="s">
        <v>1999</v>
      </c>
      <c r="H59" s="256" t="s">
        <v>2663</v>
      </c>
      <c r="I59" s="256" t="s">
        <v>579</v>
      </c>
      <c r="J59" s="256" t="s">
        <v>2664</v>
      </c>
      <c r="K59" s="257">
        <v>45891</v>
      </c>
      <c r="L59" s="256">
        <v>22</v>
      </c>
      <c r="M59" s="256" t="s">
        <v>2665</v>
      </c>
      <c r="N59" s="256">
        <v>56</v>
      </c>
      <c r="O59" s="256" t="s">
        <v>402</v>
      </c>
      <c r="P59" s="256" t="s">
        <v>2666</v>
      </c>
      <c r="Q59" s="256" t="s">
        <v>2560</v>
      </c>
      <c r="R59" s="256">
        <v>2</v>
      </c>
      <c r="S59" s="256">
        <v>3</v>
      </c>
      <c r="T59" s="256">
        <v>4</v>
      </c>
      <c r="U59" s="256">
        <v>2</v>
      </c>
      <c r="V59" s="256">
        <v>4</v>
      </c>
      <c r="W59" s="256">
        <v>1</v>
      </c>
      <c r="X59" s="256" t="s">
        <v>2420</v>
      </c>
      <c r="Y59" s="256" t="s">
        <v>2420</v>
      </c>
      <c r="Z59" s="256" t="s">
        <v>654</v>
      </c>
      <c r="AA59" s="256" t="s">
        <v>654</v>
      </c>
      <c r="AB59" s="256" t="s">
        <v>654</v>
      </c>
      <c r="AC59" s="256" t="s">
        <v>654</v>
      </c>
      <c r="AD59" s="256" t="s">
        <v>2465</v>
      </c>
    </row>
    <row r="60" spans="1:36" s="256" customFormat="1" ht="14.25" customHeight="1" x14ac:dyDescent="0.25">
      <c r="A60" s="256">
        <v>57</v>
      </c>
      <c r="B60" s="256" t="s">
        <v>2461</v>
      </c>
      <c r="C60" s="256" t="s">
        <v>2454</v>
      </c>
      <c r="D60" s="256" t="s">
        <v>2454</v>
      </c>
      <c r="E60" s="256" t="s">
        <v>1998</v>
      </c>
      <c r="F60" s="256" t="s">
        <v>2478</v>
      </c>
      <c r="H60" s="256" t="s">
        <v>2647</v>
      </c>
      <c r="I60" s="256" t="s">
        <v>619</v>
      </c>
      <c r="J60" s="256" t="s">
        <v>2667</v>
      </c>
      <c r="K60" s="257">
        <v>45890</v>
      </c>
      <c r="L60" s="256">
        <v>23</v>
      </c>
      <c r="M60" s="256" t="s">
        <v>2668</v>
      </c>
      <c r="N60" s="256">
        <v>92</v>
      </c>
      <c r="O60" s="256" t="s">
        <v>603</v>
      </c>
      <c r="P60" s="256" t="s">
        <v>2669</v>
      </c>
      <c r="Q60" s="256" t="s">
        <v>2513</v>
      </c>
      <c r="R60" s="256">
        <v>3</v>
      </c>
      <c r="S60" s="256">
        <v>3</v>
      </c>
      <c r="T60" s="256">
        <v>4</v>
      </c>
      <c r="U60" s="256">
        <v>4</v>
      </c>
      <c r="V60" s="256">
        <v>4</v>
      </c>
      <c r="W60" s="256">
        <v>3</v>
      </c>
      <c r="X60" s="256" t="s">
        <v>2420</v>
      </c>
      <c r="Y60" s="256" t="s">
        <v>2420</v>
      </c>
      <c r="Z60" s="256" t="s">
        <v>654</v>
      </c>
      <c r="AA60" s="256" t="s">
        <v>654</v>
      </c>
      <c r="AB60" s="256" t="s">
        <v>654</v>
      </c>
      <c r="AC60" s="256" t="s">
        <v>654</v>
      </c>
      <c r="AD60" s="256" t="s">
        <v>2609</v>
      </c>
    </row>
    <row r="61" spans="1:36" s="256" customFormat="1" ht="14.25" customHeight="1" x14ac:dyDescent="0.25">
      <c r="A61" s="256">
        <v>58</v>
      </c>
      <c r="B61" s="256" t="s">
        <v>2461</v>
      </c>
      <c r="C61" s="256" t="s">
        <v>2454</v>
      </c>
      <c r="D61" s="256" t="s">
        <v>2454</v>
      </c>
      <c r="E61" s="256" t="s">
        <v>1998</v>
      </c>
      <c r="F61" s="256" t="s">
        <v>1999</v>
      </c>
      <c r="H61" s="256" t="s">
        <v>2670</v>
      </c>
      <c r="I61" s="256" t="s">
        <v>619</v>
      </c>
      <c r="J61" s="256" t="s">
        <v>2671</v>
      </c>
      <c r="K61" s="257">
        <v>45889</v>
      </c>
      <c r="L61" s="256">
        <v>24</v>
      </c>
      <c r="M61" s="256" t="s">
        <v>2672</v>
      </c>
      <c r="N61" s="256">
        <v>70</v>
      </c>
      <c r="O61" s="256" t="s">
        <v>603</v>
      </c>
      <c r="P61" s="256" t="s">
        <v>2673</v>
      </c>
      <c r="Q61" s="256" t="s">
        <v>2556</v>
      </c>
      <c r="R61" s="256">
        <v>4</v>
      </c>
      <c r="S61" s="256">
        <v>3</v>
      </c>
      <c r="T61" s="256">
        <v>3</v>
      </c>
      <c r="U61" s="256">
        <v>3</v>
      </c>
      <c r="V61" s="256">
        <v>4</v>
      </c>
      <c r="W61" s="256">
        <v>3</v>
      </c>
      <c r="X61" s="256" t="s">
        <v>2420</v>
      </c>
      <c r="Y61" s="256" t="s">
        <v>2420</v>
      </c>
      <c r="Z61" s="256" t="s">
        <v>654</v>
      </c>
      <c r="AA61" s="256" t="s">
        <v>654</v>
      </c>
      <c r="AB61" s="256" t="s">
        <v>654</v>
      </c>
      <c r="AC61" s="256" t="s">
        <v>654</v>
      </c>
      <c r="AD61" s="256" t="s">
        <v>2609</v>
      </c>
    </row>
    <row r="62" spans="1:36" s="256" customFormat="1" ht="14.25" customHeight="1" x14ac:dyDescent="0.25">
      <c r="A62" s="256">
        <v>59</v>
      </c>
      <c r="B62" s="256" t="s">
        <v>399</v>
      </c>
      <c r="C62" s="256" t="s">
        <v>2454</v>
      </c>
      <c r="D62" s="256" t="s">
        <v>2454</v>
      </c>
      <c r="E62" s="256" t="s">
        <v>1998</v>
      </c>
      <c r="F62" s="256" t="s">
        <v>1999</v>
      </c>
      <c r="H62" s="256" t="s">
        <v>2670</v>
      </c>
      <c r="I62" s="256" t="s">
        <v>619</v>
      </c>
      <c r="J62" s="256" t="s">
        <v>2671</v>
      </c>
      <c r="K62" s="257">
        <v>45889</v>
      </c>
      <c r="L62" s="256">
        <v>25</v>
      </c>
      <c r="M62" s="256" t="s">
        <v>2674</v>
      </c>
      <c r="N62" s="256">
        <v>75</v>
      </c>
      <c r="O62" s="256" t="s">
        <v>402</v>
      </c>
      <c r="P62" s="256" t="s">
        <v>2673</v>
      </c>
      <c r="Q62" s="256" t="s">
        <v>2556</v>
      </c>
      <c r="R62" s="256">
        <v>2</v>
      </c>
      <c r="S62" s="256">
        <v>2</v>
      </c>
      <c r="T62" s="256">
        <v>3</v>
      </c>
      <c r="U62" s="256">
        <v>3</v>
      </c>
      <c r="V62" s="256">
        <v>4</v>
      </c>
      <c r="W62" s="256">
        <v>3</v>
      </c>
      <c r="X62" s="256" t="s">
        <v>2420</v>
      </c>
      <c r="Y62" s="256" t="s">
        <v>2420</v>
      </c>
      <c r="Z62" s="256" t="s">
        <v>654</v>
      </c>
      <c r="AA62" s="256" t="s">
        <v>654</v>
      </c>
      <c r="AB62" s="256" t="s">
        <v>654</v>
      </c>
      <c r="AC62" s="256" t="s">
        <v>654</v>
      </c>
      <c r="AD62" s="256" t="s">
        <v>2595</v>
      </c>
      <c r="AJ62" s="256" t="s">
        <v>2634</v>
      </c>
    </row>
    <row r="63" spans="1:36" s="256" customFormat="1" ht="14.25" customHeight="1" x14ac:dyDescent="0.25">
      <c r="A63" s="256">
        <v>60</v>
      </c>
      <c r="B63" s="256" t="s">
        <v>399</v>
      </c>
      <c r="C63" s="256" t="s">
        <v>2454</v>
      </c>
      <c r="D63" s="256" t="s">
        <v>2454</v>
      </c>
      <c r="E63" s="256" t="s">
        <v>1998</v>
      </c>
      <c r="F63" s="256" t="s">
        <v>1999</v>
      </c>
      <c r="H63" s="256" t="s">
        <v>2675</v>
      </c>
      <c r="I63" s="256" t="s">
        <v>619</v>
      </c>
      <c r="J63" s="256" t="s">
        <v>2676</v>
      </c>
      <c r="K63" s="257">
        <v>45921</v>
      </c>
      <c r="L63" s="256">
        <v>1</v>
      </c>
      <c r="M63" s="256" t="s">
        <v>2587</v>
      </c>
      <c r="N63" s="256">
        <v>38</v>
      </c>
      <c r="O63" s="256" t="s">
        <v>402</v>
      </c>
      <c r="P63" s="256" t="s">
        <v>2677</v>
      </c>
      <c r="Q63" s="256" t="s">
        <v>2477</v>
      </c>
      <c r="R63" s="256">
        <v>1</v>
      </c>
      <c r="S63" s="256">
        <v>1</v>
      </c>
      <c r="T63" s="256">
        <v>3</v>
      </c>
      <c r="U63" s="256">
        <v>1</v>
      </c>
      <c r="V63" s="256">
        <v>4</v>
      </c>
      <c r="W63" s="256">
        <v>1</v>
      </c>
      <c r="X63" s="256" t="s">
        <v>2420</v>
      </c>
      <c r="Y63" s="256" t="s">
        <v>2420</v>
      </c>
      <c r="Z63" s="256" t="s">
        <v>654</v>
      </c>
      <c r="AA63" s="256" t="s">
        <v>654</v>
      </c>
      <c r="AB63" s="256" t="s">
        <v>654</v>
      </c>
      <c r="AC63" s="256" t="s">
        <v>654</v>
      </c>
      <c r="AD63" s="256" t="s">
        <v>2465</v>
      </c>
      <c r="AJ63" s="256" t="s">
        <v>2634</v>
      </c>
    </row>
    <row r="64" spans="1:36" s="256" customFormat="1" ht="14.25" customHeight="1" x14ac:dyDescent="0.25">
      <c r="A64" s="256">
        <v>61</v>
      </c>
      <c r="B64" s="256" t="s">
        <v>399</v>
      </c>
      <c r="C64" s="256" t="s">
        <v>2454</v>
      </c>
      <c r="D64" s="256" t="s">
        <v>2454</v>
      </c>
      <c r="E64" s="256" t="s">
        <v>1998</v>
      </c>
      <c r="F64" s="256" t="s">
        <v>1999</v>
      </c>
      <c r="H64" s="256" t="s">
        <v>2675</v>
      </c>
      <c r="I64" s="256" t="s">
        <v>619</v>
      </c>
      <c r="J64" s="256" t="s">
        <v>2678</v>
      </c>
      <c r="K64" s="257">
        <v>45921</v>
      </c>
      <c r="L64" s="256">
        <v>2</v>
      </c>
      <c r="M64" s="256" t="s">
        <v>2679</v>
      </c>
      <c r="N64" s="256">
        <v>65</v>
      </c>
      <c r="O64" s="256" t="s">
        <v>402</v>
      </c>
      <c r="P64" s="256" t="s">
        <v>2680</v>
      </c>
      <c r="Q64" s="256" t="s">
        <v>2681</v>
      </c>
      <c r="R64" s="256">
        <v>2</v>
      </c>
      <c r="S64" s="256">
        <v>3</v>
      </c>
      <c r="T64" s="256">
        <v>3</v>
      </c>
      <c r="U64" s="256">
        <v>3</v>
      </c>
      <c r="V64" s="256">
        <v>4</v>
      </c>
      <c r="W64" s="256">
        <v>3</v>
      </c>
      <c r="X64" s="256" t="s">
        <v>2420</v>
      </c>
      <c r="Y64" s="256" t="s">
        <v>2420</v>
      </c>
      <c r="Z64" s="256" t="s">
        <v>654</v>
      </c>
      <c r="AA64" s="256" t="s">
        <v>654</v>
      </c>
      <c r="AB64" s="256" t="s">
        <v>654</v>
      </c>
      <c r="AC64" s="256" t="s">
        <v>654</v>
      </c>
      <c r="AD64" s="256" t="s">
        <v>2595</v>
      </c>
      <c r="AJ64" s="256" t="s">
        <v>2634</v>
      </c>
    </row>
    <row r="65" spans="1:36" s="256" customFormat="1" ht="14.25" customHeight="1" x14ac:dyDescent="0.25">
      <c r="A65" s="256">
        <v>62</v>
      </c>
      <c r="B65" s="256" t="s">
        <v>2461</v>
      </c>
      <c r="C65" s="256" t="s">
        <v>2454</v>
      </c>
      <c r="D65" s="256" t="s">
        <v>2454</v>
      </c>
      <c r="E65" s="256" t="s">
        <v>1998</v>
      </c>
      <c r="F65" s="256" t="s">
        <v>1999</v>
      </c>
      <c r="H65" s="256" t="s">
        <v>2682</v>
      </c>
      <c r="I65" s="256" t="s">
        <v>619</v>
      </c>
      <c r="J65" s="256" t="s">
        <v>2683</v>
      </c>
      <c r="K65" s="257">
        <v>45921</v>
      </c>
      <c r="L65" s="256">
        <v>3</v>
      </c>
      <c r="M65" s="256" t="s">
        <v>2684</v>
      </c>
      <c r="N65" s="256">
        <v>3</v>
      </c>
      <c r="O65" s="256" t="s">
        <v>402</v>
      </c>
      <c r="P65" s="256" t="s">
        <v>2685</v>
      </c>
      <c r="Q65" s="256" t="s">
        <v>2477</v>
      </c>
      <c r="R65" s="256">
        <v>3</v>
      </c>
      <c r="S65" s="256">
        <v>3</v>
      </c>
      <c r="T65" s="256">
        <v>4</v>
      </c>
      <c r="U65" s="256">
        <v>4</v>
      </c>
      <c r="V65" s="256">
        <v>4</v>
      </c>
      <c r="W65" s="256">
        <v>4</v>
      </c>
      <c r="X65" s="256" t="s">
        <v>2420</v>
      </c>
      <c r="Y65" s="256" t="s">
        <v>2420</v>
      </c>
      <c r="Z65" s="256" t="s">
        <v>654</v>
      </c>
      <c r="AA65" s="256" t="s">
        <v>654</v>
      </c>
      <c r="AB65" s="256" t="s">
        <v>654</v>
      </c>
      <c r="AC65" s="256" t="s">
        <v>654</v>
      </c>
      <c r="AD65" s="256" t="s">
        <v>2471</v>
      </c>
    </row>
    <row r="66" spans="1:36" s="256" customFormat="1" ht="14.25" customHeight="1" x14ac:dyDescent="0.25">
      <c r="A66" s="256">
        <v>63</v>
      </c>
      <c r="B66" s="256" t="s">
        <v>399</v>
      </c>
      <c r="C66" s="256" t="s">
        <v>2454</v>
      </c>
      <c r="D66" s="256" t="s">
        <v>2454</v>
      </c>
      <c r="E66" s="256" t="s">
        <v>1998</v>
      </c>
      <c r="F66" s="256" t="s">
        <v>1999</v>
      </c>
      <c r="H66" s="256" t="s">
        <v>2532</v>
      </c>
      <c r="I66" s="256" t="s">
        <v>579</v>
      </c>
      <c r="J66" s="256" t="s">
        <v>2686</v>
      </c>
      <c r="K66" s="257">
        <v>45921</v>
      </c>
      <c r="L66" s="256">
        <v>4</v>
      </c>
      <c r="M66" s="256" t="s">
        <v>2687</v>
      </c>
      <c r="N66" s="256">
        <v>48</v>
      </c>
      <c r="O66" s="256" t="s">
        <v>402</v>
      </c>
      <c r="P66" s="256" t="s">
        <v>2688</v>
      </c>
      <c r="Q66" s="256" t="s">
        <v>2681</v>
      </c>
      <c r="R66" s="256">
        <v>2</v>
      </c>
      <c r="S66" s="256">
        <v>1</v>
      </c>
      <c r="T66" s="256">
        <v>3</v>
      </c>
      <c r="U66" s="256">
        <v>2</v>
      </c>
      <c r="V66" s="256">
        <v>4</v>
      </c>
      <c r="W66" s="256">
        <v>1</v>
      </c>
      <c r="X66" s="256" t="s">
        <v>2420</v>
      </c>
      <c r="Y66" s="256" t="s">
        <v>2420</v>
      </c>
      <c r="Z66" s="256" t="s">
        <v>654</v>
      </c>
      <c r="AA66" s="256" t="s">
        <v>654</v>
      </c>
      <c r="AB66" s="256" t="s">
        <v>654</v>
      </c>
      <c r="AC66" s="256" t="s">
        <v>654</v>
      </c>
      <c r="AD66" s="256" t="s">
        <v>2465</v>
      </c>
      <c r="AJ66" s="256" t="s">
        <v>2634</v>
      </c>
    </row>
    <row r="67" spans="1:36" s="256" customFormat="1" ht="14.25" customHeight="1" x14ac:dyDescent="0.25">
      <c r="A67" s="256">
        <v>64</v>
      </c>
      <c r="B67" s="265" t="s">
        <v>399</v>
      </c>
      <c r="C67" s="265" t="s">
        <v>2454</v>
      </c>
      <c r="D67" s="265" t="s">
        <v>2454</v>
      </c>
      <c r="E67" s="265" t="s">
        <v>2246</v>
      </c>
      <c r="F67" s="265" t="s">
        <v>2246</v>
      </c>
      <c r="G67" s="265"/>
      <c r="H67" s="265" t="s">
        <v>2689</v>
      </c>
      <c r="I67" s="265" t="s">
        <v>619</v>
      </c>
      <c r="J67" s="265" t="s">
        <v>2690</v>
      </c>
      <c r="K67" s="266">
        <v>45921</v>
      </c>
      <c r="L67" s="265">
        <v>5</v>
      </c>
      <c r="M67" s="265" t="s">
        <v>2691</v>
      </c>
      <c r="N67" s="265">
        <v>87</v>
      </c>
      <c r="O67" s="265" t="s">
        <v>603</v>
      </c>
      <c r="P67" s="265" t="s">
        <v>2691</v>
      </c>
      <c r="Q67" s="265" t="s">
        <v>2459</v>
      </c>
      <c r="R67" s="265">
        <v>2</v>
      </c>
      <c r="S67" s="265">
        <v>3</v>
      </c>
      <c r="T67" s="265">
        <v>3</v>
      </c>
      <c r="U67" s="265">
        <v>2</v>
      </c>
      <c r="V67" s="265">
        <v>4</v>
      </c>
      <c r="W67" s="265">
        <v>3</v>
      </c>
      <c r="X67" s="265" t="s">
        <v>2420</v>
      </c>
      <c r="Y67" s="265" t="s">
        <v>2420</v>
      </c>
      <c r="Z67" s="265" t="s">
        <v>654</v>
      </c>
      <c r="AA67" s="265" t="s">
        <v>654</v>
      </c>
      <c r="AB67" s="265" t="s">
        <v>654</v>
      </c>
      <c r="AC67" s="265" t="s">
        <v>654</v>
      </c>
      <c r="AD67" s="265" t="s">
        <v>2595</v>
      </c>
      <c r="AE67" s="265"/>
      <c r="AF67" s="265"/>
      <c r="AG67" s="265"/>
      <c r="AH67" s="265"/>
      <c r="AI67" s="265"/>
      <c r="AJ67" s="265" t="s">
        <v>2634</v>
      </c>
    </row>
    <row r="68" spans="1:36" s="256" customFormat="1" ht="14.25" customHeight="1" x14ac:dyDescent="0.25">
      <c r="A68" s="256">
        <v>65</v>
      </c>
      <c r="B68" s="265" t="s">
        <v>399</v>
      </c>
      <c r="C68" s="265" t="s">
        <v>2454</v>
      </c>
      <c r="D68" s="265" t="s">
        <v>2454</v>
      </c>
      <c r="E68" s="265" t="s">
        <v>2246</v>
      </c>
      <c r="F68" s="265" t="s">
        <v>2246</v>
      </c>
      <c r="G68" s="265"/>
      <c r="H68" s="265" t="s">
        <v>2272</v>
      </c>
      <c r="I68" s="265" t="s">
        <v>579</v>
      </c>
      <c r="J68" s="265" t="s">
        <v>2692</v>
      </c>
      <c r="K68" s="266">
        <v>45923</v>
      </c>
      <c r="L68" s="265">
        <v>6</v>
      </c>
      <c r="M68" s="265" t="s">
        <v>2693</v>
      </c>
      <c r="N68" s="265">
        <v>49</v>
      </c>
      <c r="O68" s="265" t="s">
        <v>603</v>
      </c>
      <c r="P68" s="265" t="s">
        <v>2693</v>
      </c>
      <c r="Q68" s="265" t="s">
        <v>2459</v>
      </c>
      <c r="R68" s="265">
        <v>2</v>
      </c>
      <c r="S68" s="265">
        <v>1</v>
      </c>
      <c r="T68" s="265">
        <v>3</v>
      </c>
      <c r="U68" s="265">
        <v>3</v>
      </c>
      <c r="V68" s="265">
        <v>4</v>
      </c>
      <c r="W68" s="265">
        <v>3</v>
      </c>
      <c r="X68" s="265" t="s">
        <v>2420</v>
      </c>
      <c r="Y68" s="265" t="s">
        <v>2420</v>
      </c>
      <c r="Z68" s="265" t="s">
        <v>654</v>
      </c>
      <c r="AA68" s="265" t="s">
        <v>654</v>
      </c>
      <c r="AB68" s="265" t="s">
        <v>654</v>
      </c>
      <c r="AC68" s="265" t="s">
        <v>654</v>
      </c>
      <c r="AD68" s="265" t="s">
        <v>2595</v>
      </c>
      <c r="AE68" s="265"/>
      <c r="AF68" s="265"/>
      <c r="AG68" s="265"/>
      <c r="AH68" s="265"/>
      <c r="AI68" s="265"/>
      <c r="AJ68" s="265" t="s">
        <v>2634</v>
      </c>
    </row>
    <row r="69" spans="1:36" s="256" customFormat="1" ht="14.25" customHeight="1" x14ac:dyDescent="0.25">
      <c r="A69" s="256">
        <v>66</v>
      </c>
      <c r="B69" s="265" t="s">
        <v>399</v>
      </c>
      <c r="C69" s="265" t="s">
        <v>2454</v>
      </c>
      <c r="D69" s="265" t="s">
        <v>2454</v>
      </c>
      <c r="E69" s="265" t="s">
        <v>2246</v>
      </c>
      <c r="F69" s="265" t="s">
        <v>2246</v>
      </c>
      <c r="G69" s="265"/>
      <c r="H69" s="265" t="s">
        <v>2694</v>
      </c>
      <c r="I69" s="265" t="s">
        <v>619</v>
      </c>
      <c r="J69" s="265" t="s">
        <v>2695</v>
      </c>
      <c r="K69" s="266">
        <v>45921</v>
      </c>
      <c r="L69" s="265">
        <v>7</v>
      </c>
      <c r="M69" s="265" t="s">
        <v>2696</v>
      </c>
      <c r="N69" s="265">
        <v>43</v>
      </c>
      <c r="O69" s="265" t="s">
        <v>603</v>
      </c>
      <c r="P69" s="265" t="s">
        <v>2696</v>
      </c>
      <c r="Q69" s="265" t="s">
        <v>2459</v>
      </c>
      <c r="R69" s="265">
        <v>3</v>
      </c>
      <c r="S69" s="265">
        <v>1</v>
      </c>
      <c r="T69" s="265">
        <v>3</v>
      </c>
      <c r="U69" s="265">
        <v>2</v>
      </c>
      <c r="V69" s="265">
        <v>4</v>
      </c>
      <c r="W69" s="265">
        <v>2</v>
      </c>
      <c r="X69" s="265" t="s">
        <v>2420</v>
      </c>
      <c r="Y69" s="265" t="s">
        <v>2420</v>
      </c>
      <c r="Z69" s="265" t="s">
        <v>654</v>
      </c>
      <c r="AA69" s="265" t="s">
        <v>654</v>
      </c>
      <c r="AB69" s="265" t="s">
        <v>654</v>
      </c>
      <c r="AC69" s="265" t="s">
        <v>654</v>
      </c>
      <c r="AD69" s="265" t="s">
        <v>2595</v>
      </c>
      <c r="AE69" s="265"/>
      <c r="AF69" s="265"/>
      <c r="AG69" s="265"/>
      <c r="AH69" s="265"/>
      <c r="AI69" s="265"/>
      <c r="AJ69" s="265" t="s">
        <v>2634</v>
      </c>
    </row>
    <row r="70" spans="1:36" s="256" customFormat="1" ht="14.25" customHeight="1" x14ac:dyDescent="0.25">
      <c r="A70" s="256">
        <v>67</v>
      </c>
      <c r="B70" s="265" t="s">
        <v>399</v>
      </c>
      <c r="C70" s="265" t="s">
        <v>2454</v>
      </c>
      <c r="D70" s="265" t="s">
        <v>2454</v>
      </c>
      <c r="E70" s="265" t="s">
        <v>2246</v>
      </c>
      <c r="F70" s="265" t="s">
        <v>2246</v>
      </c>
      <c r="G70" s="265"/>
      <c r="H70" s="265" t="s">
        <v>2697</v>
      </c>
      <c r="I70" s="265" t="s">
        <v>579</v>
      </c>
      <c r="J70" s="265" t="s">
        <v>2698</v>
      </c>
      <c r="K70" s="266">
        <v>45921</v>
      </c>
      <c r="L70" s="265">
        <v>8</v>
      </c>
      <c r="M70" s="265" t="s">
        <v>2699</v>
      </c>
      <c r="N70" s="265">
        <v>58</v>
      </c>
      <c r="O70" s="265" t="s">
        <v>402</v>
      </c>
      <c r="P70" s="265" t="s">
        <v>2699</v>
      </c>
      <c r="Q70" s="265" t="s">
        <v>2459</v>
      </c>
      <c r="R70" s="265">
        <v>3</v>
      </c>
      <c r="S70" s="265">
        <v>1</v>
      </c>
      <c r="T70" s="265">
        <v>3</v>
      </c>
      <c r="U70" s="265">
        <v>3</v>
      </c>
      <c r="V70" s="265">
        <v>4</v>
      </c>
      <c r="W70" s="265">
        <v>2</v>
      </c>
      <c r="X70" s="265" t="s">
        <v>2420</v>
      </c>
      <c r="Y70" s="265" t="s">
        <v>2420</v>
      </c>
      <c r="Z70" s="265" t="s">
        <v>654</v>
      </c>
      <c r="AA70" s="265" t="s">
        <v>654</v>
      </c>
      <c r="AB70" s="265" t="s">
        <v>654</v>
      </c>
      <c r="AC70" s="265" t="s">
        <v>654</v>
      </c>
      <c r="AD70" s="265" t="s">
        <v>2595</v>
      </c>
      <c r="AE70" s="265"/>
      <c r="AF70" s="265"/>
      <c r="AG70" s="265"/>
      <c r="AH70" s="265"/>
      <c r="AI70" s="265"/>
      <c r="AJ70" s="265" t="s">
        <v>2634</v>
      </c>
    </row>
    <row r="71" spans="1:36" s="256" customFormat="1" ht="14.25" customHeight="1" x14ac:dyDescent="0.25">
      <c r="A71" s="256">
        <v>68</v>
      </c>
      <c r="B71" s="265" t="s">
        <v>399</v>
      </c>
      <c r="C71" s="265" t="s">
        <v>2454</v>
      </c>
      <c r="D71" s="265" t="s">
        <v>2454</v>
      </c>
      <c r="E71" s="265" t="s">
        <v>2246</v>
      </c>
      <c r="F71" s="265" t="s">
        <v>2246</v>
      </c>
      <c r="G71" s="265"/>
      <c r="H71" s="265" t="s">
        <v>2272</v>
      </c>
      <c r="I71" s="265" t="s">
        <v>579</v>
      </c>
      <c r="J71" s="265" t="s">
        <v>2700</v>
      </c>
      <c r="K71" s="266">
        <v>45923</v>
      </c>
      <c r="L71" s="265">
        <v>9</v>
      </c>
      <c r="M71" s="265" t="s">
        <v>2701</v>
      </c>
      <c r="N71" s="265">
        <v>52</v>
      </c>
      <c r="O71" s="265" t="s">
        <v>603</v>
      </c>
      <c r="P71" s="265" t="s">
        <v>2701</v>
      </c>
      <c r="Q71" s="265" t="s">
        <v>2459</v>
      </c>
      <c r="R71" s="265">
        <v>3</v>
      </c>
      <c r="S71" s="265">
        <v>3</v>
      </c>
      <c r="T71" s="265">
        <v>4</v>
      </c>
      <c r="U71" s="265">
        <v>4</v>
      </c>
      <c r="V71" s="265">
        <v>4</v>
      </c>
      <c r="W71" s="265">
        <v>3</v>
      </c>
      <c r="X71" s="265" t="s">
        <v>2420</v>
      </c>
      <c r="Y71" s="265" t="s">
        <v>2420</v>
      </c>
      <c r="Z71" s="265" t="s">
        <v>654</v>
      </c>
      <c r="AA71" s="265" t="s">
        <v>654</v>
      </c>
      <c r="AB71" s="265" t="s">
        <v>654</v>
      </c>
      <c r="AC71" s="265" t="s">
        <v>654</v>
      </c>
      <c r="AD71" s="265" t="s">
        <v>2595</v>
      </c>
      <c r="AE71" s="265"/>
      <c r="AF71" s="265"/>
      <c r="AG71" s="265"/>
      <c r="AH71" s="265"/>
      <c r="AI71" s="265"/>
      <c r="AJ71" s="265" t="s">
        <v>2634</v>
      </c>
    </row>
    <row r="72" spans="1:36" s="256" customFormat="1" ht="14.25" customHeight="1" x14ac:dyDescent="0.25">
      <c r="A72" s="256">
        <v>69</v>
      </c>
      <c r="B72" s="265" t="s">
        <v>399</v>
      </c>
      <c r="C72" s="265" t="s">
        <v>2454</v>
      </c>
      <c r="D72" s="265" t="s">
        <v>2454</v>
      </c>
      <c r="E72" s="265" t="s">
        <v>2246</v>
      </c>
      <c r="F72" s="265" t="s">
        <v>2246</v>
      </c>
      <c r="G72" s="265"/>
      <c r="H72" s="265" t="s">
        <v>2697</v>
      </c>
      <c r="I72" s="265" t="s">
        <v>579</v>
      </c>
      <c r="J72" s="265" t="s">
        <v>2702</v>
      </c>
      <c r="K72" s="266">
        <v>45921</v>
      </c>
      <c r="L72" s="265">
        <v>10</v>
      </c>
      <c r="M72" s="265" t="s">
        <v>2703</v>
      </c>
      <c r="N72" s="265">
        <v>70</v>
      </c>
      <c r="O72" s="265" t="s">
        <v>402</v>
      </c>
      <c r="P72" s="265" t="s">
        <v>2703</v>
      </c>
      <c r="Q72" s="265" t="s">
        <v>2459</v>
      </c>
      <c r="R72" s="265">
        <v>2</v>
      </c>
      <c r="S72" s="265">
        <v>1</v>
      </c>
      <c r="T72" s="265">
        <v>3</v>
      </c>
      <c r="U72" s="265">
        <v>2</v>
      </c>
      <c r="V72" s="265">
        <v>4</v>
      </c>
      <c r="W72" s="265">
        <v>2</v>
      </c>
      <c r="X72" s="265" t="s">
        <v>2420</v>
      </c>
      <c r="Y72" s="265" t="s">
        <v>2420</v>
      </c>
      <c r="Z72" s="265" t="s">
        <v>654</v>
      </c>
      <c r="AA72" s="265" t="s">
        <v>654</v>
      </c>
      <c r="AB72" s="265" t="s">
        <v>654</v>
      </c>
      <c r="AC72" s="265" t="s">
        <v>654</v>
      </c>
      <c r="AD72" s="265" t="s">
        <v>2595</v>
      </c>
      <c r="AE72" s="265"/>
      <c r="AF72" s="265"/>
      <c r="AG72" s="265"/>
      <c r="AH72" s="265"/>
      <c r="AI72" s="265"/>
      <c r="AJ72" s="265" t="s">
        <v>2634</v>
      </c>
    </row>
    <row r="73" spans="1:36" s="256" customFormat="1" ht="14.25" customHeight="1" x14ac:dyDescent="0.25">
      <c r="A73" s="256">
        <v>70</v>
      </c>
      <c r="B73" s="265" t="s">
        <v>399</v>
      </c>
      <c r="C73" s="265" t="s">
        <v>1997</v>
      </c>
      <c r="D73" s="265" t="s">
        <v>1997</v>
      </c>
      <c r="E73" s="265" t="s">
        <v>1998</v>
      </c>
      <c r="F73" s="265" t="s">
        <v>2479</v>
      </c>
      <c r="G73" s="265"/>
      <c r="H73" s="265" t="s">
        <v>2479</v>
      </c>
      <c r="I73" s="265" t="s">
        <v>619</v>
      </c>
      <c r="J73" s="265" t="s">
        <v>2704</v>
      </c>
      <c r="K73" s="266">
        <v>45945</v>
      </c>
      <c r="L73" s="265">
        <v>3</v>
      </c>
      <c r="M73" s="265" t="s">
        <v>2705</v>
      </c>
      <c r="N73" s="265">
        <v>26</v>
      </c>
      <c r="O73" s="265" t="s">
        <v>603</v>
      </c>
      <c r="P73" s="265" t="s">
        <v>2705</v>
      </c>
      <c r="Q73" s="265" t="s">
        <v>2459</v>
      </c>
      <c r="R73" s="265">
        <v>2</v>
      </c>
      <c r="S73" s="265">
        <v>2</v>
      </c>
      <c r="T73" s="265">
        <v>2</v>
      </c>
      <c r="U73" s="265">
        <v>1</v>
      </c>
      <c r="V73" s="265">
        <v>4</v>
      </c>
      <c r="W73" s="265">
        <v>1</v>
      </c>
      <c r="X73" s="265" t="s">
        <v>2420</v>
      </c>
      <c r="Y73" s="265" t="s">
        <v>2420</v>
      </c>
      <c r="Z73" s="265" t="s">
        <v>654</v>
      </c>
      <c r="AA73" s="265" t="s">
        <v>654</v>
      </c>
      <c r="AB73" s="265" t="s">
        <v>654</v>
      </c>
      <c r="AC73" s="265" t="s">
        <v>654</v>
      </c>
      <c r="AD73" s="265" t="s">
        <v>2706</v>
      </c>
      <c r="AE73" s="265"/>
      <c r="AF73" s="265"/>
      <c r="AG73" s="265"/>
      <c r="AH73" s="265"/>
      <c r="AI73" s="265"/>
      <c r="AJ73" s="265" t="s">
        <v>2634</v>
      </c>
    </row>
    <row r="74" spans="1:36" s="256" customFormat="1" ht="14.25" customHeight="1" x14ac:dyDescent="0.25">
      <c r="A74" s="256">
        <v>71</v>
      </c>
      <c r="B74" s="265" t="s">
        <v>399</v>
      </c>
      <c r="C74" s="265" t="s">
        <v>1997</v>
      </c>
      <c r="D74" s="265" t="s">
        <v>1997</v>
      </c>
      <c r="E74" s="265" t="s">
        <v>1998</v>
      </c>
      <c r="F74" s="265" t="s">
        <v>2472</v>
      </c>
      <c r="G74" s="265"/>
      <c r="H74" s="265" t="s">
        <v>2707</v>
      </c>
      <c r="I74" s="265" t="s">
        <v>619</v>
      </c>
      <c r="J74" s="265" t="s">
        <v>2708</v>
      </c>
      <c r="K74" s="266">
        <v>45951</v>
      </c>
      <c r="L74" s="265">
        <v>4</v>
      </c>
      <c r="M74" s="265" t="s">
        <v>2709</v>
      </c>
      <c r="N74" s="265">
        <v>62</v>
      </c>
      <c r="O74" s="265" t="s">
        <v>603</v>
      </c>
      <c r="P74" s="265" t="s">
        <v>2710</v>
      </c>
      <c r="Q74" s="265" t="s">
        <v>2459</v>
      </c>
      <c r="R74" s="265">
        <v>2</v>
      </c>
      <c r="S74" s="265">
        <v>2</v>
      </c>
      <c r="T74" s="265">
        <v>4</v>
      </c>
      <c r="U74" s="265">
        <v>2</v>
      </c>
      <c r="V74" s="265">
        <v>4</v>
      </c>
      <c r="W74" s="265">
        <v>2</v>
      </c>
      <c r="X74" s="265" t="s">
        <v>2420</v>
      </c>
      <c r="Y74" s="265" t="s">
        <v>2420</v>
      </c>
      <c r="Z74" s="265" t="s">
        <v>654</v>
      </c>
      <c r="AA74" s="265" t="s">
        <v>654</v>
      </c>
      <c r="AB74" s="265" t="s">
        <v>654</v>
      </c>
      <c r="AC74" s="265" t="s">
        <v>654</v>
      </c>
      <c r="AD74" s="265" t="s">
        <v>2595</v>
      </c>
      <c r="AE74" s="265"/>
      <c r="AF74" s="265"/>
      <c r="AG74" s="265"/>
      <c r="AH74" s="265"/>
      <c r="AI74" s="265"/>
      <c r="AJ74" s="265" t="s">
        <v>2634</v>
      </c>
    </row>
    <row r="75" spans="1:36" s="256" customFormat="1" ht="14.25" customHeight="1" x14ac:dyDescent="0.25">
      <c r="A75" s="256">
        <v>72</v>
      </c>
      <c r="B75" s="265" t="s">
        <v>399</v>
      </c>
      <c r="C75" s="265" t="s">
        <v>1997</v>
      </c>
      <c r="D75" s="265" t="s">
        <v>1997</v>
      </c>
      <c r="E75" s="265" t="s">
        <v>1998</v>
      </c>
      <c r="F75" s="265" t="s">
        <v>1999</v>
      </c>
      <c r="G75" s="265"/>
      <c r="H75" s="265" t="s">
        <v>2711</v>
      </c>
      <c r="I75" s="265" t="s">
        <v>579</v>
      </c>
      <c r="J75" s="265" t="s">
        <v>2712</v>
      </c>
      <c r="K75" s="266">
        <v>45948</v>
      </c>
      <c r="L75" s="265">
        <v>5</v>
      </c>
      <c r="M75" s="265" t="s">
        <v>2713</v>
      </c>
      <c r="N75" s="265">
        <v>65</v>
      </c>
      <c r="O75" s="265" t="s">
        <v>402</v>
      </c>
      <c r="P75" s="265" t="s">
        <v>2714</v>
      </c>
      <c r="Q75" s="265" t="s">
        <v>2560</v>
      </c>
      <c r="R75" s="265">
        <v>3</v>
      </c>
      <c r="S75" s="265">
        <v>2</v>
      </c>
      <c r="T75" s="265">
        <v>4</v>
      </c>
      <c r="U75" s="265">
        <v>2</v>
      </c>
      <c r="V75" s="265">
        <v>4</v>
      </c>
      <c r="W75" s="265">
        <v>2</v>
      </c>
      <c r="X75" s="265" t="s">
        <v>2420</v>
      </c>
      <c r="Y75" s="265" t="s">
        <v>2420</v>
      </c>
      <c r="Z75" s="265" t="s">
        <v>654</v>
      </c>
      <c r="AA75" s="265" t="s">
        <v>654</v>
      </c>
      <c r="AB75" s="265" t="s">
        <v>654</v>
      </c>
      <c r="AC75" s="265" t="s">
        <v>654</v>
      </c>
      <c r="AD75" s="265" t="s">
        <v>2595</v>
      </c>
      <c r="AE75" s="265"/>
      <c r="AF75" s="265"/>
      <c r="AG75" s="265"/>
      <c r="AH75" s="265"/>
      <c r="AI75" s="265"/>
      <c r="AJ75" s="265" t="s">
        <v>2634</v>
      </c>
    </row>
    <row r="76" spans="1:36" s="256" customFormat="1" ht="14.25" customHeight="1" x14ac:dyDescent="0.25">
      <c r="A76" s="256">
        <v>73</v>
      </c>
      <c r="B76" s="265" t="s">
        <v>399</v>
      </c>
      <c r="C76" s="265" t="s">
        <v>1997</v>
      </c>
      <c r="D76" s="265" t="s">
        <v>1997</v>
      </c>
      <c r="E76" s="265" t="s">
        <v>1998</v>
      </c>
      <c r="F76" s="265" t="s">
        <v>1999</v>
      </c>
      <c r="G76" s="265"/>
      <c r="H76" s="265" t="s">
        <v>2715</v>
      </c>
      <c r="I76" s="265" t="s">
        <v>579</v>
      </c>
      <c r="J76" s="265" t="s">
        <v>2716</v>
      </c>
      <c r="K76" s="266">
        <v>45948</v>
      </c>
      <c r="L76" s="265">
        <v>6</v>
      </c>
      <c r="M76" s="265" t="s">
        <v>2717</v>
      </c>
      <c r="N76" s="265">
        <v>66</v>
      </c>
      <c r="O76" s="265" t="s">
        <v>603</v>
      </c>
      <c r="P76" s="265" t="s">
        <v>2717</v>
      </c>
      <c r="Q76" s="265" t="s">
        <v>2459</v>
      </c>
      <c r="R76" s="265">
        <v>2</v>
      </c>
      <c r="S76" s="265">
        <v>2</v>
      </c>
      <c r="T76" s="265">
        <v>4</v>
      </c>
      <c r="U76" s="265">
        <v>3</v>
      </c>
      <c r="V76" s="265">
        <v>4</v>
      </c>
      <c r="W76" s="265">
        <v>2</v>
      </c>
      <c r="X76" s="265" t="s">
        <v>2420</v>
      </c>
      <c r="Y76" s="265" t="s">
        <v>2420</v>
      </c>
      <c r="Z76" s="265" t="s">
        <v>654</v>
      </c>
      <c r="AA76" s="265" t="s">
        <v>654</v>
      </c>
      <c r="AB76" s="265" t="s">
        <v>654</v>
      </c>
      <c r="AC76" s="265" t="s">
        <v>654</v>
      </c>
      <c r="AD76" s="265" t="s">
        <v>2595</v>
      </c>
      <c r="AE76" s="265"/>
      <c r="AF76" s="265"/>
      <c r="AG76" s="265"/>
      <c r="AH76" s="265"/>
      <c r="AI76" s="265"/>
      <c r="AJ76" s="265" t="s">
        <v>2634</v>
      </c>
    </row>
    <row r="77" spans="1:36" s="256" customFormat="1" ht="14.25" customHeight="1" x14ac:dyDescent="0.25">
      <c r="A77" s="256">
        <v>74</v>
      </c>
      <c r="B77" s="265" t="s">
        <v>399</v>
      </c>
      <c r="C77" s="265" t="s">
        <v>1997</v>
      </c>
      <c r="D77" s="265" t="s">
        <v>1997</v>
      </c>
      <c r="E77" s="265" t="s">
        <v>1998</v>
      </c>
      <c r="F77" s="265" t="s">
        <v>2455</v>
      </c>
      <c r="G77" s="265"/>
      <c r="H77" s="265" t="s">
        <v>2455</v>
      </c>
      <c r="I77" s="265" t="s">
        <v>619</v>
      </c>
      <c r="J77" s="265" t="s">
        <v>2718</v>
      </c>
      <c r="K77" s="266">
        <v>45948</v>
      </c>
      <c r="L77" s="265">
        <v>7</v>
      </c>
      <c r="M77" s="265" t="s">
        <v>2719</v>
      </c>
      <c r="N77" s="265">
        <v>60</v>
      </c>
      <c r="O77" s="265" t="s">
        <v>402</v>
      </c>
      <c r="P77" s="265" t="s">
        <v>2719</v>
      </c>
      <c r="Q77" s="265" t="s">
        <v>2459</v>
      </c>
      <c r="R77" s="265">
        <v>2</v>
      </c>
      <c r="S77" s="265">
        <v>2</v>
      </c>
      <c r="T77" s="265">
        <v>3</v>
      </c>
      <c r="U77" s="265">
        <v>3</v>
      </c>
      <c r="V77" s="265">
        <v>4</v>
      </c>
      <c r="W77" s="265">
        <v>2</v>
      </c>
      <c r="X77" s="265" t="s">
        <v>2420</v>
      </c>
      <c r="Y77" s="265" t="s">
        <v>2420</v>
      </c>
      <c r="Z77" s="265" t="s">
        <v>654</v>
      </c>
      <c r="AA77" s="265" t="s">
        <v>654</v>
      </c>
      <c r="AB77" s="265" t="s">
        <v>654</v>
      </c>
      <c r="AC77" s="265" t="s">
        <v>654</v>
      </c>
      <c r="AD77" s="265" t="s">
        <v>2595</v>
      </c>
      <c r="AE77" s="265"/>
      <c r="AF77" s="265"/>
      <c r="AG77" s="265"/>
      <c r="AH77" s="265"/>
      <c r="AI77" s="265"/>
      <c r="AJ77" s="265" t="s">
        <v>2634</v>
      </c>
    </row>
    <row r="78" spans="1:36" s="256" customFormat="1" ht="14.25" customHeight="1" x14ac:dyDescent="0.25">
      <c r="A78" s="256">
        <v>75</v>
      </c>
      <c r="B78" s="265" t="s">
        <v>399</v>
      </c>
      <c r="C78" s="265" t="s">
        <v>1997</v>
      </c>
      <c r="D78" s="265" t="s">
        <v>1997</v>
      </c>
      <c r="E78" s="265" t="s">
        <v>1998</v>
      </c>
      <c r="F78" s="265" t="s">
        <v>2472</v>
      </c>
      <c r="G78" s="265"/>
      <c r="H78" s="265" t="s">
        <v>2518</v>
      </c>
      <c r="I78" s="265" t="s">
        <v>619</v>
      </c>
      <c r="J78" s="265" t="s">
        <v>2720</v>
      </c>
      <c r="K78" s="266">
        <v>45950</v>
      </c>
      <c r="L78" s="265">
        <v>8</v>
      </c>
      <c r="M78" s="265" t="s">
        <v>2721</v>
      </c>
      <c r="N78" s="265">
        <v>75</v>
      </c>
      <c r="O78" s="265" t="s">
        <v>603</v>
      </c>
      <c r="P78" s="265" t="s">
        <v>2722</v>
      </c>
      <c r="Q78" s="265" t="s">
        <v>2556</v>
      </c>
      <c r="R78" s="265">
        <v>2</v>
      </c>
      <c r="S78" s="265">
        <v>2</v>
      </c>
      <c r="T78" s="265">
        <v>3</v>
      </c>
      <c r="U78" s="265">
        <v>3</v>
      </c>
      <c r="V78" s="265">
        <v>4</v>
      </c>
      <c r="W78" s="265">
        <v>2</v>
      </c>
      <c r="X78" s="265" t="s">
        <v>2420</v>
      </c>
      <c r="Y78" s="265" t="s">
        <v>2420</v>
      </c>
      <c r="Z78" s="265" t="s">
        <v>654</v>
      </c>
      <c r="AA78" s="265" t="s">
        <v>654</v>
      </c>
      <c r="AB78" s="265" t="s">
        <v>654</v>
      </c>
      <c r="AC78" s="265" t="s">
        <v>654</v>
      </c>
      <c r="AD78" s="265" t="s">
        <v>2595</v>
      </c>
      <c r="AE78" s="265"/>
      <c r="AF78" s="265"/>
      <c r="AG78" s="265"/>
      <c r="AH78" s="265"/>
      <c r="AI78" s="265"/>
      <c r="AJ78" s="265" t="s">
        <v>2634</v>
      </c>
    </row>
    <row r="79" spans="1:36" s="256" customFormat="1" ht="14.25" customHeight="1" x14ac:dyDescent="0.25">
      <c r="A79" s="256">
        <v>76</v>
      </c>
      <c r="B79" s="267" t="s">
        <v>399</v>
      </c>
      <c r="C79" s="267" t="s">
        <v>1997</v>
      </c>
      <c r="D79" s="267" t="s">
        <v>1997</v>
      </c>
      <c r="E79" s="267" t="s">
        <v>1998</v>
      </c>
      <c r="F79" s="267" t="s">
        <v>2222</v>
      </c>
      <c r="G79" s="267"/>
      <c r="H79" s="267" t="s">
        <v>2723</v>
      </c>
      <c r="I79" s="267" t="s">
        <v>579</v>
      </c>
      <c r="J79" s="267" t="s">
        <v>2724</v>
      </c>
      <c r="K79" s="268">
        <v>45949</v>
      </c>
      <c r="L79" s="267">
        <v>9</v>
      </c>
      <c r="M79" s="267" t="s">
        <v>2725</v>
      </c>
      <c r="N79" s="267">
        <v>57</v>
      </c>
      <c r="O79" s="267" t="s">
        <v>402</v>
      </c>
      <c r="P79" s="267" t="s">
        <v>2726</v>
      </c>
      <c r="Q79" s="267" t="s">
        <v>2459</v>
      </c>
      <c r="R79" s="267">
        <v>3</v>
      </c>
      <c r="S79" s="267">
        <v>3</v>
      </c>
      <c r="T79" s="267">
        <v>4</v>
      </c>
      <c r="U79" s="267">
        <v>3</v>
      </c>
      <c r="V79" s="267">
        <v>4</v>
      </c>
      <c r="W79" s="267">
        <v>3</v>
      </c>
      <c r="X79" s="267" t="s">
        <v>2420</v>
      </c>
      <c r="Y79" s="267" t="s">
        <v>2420</v>
      </c>
      <c r="Z79" s="267" t="s">
        <v>654</v>
      </c>
      <c r="AA79" s="267" t="s">
        <v>654</v>
      </c>
      <c r="AB79" s="267" t="s">
        <v>654</v>
      </c>
      <c r="AC79" s="267" t="s">
        <v>654</v>
      </c>
      <c r="AD79" s="267" t="s">
        <v>2609</v>
      </c>
      <c r="AE79" s="267"/>
      <c r="AF79" s="267"/>
      <c r="AG79" s="267"/>
      <c r="AH79" s="267"/>
      <c r="AI79" s="267"/>
      <c r="AJ79" s="267" t="s">
        <v>2634</v>
      </c>
    </row>
    <row r="80" spans="1:36" s="256" customFormat="1" ht="14.25" customHeight="1" x14ac:dyDescent="0.25">
      <c r="A80" s="256">
        <v>77</v>
      </c>
      <c r="B80" s="265" t="s">
        <v>399</v>
      </c>
      <c r="C80" s="265" t="s">
        <v>1997</v>
      </c>
      <c r="D80" s="265" t="s">
        <v>1997</v>
      </c>
      <c r="E80" s="265" t="s">
        <v>1998</v>
      </c>
      <c r="F80" s="265" t="s">
        <v>1999</v>
      </c>
      <c r="G80" s="265"/>
      <c r="H80" s="265" t="s">
        <v>2727</v>
      </c>
      <c r="I80" s="265" t="s">
        <v>579</v>
      </c>
      <c r="J80" s="265" t="s">
        <v>2728</v>
      </c>
      <c r="K80" s="266">
        <v>45948</v>
      </c>
      <c r="L80" s="265">
        <v>10</v>
      </c>
      <c r="M80" s="265" t="s">
        <v>2729</v>
      </c>
      <c r="N80" s="265">
        <v>80</v>
      </c>
      <c r="O80" s="265" t="s">
        <v>603</v>
      </c>
      <c r="P80" s="265" t="s">
        <v>2729</v>
      </c>
      <c r="Q80" s="265" t="s">
        <v>2459</v>
      </c>
      <c r="R80" s="265">
        <v>3</v>
      </c>
      <c r="S80" s="265">
        <v>3</v>
      </c>
      <c r="T80" s="265">
        <v>4</v>
      </c>
      <c r="U80" s="265">
        <v>4</v>
      </c>
      <c r="V80" s="265">
        <v>4</v>
      </c>
      <c r="W80" s="265">
        <v>3</v>
      </c>
      <c r="X80" s="265" t="s">
        <v>2420</v>
      </c>
      <c r="Y80" s="265" t="s">
        <v>2420</v>
      </c>
      <c r="Z80" s="265" t="s">
        <v>654</v>
      </c>
      <c r="AA80" s="265" t="s">
        <v>654</v>
      </c>
      <c r="AB80" s="265" t="s">
        <v>654</v>
      </c>
      <c r="AC80" s="265" t="s">
        <v>654</v>
      </c>
      <c r="AD80" s="265" t="s">
        <v>2609</v>
      </c>
      <c r="AE80" s="265"/>
      <c r="AF80" s="265"/>
      <c r="AG80" s="265"/>
      <c r="AH80" s="265"/>
      <c r="AI80" s="265"/>
      <c r="AJ80" s="265" t="s">
        <v>2634</v>
      </c>
    </row>
    <row r="81" spans="1:36" s="256" customFormat="1" ht="14.25" customHeight="1" x14ac:dyDescent="0.25">
      <c r="A81" s="256">
        <v>78</v>
      </c>
      <c r="B81" s="265" t="s">
        <v>399</v>
      </c>
      <c r="C81" s="265" t="s">
        <v>1997</v>
      </c>
      <c r="D81" s="265" t="s">
        <v>1997</v>
      </c>
      <c r="E81" s="265" t="s">
        <v>1998</v>
      </c>
      <c r="F81" s="265" t="s">
        <v>1999</v>
      </c>
      <c r="G81" s="265"/>
      <c r="H81" s="265" t="s">
        <v>2727</v>
      </c>
      <c r="I81" s="265" t="s">
        <v>579</v>
      </c>
      <c r="J81" s="265" t="s">
        <v>2730</v>
      </c>
      <c r="K81" s="266">
        <v>45948</v>
      </c>
      <c r="L81" s="265">
        <v>11</v>
      </c>
      <c r="M81" s="265" t="s">
        <v>2731</v>
      </c>
      <c r="N81" s="265">
        <v>70</v>
      </c>
      <c r="O81" s="265" t="s">
        <v>603</v>
      </c>
      <c r="P81" s="265" t="s">
        <v>2731</v>
      </c>
      <c r="Q81" s="265" t="s">
        <v>2459</v>
      </c>
      <c r="R81" s="265">
        <v>2</v>
      </c>
      <c r="S81" s="265">
        <v>2</v>
      </c>
      <c r="T81" s="265">
        <v>3</v>
      </c>
      <c r="U81" s="265">
        <v>2</v>
      </c>
      <c r="V81" s="265">
        <v>4</v>
      </c>
      <c r="W81" s="265">
        <v>2</v>
      </c>
      <c r="X81" s="265" t="s">
        <v>2420</v>
      </c>
      <c r="Y81" s="265" t="s">
        <v>2420</v>
      </c>
      <c r="Z81" s="265" t="s">
        <v>654</v>
      </c>
      <c r="AA81" s="265" t="s">
        <v>654</v>
      </c>
      <c r="AB81" s="265" t="s">
        <v>654</v>
      </c>
      <c r="AC81" s="265" t="s">
        <v>654</v>
      </c>
      <c r="AD81" s="265" t="s">
        <v>2609</v>
      </c>
      <c r="AE81" s="265"/>
      <c r="AF81" s="265"/>
      <c r="AG81" s="265"/>
      <c r="AH81" s="265"/>
      <c r="AI81" s="265"/>
      <c r="AJ81" s="265" t="s">
        <v>2634</v>
      </c>
    </row>
    <row r="82" spans="1:36" s="256" customFormat="1" ht="14.25" customHeight="1" x14ac:dyDescent="0.25">
      <c r="A82" s="256">
        <v>79</v>
      </c>
      <c r="B82" s="265" t="s">
        <v>399</v>
      </c>
      <c r="C82" s="265" t="s">
        <v>1997</v>
      </c>
      <c r="D82" s="265" t="s">
        <v>1997</v>
      </c>
      <c r="E82" s="265" t="s">
        <v>1998</v>
      </c>
      <c r="F82" s="265" t="s">
        <v>1999</v>
      </c>
      <c r="G82" s="265"/>
      <c r="H82" s="265" t="s">
        <v>2727</v>
      </c>
      <c r="I82" s="265" t="s">
        <v>579</v>
      </c>
      <c r="J82" s="265" t="s">
        <v>2732</v>
      </c>
      <c r="K82" s="266">
        <v>45948</v>
      </c>
      <c r="L82" s="265">
        <v>12</v>
      </c>
      <c r="M82" s="265" t="s">
        <v>2733</v>
      </c>
      <c r="N82" s="265">
        <v>89</v>
      </c>
      <c r="O82" s="265" t="s">
        <v>603</v>
      </c>
      <c r="P82" s="265" t="s">
        <v>2734</v>
      </c>
      <c r="Q82" s="265" t="s">
        <v>2489</v>
      </c>
      <c r="R82" s="265">
        <v>2</v>
      </c>
      <c r="S82" s="265">
        <v>2</v>
      </c>
      <c r="T82" s="265">
        <v>4</v>
      </c>
      <c r="U82" s="265">
        <v>2</v>
      </c>
      <c r="V82" s="265">
        <v>4</v>
      </c>
      <c r="W82" s="265">
        <v>2</v>
      </c>
      <c r="X82" s="265" t="s">
        <v>2420</v>
      </c>
      <c r="Y82" s="265" t="s">
        <v>2420</v>
      </c>
      <c r="Z82" s="265" t="s">
        <v>654</v>
      </c>
      <c r="AA82" s="265" t="s">
        <v>654</v>
      </c>
      <c r="AB82" s="265" t="s">
        <v>654</v>
      </c>
      <c r="AC82" s="265" t="s">
        <v>654</v>
      </c>
      <c r="AD82" s="265" t="s">
        <v>2609</v>
      </c>
      <c r="AE82" s="265"/>
      <c r="AF82" s="265"/>
      <c r="AG82" s="265"/>
      <c r="AH82" s="265"/>
      <c r="AI82" s="265"/>
      <c r="AJ82" s="265" t="s">
        <v>2634</v>
      </c>
    </row>
    <row r="83" spans="1:36" s="256" customFormat="1" ht="14.25" customHeight="1" x14ac:dyDescent="0.25">
      <c r="A83" s="256">
        <v>80</v>
      </c>
      <c r="B83" s="265" t="s">
        <v>399</v>
      </c>
      <c r="C83" s="265" t="s">
        <v>1997</v>
      </c>
      <c r="D83" s="265" t="s">
        <v>1997</v>
      </c>
      <c r="E83" s="265" t="s">
        <v>1998</v>
      </c>
      <c r="F83" s="265" t="s">
        <v>2479</v>
      </c>
      <c r="G83" s="265"/>
      <c r="H83" s="265" t="s">
        <v>2735</v>
      </c>
      <c r="I83" s="265" t="s">
        <v>619</v>
      </c>
      <c r="J83" s="265" t="s">
        <v>2736</v>
      </c>
      <c r="K83" s="266">
        <v>45950</v>
      </c>
      <c r="L83" s="265">
        <v>13</v>
      </c>
      <c r="M83" s="265" t="s">
        <v>2737</v>
      </c>
      <c r="N83" s="265">
        <v>83</v>
      </c>
      <c r="O83" s="265" t="s">
        <v>603</v>
      </c>
      <c r="P83" s="265" t="s">
        <v>2737</v>
      </c>
      <c r="Q83" s="265" t="s">
        <v>2459</v>
      </c>
      <c r="R83" s="265">
        <v>3</v>
      </c>
      <c r="S83" s="265">
        <v>3</v>
      </c>
      <c r="T83" s="265">
        <v>2</v>
      </c>
      <c r="U83" s="265">
        <v>3</v>
      </c>
      <c r="V83" s="265">
        <v>4</v>
      </c>
      <c r="W83" s="265">
        <v>3</v>
      </c>
      <c r="X83" s="265" t="s">
        <v>2420</v>
      </c>
      <c r="Y83" s="265" t="s">
        <v>2420</v>
      </c>
      <c r="Z83" s="265" t="s">
        <v>654</v>
      </c>
      <c r="AA83" s="265" t="s">
        <v>654</v>
      </c>
      <c r="AB83" s="265" t="s">
        <v>654</v>
      </c>
      <c r="AC83" s="265" t="s">
        <v>654</v>
      </c>
      <c r="AD83" s="265" t="s">
        <v>2609</v>
      </c>
      <c r="AE83" s="265"/>
      <c r="AF83" s="265"/>
      <c r="AG83" s="265"/>
      <c r="AH83" s="265"/>
      <c r="AI83" s="265"/>
      <c r="AJ83" s="265" t="s">
        <v>2634</v>
      </c>
    </row>
    <row r="84" spans="1:36" s="256" customFormat="1" ht="14.25" customHeight="1" x14ac:dyDescent="0.25">
      <c r="A84" s="256">
        <v>81</v>
      </c>
      <c r="B84" s="265" t="s">
        <v>399</v>
      </c>
      <c r="C84" s="265" t="s">
        <v>1997</v>
      </c>
      <c r="D84" s="265" t="s">
        <v>1997</v>
      </c>
      <c r="E84" s="265" t="s">
        <v>1998</v>
      </c>
      <c r="F84" s="265" t="s">
        <v>1999</v>
      </c>
      <c r="G84" s="265"/>
      <c r="H84" s="265" t="s">
        <v>2738</v>
      </c>
      <c r="I84" s="265" t="s">
        <v>579</v>
      </c>
      <c r="J84" s="265" t="s">
        <v>2739</v>
      </c>
      <c r="K84" s="266">
        <v>45950</v>
      </c>
      <c r="L84" s="265">
        <v>14</v>
      </c>
      <c r="M84" s="265" t="s">
        <v>2740</v>
      </c>
      <c r="N84" s="265">
        <v>95</v>
      </c>
      <c r="O84" s="265" t="s">
        <v>603</v>
      </c>
      <c r="P84" s="265" t="s">
        <v>2740</v>
      </c>
      <c r="Q84" s="265" t="s">
        <v>2459</v>
      </c>
      <c r="R84" s="265">
        <v>3</v>
      </c>
      <c r="S84" s="265">
        <v>3</v>
      </c>
      <c r="T84" s="265">
        <v>4</v>
      </c>
      <c r="U84" s="265">
        <v>3</v>
      </c>
      <c r="V84" s="265">
        <v>4</v>
      </c>
      <c r="W84" s="265">
        <v>3</v>
      </c>
      <c r="X84" s="265" t="s">
        <v>2420</v>
      </c>
      <c r="Y84" s="265" t="s">
        <v>2420</v>
      </c>
      <c r="Z84" s="265" t="s">
        <v>654</v>
      </c>
      <c r="AA84" s="265" t="s">
        <v>654</v>
      </c>
      <c r="AB84" s="265" t="s">
        <v>654</v>
      </c>
      <c r="AC84" s="265" t="s">
        <v>654</v>
      </c>
      <c r="AD84" s="265" t="s">
        <v>2609</v>
      </c>
      <c r="AE84" s="265"/>
      <c r="AF84" s="265"/>
      <c r="AG84" s="265"/>
      <c r="AH84" s="265"/>
      <c r="AI84" s="265"/>
      <c r="AJ84" s="265" t="s">
        <v>2634</v>
      </c>
    </row>
    <row r="85" spans="1:36" s="256" customFormat="1" ht="14.25" customHeight="1" x14ac:dyDescent="0.25">
      <c r="A85" s="256">
        <v>82</v>
      </c>
      <c r="B85" s="265" t="s">
        <v>399</v>
      </c>
      <c r="C85" s="265" t="s">
        <v>1997</v>
      </c>
      <c r="D85" s="265" t="s">
        <v>1997</v>
      </c>
      <c r="E85" s="265" t="s">
        <v>1998</v>
      </c>
      <c r="F85" s="265" t="s">
        <v>1999</v>
      </c>
      <c r="G85" s="265"/>
      <c r="H85" s="265" t="s">
        <v>2738</v>
      </c>
      <c r="I85" s="265" t="s">
        <v>579</v>
      </c>
      <c r="J85" s="265" t="s">
        <v>2741</v>
      </c>
      <c r="K85" s="266">
        <v>45950</v>
      </c>
      <c r="L85" s="265">
        <v>15</v>
      </c>
      <c r="M85" s="265" t="s">
        <v>2742</v>
      </c>
      <c r="N85" s="265">
        <v>77</v>
      </c>
      <c r="O85" s="265" t="s">
        <v>603</v>
      </c>
      <c r="P85" s="265" t="s">
        <v>2742</v>
      </c>
      <c r="Q85" s="265" t="s">
        <v>2459</v>
      </c>
      <c r="R85" s="265">
        <v>1</v>
      </c>
      <c r="S85" s="265">
        <v>1</v>
      </c>
      <c r="T85" s="265">
        <v>2</v>
      </c>
      <c r="U85" s="265">
        <v>2</v>
      </c>
      <c r="V85" s="265">
        <v>4</v>
      </c>
      <c r="W85" s="265">
        <v>2</v>
      </c>
      <c r="X85" s="265" t="s">
        <v>2420</v>
      </c>
      <c r="Y85" s="265" t="s">
        <v>2420</v>
      </c>
      <c r="Z85" s="265" t="s">
        <v>654</v>
      </c>
      <c r="AA85" s="265" t="s">
        <v>654</v>
      </c>
      <c r="AB85" s="265" t="s">
        <v>654</v>
      </c>
      <c r="AC85" s="265" t="s">
        <v>654</v>
      </c>
      <c r="AD85" s="265" t="s">
        <v>2609</v>
      </c>
      <c r="AE85" s="265"/>
      <c r="AF85" s="265"/>
      <c r="AG85" s="265"/>
      <c r="AH85" s="265"/>
      <c r="AI85" s="265"/>
      <c r="AJ85" s="265" t="s">
        <v>2634</v>
      </c>
    </row>
    <row r="86" spans="1:36" s="256" customFormat="1" ht="14.25" customHeight="1" x14ac:dyDescent="0.25">
      <c r="A86" s="256">
        <v>83</v>
      </c>
      <c r="B86" s="265" t="s">
        <v>399</v>
      </c>
      <c r="C86" s="265" t="s">
        <v>1997</v>
      </c>
      <c r="D86" s="265" t="s">
        <v>1997</v>
      </c>
      <c r="E86" s="265" t="s">
        <v>1998</v>
      </c>
      <c r="F86" s="265" t="s">
        <v>1999</v>
      </c>
      <c r="G86" s="265"/>
      <c r="H86" s="265" t="s">
        <v>2738</v>
      </c>
      <c r="I86" s="265" t="s">
        <v>579</v>
      </c>
      <c r="J86" s="265" t="s">
        <v>2741</v>
      </c>
      <c r="K86" s="266">
        <v>45950</v>
      </c>
      <c r="L86" s="265">
        <v>16</v>
      </c>
      <c r="M86" s="265" t="s">
        <v>2743</v>
      </c>
      <c r="N86" s="265">
        <v>75</v>
      </c>
      <c r="O86" s="265" t="s">
        <v>402</v>
      </c>
      <c r="P86" s="265" t="s">
        <v>2743</v>
      </c>
      <c r="Q86" s="265" t="s">
        <v>2459</v>
      </c>
      <c r="R86" s="265">
        <v>3</v>
      </c>
      <c r="S86" s="265">
        <v>3</v>
      </c>
      <c r="T86" s="265">
        <v>3</v>
      </c>
      <c r="U86" s="265">
        <v>2</v>
      </c>
      <c r="V86" s="265">
        <v>4</v>
      </c>
      <c r="W86" s="265">
        <v>3</v>
      </c>
      <c r="X86" s="265" t="s">
        <v>2420</v>
      </c>
      <c r="Y86" s="265" t="s">
        <v>2420</v>
      </c>
      <c r="Z86" s="265" t="s">
        <v>654</v>
      </c>
      <c r="AA86" s="265" t="s">
        <v>654</v>
      </c>
      <c r="AB86" s="265" t="s">
        <v>654</v>
      </c>
      <c r="AC86" s="265" t="s">
        <v>654</v>
      </c>
      <c r="AD86" s="265" t="s">
        <v>2609</v>
      </c>
      <c r="AE86" s="265"/>
      <c r="AF86" s="265"/>
      <c r="AG86" s="265"/>
      <c r="AH86" s="265"/>
      <c r="AI86" s="265"/>
      <c r="AJ86" s="265" t="s">
        <v>2634</v>
      </c>
    </row>
    <row r="87" spans="1:36" s="256" customFormat="1" ht="14.25" customHeight="1" x14ac:dyDescent="0.25">
      <c r="A87" s="256">
        <v>84</v>
      </c>
      <c r="B87" s="265" t="s">
        <v>399</v>
      </c>
      <c r="C87" s="265" t="s">
        <v>1997</v>
      </c>
      <c r="D87" s="265" t="s">
        <v>1997</v>
      </c>
      <c r="E87" s="265" t="s">
        <v>1998</v>
      </c>
      <c r="F87" s="265" t="s">
        <v>1999</v>
      </c>
      <c r="G87" s="265"/>
      <c r="H87" s="265" t="s">
        <v>1999</v>
      </c>
      <c r="I87" s="265" t="s">
        <v>619</v>
      </c>
      <c r="J87" s="265" t="s">
        <v>2744</v>
      </c>
      <c r="K87" s="266">
        <v>45948</v>
      </c>
      <c r="L87" s="265">
        <v>17</v>
      </c>
      <c r="M87" s="265" t="s">
        <v>2745</v>
      </c>
      <c r="N87" s="265">
        <v>59</v>
      </c>
      <c r="O87" s="265" t="s">
        <v>402</v>
      </c>
      <c r="P87" s="265" t="s">
        <v>2746</v>
      </c>
      <c r="Q87" s="265" t="s">
        <v>2459</v>
      </c>
      <c r="R87" s="265">
        <v>1</v>
      </c>
      <c r="S87" s="265">
        <v>1</v>
      </c>
      <c r="T87" s="265">
        <v>3</v>
      </c>
      <c r="U87" s="265">
        <v>2</v>
      </c>
      <c r="V87" s="265">
        <v>3</v>
      </c>
      <c r="W87" s="265">
        <v>1</v>
      </c>
      <c r="X87" s="265" t="s">
        <v>2420</v>
      </c>
      <c r="Y87" s="265" t="s">
        <v>2420</v>
      </c>
      <c r="Z87" s="265" t="s">
        <v>654</v>
      </c>
      <c r="AA87" s="265" t="s">
        <v>654</v>
      </c>
      <c r="AB87" s="265" t="s">
        <v>654</v>
      </c>
      <c r="AC87" s="265" t="s">
        <v>654</v>
      </c>
      <c r="AD87" s="265" t="s">
        <v>2609</v>
      </c>
      <c r="AE87" s="265"/>
      <c r="AF87" s="265"/>
      <c r="AG87" s="265"/>
      <c r="AH87" s="265"/>
      <c r="AI87" s="265"/>
      <c r="AJ87" s="265" t="s">
        <v>2634</v>
      </c>
    </row>
    <row r="88" spans="1:36" s="256" customFormat="1" ht="14.25" customHeight="1" x14ac:dyDescent="0.25">
      <c r="A88" s="256">
        <v>85</v>
      </c>
      <c r="B88" s="265" t="s">
        <v>399</v>
      </c>
      <c r="C88" s="265" t="s">
        <v>1997</v>
      </c>
      <c r="D88" s="265" t="s">
        <v>1997</v>
      </c>
      <c r="E88" s="265" t="s">
        <v>1998</v>
      </c>
      <c r="F88" s="265" t="s">
        <v>1999</v>
      </c>
      <c r="G88" s="265"/>
      <c r="H88" s="265" t="s">
        <v>2747</v>
      </c>
      <c r="I88" s="265" t="s">
        <v>579</v>
      </c>
      <c r="J88" s="265" t="s">
        <v>2748</v>
      </c>
      <c r="K88" s="266">
        <v>45948</v>
      </c>
      <c r="L88" s="265">
        <v>18</v>
      </c>
      <c r="M88" s="265" t="s">
        <v>2749</v>
      </c>
      <c r="N88" s="265">
        <v>44</v>
      </c>
      <c r="O88" s="265" t="s">
        <v>402</v>
      </c>
      <c r="P88" s="265" t="s">
        <v>2750</v>
      </c>
      <c r="Q88" s="265" t="s">
        <v>2459</v>
      </c>
      <c r="R88" s="265">
        <v>3</v>
      </c>
      <c r="S88" s="265">
        <v>3</v>
      </c>
      <c r="T88" s="265">
        <v>4</v>
      </c>
      <c r="U88" s="265">
        <v>3</v>
      </c>
      <c r="V88" s="265">
        <v>4</v>
      </c>
      <c r="W88" s="265">
        <v>2</v>
      </c>
      <c r="X88" s="265" t="s">
        <v>2420</v>
      </c>
      <c r="Y88" s="265" t="s">
        <v>2420</v>
      </c>
      <c r="Z88" s="265" t="s">
        <v>654</v>
      </c>
      <c r="AA88" s="265" t="s">
        <v>654</v>
      </c>
      <c r="AB88" s="265" t="s">
        <v>654</v>
      </c>
      <c r="AC88" s="265" t="s">
        <v>654</v>
      </c>
      <c r="AD88" s="265" t="s">
        <v>2609</v>
      </c>
      <c r="AE88" s="265"/>
      <c r="AF88" s="265"/>
      <c r="AG88" s="265"/>
      <c r="AH88" s="265"/>
      <c r="AI88" s="265"/>
      <c r="AJ88" s="265" t="s">
        <v>2634</v>
      </c>
    </row>
    <row r="89" spans="1:36" s="256" customFormat="1" ht="14.25" customHeight="1" x14ac:dyDescent="0.25">
      <c r="A89" s="256">
        <v>86</v>
      </c>
      <c r="B89" s="265" t="s">
        <v>399</v>
      </c>
      <c r="C89" s="265" t="s">
        <v>1997</v>
      </c>
      <c r="D89" s="265" t="s">
        <v>1997</v>
      </c>
      <c r="E89" s="265" t="s">
        <v>1998</v>
      </c>
      <c r="F89" s="265" t="s">
        <v>1999</v>
      </c>
      <c r="G89" s="265"/>
      <c r="H89" s="265" t="s">
        <v>2747</v>
      </c>
      <c r="I89" s="265" t="s">
        <v>579</v>
      </c>
      <c r="J89" s="265" t="s">
        <v>2751</v>
      </c>
      <c r="K89" s="266">
        <v>45948</v>
      </c>
      <c r="L89" s="265">
        <v>19</v>
      </c>
      <c r="M89" s="265" t="s">
        <v>2752</v>
      </c>
      <c r="N89" s="265">
        <v>57</v>
      </c>
      <c r="O89" s="265" t="s">
        <v>603</v>
      </c>
      <c r="P89" s="265" t="s">
        <v>2752</v>
      </c>
      <c r="Q89" s="265" t="s">
        <v>2459</v>
      </c>
      <c r="R89" s="265">
        <v>2</v>
      </c>
      <c r="S89" s="265">
        <v>3</v>
      </c>
      <c r="T89" s="265">
        <v>4</v>
      </c>
      <c r="U89" s="265">
        <v>3</v>
      </c>
      <c r="V89" s="265">
        <v>4</v>
      </c>
      <c r="W89" s="265">
        <v>2</v>
      </c>
      <c r="X89" s="265" t="s">
        <v>2420</v>
      </c>
      <c r="Y89" s="265" t="s">
        <v>2420</v>
      </c>
      <c r="Z89" s="265" t="s">
        <v>654</v>
      </c>
      <c r="AA89" s="265" t="s">
        <v>654</v>
      </c>
      <c r="AB89" s="265" t="s">
        <v>654</v>
      </c>
      <c r="AC89" s="265" t="s">
        <v>654</v>
      </c>
      <c r="AD89" s="265" t="s">
        <v>2609</v>
      </c>
      <c r="AE89" s="265"/>
      <c r="AF89" s="265"/>
      <c r="AG89" s="265"/>
      <c r="AH89" s="265"/>
      <c r="AI89" s="265"/>
      <c r="AJ89" s="265" t="s">
        <v>2634</v>
      </c>
    </row>
    <row r="90" spans="1:36" s="256" customFormat="1" ht="14.25" customHeight="1" x14ac:dyDescent="0.25">
      <c r="A90" s="256">
        <v>87</v>
      </c>
      <c r="B90" s="265" t="s">
        <v>399</v>
      </c>
      <c r="C90" s="265" t="s">
        <v>1997</v>
      </c>
      <c r="D90" s="265" t="s">
        <v>1997</v>
      </c>
      <c r="E90" s="265" t="s">
        <v>1998</v>
      </c>
      <c r="F90" s="265" t="s">
        <v>1999</v>
      </c>
      <c r="G90" s="265"/>
      <c r="H90" s="265" t="s">
        <v>2747</v>
      </c>
      <c r="I90" s="265" t="s">
        <v>579</v>
      </c>
      <c r="J90" s="265" t="s">
        <v>2753</v>
      </c>
      <c r="K90" s="266">
        <v>45949</v>
      </c>
      <c r="L90" s="265">
        <v>20</v>
      </c>
      <c r="M90" s="265" t="s">
        <v>2754</v>
      </c>
      <c r="N90" s="265">
        <v>67</v>
      </c>
      <c r="O90" s="265" t="s">
        <v>603</v>
      </c>
      <c r="P90" s="265" t="s">
        <v>2754</v>
      </c>
      <c r="Q90" s="265" t="s">
        <v>2459</v>
      </c>
      <c r="R90" s="265">
        <v>3</v>
      </c>
      <c r="S90" s="265">
        <v>3</v>
      </c>
      <c r="T90" s="265">
        <v>4</v>
      </c>
      <c r="U90" s="265">
        <v>3</v>
      </c>
      <c r="V90" s="265">
        <v>4</v>
      </c>
      <c r="W90" s="265">
        <v>3</v>
      </c>
      <c r="X90" s="265" t="s">
        <v>2420</v>
      </c>
      <c r="Y90" s="265" t="s">
        <v>2420</v>
      </c>
      <c r="Z90" s="265" t="s">
        <v>654</v>
      </c>
      <c r="AA90" s="265" t="s">
        <v>654</v>
      </c>
      <c r="AB90" s="265" t="s">
        <v>654</v>
      </c>
      <c r="AC90" s="265" t="s">
        <v>654</v>
      </c>
      <c r="AD90" s="265" t="s">
        <v>2609</v>
      </c>
      <c r="AE90" s="265"/>
      <c r="AF90" s="265"/>
      <c r="AG90" s="265"/>
      <c r="AH90" s="265"/>
      <c r="AI90" s="265"/>
      <c r="AJ90" s="265" t="s">
        <v>2634</v>
      </c>
    </row>
    <row r="91" spans="1:36" s="256" customFormat="1" ht="14.25" customHeight="1" x14ac:dyDescent="0.25">
      <c r="A91" s="256">
        <v>88</v>
      </c>
      <c r="B91" s="265" t="s">
        <v>399</v>
      </c>
      <c r="C91" s="265" t="s">
        <v>1997</v>
      </c>
      <c r="D91" s="265" t="s">
        <v>1997</v>
      </c>
      <c r="E91" s="265" t="s">
        <v>1998</v>
      </c>
      <c r="F91" s="265" t="s">
        <v>1999</v>
      </c>
      <c r="G91" s="265"/>
      <c r="H91" s="265" t="s">
        <v>2747</v>
      </c>
      <c r="I91" s="265" t="s">
        <v>579</v>
      </c>
      <c r="J91" s="265" t="s">
        <v>2755</v>
      </c>
      <c r="K91" s="266">
        <v>45949</v>
      </c>
      <c r="L91" s="265">
        <v>21</v>
      </c>
      <c r="M91" s="265" t="s">
        <v>2756</v>
      </c>
      <c r="N91" s="265">
        <v>85</v>
      </c>
      <c r="O91" s="265" t="s">
        <v>603</v>
      </c>
      <c r="P91" s="265" t="s">
        <v>2756</v>
      </c>
      <c r="Q91" s="265" t="s">
        <v>2459</v>
      </c>
      <c r="R91" s="265">
        <v>3</v>
      </c>
      <c r="S91" s="265">
        <v>3</v>
      </c>
      <c r="T91" s="265">
        <v>4</v>
      </c>
      <c r="U91" s="265">
        <v>3</v>
      </c>
      <c r="V91" s="265">
        <v>4</v>
      </c>
      <c r="W91" s="265">
        <v>2</v>
      </c>
      <c r="X91" s="265" t="s">
        <v>2420</v>
      </c>
      <c r="Y91" s="265" t="s">
        <v>2420</v>
      </c>
      <c r="Z91" s="265" t="s">
        <v>654</v>
      </c>
      <c r="AA91" s="265" t="s">
        <v>654</v>
      </c>
      <c r="AB91" s="265" t="s">
        <v>654</v>
      </c>
      <c r="AC91" s="265" t="s">
        <v>654</v>
      </c>
      <c r="AD91" s="265" t="s">
        <v>2609</v>
      </c>
      <c r="AE91" s="265"/>
      <c r="AF91" s="265"/>
      <c r="AG91" s="265"/>
      <c r="AH91" s="265"/>
      <c r="AI91" s="265"/>
      <c r="AJ91" s="265" t="s">
        <v>2634</v>
      </c>
    </row>
    <row r="92" spans="1:36" s="256" customFormat="1" ht="14.25" customHeight="1" x14ac:dyDescent="0.25">
      <c r="A92" s="256">
        <v>89</v>
      </c>
      <c r="B92" s="265" t="s">
        <v>2461</v>
      </c>
      <c r="C92" s="265" t="s">
        <v>1997</v>
      </c>
      <c r="D92" s="265" t="s">
        <v>1997</v>
      </c>
      <c r="E92" s="265" t="s">
        <v>1998</v>
      </c>
      <c r="F92" s="265" t="s">
        <v>2472</v>
      </c>
      <c r="G92" s="265"/>
      <c r="H92" s="265" t="s">
        <v>2757</v>
      </c>
      <c r="I92" s="265" t="s">
        <v>619</v>
      </c>
      <c r="J92" s="265" t="s">
        <v>2758</v>
      </c>
      <c r="K92" s="266">
        <v>45949</v>
      </c>
      <c r="L92" s="265">
        <v>22</v>
      </c>
      <c r="M92" s="265" t="s">
        <v>2759</v>
      </c>
      <c r="N92" s="265">
        <v>67</v>
      </c>
      <c r="O92" s="265" t="s">
        <v>402</v>
      </c>
      <c r="P92" s="265" t="s">
        <v>2754</v>
      </c>
      <c r="Q92" s="265" t="s">
        <v>2459</v>
      </c>
      <c r="R92" s="265">
        <v>3</v>
      </c>
      <c r="S92" s="265">
        <v>3</v>
      </c>
      <c r="T92" s="265">
        <v>4</v>
      </c>
      <c r="U92" s="265">
        <v>3</v>
      </c>
      <c r="V92" s="265">
        <v>4</v>
      </c>
      <c r="W92" s="265">
        <v>3</v>
      </c>
      <c r="X92" s="265" t="s">
        <v>2420</v>
      </c>
      <c r="Y92" s="265" t="s">
        <v>2420</v>
      </c>
      <c r="Z92" s="265" t="s">
        <v>654</v>
      </c>
      <c r="AA92" s="265" t="s">
        <v>654</v>
      </c>
      <c r="AB92" s="265" t="s">
        <v>654</v>
      </c>
      <c r="AC92" s="265" t="s">
        <v>654</v>
      </c>
      <c r="AD92" s="265" t="s">
        <v>2490</v>
      </c>
      <c r="AE92" s="265"/>
      <c r="AF92" s="265"/>
      <c r="AG92" s="265"/>
      <c r="AH92" s="265"/>
      <c r="AI92" s="265"/>
      <c r="AJ92" s="265"/>
    </row>
    <row r="93" spans="1:36" s="256" customFormat="1" ht="14.25" customHeight="1" x14ac:dyDescent="0.25">
      <c r="A93" s="256">
        <v>90</v>
      </c>
      <c r="B93" s="267" t="s">
        <v>2461</v>
      </c>
      <c r="C93" s="267" t="s">
        <v>1997</v>
      </c>
      <c r="D93" s="267" t="s">
        <v>1997</v>
      </c>
      <c r="E93" s="267" t="s">
        <v>1998</v>
      </c>
      <c r="F93" s="267" t="s">
        <v>2472</v>
      </c>
      <c r="G93" s="267"/>
      <c r="H93" s="267" t="s">
        <v>2518</v>
      </c>
      <c r="I93" s="267" t="s">
        <v>579</v>
      </c>
      <c r="J93" s="267" t="s">
        <v>2760</v>
      </c>
      <c r="K93" s="268">
        <v>45949</v>
      </c>
      <c r="L93" s="267">
        <v>23</v>
      </c>
      <c r="M93" s="267" t="s">
        <v>2761</v>
      </c>
      <c r="N93" s="267">
        <v>50</v>
      </c>
      <c r="O93" s="267" t="s">
        <v>603</v>
      </c>
      <c r="P93" s="267" t="s">
        <v>2761</v>
      </c>
      <c r="Q93" s="267" t="s">
        <v>2459</v>
      </c>
      <c r="R93" s="267">
        <v>3</v>
      </c>
      <c r="S93" s="267">
        <v>3</v>
      </c>
      <c r="T93" s="267">
        <v>4</v>
      </c>
      <c r="U93" s="267">
        <v>3</v>
      </c>
      <c r="V93" s="267">
        <v>4</v>
      </c>
      <c r="W93" s="267">
        <v>2</v>
      </c>
      <c r="X93" s="267" t="s">
        <v>2420</v>
      </c>
      <c r="Y93" s="267" t="s">
        <v>2420</v>
      </c>
      <c r="Z93" s="267" t="s">
        <v>654</v>
      </c>
      <c r="AA93" s="267" t="s">
        <v>654</v>
      </c>
      <c r="AB93" s="267" t="s">
        <v>654</v>
      </c>
      <c r="AC93" s="267" t="s">
        <v>654</v>
      </c>
      <c r="AD93" s="267" t="s">
        <v>2490</v>
      </c>
      <c r="AE93" s="267"/>
      <c r="AF93" s="267"/>
      <c r="AG93" s="267"/>
      <c r="AH93" s="267"/>
      <c r="AI93" s="267"/>
      <c r="AJ93" s="267"/>
    </row>
    <row r="94" spans="1:36" s="256" customFormat="1" ht="14.25" customHeight="1" x14ac:dyDescent="0.25">
      <c r="A94" s="256">
        <v>91</v>
      </c>
      <c r="B94" s="265" t="s">
        <v>2461</v>
      </c>
      <c r="C94" s="265" t="s">
        <v>1997</v>
      </c>
      <c r="D94" s="265" t="s">
        <v>1997</v>
      </c>
      <c r="E94" s="265" t="s">
        <v>2246</v>
      </c>
      <c r="F94" s="265" t="s">
        <v>2762</v>
      </c>
      <c r="G94" s="265"/>
      <c r="H94" s="265" t="s">
        <v>2763</v>
      </c>
      <c r="I94" s="265" t="s">
        <v>619</v>
      </c>
      <c r="J94" s="265" t="s">
        <v>2764</v>
      </c>
      <c r="K94" s="266">
        <v>45949</v>
      </c>
      <c r="L94" s="265"/>
      <c r="M94" s="265" t="s">
        <v>2765</v>
      </c>
      <c r="N94" s="265">
        <v>42</v>
      </c>
      <c r="O94" s="265" t="s">
        <v>603</v>
      </c>
      <c r="P94" s="265" t="s">
        <v>2765</v>
      </c>
      <c r="Q94" s="265" t="s">
        <v>2459</v>
      </c>
      <c r="R94" s="265">
        <v>2</v>
      </c>
      <c r="S94" s="265">
        <v>2</v>
      </c>
      <c r="T94" s="265">
        <v>3</v>
      </c>
      <c r="U94" s="265">
        <v>4</v>
      </c>
      <c r="V94" s="265">
        <v>3</v>
      </c>
      <c r="W94" s="265">
        <v>4</v>
      </c>
      <c r="X94" s="265" t="s">
        <v>2420</v>
      </c>
      <c r="Y94" s="265" t="s">
        <v>2420</v>
      </c>
      <c r="Z94" s="265" t="s">
        <v>654</v>
      </c>
      <c r="AA94" s="265" t="s">
        <v>654</v>
      </c>
      <c r="AB94" s="265" t="s">
        <v>654</v>
      </c>
      <c r="AC94" s="265" t="s">
        <v>654</v>
      </c>
      <c r="AD94" s="265" t="s">
        <v>2526</v>
      </c>
      <c r="AE94" s="265"/>
      <c r="AF94" s="265"/>
      <c r="AG94" s="265"/>
      <c r="AH94" s="265"/>
      <c r="AI94" s="265"/>
      <c r="AJ94" s="265"/>
    </row>
    <row r="95" spans="1:36" s="256" customFormat="1" ht="14.25" customHeight="1" x14ac:dyDescent="0.25">
      <c r="A95" s="256">
        <v>92</v>
      </c>
      <c r="B95" s="265" t="s">
        <v>2461</v>
      </c>
      <c r="C95" s="265" t="s">
        <v>1997</v>
      </c>
      <c r="D95" s="265" t="s">
        <v>1997</v>
      </c>
      <c r="E95" s="265" t="s">
        <v>2246</v>
      </c>
      <c r="F95" s="265" t="s">
        <v>2766</v>
      </c>
      <c r="G95" s="265"/>
      <c r="H95" s="265" t="s">
        <v>2670</v>
      </c>
      <c r="I95" s="265" t="s">
        <v>619</v>
      </c>
      <c r="J95" s="265" t="s">
        <v>2767</v>
      </c>
      <c r="K95" s="266">
        <v>45949</v>
      </c>
      <c r="L95" s="265"/>
      <c r="M95" s="265" t="s">
        <v>2768</v>
      </c>
      <c r="N95" s="265">
        <v>38</v>
      </c>
      <c r="O95" s="265" t="s">
        <v>603</v>
      </c>
      <c r="P95" s="265" t="s">
        <v>2768</v>
      </c>
      <c r="Q95" s="265" t="s">
        <v>2459</v>
      </c>
      <c r="R95" s="265">
        <v>3</v>
      </c>
      <c r="S95" s="265">
        <v>3</v>
      </c>
      <c r="T95" s="265">
        <v>3</v>
      </c>
      <c r="U95" s="265">
        <v>2</v>
      </c>
      <c r="V95" s="265">
        <v>4</v>
      </c>
      <c r="W95" s="265">
        <v>3</v>
      </c>
      <c r="X95" s="265" t="s">
        <v>2420</v>
      </c>
      <c r="Y95" s="265" t="s">
        <v>2420</v>
      </c>
      <c r="Z95" s="265" t="s">
        <v>654</v>
      </c>
      <c r="AA95" s="265" t="s">
        <v>654</v>
      </c>
      <c r="AB95" s="265" t="s">
        <v>654</v>
      </c>
      <c r="AC95" s="265" t="s">
        <v>654</v>
      </c>
      <c r="AD95" s="265" t="s">
        <v>2465</v>
      </c>
      <c r="AE95" s="265"/>
      <c r="AF95" s="265"/>
      <c r="AG95" s="265"/>
      <c r="AH95" s="265"/>
      <c r="AI95" s="265"/>
      <c r="AJ95" s="265"/>
    </row>
    <row r="96" spans="1:36" s="256" customFormat="1" ht="14.25" customHeight="1" x14ac:dyDescent="0.25">
      <c r="A96" s="256">
        <v>93</v>
      </c>
      <c r="B96" s="265" t="s">
        <v>2461</v>
      </c>
      <c r="C96" s="265" t="s">
        <v>1997</v>
      </c>
      <c r="D96" s="265" t="s">
        <v>1997</v>
      </c>
      <c r="E96" s="265" t="s">
        <v>2246</v>
      </c>
      <c r="F96" s="265" t="s">
        <v>2769</v>
      </c>
      <c r="G96" s="265"/>
      <c r="H96" s="265" t="s">
        <v>2770</v>
      </c>
      <c r="I96" s="265" t="s">
        <v>619</v>
      </c>
      <c r="J96" s="265" t="s">
        <v>2771</v>
      </c>
      <c r="K96" s="266">
        <v>45949</v>
      </c>
      <c r="L96" s="265"/>
      <c r="M96" s="265" t="s">
        <v>2772</v>
      </c>
      <c r="N96" s="265">
        <v>40</v>
      </c>
      <c r="O96" s="265" t="s">
        <v>402</v>
      </c>
      <c r="P96" s="265" t="s">
        <v>2772</v>
      </c>
      <c r="Q96" s="265" t="s">
        <v>2459</v>
      </c>
      <c r="R96" s="265">
        <v>3</v>
      </c>
      <c r="S96" s="265">
        <v>3</v>
      </c>
      <c r="T96" s="265">
        <v>4</v>
      </c>
      <c r="U96" s="265">
        <v>3</v>
      </c>
      <c r="V96" s="265">
        <v>3</v>
      </c>
      <c r="W96" s="265">
        <v>3</v>
      </c>
      <c r="X96" s="265" t="s">
        <v>2420</v>
      </c>
      <c r="Y96" s="265" t="s">
        <v>2420</v>
      </c>
      <c r="Z96" s="265" t="s">
        <v>654</v>
      </c>
      <c r="AA96" s="265" t="s">
        <v>654</v>
      </c>
      <c r="AB96" s="265" t="s">
        <v>654</v>
      </c>
      <c r="AC96" s="265" t="s">
        <v>654</v>
      </c>
      <c r="AD96" s="265" t="s">
        <v>2465</v>
      </c>
      <c r="AE96" s="265"/>
      <c r="AF96" s="265"/>
      <c r="AG96" s="265"/>
      <c r="AH96" s="265"/>
      <c r="AI96" s="265"/>
      <c r="AJ96" s="265"/>
    </row>
    <row r="97" spans="1:36" s="256" customFormat="1" ht="14.25" customHeight="1" x14ac:dyDescent="0.25">
      <c r="A97" s="256">
        <v>94</v>
      </c>
      <c r="B97" s="265" t="s">
        <v>2461</v>
      </c>
      <c r="C97" s="265" t="s">
        <v>1997</v>
      </c>
      <c r="D97" s="265" t="s">
        <v>1997</v>
      </c>
      <c r="E97" s="265" t="s">
        <v>2246</v>
      </c>
      <c r="F97" s="265" t="s">
        <v>2769</v>
      </c>
      <c r="G97" s="265"/>
      <c r="H97" s="265" t="s">
        <v>2770</v>
      </c>
      <c r="I97" s="265" t="s">
        <v>619</v>
      </c>
      <c r="J97" s="265" t="s">
        <v>2773</v>
      </c>
      <c r="K97" s="266">
        <v>45949</v>
      </c>
      <c r="L97" s="265"/>
      <c r="M97" s="265" t="s">
        <v>2774</v>
      </c>
      <c r="N97" s="265">
        <v>23</v>
      </c>
      <c r="O97" s="265" t="s">
        <v>603</v>
      </c>
      <c r="P97" s="265" t="s">
        <v>2774</v>
      </c>
      <c r="Q97" s="265" t="s">
        <v>2459</v>
      </c>
      <c r="R97" s="265">
        <v>3</v>
      </c>
      <c r="S97" s="265">
        <v>3</v>
      </c>
      <c r="T97" s="265">
        <v>3</v>
      </c>
      <c r="U97" s="265">
        <v>4</v>
      </c>
      <c r="V97" s="265">
        <v>3</v>
      </c>
      <c r="W97" s="265">
        <v>3</v>
      </c>
      <c r="X97" s="265" t="s">
        <v>2420</v>
      </c>
      <c r="Y97" s="265" t="s">
        <v>2420</v>
      </c>
      <c r="Z97" s="265" t="s">
        <v>654</v>
      </c>
      <c r="AA97" s="265" t="s">
        <v>654</v>
      </c>
      <c r="AB97" s="265" t="s">
        <v>654</v>
      </c>
      <c r="AC97" s="265" t="s">
        <v>654</v>
      </c>
      <c r="AD97" s="265" t="s">
        <v>2465</v>
      </c>
      <c r="AE97" s="265"/>
      <c r="AF97" s="265"/>
      <c r="AG97" s="265"/>
      <c r="AH97" s="265"/>
      <c r="AI97" s="265"/>
      <c r="AJ97" s="265"/>
    </row>
    <row r="98" spans="1:36" s="256" customFormat="1" ht="14.25" customHeight="1" x14ac:dyDescent="0.25">
      <c r="A98" s="256">
        <v>95</v>
      </c>
      <c r="B98" s="265" t="s">
        <v>2461</v>
      </c>
      <c r="C98" s="265" t="s">
        <v>1997</v>
      </c>
      <c r="D98" s="265" t="s">
        <v>1997</v>
      </c>
      <c r="E98" s="265" t="s">
        <v>2246</v>
      </c>
      <c r="F98" s="265" t="s">
        <v>2246</v>
      </c>
      <c r="G98" s="265"/>
      <c r="H98" s="265" t="s">
        <v>2694</v>
      </c>
      <c r="I98" s="265" t="s">
        <v>619</v>
      </c>
      <c r="J98" s="265" t="s">
        <v>2775</v>
      </c>
      <c r="K98" s="266">
        <v>45949</v>
      </c>
      <c r="L98" s="265"/>
      <c r="M98" s="265" t="s">
        <v>2776</v>
      </c>
      <c r="N98" s="265">
        <v>43</v>
      </c>
      <c r="O98" s="265" t="s">
        <v>603</v>
      </c>
      <c r="P98" s="265" t="s">
        <v>2776</v>
      </c>
      <c r="Q98" s="265" t="s">
        <v>2459</v>
      </c>
      <c r="R98" s="265">
        <v>3</v>
      </c>
      <c r="S98" s="265">
        <v>3</v>
      </c>
      <c r="T98" s="265">
        <v>3</v>
      </c>
      <c r="U98" s="265">
        <v>4</v>
      </c>
      <c r="V98" s="265">
        <v>3</v>
      </c>
      <c r="W98" s="265">
        <v>4</v>
      </c>
      <c r="X98" s="265" t="s">
        <v>2420</v>
      </c>
      <c r="Y98" s="265" t="s">
        <v>2420</v>
      </c>
      <c r="Z98" s="265" t="s">
        <v>654</v>
      </c>
      <c r="AA98" s="265" t="s">
        <v>654</v>
      </c>
      <c r="AB98" s="265" t="s">
        <v>654</v>
      </c>
      <c r="AC98" s="265" t="s">
        <v>654</v>
      </c>
      <c r="AD98" s="265" t="s">
        <v>2583</v>
      </c>
      <c r="AE98" s="265"/>
      <c r="AF98" s="265"/>
      <c r="AG98" s="265"/>
      <c r="AH98" s="265"/>
      <c r="AI98" s="265"/>
      <c r="AJ98" s="265"/>
    </row>
    <row r="99" spans="1:36" s="256" customFormat="1" ht="14.25" customHeight="1" x14ac:dyDescent="0.25">
      <c r="A99" s="256">
        <v>96</v>
      </c>
      <c r="B99" s="265" t="s">
        <v>2461</v>
      </c>
      <c r="C99" s="265" t="s">
        <v>1997</v>
      </c>
      <c r="D99" s="265" t="s">
        <v>1997</v>
      </c>
      <c r="E99" s="265" t="s">
        <v>2246</v>
      </c>
      <c r="F99" s="265" t="s">
        <v>2246</v>
      </c>
      <c r="G99" s="265"/>
      <c r="H99" s="265" t="s">
        <v>2777</v>
      </c>
      <c r="I99" s="265" t="s">
        <v>579</v>
      </c>
      <c r="J99" s="265" t="s">
        <v>2778</v>
      </c>
      <c r="K99" s="266">
        <v>45949</v>
      </c>
      <c r="L99" s="265"/>
      <c r="M99" s="265" t="s">
        <v>2779</v>
      </c>
      <c r="N99" s="265">
        <v>68</v>
      </c>
      <c r="O99" s="265" t="s">
        <v>402</v>
      </c>
      <c r="P99" s="265" t="s">
        <v>2779</v>
      </c>
      <c r="Q99" s="265" t="s">
        <v>2459</v>
      </c>
      <c r="R99" s="265">
        <v>3</v>
      </c>
      <c r="S99" s="265">
        <v>2</v>
      </c>
      <c r="T99" s="265">
        <v>4</v>
      </c>
      <c r="U99" s="265">
        <v>3</v>
      </c>
      <c r="V99" s="265">
        <v>3</v>
      </c>
      <c r="W99" s="265">
        <v>4</v>
      </c>
      <c r="X99" s="265" t="s">
        <v>2420</v>
      </c>
      <c r="Y99" s="265" t="s">
        <v>2420</v>
      </c>
      <c r="Z99" s="265" t="s">
        <v>654</v>
      </c>
      <c r="AA99" s="265" t="s">
        <v>654</v>
      </c>
      <c r="AB99" s="265" t="s">
        <v>654</v>
      </c>
      <c r="AC99" s="265" t="s">
        <v>654</v>
      </c>
      <c r="AD99" s="265" t="s">
        <v>2583</v>
      </c>
      <c r="AE99" s="265"/>
      <c r="AF99" s="265"/>
      <c r="AG99" s="265"/>
      <c r="AH99" s="265"/>
      <c r="AI99" s="265"/>
      <c r="AJ99" s="265"/>
    </row>
    <row r="100" spans="1:36" s="256" customFormat="1" ht="14.25" customHeight="1" x14ac:dyDescent="0.25">
      <c r="A100" s="256">
        <v>97</v>
      </c>
      <c r="B100" s="265" t="s">
        <v>2461</v>
      </c>
      <c r="C100" s="265" t="s">
        <v>1997</v>
      </c>
      <c r="D100" s="265" t="s">
        <v>1997</v>
      </c>
      <c r="E100" s="265" t="s">
        <v>2246</v>
      </c>
      <c r="F100" s="265" t="s">
        <v>2246</v>
      </c>
      <c r="G100" s="265"/>
      <c r="H100" s="265" t="s">
        <v>2780</v>
      </c>
      <c r="I100" s="265" t="s">
        <v>579</v>
      </c>
      <c r="J100" s="265" t="s">
        <v>2781</v>
      </c>
      <c r="K100" s="266">
        <v>45949</v>
      </c>
      <c r="L100" s="265"/>
      <c r="M100" s="265" t="s">
        <v>2782</v>
      </c>
      <c r="N100" s="265">
        <v>37</v>
      </c>
      <c r="O100" s="265" t="s">
        <v>402</v>
      </c>
      <c r="P100" s="265" t="s">
        <v>2782</v>
      </c>
      <c r="Q100" s="265" t="s">
        <v>2459</v>
      </c>
      <c r="R100" s="265">
        <v>3</v>
      </c>
      <c r="S100" s="265">
        <v>2</v>
      </c>
      <c r="T100" s="265">
        <v>3</v>
      </c>
      <c r="U100" s="265">
        <v>4</v>
      </c>
      <c r="V100" s="265">
        <v>3</v>
      </c>
      <c r="W100" s="265">
        <v>4</v>
      </c>
      <c r="X100" s="265" t="s">
        <v>2420</v>
      </c>
      <c r="Y100" s="265" t="s">
        <v>2420</v>
      </c>
      <c r="Z100" s="265" t="s">
        <v>654</v>
      </c>
      <c r="AA100" s="265" t="s">
        <v>654</v>
      </c>
      <c r="AB100" s="265" t="s">
        <v>654</v>
      </c>
      <c r="AC100" s="265" t="s">
        <v>654</v>
      </c>
      <c r="AD100" s="265" t="s">
        <v>2583</v>
      </c>
      <c r="AE100" s="265"/>
      <c r="AF100" s="265"/>
      <c r="AG100" s="265"/>
      <c r="AH100" s="265"/>
      <c r="AI100" s="265"/>
      <c r="AJ100" s="265"/>
    </row>
    <row r="101" spans="1:36" s="256" customFormat="1" ht="14.25" customHeight="1" x14ac:dyDescent="0.25">
      <c r="A101" s="256">
        <v>98</v>
      </c>
      <c r="B101" s="265" t="s">
        <v>2461</v>
      </c>
      <c r="C101" s="265" t="s">
        <v>1997</v>
      </c>
      <c r="D101" s="265" t="s">
        <v>1997</v>
      </c>
      <c r="E101" s="265" t="s">
        <v>2246</v>
      </c>
      <c r="F101" s="265" t="s">
        <v>2246</v>
      </c>
      <c r="G101" s="265"/>
      <c r="H101" s="265" t="s">
        <v>2777</v>
      </c>
      <c r="I101" s="265" t="s">
        <v>579</v>
      </c>
      <c r="J101" s="265" t="s">
        <v>2783</v>
      </c>
      <c r="K101" s="266">
        <v>45949</v>
      </c>
      <c r="L101" s="265"/>
      <c r="M101" s="265" t="s">
        <v>2784</v>
      </c>
      <c r="N101" s="265">
        <v>45</v>
      </c>
      <c r="O101" s="265" t="s">
        <v>402</v>
      </c>
      <c r="P101" s="265" t="s">
        <v>2784</v>
      </c>
      <c r="Q101" s="265" t="s">
        <v>2459</v>
      </c>
      <c r="R101" s="265">
        <v>3</v>
      </c>
      <c r="S101" s="265">
        <v>3</v>
      </c>
      <c r="T101" s="265">
        <v>3</v>
      </c>
      <c r="U101" s="265">
        <v>4</v>
      </c>
      <c r="V101" s="265">
        <v>3</v>
      </c>
      <c r="W101" s="265">
        <v>4</v>
      </c>
      <c r="X101" s="265" t="s">
        <v>2420</v>
      </c>
      <c r="Y101" s="265" t="s">
        <v>2420</v>
      </c>
      <c r="Z101" s="265" t="s">
        <v>654</v>
      </c>
      <c r="AA101" s="265" t="s">
        <v>654</v>
      </c>
      <c r="AB101" s="265" t="s">
        <v>654</v>
      </c>
      <c r="AC101" s="265" t="s">
        <v>654</v>
      </c>
      <c r="AD101" s="265" t="s">
        <v>2583</v>
      </c>
      <c r="AE101" s="265"/>
      <c r="AF101" s="265"/>
      <c r="AG101" s="265"/>
      <c r="AH101" s="265"/>
      <c r="AI101" s="265"/>
      <c r="AJ101" s="265"/>
    </row>
    <row r="102" spans="1:36" s="256" customFormat="1" ht="14.25" customHeight="1" x14ac:dyDescent="0.25">
      <c r="A102" s="256">
        <v>99</v>
      </c>
      <c r="B102" s="265" t="s">
        <v>2461</v>
      </c>
      <c r="C102" s="265" t="s">
        <v>1997</v>
      </c>
      <c r="D102" s="265" t="s">
        <v>1997</v>
      </c>
      <c r="E102" s="265" t="s">
        <v>1998</v>
      </c>
      <c r="F102" s="265" t="s">
        <v>2472</v>
      </c>
      <c r="G102" s="265"/>
      <c r="H102" s="265" t="s">
        <v>2785</v>
      </c>
      <c r="I102" s="265" t="s">
        <v>579</v>
      </c>
      <c r="J102" s="265" t="s">
        <v>2786</v>
      </c>
      <c r="K102" s="266">
        <v>45867</v>
      </c>
      <c r="L102" s="265"/>
      <c r="M102" s="265" t="s">
        <v>2787</v>
      </c>
      <c r="N102" s="265">
        <v>8</v>
      </c>
      <c r="O102" s="265" t="s">
        <v>402</v>
      </c>
      <c r="P102" s="265" t="s">
        <v>2788</v>
      </c>
      <c r="Q102" s="265" t="s">
        <v>2470</v>
      </c>
      <c r="R102" s="265">
        <v>3</v>
      </c>
      <c r="S102" s="265">
        <v>3</v>
      </c>
      <c r="T102" s="265">
        <v>4</v>
      </c>
      <c r="U102" s="265">
        <v>4</v>
      </c>
      <c r="V102" s="265">
        <v>4</v>
      </c>
      <c r="W102" s="265">
        <v>4</v>
      </c>
      <c r="X102" s="265" t="s">
        <v>2420</v>
      </c>
      <c r="Y102" s="265" t="s">
        <v>2420</v>
      </c>
      <c r="Z102" s="265" t="s">
        <v>654</v>
      </c>
      <c r="AA102" s="265" t="s">
        <v>654</v>
      </c>
      <c r="AB102" s="265" t="s">
        <v>654</v>
      </c>
      <c r="AC102" s="265" t="s">
        <v>654</v>
      </c>
      <c r="AD102" s="265" t="s">
        <v>2526</v>
      </c>
      <c r="AE102" s="265"/>
      <c r="AF102" s="265"/>
      <c r="AG102" s="265"/>
      <c r="AH102" s="265"/>
      <c r="AI102" s="265"/>
      <c r="AJ102" s="265"/>
    </row>
    <row r="103" spans="1:36" s="256" customFormat="1" ht="14.25" customHeight="1" x14ac:dyDescent="0.25">
      <c r="A103" s="256">
        <v>100</v>
      </c>
      <c r="B103" s="265" t="s">
        <v>399</v>
      </c>
      <c r="C103" s="265" t="s">
        <v>1997</v>
      </c>
      <c r="D103" s="265" t="s">
        <v>1997</v>
      </c>
      <c r="E103" s="265" t="s">
        <v>1998</v>
      </c>
      <c r="F103" s="265" t="s">
        <v>2455</v>
      </c>
      <c r="G103" s="265"/>
      <c r="H103" s="265" t="s">
        <v>2466</v>
      </c>
      <c r="I103" s="265" t="s">
        <v>579</v>
      </c>
      <c r="J103" s="265" t="s">
        <v>2789</v>
      </c>
      <c r="K103" s="266">
        <v>45976</v>
      </c>
      <c r="L103" s="265"/>
      <c r="M103" s="265" t="s">
        <v>2790</v>
      </c>
      <c r="N103" s="265">
        <v>68</v>
      </c>
      <c r="O103" s="265" t="s">
        <v>402</v>
      </c>
      <c r="P103" s="265" t="s">
        <v>2790</v>
      </c>
      <c r="Q103" s="265" t="s">
        <v>2459</v>
      </c>
      <c r="R103" s="265">
        <v>2</v>
      </c>
      <c r="S103" s="265">
        <v>2</v>
      </c>
      <c r="T103" s="265">
        <v>3</v>
      </c>
      <c r="U103" s="265">
        <v>2</v>
      </c>
      <c r="V103" s="265">
        <v>4</v>
      </c>
      <c r="W103" s="265">
        <v>2</v>
      </c>
      <c r="X103" s="265" t="s">
        <v>2420</v>
      </c>
      <c r="Y103" s="265" t="s">
        <v>2420</v>
      </c>
      <c r="Z103" s="265" t="s">
        <v>654</v>
      </c>
      <c r="AA103" s="265" t="s">
        <v>654</v>
      </c>
      <c r="AB103" s="265" t="s">
        <v>654</v>
      </c>
      <c r="AC103" s="265" t="s">
        <v>654</v>
      </c>
      <c r="AD103" s="265" t="s">
        <v>2465</v>
      </c>
      <c r="AE103" s="265"/>
      <c r="AF103" s="265"/>
      <c r="AG103" s="265"/>
      <c r="AH103" s="265"/>
      <c r="AI103" s="265"/>
      <c r="AJ103" s="265"/>
    </row>
    <row r="104" spans="1:36" s="256" customFormat="1" ht="14.25" customHeight="1" x14ac:dyDescent="0.25">
      <c r="A104" s="256">
        <v>101</v>
      </c>
      <c r="B104" s="265" t="s">
        <v>399</v>
      </c>
      <c r="C104" s="265" t="s">
        <v>1997</v>
      </c>
      <c r="D104" s="265" t="s">
        <v>1997</v>
      </c>
      <c r="E104" s="265" t="s">
        <v>1998</v>
      </c>
      <c r="F104" s="265" t="s">
        <v>2472</v>
      </c>
      <c r="G104" s="265"/>
      <c r="H104" s="265" t="s">
        <v>2518</v>
      </c>
      <c r="I104" s="265" t="s">
        <v>619</v>
      </c>
      <c r="J104" s="265" t="s">
        <v>2791</v>
      </c>
      <c r="K104" s="266">
        <v>45976</v>
      </c>
      <c r="L104" s="265"/>
      <c r="M104" s="265" t="s">
        <v>2184</v>
      </c>
      <c r="N104" s="265">
        <v>89</v>
      </c>
      <c r="O104" s="265" t="s">
        <v>603</v>
      </c>
      <c r="P104" s="265" t="s">
        <v>2184</v>
      </c>
      <c r="Q104" s="265" t="s">
        <v>2459</v>
      </c>
      <c r="R104" s="265">
        <v>3</v>
      </c>
      <c r="S104" s="265">
        <v>2</v>
      </c>
      <c r="T104" s="265">
        <v>3</v>
      </c>
      <c r="U104" s="265">
        <v>2</v>
      </c>
      <c r="V104" s="265">
        <v>3</v>
      </c>
      <c r="W104" s="265">
        <v>2</v>
      </c>
      <c r="X104" s="265" t="s">
        <v>2420</v>
      </c>
      <c r="Y104" s="265" t="s">
        <v>2420</v>
      </c>
      <c r="Z104" s="265" t="s">
        <v>654</v>
      </c>
      <c r="AA104" s="265" t="s">
        <v>654</v>
      </c>
      <c r="AB104" s="265" t="s">
        <v>654</v>
      </c>
      <c r="AC104" s="265" t="s">
        <v>654</v>
      </c>
      <c r="AD104" s="265" t="s">
        <v>2609</v>
      </c>
      <c r="AE104" s="265"/>
      <c r="AF104" s="265"/>
      <c r="AG104" s="265"/>
      <c r="AH104" s="265"/>
      <c r="AI104" s="265"/>
      <c r="AJ104" s="265"/>
    </row>
    <row r="105" spans="1:36" s="256" customFormat="1" ht="14.25" customHeight="1" x14ac:dyDescent="0.25">
      <c r="A105" s="256">
        <v>102</v>
      </c>
      <c r="B105" s="265" t="s">
        <v>399</v>
      </c>
      <c r="C105" s="265" t="s">
        <v>1997</v>
      </c>
      <c r="D105" s="265" t="s">
        <v>1997</v>
      </c>
      <c r="E105" s="265" t="s">
        <v>1998</v>
      </c>
      <c r="F105" s="265" t="s">
        <v>2472</v>
      </c>
      <c r="G105" s="265"/>
      <c r="H105" s="265" t="s">
        <v>2518</v>
      </c>
      <c r="I105" s="265" t="s">
        <v>619</v>
      </c>
      <c r="J105" s="265" t="s">
        <v>2792</v>
      </c>
      <c r="K105" s="266">
        <v>45976</v>
      </c>
      <c r="L105" s="265"/>
      <c r="M105" s="265" t="s">
        <v>2793</v>
      </c>
      <c r="N105" s="265">
        <v>33</v>
      </c>
      <c r="O105" s="265" t="s">
        <v>402</v>
      </c>
      <c r="P105" s="265" t="s">
        <v>2793</v>
      </c>
      <c r="Q105" s="265" t="s">
        <v>2459</v>
      </c>
      <c r="R105" s="265">
        <v>3</v>
      </c>
      <c r="S105" s="265">
        <v>2</v>
      </c>
      <c r="T105" s="265">
        <v>3</v>
      </c>
      <c r="U105" s="265">
        <v>4</v>
      </c>
      <c r="V105" s="265">
        <v>4</v>
      </c>
      <c r="W105" s="265">
        <v>2</v>
      </c>
      <c r="X105" s="265" t="s">
        <v>2420</v>
      </c>
      <c r="Y105" s="265" t="s">
        <v>2420</v>
      </c>
      <c r="Z105" s="265" t="s">
        <v>654</v>
      </c>
      <c r="AA105" s="265" t="s">
        <v>654</v>
      </c>
      <c r="AB105" s="265" t="s">
        <v>654</v>
      </c>
      <c r="AC105" s="265" t="s">
        <v>654</v>
      </c>
      <c r="AD105" s="265" t="s">
        <v>2609</v>
      </c>
      <c r="AE105" s="265"/>
      <c r="AF105" s="265"/>
      <c r="AG105" s="265"/>
      <c r="AH105" s="265"/>
      <c r="AI105" s="265"/>
      <c r="AJ105" s="265"/>
    </row>
    <row r="106" spans="1:36" s="256" customFormat="1" ht="14.25" customHeight="1" x14ac:dyDescent="0.25">
      <c r="A106" s="256">
        <v>103</v>
      </c>
      <c r="B106" s="265" t="s">
        <v>399</v>
      </c>
      <c r="C106" s="265" t="s">
        <v>1997</v>
      </c>
      <c r="D106" s="265" t="s">
        <v>1997</v>
      </c>
      <c r="E106" s="265" t="s">
        <v>1998</v>
      </c>
      <c r="F106" s="265" t="s">
        <v>2472</v>
      </c>
      <c r="G106" s="265"/>
      <c r="H106" s="265" t="s">
        <v>2518</v>
      </c>
      <c r="I106" s="265" t="s">
        <v>619</v>
      </c>
      <c r="J106" s="265" t="s">
        <v>2794</v>
      </c>
      <c r="K106" s="266">
        <v>45976</v>
      </c>
      <c r="L106" s="265"/>
      <c r="M106" s="265" t="s">
        <v>2795</v>
      </c>
      <c r="N106" s="265">
        <v>72</v>
      </c>
      <c r="O106" s="265" t="s">
        <v>402</v>
      </c>
      <c r="P106" s="265" t="s">
        <v>2795</v>
      </c>
      <c r="Q106" s="265" t="s">
        <v>2459</v>
      </c>
      <c r="R106" s="265">
        <v>2</v>
      </c>
      <c r="S106" s="265">
        <v>2</v>
      </c>
      <c r="T106" s="265">
        <v>3</v>
      </c>
      <c r="U106" s="265">
        <v>2</v>
      </c>
      <c r="V106" s="265">
        <v>4</v>
      </c>
      <c r="W106" s="265">
        <v>2</v>
      </c>
      <c r="X106" s="265" t="s">
        <v>2420</v>
      </c>
      <c r="Y106" s="265" t="s">
        <v>2420</v>
      </c>
      <c r="Z106" s="265" t="s">
        <v>654</v>
      </c>
      <c r="AA106" s="265" t="s">
        <v>654</v>
      </c>
      <c r="AB106" s="265" t="s">
        <v>654</v>
      </c>
      <c r="AC106" s="265" t="s">
        <v>654</v>
      </c>
      <c r="AD106" s="265" t="s">
        <v>2609</v>
      </c>
      <c r="AE106" s="265"/>
      <c r="AF106" s="265"/>
      <c r="AG106" s="265"/>
      <c r="AH106" s="265"/>
      <c r="AI106" s="265"/>
      <c r="AJ106" s="265"/>
    </row>
    <row r="107" spans="1:36" s="256" customFormat="1" ht="14.25" customHeight="1" x14ac:dyDescent="0.25">
      <c r="A107" s="256">
        <v>104</v>
      </c>
      <c r="B107" s="265" t="s">
        <v>399</v>
      </c>
      <c r="C107" s="265" t="s">
        <v>1997</v>
      </c>
      <c r="D107" s="265" t="s">
        <v>1997</v>
      </c>
      <c r="E107" s="265" t="s">
        <v>1998</v>
      </c>
      <c r="F107" s="265" t="s">
        <v>2222</v>
      </c>
      <c r="G107" s="265"/>
      <c r="H107" s="265" t="s">
        <v>2723</v>
      </c>
      <c r="I107" s="265" t="s">
        <v>579</v>
      </c>
      <c r="J107" s="265" t="s">
        <v>2796</v>
      </c>
      <c r="K107" s="266">
        <v>45976</v>
      </c>
      <c r="L107" s="265"/>
      <c r="M107" s="265" t="s">
        <v>2797</v>
      </c>
      <c r="N107" s="265">
        <v>70</v>
      </c>
      <c r="O107" s="265" t="s">
        <v>603</v>
      </c>
      <c r="P107" s="265" t="s">
        <v>2797</v>
      </c>
      <c r="Q107" s="265" t="s">
        <v>2459</v>
      </c>
      <c r="R107" s="265">
        <v>3</v>
      </c>
      <c r="S107" s="265">
        <v>3</v>
      </c>
      <c r="T107" s="265">
        <v>4</v>
      </c>
      <c r="U107" s="265">
        <v>3</v>
      </c>
      <c r="V107" s="265">
        <v>4</v>
      </c>
      <c r="W107" s="265">
        <v>3</v>
      </c>
      <c r="X107" s="265" t="s">
        <v>2420</v>
      </c>
      <c r="Y107" s="265" t="s">
        <v>2420</v>
      </c>
      <c r="Z107" s="265" t="s">
        <v>654</v>
      </c>
      <c r="AA107" s="265" t="s">
        <v>654</v>
      </c>
      <c r="AB107" s="265" t="s">
        <v>654</v>
      </c>
      <c r="AC107" s="265" t="s">
        <v>654</v>
      </c>
      <c r="AD107" s="265" t="s">
        <v>2595</v>
      </c>
      <c r="AE107" s="265"/>
      <c r="AF107" s="265"/>
      <c r="AG107" s="265"/>
      <c r="AH107" s="265"/>
      <c r="AI107" s="265"/>
      <c r="AJ107" s="265"/>
    </row>
    <row r="108" spans="1:36" s="256" customFormat="1" ht="14.25" customHeight="1" x14ac:dyDescent="0.25">
      <c r="A108" s="256">
        <v>105</v>
      </c>
      <c r="B108" s="265" t="s">
        <v>399</v>
      </c>
      <c r="C108" s="265" t="s">
        <v>1997</v>
      </c>
      <c r="D108" s="265" t="s">
        <v>1997</v>
      </c>
      <c r="E108" s="265" t="s">
        <v>1998</v>
      </c>
      <c r="F108" s="265" t="s">
        <v>2544</v>
      </c>
      <c r="G108" s="265"/>
      <c r="H108" s="265" t="s">
        <v>2798</v>
      </c>
      <c r="I108" s="265" t="s">
        <v>619</v>
      </c>
      <c r="J108" s="265" t="s">
        <v>2799</v>
      </c>
      <c r="K108" s="266">
        <v>45976</v>
      </c>
      <c r="L108" s="265"/>
      <c r="M108" s="265" t="s">
        <v>2800</v>
      </c>
      <c r="N108" s="265">
        <v>74</v>
      </c>
      <c r="O108" s="265" t="s">
        <v>603</v>
      </c>
      <c r="P108" s="265" t="s">
        <v>2800</v>
      </c>
      <c r="Q108" s="265" t="s">
        <v>2459</v>
      </c>
      <c r="R108" s="265">
        <v>2</v>
      </c>
      <c r="S108" s="265">
        <v>2</v>
      </c>
      <c r="T108" s="265">
        <v>3</v>
      </c>
      <c r="U108" s="265">
        <v>2</v>
      </c>
      <c r="V108" s="265">
        <v>4</v>
      </c>
      <c r="W108" s="265">
        <v>2</v>
      </c>
      <c r="X108" s="265" t="s">
        <v>2420</v>
      </c>
      <c r="Y108" s="265" t="s">
        <v>2420</v>
      </c>
      <c r="Z108" s="265" t="s">
        <v>654</v>
      </c>
      <c r="AA108" s="265" t="s">
        <v>654</v>
      </c>
      <c r="AB108" s="265" t="s">
        <v>654</v>
      </c>
      <c r="AC108" s="265" t="s">
        <v>654</v>
      </c>
      <c r="AD108" s="265" t="s">
        <v>2595</v>
      </c>
      <c r="AE108" s="265"/>
      <c r="AF108" s="265"/>
      <c r="AG108" s="265"/>
      <c r="AH108" s="265"/>
      <c r="AI108" s="265"/>
      <c r="AJ108" s="265"/>
    </row>
    <row r="109" spans="1:36" s="256" customFormat="1" ht="14.25" customHeight="1" x14ac:dyDescent="0.25">
      <c r="A109" s="256">
        <v>106</v>
      </c>
      <c r="B109" s="265" t="s">
        <v>399</v>
      </c>
      <c r="C109" s="265" t="s">
        <v>1997</v>
      </c>
      <c r="D109" s="265" t="s">
        <v>1997</v>
      </c>
      <c r="E109" s="265" t="s">
        <v>1998</v>
      </c>
      <c r="F109" s="265" t="s">
        <v>2544</v>
      </c>
      <c r="G109" s="265"/>
      <c r="H109" s="265" t="s">
        <v>2798</v>
      </c>
      <c r="I109" s="265" t="s">
        <v>619</v>
      </c>
      <c r="J109" s="265" t="s">
        <v>2801</v>
      </c>
      <c r="K109" s="266">
        <v>45976</v>
      </c>
      <c r="L109" s="265"/>
      <c r="M109" s="265" t="s">
        <v>2802</v>
      </c>
      <c r="N109" s="265">
        <v>65</v>
      </c>
      <c r="O109" s="265" t="s">
        <v>402</v>
      </c>
      <c r="P109" s="265" t="s">
        <v>2802</v>
      </c>
      <c r="Q109" s="265" t="s">
        <v>2459</v>
      </c>
      <c r="R109" s="265">
        <v>2</v>
      </c>
      <c r="S109" s="265">
        <v>2</v>
      </c>
      <c r="T109" s="265">
        <v>3</v>
      </c>
      <c r="U109" s="265">
        <v>2</v>
      </c>
      <c r="V109" s="265">
        <v>4</v>
      </c>
      <c r="W109" s="265">
        <v>2</v>
      </c>
      <c r="X109" s="265" t="s">
        <v>2420</v>
      </c>
      <c r="Y109" s="265" t="s">
        <v>2420</v>
      </c>
      <c r="Z109" s="265" t="s">
        <v>654</v>
      </c>
      <c r="AA109" s="265" t="s">
        <v>654</v>
      </c>
      <c r="AB109" s="265" t="s">
        <v>654</v>
      </c>
      <c r="AC109" s="265" t="s">
        <v>654</v>
      </c>
      <c r="AD109" s="265" t="s">
        <v>2595</v>
      </c>
      <c r="AE109" s="265"/>
      <c r="AF109" s="265"/>
      <c r="AG109" s="265"/>
      <c r="AH109" s="265"/>
      <c r="AI109" s="265"/>
      <c r="AJ109" s="265"/>
    </row>
    <row r="110" spans="1:36" s="256" customFormat="1" ht="14.25" customHeight="1" x14ac:dyDescent="0.25">
      <c r="A110" s="256">
        <v>107</v>
      </c>
      <c r="B110" s="265" t="s">
        <v>399</v>
      </c>
      <c r="C110" s="265" t="s">
        <v>1997</v>
      </c>
      <c r="D110" s="265" t="s">
        <v>1997</v>
      </c>
      <c r="E110" s="265" t="s">
        <v>1998</v>
      </c>
      <c r="F110" s="265" t="s">
        <v>2222</v>
      </c>
      <c r="G110" s="265"/>
      <c r="H110" s="265" t="s">
        <v>2723</v>
      </c>
      <c r="I110" s="265" t="s">
        <v>579</v>
      </c>
      <c r="J110" s="265" t="s">
        <v>2803</v>
      </c>
      <c r="K110" s="266">
        <v>45976</v>
      </c>
      <c r="L110" s="265"/>
      <c r="M110" s="265" t="s">
        <v>2126</v>
      </c>
      <c r="N110" s="265">
        <v>80</v>
      </c>
      <c r="O110" s="265" t="s">
        <v>603</v>
      </c>
      <c r="P110" s="265" t="s">
        <v>2126</v>
      </c>
      <c r="Q110" s="265" t="s">
        <v>2459</v>
      </c>
      <c r="R110" s="265">
        <v>3</v>
      </c>
      <c r="S110" s="265">
        <v>3</v>
      </c>
      <c r="T110" s="265">
        <v>4</v>
      </c>
      <c r="U110" s="265">
        <v>3</v>
      </c>
      <c r="V110" s="265">
        <v>4</v>
      </c>
      <c r="W110" s="265">
        <v>3</v>
      </c>
      <c r="X110" s="265" t="s">
        <v>2420</v>
      </c>
      <c r="Y110" s="265" t="s">
        <v>2420</v>
      </c>
      <c r="Z110" s="265" t="s">
        <v>654</v>
      </c>
      <c r="AA110" s="265" t="s">
        <v>654</v>
      </c>
      <c r="AB110" s="265" t="s">
        <v>654</v>
      </c>
      <c r="AC110" s="265" t="s">
        <v>654</v>
      </c>
      <c r="AD110" s="265" t="s">
        <v>2609</v>
      </c>
      <c r="AE110" s="265"/>
      <c r="AF110" s="265"/>
      <c r="AG110" s="265"/>
      <c r="AH110" s="265"/>
      <c r="AI110" s="265"/>
      <c r="AJ110" s="265"/>
    </row>
    <row r="111" spans="1:36" s="256" customFormat="1" ht="14.25" customHeight="1" x14ac:dyDescent="0.25">
      <c r="A111" s="256">
        <v>108</v>
      </c>
      <c r="B111" s="265" t="s">
        <v>399</v>
      </c>
      <c r="C111" s="265" t="s">
        <v>1997</v>
      </c>
      <c r="D111" s="265" t="s">
        <v>1997</v>
      </c>
      <c r="E111" s="265" t="s">
        <v>1998</v>
      </c>
      <c r="F111" s="265" t="s">
        <v>1999</v>
      </c>
      <c r="G111" s="265"/>
      <c r="H111" s="265" t="s">
        <v>2804</v>
      </c>
      <c r="I111" s="265" t="s">
        <v>579</v>
      </c>
      <c r="J111" s="265" t="s">
        <v>2805</v>
      </c>
      <c r="K111" s="266">
        <v>45976</v>
      </c>
      <c r="L111" s="265"/>
      <c r="M111" s="265" t="s">
        <v>2806</v>
      </c>
      <c r="N111" s="265">
        <v>75</v>
      </c>
      <c r="O111" s="265" t="s">
        <v>603</v>
      </c>
      <c r="P111" s="265" t="s">
        <v>2806</v>
      </c>
      <c r="Q111" s="265" t="s">
        <v>2459</v>
      </c>
      <c r="R111" s="265">
        <v>2</v>
      </c>
      <c r="S111" s="265">
        <v>2</v>
      </c>
      <c r="T111" s="265">
        <v>3</v>
      </c>
      <c r="U111" s="265">
        <v>2</v>
      </c>
      <c r="V111" s="265">
        <v>3</v>
      </c>
      <c r="W111" s="265">
        <v>2</v>
      </c>
      <c r="X111" s="265" t="s">
        <v>2420</v>
      </c>
      <c r="Y111" s="265" t="s">
        <v>2420</v>
      </c>
      <c r="Z111" s="265" t="s">
        <v>654</v>
      </c>
      <c r="AA111" s="265" t="s">
        <v>654</v>
      </c>
      <c r="AB111" s="265" t="s">
        <v>654</v>
      </c>
      <c r="AC111" s="265" t="s">
        <v>654</v>
      </c>
      <c r="AD111" s="265" t="s">
        <v>2609</v>
      </c>
      <c r="AE111" s="265"/>
      <c r="AF111" s="265"/>
      <c r="AG111" s="265"/>
      <c r="AH111" s="265"/>
      <c r="AI111" s="265"/>
      <c r="AJ111" s="265"/>
    </row>
    <row r="112" spans="1:36" s="256" customFormat="1" ht="14.25" customHeight="1" x14ac:dyDescent="0.25">
      <c r="A112" s="256">
        <v>109</v>
      </c>
      <c r="B112" s="265" t="s">
        <v>399</v>
      </c>
      <c r="C112" s="265" t="s">
        <v>1997</v>
      </c>
      <c r="D112" s="265" t="s">
        <v>1997</v>
      </c>
      <c r="E112" s="265" t="s">
        <v>1998</v>
      </c>
      <c r="F112" s="265" t="s">
        <v>2472</v>
      </c>
      <c r="G112" s="265"/>
      <c r="H112" s="265" t="s">
        <v>2807</v>
      </c>
      <c r="I112" s="265" t="s">
        <v>619</v>
      </c>
      <c r="J112" s="265" t="s">
        <v>2808</v>
      </c>
      <c r="K112" s="266">
        <v>45976</v>
      </c>
      <c r="L112" s="265"/>
      <c r="M112" s="265" t="s">
        <v>2809</v>
      </c>
      <c r="N112" s="265">
        <v>70</v>
      </c>
      <c r="O112" s="265" t="s">
        <v>603</v>
      </c>
      <c r="P112" s="265" t="s">
        <v>2809</v>
      </c>
      <c r="Q112" s="265" t="s">
        <v>2459</v>
      </c>
      <c r="R112" s="265">
        <v>2</v>
      </c>
      <c r="S112" s="265">
        <v>2</v>
      </c>
      <c r="T112" s="265">
        <v>3</v>
      </c>
      <c r="U112" s="265">
        <v>2</v>
      </c>
      <c r="V112" s="265">
        <v>3</v>
      </c>
      <c r="W112" s="265">
        <v>2</v>
      </c>
      <c r="X112" s="265" t="s">
        <v>2420</v>
      </c>
      <c r="Y112" s="265" t="s">
        <v>2420</v>
      </c>
      <c r="Z112" s="265" t="s">
        <v>654</v>
      </c>
      <c r="AA112" s="265" t="s">
        <v>654</v>
      </c>
      <c r="AB112" s="265" t="s">
        <v>654</v>
      </c>
      <c r="AC112" s="265" t="s">
        <v>654</v>
      </c>
      <c r="AD112" s="265" t="s">
        <v>2609</v>
      </c>
      <c r="AE112" s="265"/>
      <c r="AF112" s="265"/>
      <c r="AG112" s="265"/>
      <c r="AH112" s="265"/>
      <c r="AI112" s="265"/>
      <c r="AJ112" s="265"/>
    </row>
    <row r="113" spans="1:36" s="256" customFormat="1" ht="14.25" customHeight="1" x14ac:dyDescent="0.25">
      <c r="A113" s="256">
        <v>110</v>
      </c>
      <c r="B113" s="265" t="s">
        <v>399</v>
      </c>
      <c r="C113" s="265" t="s">
        <v>1997</v>
      </c>
      <c r="D113" s="265" t="s">
        <v>1997</v>
      </c>
      <c r="E113" s="265" t="s">
        <v>1998</v>
      </c>
      <c r="F113" s="265" t="s">
        <v>2472</v>
      </c>
      <c r="G113" s="265"/>
      <c r="H113" s="265" t="s">
        <v>2810</v>
      </c>
      <c r="I113" s="265" t="s">
        <v>619</v>
      </c>
      <c r="J113" s="265" t="s">
        <v>2811</v>
      </c>
      <c r="K113" s="266">
        <v>45976</v>
      </c>
      <c r="L113" s="265"/>
      <c r="M113" s="265" t="s">
        <v>2812</v>
      </c>
      <c r="N113" s="265">
        <v>50</v>
      </c>
      <c r="O113" s="265" t="s">
        <v>603</v>
      </c>
      <c r="P113" s="265" t="s">
        <v>2812</v>
      </c>
      <c r="Q113" s="265" t="s">
        <v>2459</v>
      </c>
      <c r="R113" s="265">
        <v>2</v>
      </c>
      <c r="S113" s="265">
        <v>1</v>
      </c>
      <c r="T113" s="265">
        <v>3</v>
      </c>
      <c r="U113" s="265">
        <v>2</v>
      </c>
      <c r="V113" s="265">
        <v>4</v>
      </c>
      <c r="W113" s="265">
        <v>2</v>
      </c>
      <c r="X113" s="265" t="s">
        <v>2420</v>
      </c>
      <c r="Y113" s="265" t="s">
        <v>2420</v>
      </c>
      <c r="Z113" s="265" t="s">
        <v>654</v>
      </c>
      <c r="AA113" s="265" t="s">
        <v>654</v>
      </c>
      <c r="AB113" s="265" t="s">
        <v>654</v>
      </c>
      <c r="AC113" s="265" t="s">
        <v>654</v>
      </c>
      <c r="AD113" s="265" t="s">
        <v>2706</v>
      </c>
      <c r="AE113" s="265"/>
      <c r="AF113" s="265"/>
      <c r="AG113" s="265"/>
      <c r="AH113" s="265"/>
      <c r="AI113" s="265"/>
      <c r="AJ113" s="265"/>
    </row>
    <row r="114" spans="1:36" s="256" customFormat="1" ht="14.25" customHeight="1" x14ac:dyDescent="0.25">
      <c r="A114" s="256">
        <v>111</v>
      </c>
      <c r="B114" s="265" t="s">
        <v>399</v>
      </c>
      <c r="C114" s="265" t="s">
        <v>1997</v>
      </c>
      <c r="D114" s="265" t="s">
        <v>1997</v>
      </c>
      <c r="E114" s="265" t="s">
        <v>1998</v>
      </c>
      <c r="F114" s="265" t="s">
        <v>2472</v>
      </c>
      <c r="G114" s="265"/>
      <c r="H114" s="265" t="s">
        <v>2518</v>
      </c>
      <c r="I114" s="265" t="s">
        <v>619</v>
      </c>
      <c r="J114" s="265" t="s">
        <v>2813</v>
      </c>
      <c r="K114" s="266">
        <v>45955</v>
      </c>
      <c r="L114" s="265"/>
      <c r="M114" s="265" t="s">
        <v>2814</v>
      </c>
      <c r="N114" s="265">
        <v>29</v>
      </c>
      <c r="O114" s="265" t="s">
        <v>603</v>
      </c>
      <c r="P114" s="265" t="s">
        <v>2814</v>
      </c>
      <c r="Q114" s="265" t="s">
        <v>2459</v>
      </c>
      <c r="R114" s="265">
        <v>3</v>
      </c>
      <c r="S114" s="265">
        <v>2</v>
      </c>
      <c r="T114" s="265">
        <v>3</v>
      </c>
      <c r="U114" s="265">
        <v>1</v>
      </c>
      <c r="V114" s="265">
        <v>3</v>
      </c>
      <c r="W114" s="265">
        <v>1</v>
      </c>
      <c r="X114" s="265" t="s">
        <v>2420</v>
      </c>
      <c r="Y114" s="265" t="s">
        <v>2420</v>
      </c>
      <c r="Z114" s="265" t="s">
        <v>654</v>
      </c>
      <c r="AA114" s="265" t="s">
        <v>654</v>
      </c>
      <c r="AB114" s="265" t="s">
        <v>654</v>
      </c>
      <c r="AC114" s="265" t="s">
        <v>654</v>
      </c>
      <c r="AD114" s="265" t="s">
        <v>2706</v>
      </c>
      <c r="AE114" s="265"/>
      <c r="AF114" s="265"/>
      <c r="AG114" s="265"/>
      <c r="AH114" s="265"/>
      <c r="AI114" s="265"/>
      <c r="AJ114" s="265"/>
    </row>
    <row r="115" spans="1:36" s="256" customFormat="1" ht="14.25" customHeight="1" x14ac:dyDescent="0.25">
      <c r="A115" s="256">
        <v>112</v>
      </c>
      <c r="B115" s="265" t="s">
        <v>399</v>
      </c>
      <c r="C115" s="265" t="s">
        <v>1997</v>
      </c>
      <c r="D115" s="265" t="s">
        <v>1997</v>
      </c>
      <c r="E115" s="265" t="s">
        <v>1998</v>
      </c>
      <c r="F115" s="265" t="s">
        <v>2815</v>
      </c>
      <c r="G115" s="265"/>
      <c r="H115" s="265" t="s">
        <v>2815</v>
      </c>
      <c r="I115" s="265" t="s">
        <v>619</v>
      </c>
      <c r="J115" s="265" t="s">
        <v>2718</v>
      </c>
      <c r="K115" s="266">
        <v>45961</v>
      </c>
      <c r="L115" s="265"/>
      <c r="M115" s="265" t="s">
        <v>2816</v>
      </c>
      <c r="N115" s="265">
        <v>40</v>
      </c>
      <c r="O115" s="265" t="s">
        <v>402</v>
      </c>
      <c r="P115" s="265" t="s">
        <v>2816</v>
      </c>
      <c r="Q115" s="265" t="s">
        <v>2459</v>
      </c>
      <c r="R115" s="265">
        <v>2</v>
      </c>
      <c r="S115" s="265">
        <v>1</v>
      </c>
      <c r="T115" s="265">
        <v>2</v>
      </c>
      <c r="U115" s="265">
        <v>2</v>
      </c>
      <c r="V115" s="265">
        <v>4</v>
      </c>
      <c r="W115" s="265">
        <v>3</v>
      </c>
      <c r="X115" s="265" t="s">
        <v>2420</v>
      </c>
      <c r="Y115" s="265" t="s">
        <v>2420</v>
      </c>
      <c r="Z115" s="265" t="s">
        <v>654</v>
      </c>
      <c r="AA115" s="265" t="s">
        <v>654</v>
      </c>
      <c r="AB115" s="265" t="s">
        <v>654</v>
      </c>
      <c r="AC115" s="265" t="s">
        <v>654</v>
      </c>
      <c r="AD115" s="265" t="s">
        <v>2706</v>
      </c>
      <c r="AE115" s="265"/>
      <c r="AF115" s="265"/>
      <c r="AG115" s="265"/>
      <c r="AH115" s="265"/>
      <c r="AI115" s="265"/>
      <c r="AJ115" s="265"/>
    </row>
    <row r="116" spans="1:36" s="256" customFormat="1" ht="14.25" customHeight="1" x14ac:dyDescent="0.25">
      <c r="A116" s="256">
        <v>113</v>
      </c>
      <c r="B116" s="265" t="s">
        <v>399</v>
      </c>
      <c r="C116" s="265" t="s">
        <v>1997</v>
      </c>
      <c r="D116" s="265" t="s">
        <v>1997</v>
      </c>
      <c r="E116" s="265" t="s">
        <v>1998</v>
      </c>
      <c r="F116" s="265" t="s">
        <v>2472</v>
      </c>
      <c r="G116" s="265"/>
      <c r="H116" s="265" t="s">
        <v>2518</v>
      </c>
      <c r="I116" s="265" t="s">
        <v>619</v>
      </c>
      <c r="J116" s="265" t="s">
        <v>2817</v>
      </c>
      <c r="K116" s="266">
        <v>45960</v>
      </c>
      <c r="L116" s="265"/>
      <c r="M116" s="265" t="s">
        <v>2818</v>
      </c>
      <c r="N116" s="265">
        <v>80</v>
      </c>
      <c r="O116" s="265" t="s">
        <v>603</v>
      </c>
      <c r="P116" s="265" t="s">
        <v>2819</v>
      </c>
      <c r="Q116" s="265" t="s">
        <v>2489</v>
      </c>
      <c r="R116" s="265">
        <v>3</v>
      </c>
      <c r="S116" s="265">
        <v>3</v>
      </c>
      <c r="T116" s="265">
        <v>4</v>
      </c>
      <c r="U116" s="265">
        <v>4</v>
      </c>
      <c r="V116" s="265">
        <v>4</v>
      </c>
      <c r="W116" s="265">
        <v>3</v>
      </c>
      <c r="X116" s="265" t="s">
        <v>2420</v>
      </c>
      <c r="Y116" s="265" t="s">
        <v>2420</v>
      </c>
      <c r="Z116" s="265" t="s">
        <v>654</v>
      </c>
      <c r="AA116" s="265" t="s">
        <v>654</v>
      </c>
      <c r="AB116" s="265" t="s">
        <v>654</v>
      </c>
      <c r="AC116" s="265" t="s">
        <v>654</v>
      </c>
      <c r="AD116" s="265" t="s">
        <v>2595</v>
      </c>
      <c r="AE116" s="265"/>
      <c r="AF116" s="265"/>
      <c r="AG116" s="265"/>
      <c r="AH116" s="265"/>
      <c r="AI116" s="265"/>
      <c r="AJ116" s="265"/>
    </row>
    <row r="117" spans="1:36" s="256" customFormat="1" ht="14.25" customHeight="1" x14ac:dyDescent="0.25">
      <c r="A117" s="256">
        <v>114</v>
      </c>
      <c r="B117" s="265" t="s">
        <v>399</v>
      </c>
      <c r="C117" s="265" t="s">
        <v>1997</v>
      </c>
      <c r="D117" s="265" t="s">
        <v>1997</v>
      </c>
      <c r="E117" s="265" t="s">
        <v>1998</v>
      </c>
      <c r="F117" s="265" t="s">
        <v>2479</v>
      </c>
      <c r="G117" s="265"/>
      <c r="H117" s="265" t="s">
        <v>2479</v>
      </c>
      <c r="I117" s="265" t="s">
        <v>619</v>
      </c>
      <c r="J117" s="265" t="s">
        <v>2820</v>
      </c>
      <c r="K117" s="266">
        <v>45961</v>
      </c>
      <c r="L117" s="265"/>
      <c r="M117" s="265" t="s">
        <v>2821</v>
      </c>
      <c r="N117" s="265">
        <v>66</v>
      </c>
      <c r="O117" s="265" t="s">
        <v>603</v>
      </c>
      <c r="P117" s="265" t="s">
        <v>2821</v>
      </c>
      <c r="Q117" s="265" t="s">
        <v>2459</v>
      </c>
      <c r="R117" s="265">
        <v>3</v>
      </c>
      <c r="S117" s="265">
        <v>3</v>
      </c>
      <c r="T117" s="265">
        <v>2</v>
      </c>
      <c r="U117" s="265">
        <v>4</v>
      </c>
      <c r="V117" s="265">
        <v>4</v>
      </c>
      <c r="W117" s="265">
        <v>3</v>
      </c>
      <c r="X117" s="265" t="s">
        <v>2420</v>
      </c>
      <c r="Y117" s="265" t="s">
        <v>2420</v>
      </c>
      <c r="Z117" s="265" t="s">
        <v>654</v>
      </c>
      <c r="AA117" s="265" t="s">
        <v>654</v>
      </c>
      <c r="AB117" s="265" t="s">
        <v>654</v>
      </c>
      <c r="AC117" s="265" t="s">
        <v>654</v>
      </c>
      <c r="AD117" s="265" t="s">
        <v>2595</v>
      </c>
      <c r="AE117" s="265"/>
      <c r="AF117" s="265"/>
      <c r="AG117" s="265"/>
      <c r="AH117" s="265"/>
      <c r="AI117" s="265"/>
      <c r="AJ117" s="265"/>
    </row>
    <row r="118" spans="1:36" s="256" customFormat="1" ht="14.25" customHeight="1" x14ac:dyDescent="0.25">
      <c r="A118" s="256">
        <v>115</v>
      </c>
      <c r="B118" s="265" t="s">
        <v>399</v>
      </c>
      <c r="C118" s="265" t="s">
        <v>1997</v>
      </c>
      <c r="D118" s="265" t="s">
        <v>1997</v>
      </c>
      <c r="E118" s="265" t="s">
        <v>1998</v>
      </c>
      <c r="F118" s="265" t="s">
        <v>2455</v>
      </c>
      <c r="G118" s="265"/>
      <c r="H118" s="265" t="s">
        <v>2455</v>
      </c>
      <c r="I118" s="265" t="s">
        <v>619</v>
      </c>
      <c r="J118" s="265" t="s">
        <v>2822</v>
      </c>
      <c r="K118" s="266">
        <v>45984</v>
      </c>
      <c r="L118" s="265"/>
      <c r="M118" s="265" t="s">
        <v>2823</v>
      </c>
      <c r="N118" s="265">
        <v>60</v>
      </c>
      <c r="O118" s="265" t="s">
        <v>603</v>
      </c>
      <c r="P118" s="265" t="s">
        <v>2824</v>
      </c>
      <c r="Q118" s="265" t="s">
        <v>2556</v>
      </c>
      <c r="R118" s="265">
        <v>4</v>
      </c>
      <c r="S118" s="265">
        <v>2</v>
      </c>
      <c r="T118" s="265">
        <v>4</v>
      </c>
      <c r="U118" s="265">
        <v>3</v>
      </c>
      <c r="V118" s="265">
        <v>4</v>
      </c>
      <c r="W118" s="265">
        <v>2</v>
      </c>
      <c r="X118" s="265" t="s">
        <v>2420</v>
      </c>
      <c r="Y118" s="265" t="s">
        <v>2420</v>
      </c>
      <c r="Z118" s="265" t="s">
        <v>654</v>
      </c>
      <c r="AA118" s="265" t="s">
        <v>654</v>
      </c>
      <c r="AB118" s="265" t="s">
        <v>654</v>
      </c>
      <c r="AC118" s="265" t="s">
        <v>654</v>
      </c>
      <c r="AD118" s="265" t="s">
        <v>2825</v>
      </c>
      <c r="AE118" s="265"/>
      <c r="AF118" s="265"/>
      <c r="AG118" s="265"/>
      <c r="AH118" s="265"/>
      <c r="AI118" s="265"/>
      <c r="AJ118" s="265"/>
    </row>
    <row r="119" spans="1:36" s="256" customFormat="1" ht="14.25" customHeight="1" x14ac:dyDescent="0.25">
      <c r="A119" s="256">
        <v>116</v>
      </c>
      <c r="B119" s="267" t="s">
        <v>399</v>
      </c>
      <c r="C119" s="267" t="s">
        <v>1997</v>
      </c>
      <c r="D119" s="267" t="s">
        <v>1997</v>
      </c>
      <c r="E119" s="267" t="s">
        <v>1998</v>
      </c>
      <c r="F119" s="267" t="s">
        <v>2472</v>
      </c>
      <c r="G119" s="267"/>
      <c r="H119" s="267" t="s">
        <v>2518</v>
      </c>
      <c r="I119" s="267" t="s">
        <v>619</v>
      </c>
      <c r="J119" s="267" t="s">
        <v>2826</v>
      </c>
      <c r="K119" s="268">
        <v>45984</v>
      </c>
      <c r="L119" s="267"/>
      <c r="M119" s="267" t="s">
        <v>2827</v>
      </c>
      <c r="N119" s="267">
        <v>62</v>
      </c>
      <c r="O119" s="267" t="s">
        <v>603</v>
      </c>
      <c r="P119" s="267" t="s">
        <v>2827</v>
      </c>
      <c r="Q119" s="267" t="s">
        <v>2459</v>
      </c>
      <c r="R119" s="267">
        <v>2</v>
      </c>
      <c r="S119" s="267">
        <v>2</v>
      </c>
      <c r="T119" s="267">
        <v>3</v>
      </c>
      <c r="U119" s="267">
        <v>2</v>
      </c>
      <c r="V119" s="267">
        <v>4</v>
      </c>
      <c r="W119" s="267">
        <v>2</v>
      </c>
      <c r="X119" s="267" t="s">
        <v>2420</v>
      </c>
      <c r="Y119" s="267" t="s">
        <v>2420</v>
      </c>
      <c r="Z119" s="267" t="s">
        <v>654</v>
      </c>
      <c r="AA119" s="267" t="s">
        <v>654</v>
      </c>
      <c r="AB119" s="267" t="s">
        <v>654</v>
      </c>
      <c r="AC119" s="267" t="s">
        <v>654</v>
      </c>
      <c r="AD119" s="267" t="s">
        <v>2825</v>
      </c>
      <c r="AE119" s="267"/>
      <c r="AF119" s="267"/>
      <c r="AG119" s="267"/>
      <c r="AH119" s="267"/>
      <c r="AI119" s="267"/>
      <c r="AJ119" s="267"/>
    </row>
    <row r="120" spans="1:36" s="256" customFormat="1" ht="14.25" customHeight="1" x14ac:dyDescent="0.25">
      <c r="A120" s="256">
        <v>117</v>
      </c>
      <c r="B120" s="265" t="s">
        <v>2461</v>
      </c>
      <c r="C120" s="265" t="s">
        <v>1997</v>
      </c>
      <c r="D120" s="265" t="s">
        <v>1997</v>
      </c>
      <c r="E120" s="265" t="s">
        <v>1998</v>
      </c>
      <c r="F120" s="265" t="s">
        <v>1999</v>
      </c>
      <c r="G120" s="265"/>
      <c r="H120" s="265" t="s">
        <v>1999</v>
      </c>
      <c r="I120" s="265" t="s">
        <v>619</v>
      </c>
      <c r="J120" s="265" t="s">
        <v>2753</v>
      </c>
      <c r="K120" s="266">
        <v>45963</v>
      </c>
      <c r="L120" s="265">
        <v>1</v>
      </c>
      <c r="M120" s="265" t="s">
        <v>2754</v>
      </c>
      <c r="N120" s="265">
        <v>67</v>
      </c>
      <c r="O120" s="265" t="s">
        <v>603</v>
      </c>
      <c r="P120" s="265" t="s">
        <v>2754</v>
      </c>
      <c r="Q120" s="265" t="s">
        <v>2459</v>
      </c>
      <c r="R120" s="265">
        <v>3</v>
      </c>
      <c r="S120" s="265">
        <v>3</v>
      </c>
      <c r="T120" s="265">
        <v>3</v>
      </c>
      <c r="U120" s="265">
        <v>3</v>
      </c>
      <c r="V120" s="265">
        <v>4</v>
      </c>
      <c r="W120" s="265">
        <v>3</v>
      </c>
      <c r="X120" s="265" t="s">
        <v>2420</v>
      </c>
      <c r="Y120" s="265" t="s">
        <v>2420</v>
      </c>
      <c r="Z120" s="265" t="s">
        <v>654</v>
      </c>
      <c r="AA120" s="265" t="s">
        <v>654</v>
      </c>
      <c r="AB120" s="265" t="s">
        <v>654</v>
      </c>
      <c r="AC120" s="265" t="s">
        <v>654</v>
      </c>
      <c r="AD120" s="265" t="s">
        <v>2609</v>
      </c>
      <c r="AE120" s="265"/>
      <c r="AF120" s="265"/>
      <c r="AG120" s="265"/>
      <c r="AH120" s="265"/>
      <c r="AI120" s="265"/>
      <c r="AJ120" s="265"/>
    </row>
    <row r="121" spans="1:36" s="256" customFormat="1" ht="14.25" customHeight="1" x14ac:dyDescent="0.25">
      <c r="A121" s="256">
        <v>118</v>
      </c>
      <c r="B121" s="265" t="s">
        <v>2461</v>
      </c>
      <c r="C121" s="265" t="s">
        <v>1997</v>
      </c>
      <c r="D121" s="265" t="s">
        <v>1997</v>
      </c>
      <c r="E121" s="265" t="s">
        <v>2246</v>
      </c>
      <c r="F121" s="265" t="s">
        <v>2246</v>
      </c>
      <c r="G121" s="265"/>
      <c r="H121" s="265" t="s">
        <v>2828</v>
      </c>
      <c r="I121" s="265" t="s">
        <v>619</v>
      </c>
      <c r="J121" s="265" t="s">
        <v>2829</v>
      </c>
      <c r="K121" s="266">
        <v>45963</v>
      </c>
      <c r="L121" s="265">
        <v>2</v>
      </c>
      <c r="M121" s="265" t="s">
        <v>2830</v>
      </c>
      <c r="N121" s="265">
        <v>35</v>
      </c>
      <c r="O121" s="265" t="s">
        <v>402</v>
      </c>
      <c r="P121" s="265" t="s">
        <v>2831</v>
      </c>
      <c r="Q121" s="265" t="s">
        <v>2459</v>
      </c>
      <c r="R121" s="265">
        <v>2</v>
      </c>
      <c r="S121" s="265">
        <v>2</v>
      </c>
      <c r="T121" s="265">
        <v>3</v>
      </c>
      <c r="U121" s="265">
        <v>2</v>
      </c>
      <c r="V121" s="265">
        <v>3</v>
      </c>
      <c r="W121" s="265">
        <v>2</v>
      </c>
      <c r="X121" s="265" t="s">
        <v>2420</v>
      </c>
      <c r="Y121" s="265" t="s">
        <v>2420</v>
      </c>
      <c r="Z121" s="265" t="s">
        <v>654</v>
      </c>
      <c r="AA121" s="265" t="s">
        <v>654</v>
      </c>
      <c r="AB121" s="265" t="s">
        <v>654</v>
      </c>
      <c r="AC121" s="265" t="s">
        <v>654</v>
      </c>
      <c r="AD121" s="265" t="s">
        <v>2609</v>
      </c>
      <c r="AE121" s="265"/>
      <c r="AF121" s="265"/>
      <c r="AG121" s="265"/>
      <c r="AH121" s="265"/>
      <c r="AI121" s="265"/>
      <c r="AJ121" s="265"/>
    </row>
    <row r="122" spans="1:36" s="256" customFormat="1" ht="14.25" customHeight="1" x14ac:dyDescent="0.25">
      <c r="A122" s="256">
        <v>119</v>
      </c>
      <c r="B122" s="265" t="s">
        <v>2461</v>
      </c>
      <c r="C122" s="265" t="s">
        <v>1997</v>
      </c>
      <c r="D122" s="265" t="s">
        <v>1997</v>
      </c>
      <c r="E122" s="265" t="s">
        <v>2246</v>
      </c>
      <c r="F122" s="265" t="s">
        <v>2246</v>
      </c>
      <c r="G122" s="265"/>
      <c r="H122" s="265" t="s">
        <v>2246</v>
      </c>
      <c r="I122" s="265" t="s">
        <v>619</v>
      </c>
      <c r="J122" s="265" t="s">
        <v>2832</v>
      </c>
      <c r="K122" s="266">
        <v>45963</v>
      </c>
      <c r="L122" s="265">
        <v>3</v>
      </c>
      <c r="M122" s="265" t="s">
        <v>2833</v>
      </c>
      <c r="N122" s="265">
        <v>81</v>
      </c>
      <c r="O122" s="265" t="s">
        <v>603</v>
      </c>
      <c r="P122" s="265" t="s">
        <v>2833</v>
      </c>
      <c r="Q122" s="265" t="s">
        <v>2459</v>
      </c>
      <c r="R122" s="265">
        <v>2</v>
      </c>
      <c r="S122" s="265">
        <v>2</v>
      </c>
      <c r="T122" s="265">
        <v>3</v>
      </c>
      <c r="U122" s="265">
        <v>3</v>
      </c>
      <c r="V122" s="265">
        <v>4</v>
      </c>
      <c r="W122" s="265">
        <v>2</v>
      </c>
      <c r="X122" s="265" t="s">
        <v>2420</v>
      </c>
      <c r="Y122" s="265" t="s">
        <v>2420</v>
      </c>
      <c r="Z122" s="265" t="s">
        <v>654</v>
      </c>
      <c r="AA122" s="265" t="s">
        <v>654</v>
      </c>
      <c r="AB122" s="265" t="s">
        <v>654</v>
      </c>
      <c r="AC122" s="265" t="s">
        <v>654</v>
      </c>
      <c r="AD122" s="265" t="s">
        <v>2609</v>
      </c>
      <c r="AE122" s="265"/>
      <c r="AF122" s="265"/>
      <c r="AG122" s="265"/>
      <c r="AH122" s="265"/>
      <c r="AI122" s="265"/>
      <c r="AJ122" s="265"/>
    </row>
    <row r="123" spans="1:36" s="256" customFormat="1" ht="14.25" customHeight="1" x14ac:dyDescent="0.25">
      <c r="A123" s="256">
        <v>120</v>
      </c>
      <c r="B123" s="265" t="s">
        <v>2461</v>
      </c>
      <c r="C123" s="265" t="s">
        <v>1997</v>
      </c>
      <c r="D123" s="265" t="s">
        <v>1997</v>
      </c>
      <c r="E123" s="265" t="s">
        <v>2246</v>
      </c>
      <c r="F123" s="265" t="s">
        <v>2246</v>
      </c>
      <c r="G123" s="265"/>
      <c r="H123" s="265" t="s">
        <v>2246</v>
      </c>
      <c r="I123" s="265" t="s">
        <v>619</v>
      </c>
      <c r="J123" s="265" t="s">
        <v>2623</v>
      </c>
      <c r="K123" s="266">
        <v>45963</v>
      </c>
      <c r="L123" s="265">
        <v>4</v>
      </c>
      <c r="M123" s="265" t="s">
        <v>2834</v>
      </c>
      <c r="N123" s="265">
        <v>65</v>
      </c>
      <c r="O123" s="265" t="s">
        <v>603</v>
      </c>
      <c r="P123" s="265" t="s">
        <v>2834</v>
      </c>
      <c r="Q123" s="265" t="s">
        <v>2459</v>
      </c>
      <c r="R123" s="265">
        <v>2</v>
      </c>
      <c r="S123" s="265">
        <v>2</v>
      </c>
      <c r="T123" s="265">
        <v>3</v>
      </c>
      <c r="U123" s="265">
        <v>3</v>
      </c>
      <c r="V123" s="265">
        <v>3</v>
      </c>
      <c r="W123" s="265">
        <v>2</v>
      </c>
      <c r="X123" s="265" t="s">
        <v>2420</v>
      </c>
      <c r="Y123" s="265" t="s">
        <v>2420</v>
      </c>
      <c r="Z123" s="265" t="s">
        <v>654</v>
      </c>
      <c r="AA123" s="265" t="s">
        <v>654</v>
      </c>
      <c r="AB123" s="265" t="s">
        <v>654</v>
      </c>
      <c r="AC123" s="265" t="s">
        <v>654</v>
      </c>
      <c r="AD123" s="265" t="s">
        <v>2609</v>
      </c>
      <c r="AE123" s="265"/>
      <c r="AF123" s="265"/>
      <c r="AG123" s="265"/>
      <c r="AH123" s="265"/>
      <c r="AI123" s="265"/>
      <c r="AJ123" s="265"/>
    </row>
    <row r="124" spans="1:36" s="256" customFormat="1" ht="14.25" customHeight="1" x14ac:dyDescent="0.25">
      <c r="A124" s="256">
        <v>121</v>
      </c>
      <c r="B124" s="265" t="s">
        <v>2461</v>
      </c>
      <c r="C124" s="265" t="s">
        <v>1997</v>
      </c>
      <c r="D124" s="265" t="s">
        <v>1997</v>
      </c>
      <c r="E124" s="265" t="s">
        <v>2246</v>
      </c>
      <c r="F124" s="265" t="s">
        <v>2246</v>
      </c>
      <c r="G124" s="265"/>
      <c r="H124" s="265" t="s">
        <v>2272</v>
      </c>
      <c r="I124" s="265" t="s">
        <v>579</v>
      </c>
      <c r="J124" s="265" t="s">
        <v>2835</v>
      </c>
      <c r="K124" s="266">
        <v>45964</v>
      </c>
      <c r="L124" s="265"/>
      <c r="M124" s="265" t="s">
        <v>2836</v>
      </c>
      <c r="N124" s="265">
        <v>86</v>
      </c>
      <c r="O124" s="265" t="s">
        <v>603</v>
      </c>
      <c r="P124" s="265" t="s">
        <v>2112</v>
      </c>
      <c r="Q124" s="265" t="s">
        <v>2556</v>
      </c>
      <c r="R124" s="265">
        <v>2</v>
      </c>
      <c r="S124" s="265">
        <v>2</v>
      </c>
      <c r="T124" s="265">
        <v>3</v>
      </c>
      <c r="U124" s="265">
        <v>2</v>
      </c>
      <c r="V124" s="265">
        <v>4</v>
      </c>
      <c r="W124" s="265">
        <v>2</v>
      </c>
      <c r="X124" s="265" t="s">
        <v>2420</v>
      </c>
      <c r="Y124" s="265" t="s">
        <v>2420</v>
      </c>
      <c r="Z124" s="265" t="s">
        <v>654</v>
      </c>
      <c r="AA124" s="265" t="s">
        <v>654</v>
      </c>
      <c r="AB124" s="265" t="s">
        <v>654</v>
      </c>
      <c r="AC124" s="265" t="s">
        <v>654</v>
      </c>
      <c r="AD124" s="265" t="s">
        <v>2609</v>
      </c>
      <c r="AE124" s="265"/>
      <c r="AF124" s="265"/>
      <c r="AG124" s="265"/>
      <c r="AH124" s="265"/>
      <c r="AI124" s="265"/>
      <c r="AJ124" s="265"/>
    </row>
    <row r="125" spans="1:36" s="256" customFormat="1" ht="14.25" customHeight="1" x14ac:dyDescent="0.25">
      <c r="A125" s="256">
        <v>122</v>
      </c>
      <c r="B125" s="265" t="s">
        <v>2461</v>
      </c>
      <c r="C125" s="265" t="s">
        <v>1997</v>
      </c>
      <c r="D125" s="265" t="s">
        <v>1997</v>
      </c>
      <c r="E125" s="265" t="s">
        <v>1998</v>
      </c>
      <c r="F125" s="265" t="s">
        <v>2544</v>
      </c>
      <c r="G125" s="265"/>
      <c r="H125" s="265" t="s">
        <v>2837</v>
      </c>
      <c r="I125" s="265" t="s">
        <v>579</v>
      </c>
      <c r="J125" s="265" t="s">
        <v>2838</v>
      </c>
      <c r="K125" s="266">
        <v>45964</v>
      </c>
      <c r="L125" s="265"/>
      <c r="M125" s="265" t="s">
        <v>2839</v>
      </c>
      <c r="N125" s="265">
        <v>72</v>
      </c>
      <c r="O125" s="265" t="s">
        <v>603</v>
      </c>
      <c r="P125" s="265" t="s">
        <v>2605</v>
      </c>
      <c r="Q125" s="265" t="s">
        <v>2459</v>
      </c>
      <c r="R125" s="265">
        <v>3</v>
      </c>
      <c r="S125" s="265">
        <v>3</v>
      </c>
      <c r="T125" s="265">
        <v>3</v>
      </c>
      <c r="U125" s="265">
        <v>3</v>
      </c>
      <c r="V125" s="265">
        <v>3</v>
      </c>
      <c r="W125" s="265">
        <v>3</v>
      </c>
      <c r="X125" s="265" t="s">
        <v>2420</v>
      </c>
      <c r="Y125" s="265" t="s">
        <v>2420</v>
      </c>
      <c r="Z125" s="265" t="s">
        <v>654</v>
      </c>
      <c r="AA125" s="265" t="s">
        <v>654</v>
      </c>
      <c r="AB125" s="265" t="s">
        <v>654</v>
      </c>
      <c r="AC125" s="265" t="s">
        <v>654</v>
      </c>
      <c r="AD125" s="265" t="s">
        <v>2609</v>
      </c>
      <c r="AE125" s="265"/>
      <c r="AF125" s="265"/>
      <c r="AG125" s="265"/>
      <c r="AH125" s="265"/>
      <c r="AI125" s="265"/>
      <c r="AJ125" s="265"/>
    </row>
    <row r="126" spans="1:36" s="256" customFormat="1" ht="14.25" customHeight="1" x14ac:dyDescent="0.25">
      <c r="A126" s="256">
        <v>123</v>
      </c>
      <c r="B126" s="265" t="s">
        <v>2461</v>
      </c>
      <c r="C126" s="265" t="s">
        <v>1997</v>
      </c>
      <c r="D126" s="265" t="s">
        <v>1997</v>
      </c>
      <c r="E126" s="265" t="s">
        <v>2246</v>
      </c>
      <c r="F126" s="265" t="s">
        <v>2246</v>
      </c>
      <c r="G126" s="265"/>
      <c r="H126" s="265" t="s">
        <v>2620</v>
      </c>
      <c r="I126" s="265" t="s">
        <v>619</v>
      </c>
      <c r="J126" s="265" t="s">
        <v>2840</v>
      </c>
      <c r="K126" s="266">
        <v>45964</v>
      </c>
      <c r="L126" s="265"/>
      <c r="M126" s="265" t="s">
        <v>2841</v>
      </c>
      <c r="N126" s="265">
        <v>94</v>
      </c>
      <c r="O126" s="265" t="s">
        <v>603</v>
      </c>
      <c r="P126" s="265" t="s">
        <v>2841</v>
      </c>
      <c r="Q126" s="265" t="s">
        <v>2459</v>
      </c>
      <c r="R126" s="265">
        <v>3</v>
      </c>
      <c r="S126" s="265">
        <v>3</v>
      </c>
      <c r="T126" s="265">
        <v>3</v>
      </c>
      <c r="U126" s="265">
        <v>3</v>
      </c>
      <c r="V126" s="265">
        <v>4</v>
      </c>
      <c r="W126" s="265">
        <v>3</v>
      </c>
      <c r="X126" s="265" t="s">
        <v>2420</v>
      </c>
      <c r="Y126" s="265" t="s">
        <v>2420</v>
      </c>
      <c r="Z126" s="265" t="s">
        <v>654</v>
      </c>
      <c r="AA126" s="265" t="s">
        <v>654</v>
      </c>
      <c r="AB126" s="265" t="s">
        <v>654</v>
      </c>
      <c r="AC126" s="265" t="s">
        <v>654</v>
      </c>
      <c r="AD126" s="265" t="s">
        <v>2609</v>
      </c>
      <c r="AE126" s="265"/>
      <c r="AF126" s="265"/>
      <c r="AG126" s="265"/>
      <c r="AH126" s="265"/>
      <c r="AI126" s="265"/>
      <c r="AJ126" s="265"/>
    </row>
    <row r="127" spans="1:36" s="256" customFormat="1" ht="14.25" customHeight="1" x14ac:dyDescent="0.25">
      <c r="A127" s="256">
        <v>124</v>
      </c>
      <c r="B127" s="265" t="s">
        <v>2461</v>
      </c>
      <c r="C127" s="265" t="s">
        <v>1997</v>
      </c>
      <c r="D127" s="265" t="s">
        <v>1997</v>
      </c>
      <c r="E127" s="265" t="s">
        <v>1998</v>
      </c>
      <c r="F127" s="265" t="s">
        <v>1999</v>
      </c>
      <c r="G127" s="265"/>
      <c r="H127" s="265" t="s">
        <v>1999</v>
      </c>
      <c r="I127" s="265" t="s">
        <v>619</v>
      </c>
      <c r="J127" s="269" t="s">
        <v>2842</v>
      </c>
      <c r="K127" s="266">
        <v>45964</v>
      </c>
      <c r="L127" s="265"/>
      <c r="M127" s="265" t="s">
        <v>2834</v>
      </c>
      <c r="N127" s="265">
        <v>62</v>
      </c>
      <c r="O127" s="265" t="s">
        <v>603</v>
      </c>
      <c r="P127" s="265" t="s">
        <v>2834</v>
      </c>
      <c r="Q127" s="265" t="s">
        <v>2459</v>
      </c>
      <c r="R127" s="265">
        <v>3</v>
      </c>
      <c r="S127" s="265">
        <v>3</v>
      </c>
      <c r="T127" s="265">
        <v>3</v>
      </c>
      <c r="U127" s="265">
        <v>3</v>
      </c>
      <c r="V127" s="265">
        <v>4</v>
      </c>
      <c r="W127" s="265">
        <v>3</v>
      </c>
      <c r="X127" s="265" t="s">
        <v>2420</v>
      </c>
      <c r="Y127" s="265" t="s">
        <v>2420</v>
      </c>
      <c r="Z127" s="265" t="s">
        <v>654</v>
      </c>
      <c r="AA127" s="265" t="s">
        <v>654</v>
      </c>
      <c r="AB127" s="265" t="s">
        <v>654</v>
      </c>
      <c r="AC127" s="265" t="s">
        <v>654</v>
      </c>
      <c r="AD127" s="265" t="s">
        <v>2609</v>
      </c>
      <c r="AE127" s="265"/>
      <c r="AF127" s="265"/>
      <c r="AG127" s="265"/>
      <c r="AH127" s="265"/>
      <c r="AI127" s="265"/>
      <c r="AJ127" s="265"/>
    </row>
    <row r="128" spans="1:36" s="256" customFormat="1" ht="14.25" customHeight="1" x14ac:dyDescent="0.25">
      <c r="A128" s="256">
        <v>125</v>
      </c>
      <c r="B128" s="265" t="s">
        <v>2461</v>
      </c>
      <c r="C128" s="265" t="s">
        <v>1997</v>
      </c>
      <c r="D128" s="265" t="s">
        <v>1997</v>
      </c>
      <c r="E128" s="265" t="s">
        <v>2246</v>
      </c>
      <c r="F128" s="265" t="s">
        <v>2246</v>
      </c>
      <c r="G128" s="265"/>
      <c r="H128" s="265" t="s">
        <v>2620</v>
      </c>
      <c r="I128" s="265" t="s">
        <v>619</v>
      </c>
      <c r="J128" s="265" t="s">
        <v>2843</v>
      </c>
      <c r="K128" s="266">
        <v>45964</v>
      </c>
      <c r="L128" s="265"/>
      <c r="M128" s="265" t="s">
        <v>2844</v>
      </c>
      <c r="N128" s="265">
        <v>85</v>
      </c>
      <c r="O128" s="265" t="s">
        <v>402</v>
      </c>
      <c r="P128" s="265" t="s">
        <v>2844</v>
      </c>
      <c r="Q128" s="265" t="s">
        <v>2459</v>
      </c>
      <c r="R128" s="265">
        <v>3</v>
      </c>
      <c r="S128" s="265">
        <v>3</v>
      </c>
      <c r="T128" s="265">
        <v>3</v>
      </c>
      <c r="U128" s="265">
        <v>3</v>
      </c>
      <c r="V128" s="265">
        <v>3</v>
      </c>
      <c r="W128" s="265">
        <v>3</v>
      </c>
      <c r="X128" s="265" t="s">
        <v>2420</v>
      </c>
      <c r="Y128" s="265" t="s">
        <v>2420</v>
      </c>
      <c r="Z128" s="265" t="s">
        <v>654</v>
      </c>
      <c r="AA128" s="265" t="s">
        <v>654</v>
      </c>
      <c r="AB128" s="265" t="s">
        <v>654</v>
      </c>
      <c r="AC128" s="265" t="s">
        <v>654</v>
      </c>
      <c r="AD128" s="265" t="s">
        <v>2609</v>
      </c>
      <c r="AE128" s="265"/>
      <c r="AF128" s="265"/>
      <c r="AG128" s="265"/>
      <c r="AH128" s="265"/>
      <c r="AI128" s="265"/>
      <c r="AJ128" s="265"/>
    </row>
    <row r="129" spans="1:36" s="256" customFormat="1" ht="14.25" customHeight="1" x14ac:dyDescent="0.25">
      <c r="A129" s="256">
        <v>126</v>
      </c>
      <c r="B129" s="265" t="s">
        <v>2461</v>
      </c>
      <c r="C129" s="265" t="s">
        <v>1997</v>
      </c>
      <c r="D129" s="265" t="s">
        <v>1997</v>
      </c>
      <c r="E129" s="265" t="s">
        <v>1998</v>
      </c>
      <c r="F129" s="265" t="s">
        <v>2455</v>
      </c>
      <c r="G129" s="265"/>
      <c r="H129" s="265" t="s">
        <v>2455</v>
      </c>
      <c r="I129" s="265" t="s">
        <v>619</v>
      </c>
      <c r="J129" s="265" t="s">
        <v>2845</v>
      </c>
      <c r="K129" s="266">
        <v>45965</v>
      </c>
      <c r="L129" s="265"/>
      <c r="M129" s="265" t="s">
        <v>2846</v>
      </c>
      <c r="N129" s="265">
        <v>62</v>
      </c>
      <c r="O129" s="265" t="s">
        <v>402</v>
      </c>
      <c r="P129" s="265" t="s">
        <v>2847</v>
      </c>
      <c r="Q129" s="265" t="s">
        <v>2681</v>
      </c>
      <c r="R129" s="265">
        <v>2</v>
      </c>
      <c r="S129" s="265">
        <v>2</v>
      </c>
      <c r="T129" s="265">
        <v>4</v>
      </c>
      <c r="U129" s="265">
        <v>2</v>
      </c>
      <c r="V129" s="265">
        <v>4</v>
      </c>
      <c r="W129" s="265">
        <v>2</v>
      </c>
      <c r="X129" s="265" t="s">
        <v>2420</v>
      </c>
      <c r="Y129" s="265" t="s">
        <v>2420</v>
      </c>
      <c r="Z129" s="265" t="s">
        <v>654</v>
      </c>
      <c r="AA129" s="265" t="s">
        <v>654</v>
      </c>
      <c r="AB129" s="265" t="s">
        <v>654</v>
      </c>
      <c r="AC129" s="265" t="s">
        <v>654</v>
      </c>
      <c r="AD129" s="265" t="s">
        <v>2609</v>
      </c>
      <c r="AE129" s="265"/>
      <c r="AF129" s="265"/>
      <c r="AG129" s="265"/>
      <c r="AH129" s="265"/>
      <c r="AI129" s="265"/>
      <c r="AJ129" s="265"/>
    </row>
    <row r="130" spans="1:36" s="256" customFormat="1" ht="14.25" customHeight="1" x14ac:dyDescent="0.25">
      <c r="A130" s="256">
        <v>127</v>
      </c>
      <c r="B130" s="265" t="s">
        <v>2461</v>
      </c>
      <c r="C130" s="265" t="s">
        <v>1997</v>
      </c>
      <c r="D130" s="265" t="s">
        <v>1997</v>
      </c>
      <c r="E130" s="265" t="s">
        <v>1998</v>
      </c>
      <c r="F130" s="265" t="s">
        <v>2455</v>
      </c>
      <c r="G130" s="265"/>
      <c r="H130" s="265" t="s">
        <v>2455</v>
      </c>
      <c r="I130" s="265" t="s">
        <v>619</v>
      </c>
      <c r="J130" s="265" t="s">
        <v>2848</v>
      </c>
      <c r="K130" s="266">
        <v>45965</v>
      </c>
      <c r="L130" s="265"/>
      <c r="M130" s="265" t="s">
        <v>2849</v>
      </c>
      <c r="N130" s="265">
        <v>43</v>
      </c>
      <c r="O130" s="265" t="s">
        <v>603</v>
      </c>
      <c r="P130" s="265" t="s">
        <v>2849</v>
      </c>
      <c r="Q130" s="265" t="s">
        <v>2459</v>
      </c>
      <c r="R130" s="265">
        <v>2</v>
      </c>
      <c r="S130" s="265">
        <v>2</v>
      </c>
      <c r="T130" s="265">
        <v>3</v>
      </c>
      <c r="U130" s="265">
        <v>2</v>
      </c>
      <c r="V130" s="265">
        <v>4</v>
      </c>
      <c r="W130" s="265">
        <v>2</v>
      </c>
      <c r="X130" s="265" t="s">
        <v>2420</v>
      </c>
      <c r="Y130" s="265" t="s">
        <v>2420</v>
      </c>
      <c r="Z130" s="265" t="s">
        <v>654</v>
      </c>
      <c r="AA130" s="265" t="s">
        <v>654</v>
      </c>
      <c r="AB130" s="265" t="s">
        <v>654</v>
      </c>
      <c r="AC130" s="265" t="s">
        <v>654</v>
      </c>
      <c r="AD130" s="265" t="s">
        <v>2609</v>
      </c>
      <c r="AE130" s="265"/>
      <c r="AF130" s="265"/>
      <c r="AG130" s="265"/>
      <c r="AH130" s="265"/>
      <c r="AI130" s="265"/>
      <c r="AJ130" s="265"/>
    </row>
    <row r="131" spans="1:36" s="256" customFormat="1" ht="14.25" customHeight="1" x14ac:dyDescent="0.25">
      <c r="A131" s="256">
        <v>128</v>
      </c>
      <c r="B131" s="265" t="s">
        <v>2461</v>
      </c>
      <c r="C131" s="265" t="s">
        <v>1997</v>
      </c>
      <c r="D131" s="265" t="s">
        <v>1997</v>
      </c>
      <c r="E131" s="265" t="s">
        <v>1998</v>
      </c>
      <c r="F131" s="265" t="s">
        <v>2472</v>
      </c>
      <c r="G131" s="265"/>
      <c r="H131" s="265" t="s">
        <v>2518</v>
      </c>
      <c r="I131" s="265" t="s">
        <v>619</v>
      </c>
      <c r="J131" s="265" t="s">
        <v>2850</v>
      </c>
      <c r="K131" s="266">
        <v>45965</v>
      </c>
      <c r="L131" s="265"/>
      <c r="M131" s="265" t="s">
        <v>2851</v>
      </c>
      <c r="N131" s="265">
        <v>56</v>
      </c>
      <c r="O131" s="265" t="s">
        <v>402</v>
      </c>
      <c r="P131" s="265" t="s">
        <v>2851</v>
      </c>
      <c r="Q131" s="265" t="s">
        <v>2459</v>
      </c>
      <c r="R131" s="265">
        <v>2</v>
      </c>
      <c r="S131" s="265">
        <v>2</v>
      </c>
      <c r="T131" s="265">
        <v>3</v>
      </c>
      <c r="U131" s="265">
        <v>2</v>
      </c>
      <c r="V131" s="265">
        <v>4</v>
      </c>
      <c r="W131" s="265">
        <v>2</v>
      </c>
      <c r="X131" s="265" t="s">
        <v>2420</v>
      </c>
      <c r="Y131" s="265" t="s">
        <v>2420</v>
      </c>
      <c r="Z131" s="265" t="s">
        <v>654</v>
      </c>
      <c r="AA131" s="265" t="s">
        <v>654</v>
      </c>
      <c r="AB131" s="265" t="s">
        <v>654</v>
      </c>
      <c r="AC131" s="265" t="s">
        <v>654</v>
      </c>
      <c r="AD131" s="265" t="s">
        <v>2609</v>
      </c>
      <c r="AE131" s="265"/>
      <c r="AF131" s="265"/>
      <c r="AG131" s="265"/>
      <c r="AH131" s="265"/>
      <c r="AI131" s="265"/>
      <c r="AJ131" s="265"/>
    </row>
    <row r="132" spans="1:36" s="256" customFormat="1" ht="14.25" customHeight="1" x14ac:dyDescent="0.25">
      <c r="A132" s="256">
        <v>129</v>
      </c>
      <c r="B132" s="265" t="s">
        <v>2461</v>
      </c>
      <c r="C132" s="265" t="s">
        <v>1997</v>
      </c>
      <c r="D132" s="265" t="s">
        <v>1997</v>
      </c>
      <c r="E132" s="265" t="s">
        <v>1998</v>
      </c>
      <c r="F132" s="265" t="s">
        <v>1999</v>
      </c>
      <c r="G132" s="265"/>
      <c r="H132" s="265" t="s">
        <v>2852</v>
      </c>
      <c r="I132" s="265" t="s">
        <v>579</v>
      </c>
      <c r="J132" s="265" t="s">
        <v>2853</v>
      </c>
      <c r="K132" s="266">
        <v>45965</v>
      </c>
      <c r="L132" s="265"/>
      <c r="M132" s="265" t="s">
        <v>2854</v>
      </c>
      <c r="N132" s="265">
        <v>85</v>
      </c>
      <c r="O132" s="265" t="s">
        <v>603</v>
      </c>
      <c r="P132" s="265" t="s">
        <v>2855</v>
      </c>
      <c r="Q132" s="265" t="s">
        <v>2502</v>
      </c>
      <c r="R132" s="265">
        <v>3</v>
      </c>
      <c r="S132" s="265">
        <v>3</v>
      </c>
      <c r="T132" s="265">
        <v>3</v>
      </c>
      <c r="U132" s="265">
        <v>4</v>
      </c>
      <c r="V132" s="265">
        <v>4</v>
      </c>
      <c r="W132" s="265">
        <v>3</v>
      </c>
      <c r="X132" s="265" t="s">
        <v>2420</v>
      </c>
      <c r="Y132" s="265" t="s">
        <v>2420</v>
      </c>
      <c r="Z132" s="265" t="s">
        <v>654</v>
      </c>
      <c r="AA132" s="265" t="s">
        <v>654</v>
      </c>
      <c r="AB132" s="265" t="s">
        <v>654</v>
      </c>
      <c r="AC132" s="265" t="s">
        <v>654</v>
      </c>
      <c r="AD132" s="265" t="s">
        <v>2609</v>
      </c>
      <c r="AE132" s="265"/>
      <c r="AF132" s="265"/>
      <c r="AG132" s="265"/>
      <c r="AH132" s="265"/>
      <c r="AI132" s="265"/>
      <c r="AJ132" s="265"/>
    </row>
    <row r="133" spans="1:36" s="256" customFormat="1" ht="14.25" customHeight="1" x14ac:dyDescent="0.25">
      <c r="A133" s="256">
        <v>130</v>
      </c>
      <c r="B133" s="265" t="s">
        <v>2461</v>
      </c>
      <c r="C133" s="265" t="s">
        <v>1997</v>
      </c>
      <c r="D133" s="265" t="s">
        <v>1997</v>
      </c>
      <c r="E133" s="265" t="s">
        <v>2246</v>
      </c>
      <c r="F133" s="265" t="s">
        <v>2246</v>
      </c>
      <c r="G133" s="265"/>
      <c r="H133" s="265" t="s">
        <v>2246</v>
      </c>
      <c r="I133" s="265" t="s">
        <v>619</v>
      </c>
      <c r="J133" s="265" t="s">
        <v>2856</v>
      </c>
      <c r="K133" s="266">
        <v>45966</v>
      </c>
      <c r="L133" s="265"/>
      <c r="M133" s="265" t="s">
        <v>2857</v>
      </c>
      <c r="N133" s="265">
        <v>55</v>
      </c>
      <c r="O133" s="265" t="s">
        <v>402</v>
      </c>
      <c r="P133" s="265" t="s">
        <v>2857</v>
      </c>
      <c r="Q133" s="265" t="s">
        <v>2459</v>
      </c>
      <c r="R133" s="265">
        <v>2</v>
      </c>
      <c r="S133" s="265">
        <v>2</v>
      </c>
      <c r="T133" s="265">
        <v>3</v>
      </c>
      <c r="U133" s="265">
        <v>3</v>
      </c>
      <c r="V133" s="265">
        <v>3</v>
      </c>
      <c r="W133" s="265">
        <v>2</v>
      </c>
      <c r="X133" s="265" t="s">
        <v>2420</v>
      </c>
      <c r="Y133" s="265" t="s">
        <v>2420</v>
      </c>
      <c r="Z133" s="265" t="s">
        <v>654</v>
      </c>
      <c r="AA133" s="265" t="s">
        <v>654</v>
      </c>
      <c r="AB133" s="265" t="s">
        <v>654</v>
      </c>
      <c r="AC133" s="265" t="s">
        <v>654</v>
      </c>
      <c r="AD133" s="265" t="s">
        <v>2609</v>
      </c>
      <c r="AE133" s="265"/>
      <c r="AF133" s="265"/>
      <c r="AG133" s="265"/>
      <c r="AH133" s="265"/>
      <c r="AI133" s="265"/>
      <c r="AJ133" s="265"/>
    </row>
    <row r="134" spans="1:36" s="256" customFormat="1" ht="14.25" customHeight="1" x14ac:dyDescent="0.25">
      <c r="A134" s="256">
        <v>131</v>
      </c>
      <c r="B134" s="265" t="s">
        <v>2461</v>
      </c>
      <c r="C134" s="265" t="s">
        <v>1997</v>
      </c>
      <c r="D134" s="265" t="s">
        <v>1997</v>
      </c>
      <c r="E134" s="265" t="s">
        <v>1998</v>
      </c>
      <c r="F134" s="265" t="s">
        <v>2491</v>
      </c>
      <c r="G134" s="265"/>
      <c r="H134" s="265" t="s">
        <v>2858</v>
      </c>
      <c r="I134" s="265" t="s">
        <v>579</v>
      </c>
      <c r="J134" s="265" t="s">
        <v>2648</v>
      </c>
      <c r="K134" s="266">
        <v>45976</v>
      </c>
      <c r="L134" s="265"/>
      <c r="M134" s="265" t="s">
        <v>2114</v>
      </c>
      <c r="N134" s="265">
        <v>77</v>
      </c>
      <c r="O134" s="265" t="s">
        <v>603</v>
      </c>
      <c r="P134" s="265" t="s">
        <v>2114</v>
      </c>
      <c r="Q134" s="265" t="s">
        <v>2459</v>
      </c>
      <c r="R134" s="265">
        <v>3</v>
      </c>
      <c r="S134" s="265">
        <v>3</v>
      </c>
      <c r="T134" s="265">
        <v>4</v>
      </c>
      <c r="U134" s="265">
        <v>3</v>
      </c>
      <c r="V134" s="265">
        <v>4</v>
      </c>
      <c r="W134" s="265">
        <v>3</v>
      </c>
      <c r="X134" s="265" t="s">
        <v>2420</v>
      </c>
      <c r="Y134" s="265" t="s">
        <v>2420</v>
      </c>
      <c r="Z134" s="265" t="s">
        <v>654</v>
      </c>
      <c r="AA134" s="265" t="s">
        <v>654</v>
      </c>
      <c r="AB134" s="265" t="s">
        <v>654</v>
      </c>
      <c r="AC134" s="265" t="s">
        <v>654</v>
      </c>
      <c r="AD134" s="265" t="s">
        <v>2609</v>
      </c>
      <c r="AE134" s="265"/>
      <c r="AF134" s="265"/>
      <c r="AG134" s="265"/>
      <c r="AH134" s="265"/>
      <c r="AI134" s="265"/>
      <c r="AJ134" s="265"/>
    </row>
    <row r="135" spans="1:36" s="256" customFormat="1" ht="14.25" customHeight="1" x14ac:dyDescent="0.25">
      <c r="A135" s="256">
        <v>132</v>
      </c>
      <c r="B135" s="265" t="s">
        <v>2461</v>
      </c>
      <c r="C135" s="265" t="s">
        <v>1997</v>
      </c>
      <c r="D135" s="265" t="s">
        <v>1997</v>
      </c>
      <c r="E135" s="265" t="s">
        <v>1998</v>
      </c>
      <c r="F135" s="265" t="s">
        <v>1999</v>
      </c>
      <c r="G135" s="265"/>
      <c r="H135" s="265" t="s">
        <v>2852</v>
      </c>
      <c r="I135" s="265" t="s">
        <v>579</v>
      </c>
      <c r="J135" s="265" t="s">
        <v>2859</v>
      </c>
      <c r="K135" s="266">
        <v>45963</v>
      </c>
      <c r="L135" s="265"/>
      <c r="M135" s="265" t="s">
        <v>2860</v>
      </c>
      <c r="N135" s="265">
        <v>80</v>
      </c>
      <c r="O135" s="265" t="s">
        <v>603</v>
      </c>
      <c r="P135" s="265" t="s">
        <v>2861</v>
      </c>
      <c r="Q135" s="265" t="s">
        <v>2502</v>
      </c>
      <c r="R135" s="265">
        <v>3</v>
      </c>
      <c r="S135" s="265">
        <v>4</v>
      </c>
      <c r="T135" s="265">
        <v>3</v>
      </c>
      <c r="U135" s="265">
        <v>4</v>
      </c>
      <c r="V135" s="265">
        <v>4</v>
      </c>
      <c r="W135" s="265">
        <v>3</v>
      </c>
      <c r="X135" s="265" t="s">
        <v>2420</v>
      </c>
      <c r="Y135" s="265" t="s">
        <v>2420</v>
      </c>
      <c r="Z135" s="265" t="s">
        <v>654</v>
      </c>
      <c r="AA135" s="265" t="s">
        <v>654</v>
      </c>
      <c r="AB135" s="265" t="s">
        <v>654</v>
      </c>
      <c r="AC135" s="265" t="s">
        <v>654</v>
      </c>
      <c r="AD135" s="265" t="s">
        <v>2609</v>
      </c>
      <c r="AE135" s="265"/>
      <c r="AF135" s="265"/>
      <c r="AG135" s="265"/>
      <c r="AH135" s="265"/>
      <c r="AI135" s="265"/>
      <c r="AJ135" s="265"/>
    </row>
    <row r="136" spans="1:36" s="256" customFormat="1" ht="14.25" customHeight="1" x14ac:dyDescent="0.25">
      <c r="A136" s="256">
        <v>133</v>
      </c>
      <c r="B136" s="265" t="s">
        <v>2461</v>
      </c>
      <c r="C136" s="265" t="s">
        <v>1997</v>
      </c>
      <c r="D136" s="265" t="s">
        <v>1997</v>
      </c>
      <c r="E136" s="265" t="s">
        <v>1998</v>
      </c>
      <c r="F136" s="265" t="s">
        <v>2491</v>
      </c>
      <c r="G136" s="265"/>
      <c r="H136" s="265" t="s">
        <v>2858</v>
      </c>
      <c r="I136" s="265" t="s">
        <v>579</v>
      </c>
      <c r="J136" s="265" t="s">
        <v>2648</v>
      </c>
      <c r="K136" s="266">
        <v>45976</v>
      </c>
      <c r="L136" s="265"/>
      <c r="M136" s="265" t="s">
        <v>2862</v>
      </c>
      <c r="N136" s="265">
        <v>71</v>
      </c>
      <c r="O136" s="265" t="s">
        <v>603</v>
      </c>
      <c r="P136" s="265" t="s">
        <v>2862</v>
      </c>
      <c r="Q136" s="265" t="s">
        <v>2459</v>
      </c>
      <c r="R136" s="265">
        <v>3</v>
      </c>
      <c r="S136" s="265">
        <v>3</v>
      </c>
      <c r="T136" s="265">
        <v>3</v>
      </c>
      <c r="U136" s="265">
        <v>3</v>
      </c>
      <c r="V136" s="265">
        <v>4</v>
      </c>
      <c r="W136" s="265">
        <v>3</v>
      </c>
      <c r="X136" s="265" t="s">
        <v>2420</v>
      </c>
      <c r="Y136" s="265" t="s">
        <v>2420</v>
      </c>
      <c r="Z136" s="265" t="s">
        <v>654</v>
      </c>
      <c r="AA136" s="265" t="s">
        <v>654</v>
      </c>
      <c r="AB136" s="265" t="s">
        <v>654</v>
      </c>
      <c r="AC136" s="265" t="s">
        <v>654</v>
      </c>
      <c r="AD136" s="265" t="s">
        <v>2609</v>
      </c>
      <c r="AE136" s="265"/>
      <c r="AF136" s="265"/>
      <c r="AG136" s="265"/>
      <c r="AH136" s="265"/>
      <c r="AI136" s="265"/>
      <c r="AJ136" s="265"/>
    </row>
    <row r="137" spans="1:36" s="256" customFormat="1" ht="14.25" customHeight="1" x14ac:dyDescent="0.25">
      <c r="A137" s="256">
        <v>134</v>
      </c>
      <c r="B137" s="265" t="s">
        <v>2461</v>
      </c>
      <c r="C137" s="265" t="s">
        <v>1997</v>
      </c>
      <c r="D137" s="265" t="s">
        <v>1997</v>
      </c>
      <c r="E137" s="265" t="s">
        <v>2246</v>
      </c>
      <c r="F137" s="265" t="s">
        <v>2246</v>
      </c>
      <c r="G137" s="265"/>
      <c r="H137" s="265" t="s">
        <v>2828</v>
      </c>
      <c r="I137" s="265" t="s">
        <v>579</v>
      </c>
      <c r="J137" s="265" t="s">
        <v>2863</v>
      </c>
      <c r="K137" s="266">
        <v>45980</v>
      </c>
      <c r="L137" s="265"/>
      <c r="M137" s="265" t="s">
        <v>2864</v>
      </c>
      <c r="N137" s="265">
        <v>90</v>
      </c>
      <c r="O137" s="265" t="s">
        <v>603</v>
      </c>
      <c r="P137" s="265" t="s">
        <v>2864</v>
      </c>
      <c r="Q137" s="265" t="s">
        <v>2459</v>
      </c>
      <c r="R137" s="265">
        <v>3</v>
      </c>
      <c r="S137" s="265">
        <v>3</v>
      </c>
      <c r="T137" s="265">
        <v>3</v>
      </c>
      <c r="U137" s="265">
        <v>3</v>
      </c>
      <c r="V137" s="265">
        <v>3</v>
      </c>
      <c r="W137" s="265">
        <v>3</v>
      </c>
      <c r="X137" s="265" t="s">
        <v>2420</v>
      </c>
      <c r="Y137" s="265" t="s">
        <v>2420</v>
      </c>
      <c r="Z137" s="265" t="s">
        <v>654</v>
      </c>
      <c r="AA137" s="265" t="s">
        <v>654</v>
      </c>
      <c r="AB137" s="265" t="s">
        <v>654</v>
      </c>
      <c r="AC137" s="265" t="s">
        <v>654</v>
      </c>
      <c r="AD137" s="265" t="s">
        <v>2609</v>
      </c>
      <c r="AE137" s="265"/>
      <c r="AF137" s="265"/>
      <c r="AG137" s="265"/>
      <c r="AH137" s="265"/>
      <c r="AI137" s="265"/>
      <c r="AJ137" s="265"/>
    </row>
    <row r="138" spans="1:36" s="256" customFormat="1" ht="14.25" customHeight="1" x14ac:dyDescent="0.25">
      <c r="A138" s="256">
        <v>135</v>
      </c>
      <c r="B138" s="265" t="s">
        <v>2461</v>
      </c>
      <c r="C138" s="265" t="s">
        <v>1997</v>
      </c>
      <c r="D138" s="265" t="s">
        <v>1997</v>
      </c>
      <c r="E138" s="265" t="s">
        <v>1998</v>
      </c>
      <c r="F138" s="265" t="s">
        <v>1999</v>
      </c>
      <c r="G138" s="265"/>
      <c r="H138" s="265" t="s">
        <v>1999</v>
      </c>
      <c r="I138" s="265" t="s">
        <v>619</v>
      </c>
      <c r="J138" s="265" t="s">
        <v>2708</v>
      </c>
      <c r="K138" s="266">
        <v>45970</v>
      </c>
      <c r="L138" s="265">
        <v>1</v>
      </c>
      <c r="M138" s="265" t="s">
        <v>2752</v>
      </c>
      <c r="N138" s="265">
        <v>57</v>
      </c>
      <c r="O138" s="265" t="s">
        <v>603</v>
      </c>
      <c r="P138" s="265" t="s">
        <v>2752</v>
      </c>
      <c r="Q138" s="265" t="s">
        <v>2459</v>
      </c>
      <c r="R138" s="265">
        <v>2</v>
      </c>
      <c r="S138" s="265">
        <v>3</v>
      </c>
      <c r="T138" s="265">
        <v>3</v>
      </c>
      <c r="U138" s="265">
        <v>3</v>
      </c>
      <c r="V138" s="265">
        <v>4</v>
      </c>
      <c r="W138" s="265">
        <v>2</v>
      </c>
      <c r="X138" s="265" t="s">
        <v>2420</v>
      </c>
      <c r="Y138" s="265" t="s">
        <v>2420</v>
      </c>
      <c r="Z138" s="265" t="s">
        <v>654</v>
      </c>
      <c r="AA138" s="265" t="s">
        <v>654</v>
      </c>
      <c r="AB138" s="265" t="s">
        <v>654</v>
      </c>
      <c r="AC138" s="265" t="s">
        <v>654</v>
      </c>
      <c r="AD138" s="265" t="s">
        <v>2490</v>
      </c>
      <c r="AE138" s="265"/>
      <c r="AF138" s="265"/>
      <c r="AG138" s="265"/>
      <c r="AH138" s="265"/>
      <c r="AI138" s="265"/>
      <c r="AJ138" s="265"/>
    </row>
    <row r="139" spans="1:36" s="256" customFormat="1" ht="14.25" customHeight="1" x14ac:dyDescent="0.25">
      <c r="A139" s="256">
        <v>136</v>
      </c>
      <c r="B139" s="265" t="s">
        <v>2461</v>
      </c>
      <c r="C139" s="265" t="s">
        <v>1997</v>
      </c>
      <c r="D139" s="265" t="s">
        <v>1997</v>
      </c>
      <c r="E139" s="265" t="s">
        <v>1998</v>
      </c>
      <c r="F139" s="265" t="s">
        <v>1999</v>
      </c>
      <c r="G139" s="265"/>
      <c r="H139" s="265" t="s">
        <v>1999</v>
      </c>
      <c r="I139" s="265" t="s">
        <v>619</v>
      </c>
      <c r="J139" s="265" t="s">
        <v>2708</v>
      </c>
      <c r="K139" s="266">
        <v>45971</v>
      </c>
      <c r="L139" s="265">
        <v>2</v>
      </c>
      <c r="M139" s="265" t="s">
        <v>2865</v>
      </c>
      <c r="N139" s="265">
        <v>56</v>
      </c>
      <c r="O139" s="265" t="s">
        <v>402</v>
      </c>
      <c r="P139" s="265" t="s">
        <v>2865</v>
      </c>
      <c r="Q139" s="265" t="s">
        <v>2459</v>
      </c>
      <c r="R139" s="265">
        <v>2</v>
      </c>
      <c r="S139" s="265">
        <v>1</v>
      </c>
      <c r="T139" s="265">
        <v>3</v>
      </c>
      <c r="U139" s="265">
        <v>2</v>
      </c>
      <c r="V139" s="265">
        <v>4</v>
      </c>
      <c r="W139" s="265">
        <v>2</v>
      </c>
      <c r="X139" s="265" t="s">
        <v>2420</v>
      </c>
      <c r="Y139" s="265" t="s">
        <v>2420</v>
      </c>
      <c r="Z139" s="265" t="s">
        <v>654</v>
      </c>
      <c r="AA139" s="265" t="s">
        <v>654</v>
      </c>
      <c r="AB139" s="265" t="s">
        <v>654</v>
      </c>
      <c r="AC139" s="265" t="s">
        <v>654</v>
      </c>
      <c r="AD139" s="265" t="s">
        <v>2490</v>
      </c>
      <c r="AE139" s="265"/>
      <c r="AF139" s="265"/>
      <c r="AG139" s="265"/>
      <c r="AH139" s="265"/>
      <c r="AI139" s="265"/>
      <c r="AJ139" s="265"/>
    </row>
    <row r="140" spans="1:36" s="256" customFormat="1" ht="14.25" customHeight="1" x14ac:dyDescent="0.25">
      <c r="A140" s="256">
        <v>137</v>
      </c>
      <c r="B140" s="265" t="s">
        <v>2461</v>
      </c>
      <c r="C140" s="265" t="s">
        <v>1997</v>
      </c>
      <c r="D140" s="265" t="s">
        <v>1997</v>
      </c>
      <c r="E140" s="265" t="s">
        <v>1998</v>
      </c>
      <c r="F140" s="265" t="s">
        <v>1999</v>
      </c>
      <c r="G140" s="265"/>
      <c r="H140" s="265" t="s">
        <v>1999</v>
      </c>
      <c r="I140" s="265" t="s">
        <v>619</v>
      </c>
      <c r="J140" s="265" t="s">
        <v>2866</v>
      </c>
      <c r="K140" s="266">
        <v>45973</v>
      </c>
      <c r="L140" s="265">
        <v>3</v>
      </c>
      <c r="M140" s="265" t="s">
        <v>2756</v>
      </c>
      <c r="N140" s="265">
        <v>85</v>
      </c>
      <c r="O140" s="265" t="s">
        <v>603</v>
      </c>
      <c r="P140" s="265" t="s">
        <v>2756</v>
      </c>
      <c r="Q140" s="265" t="s">
        <v>2459</v>
      </c>
      <c r="R140" s="265">
        <v>3</v>
      </c>
      <c r="S140" s="265">
        <v>3</v>
      </c>
      <c r="T140" s="265">
        <v>4</v>
      </c>
      <c r="U140" s="265">
        <v>3</v>
      </c>
      <c r="V140" s="265">
        <v>4</v>
      </c>
      <c r="W140" s="265">
        <v>3</v>
      </c>
      <c r="X140" s="265" t="s">
        <v>2420</v>
      </c>
      <c r="Y140" s="265" t="s">
        <v>2420</v>
      </c>
      <c r="Z140" s="265" t="s">
        <v>654</v>
      </c>
      <c r="AA140" s="265" t="s">
        <v>654</v>
      </c>
      <c r="AB140" s="265" t="s">
        <v>654</v>
      </c>
      <c r="AC140" s="265" t="s">
        <v>654</v>
      </c>
      <c r="AD140" s="265" t="s">
        <v>2490</v>
      </c>
      <c r="AE140" s="265"/>
      <c r="AF140" s="265"/>
      <c r="AG140" s="265"/>
      <c r="AH140" s="265"/>
      <c r="AI140" s="265"/>
      <c r="AJ140" s="265"/>
    </row>
    <row r="141" spans="1:36" s="256" customFormat="1" ht="14.25" customHeight="1" x14ac:dyDescent="0.25">
      <c r="A141" s="256">
        <v>138</v>
      </c>
      <c r="B141" s="265" t="s">
        <v>2461</v>
      </c>
      <c r="C141" s="265" t="s">
        <v>1997</v>
      </c>
      <c r="D141" s="265" t="s">
        <v>1997</v>
      </c>
      <c r="E141" s="265" t="s">
        <v>2246</v>
      </c>
      <c r="F141" s="265" t="s">
        <v>2246</v>
      </c>
      <c r="G141" s="265"/>
      <c r="H141" s="265" t="s">
        <v>2272</v>
      </c>
      <c r="I141" s="265" t="s">
        <v>619</v>
      </c>
      <c r="J141" s="265" t="s">
        <v>2867</v>
      </c>
      <c r="K141" s="266">
        <v>45970</v>
      </c>
      <c r="L141" s="265"/>
      <c r="M141" s="265" t="s">
        <v>2868</v>
      </c>
      <c r="N141" s="265">
        <v>40</v>
      </c>
      <c r="O141" s="265" t="s">
        <v>603</v>
      </c>
      <c r="P141" s="265" t="s">
        <v>2868</v>
      </c>
      <c r="Q141" s="265" t="s">
        <v>2459</v>
      </c>
      <c r="R141" s="265">
        <v>2</v>
      </c>
      <c r="S141" s="265">
        <v>2</v>
      </c>
      <c r="T141" s="265">
        <v>3</v>
      </c>
      <c r="U141" s="265">
        <v>2</v>
      </c>
      <c r="V141" s="265">
        <v>3</v>
      </c>
      <c r="W141" s="265">
        <v>2</v>
      </c>
      <c r="X141" s="265" t="s">
        <v>2420</v>
      </c>
      <c r="Y141" s="265" t="s">
        <v>2420</v>
      </c>
      <c r="Z141" s="265" t="s">
        <v>654</v>
      </c>
      <c r="AA141" s="265" t="s">
        <v>654</v>
      </c>
      <c r="AB141" s="265" t="s">
        <v>654</v>
      </c>
      <c r="AC141" s="265" t="s">
        <v>654</v>
      </c>
      <c r="AD141" s="265" t="s">
        <v>2465</v>
      </c>
      <c r="AE141" s="265"/>
      <c r="AF141" s="265"/>
      <c r="AG141" s="265"/>
      <c r="AH141" s="265"/>
      <c r="AI141" s="265"/>
      <c r="AJ141" s="265"/>
    </row>
    <row r="142" spans="1:36" s="256" customFormat="1" ht="14.25" customHeight="1" x14ac:dyDescent="0.25">
      <c r="A142" s="256">
        <v>139</v>
      </c>
      <c r="B142" s="265" t="s">
        <v>2461</v>
      </c>
      <c r="C142" s="265" t="s">
        <v>1997</v>
      </c>
      <c r="D142" s="265" t="s">
        <v>1997</v>
      </c>
      <c r="E142" s="265" t="s">
        <v>2246</v>
      </c>
      <c r="F142" s="265" t="s">
        <v>2246</v>
      </c>
      <c r="G142" s="265"/>
      <c r="H142" s="265" t="s">
        <v>2272</v>
      </c>
      <c r="I142" s="265" t="s">
        <v>619</v>
      </c>
      <c r="J142" s="265" t="s">
        <v>2869</v>
      </c>
      <c r="K142" s="266">
        <v>45970</v>
      </c>
      <c r="L142" s="265"/>
      <c r="M142" s="265" t="s">
        <v>2870</v>
      </c>
      <c r="N142" s="265">
        <v>32</v>
      </c>
      <c r="O142" s="265" t="s">
        <v>603</v>
      </c>
      <c r="P142" s="265" t="s">
        <v>2870</v>
      </c>
      <c r="Q142" s="265" t="s">
        <v>2459</v>
      </c>
      <c r="R142" s="265">
        <v>1</v>
      </c>
      <c r="S142" s="265">
        <v>1</v>
      </c>
      <c r="T142" s="265">
        <v>3</v>
      </c>
      <c r="U142" s="265">
        <v>1</v>
      </c>
      <c r="V142" s="265">
        <v>3</v>
      </c>
      <c r="W142" s="265">
        <v>1</v>
      </c>
      <c r="X142" s="265" t="s">
        <v>2420</v>
      </c>
      <c r="Y142" s="265" t="s">
        <v>2420</v>
      </c>
      <c r="Z142" s="265" t="s">
        <v>654</v>
      </c>
      <c r="AA142" s="265" t="s">
        <v>654</v>
      </c>
      <c r="AB142" s="265" t="s">
        <v>654</v>
      </c>
      <c r="AC142" s="265" t="s">
        <v>654</v>
      </c>
      <c r="AD142" s="265" t="s">
        <v>2465</v>
      </c>
      <c r="AE142" s="265"/>
      <c r="AF142" s="265"/>
      <c r="AG142" s="265"/>
      <c r="AH142" s="265"/>
      <c r="AI142" s="265"/>
      <c r="AJ142" s="265"/>
    </row>
    <row r="143" spans="1:36" s="256" customFormat="1" ht="14.25" customHeight="1" x14ac:dyDescent="0.25">
      <c r="A143" s="256">
        <v>140</v>
      </c>
      <c r="B143" s="265" t="s">
        <v>2461</v>
      </c>
      <c r="C143" s="265" t="s">
        <v>1997</v>
      </c>
      <c r="D143" s="265" t="s">
        <v>1997</v>
      </c>
      <c r="E143" s="265" t="s">
        <v>2246</v>
      </c>
      <c r="F143" s="265" t="s">
        <v>2246</v>
      </c>
      <c r="G143" s="265"/>
      <c r="H143" s="265" t="s">
        <v>2871</v>
      </c>
      <c r="I143" s="265" t="s">
        <v>619</v>
      </c>
      <c r="J143" s="265" t="s">
        <v>2872</v>
      </c>
      <c r="K143" s="266">
        <v>45971</v>
      </c>
      <c r="L143" s="265"/>
      <c r="M143" s="265" t="s">
        <v>2873</v>
      </c>
      <c r="N143" s="265">
        <v>56</v>
      </c>
      <c r="O143" s="265" t="s">
        <v>402</v>
      </c>
      <c r="P143" s="265" t="s">
        <v>2874</v>
      </c>
      <c r="Q143" s="265" t="s">
        <v>2556</v>
      </c>
      <c r="R143" s="265">
        <v>2</v>
      </c>
      <c r="S143" s="265">
        <v>2</v>
      </c>
      <c r="T143" s="265">
        <v>3</v>
      </c>
      <c r="U143" s="265">
        <v>2</v>
      </c>
      <c r="V143" s="265">
        <v>3</v>
      </c>
      <c r="W143" s="265">
        <v>2</v>
      </c>
      <c r="X143" s="265" t="s">
        <v>2420</v>
      </c>
      <c r="Y143" s="265" t="s">
        <v>2420</v>
      </c>
      <c r="Z143" s="265" t="s">
        <v>654</v>
      </c>
      <c r="AA143" s="265" t="s">
        <v>654</v>
      </c>
      <c r="AB143" s="265" t="s">
        <v>654</v>
      </c>
      <c r="AC143" s="265" t="s">
        <v>654</v>
      </c>
      <c r="AD143" s="265" t="s">
        <v>2583</v>
      </c>
      <c r="AE143" s="265"/>
      <c r="AF143" s="265"/>
      <c r="AG143" s="265"/>
      <c r="AH143" s="265"/>
      <c r="AI143" s="265"/>
      <c r="AJ143" s="265"/>
    </row>
    <row r="144" spans="1:36" s="256" customFormat="1" ht="14.25" customHeight="1" x14ac:dyDescent="0.25">
      <c r="A144" s="256">
        <v>141</v>
      </c>
      <c r="B144" s="265" t="s">
        <v>2461</v>
      </c>
      <c r="C144" s="265" t="s">
        <v>1997</v>
      </c>
      <c r="D144" s="265" t="s">
        <v>1997</v>
      </c>
      <c r="E144" s="265" t="s">
        <v>2246</v>
      </c>
      <c r="F144" s="265" t="s">
        <v>2246</v>
      </c>
      <c r="G144" s="265"/>
      <c r="H144" s="265" t="s">
        <v>2875</v>
      </c>
      <c r="I144" s="265" t="s">
        <v>619</v>
      </c>
      <c r="J144" s="265" t="s">
        <v>2876</v>
      </c>
      <c r="K144" s="266">
        <v>45971</v>
      </c>
      <c r="L144" s="265"/>
      <c r="M144" s="265" t="s">
        <v>2877</v>
      </c>
      <c r="N144" s="265">
        <v>65</v>
      </c>
      <c r="O144" s="265" t="s">
        <v>402</v>
      </c>
      <c r="P144" s="265" t="s">
        <v>2877</v>
      </c>
      <c r="Q144" s="265" t="s">
        <v>2459</v>
      </c>
      <c r="R144" s="265">
        <v>3</v>
      </c>
      <c r="S144" s="265">
        <v>4</v>
      </c>
      <c r="T144" s="265">
        <v>3</v>
      </c>
      <c r="U144" s="265">
        <v>3</v>
      </c>
      <c r="V144" s="265">
        <v>4</v>
      </c>
      <c r="W144" s="265">
        <v>3</v>
      </c>
      <c r="X144" s="265" t="s">
        <v>2420</v>
      </c>
      <c r="Y144" s="265" t="s">
        <v>2420</v>
      </c>
      <c r="Z144" s="265" t="s">
        <v>654</v>
      </c>
      <c r="AA144" s="265" t="s">
        <v>654</v>
      </c>
      <c r="AB144" s="265" t="s">
        <v>654</v>
      </c>
      <c r="AC144" s="265" t="s">
        <v>654</v>
      </c>
      <c r="AD144" s="265" t="s">
        <v>2583</v>
      </c>
      <c r="AE144" s="265"/>
      <c r="AF144" s="265"/>
      <c r="AG144" s="265"/>
      <c r="AH144" s="265"/>
      <c r="AI144" s="265"/>
      <c r="AJ144" s="265"/>
    </row>
    <row r="145" spans="1:36" s="256" customFormat="1" ht="14.25" customHeight="1" x14ac:dyDescent="0.25">
      <c r="A145" s="256">
        <v>142</v>
      </c>
      <c r="B145" s="265" t="s">
        <v>2461</v>
      </c>
      <c r="C145" s="265" t="s">
        <v>1997</v>
      </c>
      <c r="D145" s="265" t="s">
        <v>1997</v>
      </c>
      <c r="E145" s="265" t="s">
        <v>2246</v>
      </c>
      <c r="F145" s="265" t="s">
        <v>2246</v>
      </c>
      <c r="G145" s="265"/>
      <c r="H145" s="265" t="s">
        <v>2246</v>
      </c>
      <c r="I145" s="265" t="s">
        <v>619</v>
      </c>
      <c r="J145" s="265" t="s">
        <v>2878</v>
      </c>
      <c r="K145" s="266">
        <v>45971</v>
      </c>
      <c r="L145" s="265"/>
      <c r="M145" s="265" t="s">
        <v>2879</v>
      </c>
      <c r="N145" s="265">
        <v>58</v>
      </c>
      <c r="O145" s="265" t="s">
        <v>402</v>
      </c>
      <c r="P145" s="265" t="s">
        <v>2879</v>
      </c>
      <c r="Q145" s="265" t="s">
        <v>2459</v>
      </c>
      <c r="R145" s="265">
        <v>1</v>
      </c>
      <c r="S145" s="265">
        <v>1</v>
      </c>
      <c r="T145" s="265">
        <v>3</v>
      </c>
      <c r="U145" s="265">
        <v>3</v>
      </c>
      <c r="V145" s="265">
        <v>3</v>
      </c>
      <c r="W145" s="265">
        <v>2</v>
      </c>
      <c r="X145" s="265" t="s">
        <v>2420</v>
      </c>
      <c r="Y145" s="265" t="s">
        <v>2420</v>
      </c>
      <c r="Z145" s="265" t="s">
        <v>654</v>
      </c>
      <c r="AA145" s="265" t="s">
        <v>654</v>
      </c>
      <c r="AB145" s="265" t="s">
        <v>654</v>
      </c>
      <c r="AC145" s="265" t="s">
        <v>654</v>
      </c>
      <c r="AD145" s="265" t="s">
        <v>2583</v>
      </c>
      <c r="AE145" s="265"/>
      <c r="AF145" s="265"/>
      <c r="AG145" s="265"/>
      <c r="AH145" s="265"/>
      <c r="AI145" s="265"/>
      <c r="AJ145" s="265"/>
    </row>
    <row r="146" spans="1:36" s="256" customFormat="1" ht="14.25" customHeight="1" x14ac:dyDescent="0.25">
      <c r="A146" s="256">
        <v>143</v>
      </c>
      <c r="B146" s="265" t="s">
        <v>2461</v>
      </c>
      <c r="C146" s="265" t="s">
        <v>1997</v>
      </c>
      <c r="D146" s="265" t="s">
        <v>1997</v>
      </c>
      <c r="E146" s="265" t="s">
        <v>2246</v>
      </c>
      <c r="F146" s="265" t="s">
        <v>2246</v>
      </c>
      <c r="G146" s="265"/>
      <c r="H146" s="265" t="s">
        <v>2880</v>
      </c>
      <c r="I146" s="265" t="s">
        <v>619</v>
      </c>
      <c r="J146" s="265" t="s">
        <v>2881</v>
      </c>
      <c r="K146" s="266">
        <v>45963</v>
      </c>
      <c r="L146" s="265"/>
      <c r="M146" s="265" t="s">
        <v>2114</v>
      </c>
      <c r="N146" s="265">
        <v>63</v>
      </c>
      <c r="O146" s="265" t="s">
        <v>603</v>
      </c>
      <c r="P146" s="265" t="s">
        <v>2114</v>
      </c>
      <c r="Q146" s="265" t="s">
        <v>2459</v>
      </c>
      <c r="R146" s="265">
        <v>2</v>
      </c>
      <c r="S146" s="265">
        <v>2</v>
      </c>
      <c r="T146" s="265">
        <v>3</v>
      </c>
      <c r="U146" s="265">
        <v>2</v>
      </c>
      <c r="V146" s="265">
        <v>3</v>
      </c>
      <c r="W146" s="265">
        <v>2</v>
      </c>
      <c r="X146" s="265" t="s">
        <v>2420</v>
      </c>
      <c r="Y146" s="265" t="s">
        <v>2420</v>
      </c>
      <c r="Z146" s="265" t="s">
        <v>654</v>
      </c>
      <c r="AA146" s="265" t="s">
        <v>654</v>
      </c>
      <c r="AB146" s="265" t="s">
        <v>654</v>
      </c>
      <c r="AC146" s="265" t="s">
        <v>654</v>
      </c>
      <c r="AD146" s="265" t="s">
        <v>2583</v>
      </c>
      <c r="AE146" s="265"/>
      <c r="AF146" s="265"/>
      <c r="AG146" s="265"/>
      <c r="AH146" s="265"/>
      <c r="AI146" s="265"/>
      <c r="AJ146" s="265"/>
    </row>
    <row r="147" spans="1:36" s="256" customFormat="1" ht="14.25" customHeight="1" x14ac:dyDescent="0.25">
      <c r="A147" s="256">
        <v>144</v>
      </c>
      <c r="B147" s="265" t="s">
        <v>2461</v>
      </c>
      <c r="C147" s="265" t="s">
        <v>1997</v>
      </c>
      <c r="D147" s="265" t="s">
        <v>1997</v>
      </c>
      <c r="E147" s="265" t="s">
        <v>2246</v>
      </c>
      <c r="F147" s="265" t="s">
        <v>2246</v>
      </c>
      <c r="G147" s="265"/>
      <c r="H147" s="265" t="s">
        <v>2882</v>
      </c>
      <c r="I147" s="265" t="s">
        <v>619</v>
      </c>
      <c r="J147" s="265" t="s">
        <v>2883</v>
      </c>
      <c r="K147" s="266">
        <v>45969</v>
      </c>
      <c r="L147" s="265"/>
      <c r="M147" s="265" t="s">
        <v>2211</v>
      </c>
      <c r="N147" s="265">
        <v>70</v>
      </c>
      <c r="O147" s="265" t="s">
        <v>402</v>
      </c>
      <c r="P147" s="265" t="s">
        <v>2211</v>
      </c>
      <c r="Q147" s="265" t="s">
        <v>2459</v>
      </c>
      <c r="R147" s="265">
        <v>2</v>
      </c>
      <c r="S147" s="265">
        <v>2</v>
      </c>
      <c r="T147" s="265">
        <v>3</v>
      </c>
      <c r="U147" s="265">
        <v>2</v>
      </c>
      <c r="V147" s="265">
        <v>3</v>
      </c>
      <c r="W147" s="265">
        <v>2</v>
      </c>
      <c r="X147" s="265" t="s">
        <v>2420</v>
      </c>
      <c r="Y147" s="265" t="s">
        <v>2420</v>
      </c>
      <c r="Z147" s="265" t="s">
        <v>654</v>
      </c>
      <c r="AA147" s="265" t="s">
        <v>654</v>
      </c>
      <c r="AB147" s="265" t="s">
        <v>654</v>
      </c>
      <c r="AC147" s="265" t="s">
        <v>654</v>
      </c>
      <c r="AD147" s="265" t="s">
        <v>2583</v>
      </c>
      <c r="AE147" s="265"/>
      <c r="AF147" s="265"/>
      <c r="AG147" s="265"/>
      <c r="AH147" s="265"/>
      <c r="AI147" s="265"/>
      <c r="AJ147" s="265"/>
    </row>
    <row r="148" spans="1:36" s="256" customFormat="1" ht="14.25" customHeight="1" x14ac:dyDescent="0.25">
      <c r="A148" s="256">
        <v>145</v>
      </c>
      <c r="B148" s="265" t="s">
        <v>2461</v>
      </c>
      <c r="C148" s="265" t="s">
        <v>1997</v>
      </c>
      <c r="D148" s="265" t="s">
        <v>1997</v>
      </c>
      <c r="E148" s="265" t="s">
        <v>2246</v>
      </c>
      <c r="F148" s="265" t="s">
        <v>2246</v>
      </c>
      <c r="G148" s="265"/>
      <c r="H148" s="265" t="s">
        <v>2884</v>
      </c>
      <c r="I148" s="265" t="s">
        <v>619</v>
      </c>
      <c r="J148" s="265" t="s">
        <v>2885</v>
      </c>
      <c r="K148" s="266">
        <v>45969</v>
      </c>
      <c r="L148" s="265"/>
      <c r="M148" s="265" t="s">
        <v>2886</v>
      </c>
      <c r="N148" s="265">
        <v>60</v>
      </c>
      <c r="O148" s="265" t="s">
        <v>603</v>
      </c>
      <c r="P148" s="265" t="s">
        <v>2887</v>
      </c>
      <c r="Q148" s="265" t="s">
        <v>2556</v>
      </c>
      <c r="R148" s="265">
        <v>2</v>
      </c>
      <c r="S148" s="265">
        <v>2</v>
      </c>
      <c r="T148" s="265">
        <v>3</v>
      </c>
      <c r="U148" s="265">
        <v>2</v>
      </c>
      <c r="V148" s="265">
        <v>4</v>
      </c>
      <c r="W148" s="265">
        <v>2</v>
      </c>
      <c r="X148" s="265" t="s">
        <v>2420</v>
      </c>
      <c r="Y148" s="265" t="s">
        <v>2420</v>
      </c>
      <c r="Z148" s="265" t="s">
        <v>654</v>
      </c>
      <c r="AA148" s="265" t="s">
        <v>654</v>
      </c>
      <c r="AB148" s="265" t="s">
        <v>654</v>
      </c>
      <c r="AC148" s="265" t="s">
        <v>654</v>
      </c>
      <c r="AD148" s="265" t="s">
        <v>2583</v>
      </c>
      <c r="AE148" s="265"/>
      <c r="AF148" s="265"/>
      <c r="AG148" s="265"/>
      <c r="AH148" s="265"/>
      <c r="AI148" s="265"/>
      <c r="AJ148" s="265"/>
    </row>
    <row r="149" spans="1:36" s="256" customFormat="1" ht="14.25" customHeight="1" x14ac:dyDescent="0.25">
      <c r="A149" s="256">
        <v>146</v>
      </c>
      <c r="B149" s="265" t="s">
        <v>2461</v>
      </c>
      <c r="C149" s="265" t="s">
        <v>1997</v>
      </c>
      <c r="D149" s="265" t="s">
        <v>1997</v>
      </c>
      <c r="E149" s="265" t="s">
        <v>2246</v>
      </c>
      <c r="F149" s="265" t="s">
        <v>2246</v>
      </c>
      <c r="G149" s="265"/>
      <c r="H149" s="265" t="s">
        <v>2246</v>
      </c>
      <c r="I149" s="265" t="s">
        <v>619</v>
      </c>
      <c r="J149" s="265" t="s">
        <v>2888</v>
      </c>
      <c r="K149" s="266">
        <v>45970</v>
      </c>
      <c r="L149" s="265"/>
      <c r="M149" s="265" t="s">
        <v>2889</v>
      </c>
      <c r="N149" s="265">
        <v>75</v>
      </c>
      <c r="O149" s="265" t="s">
        <v>603</v>
      </c>
      <c r="P149" s="265" t="s">
        <v>2890</v>
      </c>
      <c r="Q149" s="265" t="s">
        <v>2556</v>
      </c>
      <c r="R149" s="265">
        <v>2</v>
      </c>
      <c r="S149" s="265">
        <v>2</v>
      </c>
      <c r="T149" s="265">
        <v>3</v>
      </c>
      <c r="U149" s="265">
        <v>2</v>
      </c>
      <c r="V149" s="265">
        <v>3</v>
      </c>
      <c r="W149" s="265">
        <v>2</v>
      </c>
      <c r="X149" s="265" t="s">
        <v>2420</v>
      </c>
      <c r="Y149" s="265" t="s">
        <v>2420</v>
      </c>
      <c r="Z149" s="265" t="s">
        <v>654</v>
      </c>
      <c r="AA149" s="265" t="s">
        <v>654</v>
      </c>
      <c r="AB149" s="265" t="s">
        <v>654</v>
      </c>
      <c r="AC149" s="265" t="s">
        <v>654</v>
      </c>
      <c r="AD149" s="265" t="s">
        <v>2583</v>
      </c>
      <c r="AE149" s="265"/>
      <c r="AF149" s="265"/>
      <c r="AG149" s="265"/>
      <c r="AH149" s="265"/>
      <c r="AI149" s="265"/>
      <c r="AJ149" s="265"/>
    </row>
    <row r="150" spans="1:36" s="256" customFormat="1" ht="14.25" customHeight="1" x14ac:dyDescent="0.25">
      <c r="A150" s="256">
        <v>147</v>
      </c>
      <c r="B150" s="265" t="s">
        <v>2461</v>
      </c>
      <c r="C150" s="265" t="s">
        <v>1997</v>
      </c>
      <c r="D150" s="265" t="s">
        <v>1997</v>
      </c>
      <c r="E150" s="265" t="s">
        <v>2246</v>
      </c>
      <c r="F150" s="265" t="s">
        <v>2246</v>
      </c>
      <c r="G150" s="265"/>
      <c r="H150" s="265" t="s">
        <v>2891</v>
      </c>
      <c r="I150" s="265" t="s">
        <v>619</v>
      </c>
      <c r="J150" s="265" t="s">
        <v>2892</v>
      </c>
      <c r="K150" s="266">
        <v>45970</v>
      </c>
      <c r="L150" s="265"/>
      <c r="M150" s="265" t="s">
        <v>2893</v>
      </c>
      <c r="N150" s="265">
        <v>9</v>
      </c>
      <c r="O150" s="265" t="s">
        <v>402</v>
      </c>
      <c r="P150" s="265" t="s">
        <v>2894</v>
      </c>
      <c r="Q150" s="265" t="s">
        <v>2477</v>
      </c>
      <c r="R150" s="265">
        <v>1</v>
      </c>
      <c r="S150" s="265">
        <v>2</v>
      </c>
      <c r="T150" s="265">
        <v>3</v>
      </c>
      <c r="U150" s="265">
        <v>1</v>
      </c>
      <c r="V150" s="265">
        <v>4</v>
      </c>
      <c r="W150" s="265">
        <v>1</v>
      </c>
      <c r="X150" s="265" t="s">
        <v>2420</v>
      </c>
      <c r="Y150" s="265" t="s">
        <v>2420</v>
      </c>
      <c r="Z150" s="265" t="s">
        <v>654</v>
      </c>
      <c r="AA150" s="265" t="s">
        <v>654</v>
      </c>
      <c r="AB150" s="265" t="s">
        <v>654</v>
      </c>
      <c r="AC150" s="265" t="s">
        <v>654</v>
      </c>
      <c r="AD150" s="265" t="s">
        <v>2895</v>
      </c>
      <c r="AE150" s="265"/>
      <c r="AF150" s="265"/>
      <c r="AG150" s="265"/>
      <c r="AH150" s="265"/>
      <c r="AI150" s="265"/>
      <c r="AJ150" s="265"/>
    </row>
    <row r="151" spans="1:36" s="256" customFormat="1" ht="14.25" customHeight="1" x14ac:dyDescent="0.25">
      <c r="A151" s="256">
        <v>148</v>
      </c>
      <c r="B151" s="265" t="s">
        <v>2461</v>
      </c>
      <c r="C151" s="265" t="s">
        <v>1997</v>
      </c>
      <c r="D151" s="265" t="s">
        <v>1997</v>
      </c>
      <c r="E151" s="265" t="s">
        <v>2246</v>
      </c>
      <c r="F151" s="265" t="s">
        <v>2246</v>
      </c>
      <c r="G151" s="265"/>
      <c r="H151" s="265" t="s">
        <v>2272</v>
      </c>
      <c r="I151" s="265" t="s">
        <v>619</v>
      </c>
      <c r="J151" s="265" t="s">
        <v>2896</v>
      </c>
      <c r="K151" s="266">
        <v>45970</v>
      </c>
      <c r="L151" s="265"/>
      <c r="M151" s="265" t="s">
        <v>2897</v>
      </c>
      <c r="N151" s="265">
        <v>15</v>
      </c>
      <c r="O151" s="265" t="s">
        <v>402</v>
      </c>
      <c r="P151" s="265" t="s">
        <v>2897</v>
      </c>
      <c r="Q151" s="265" t="s">
        <v>2459</v>
      </c>
      <c r="R151" s="265">
        <v>1</v>
      </c>
      <c r="S151" s="265">
        <v>1</v>
      </c>
      <c r="T151" s="265">
        <v>3</v>
      </c>
      <c r="U151" s="265">
        <v>1</v>
      </c>
      <c r="V151" s="265">
        <v>4</v>
      </c>
      <c r="W151" s="265">
        <v>2</v>
      </c>
      <c r="X151" s="265" t="s">
        <v>2420</v>
      </c>
      <c r="Y151" s="265" t="s">
        <v>2420</v>
      </c>
      <c r="Z151" s="265" t="s">
        <v>654</v>
      </c>
      <c r="AA151" s="265" t="s">
        <v>654</v>
      </c>
      <c r="AB151" s="265" t="s">
        <v>654</v>
      </c>
      <c r="AC151" s="265" t="s">
        <v>654</v>
      </c>
      <c r="AD151" s="265" t="s">
        <v>2895</v>
      </c>
      <c r="AE151" s="265"/>
      <c r="AF151" s="265"/>
      <c r="AG151" s="265"/>
      <c r="AH151" s="265"/>
      <c r="AI151" s="265"/>
      <c r="AJ151" s="265"/>
    </row>
    <row r="152" spans="1:36" s="256" customFormat="1" ht="14.25" customHeight="1" x14ac:dyDescent="0.25">
      <c r="A152" s="256">
        <v>149</v>
      </c>
      <c r="B152" s="265" t="s">
        <v>2461</v>
      </c>
      <c r="C152" s="265" t="s">
        <v>1997</v>
      </c>
      <c r="D152" s="265" t="s">
        <v>1997</v>
      </c>
      <c r="E152" s="265" t="s">
        <v>2246</v>
      </c>
      <c r="F152" s="265" t="s">
        <v>2246</v>
      </c>
      <c r="G152" s="265"/>
      <c r="H152" s="265" t="s">
        <v>2898</v>
      </c>
      <c r="I152" s="265" t="s">
        <v>619</v>
      </c>
      <c r="J152" s="265" t="s">
        <v>2899</v>
      </c>
      <c r="K152" s="266">
        <v>45970</v>
      </c>
      <c r="L152" s="265"/>
      <c r="M152" s="265" t="s">
        <v>2900</v>
      </c>
      <c r="N152" s="265">
        <v>82</v>
      </c>
      <c r="O152" s="265" t="s">
        <v>402</v>
      </c>
      <c r="P152" s="265" t="s">
        <v>2900</v>
      </c>
      <c r="Q152" s="265" t="s">
        <v>2459</v>
      </c>
      <c r="R152" s="265">
        <v>3</v>
      </c>
      <c r="S152" s="265">
        <v>3</v>
      </c>
      <c r="T152" s="265">
        <v>3</v>
      </c>
      <c r="U152" s="265">
        <v>3</v>
      </c>
      <c r="V152" s="265">
        <v>4</v>
      </c>
      <c r="W152" s="265">
        <v>2</v>
      </c>
      <c r="X152" s="265" t="s">
        <v>2420</v>
      </c>
      <c r="Y152" s="265" t="s">
        <v>2420</v>
      </c>
      <c r="Z152" s="265" t="s">
        <v>654</v>
      </c>
      <c r="AA152" s="265" t="s">
        <v>654</v>
      </c>
      <c r="AB152" s="265" t="s">
        <v>654</v>
      </c>
      <c r="AC152" s="265" t="s">
        <v>654</v>
      </c>
      <c r="AD152" s="265" t="s">
        <v>2895</v>
      </c>
      <c r="AE152" s="265"/>
      <c r="AF152" s="265"/>
      <c r="AG152" s="265"/>
      <c r="AH152" s="265"/>
      <c r="AI152" s="265"/>
      <c r="AJ152" s="265"/>
    </row>
    <row r="153" spans="1:36" s="256" customFormat="1" ht="14.25" customHeight="1" x14ac:dyDescent="0.25">
      <c r="A153" s="256">
        <v>150</v>
      </c>
      <c r="B153" s="265" t="s">
        <v>2461</v>
      </c>
      <c r="C153" s="265" t="s">
        <v>1997</v>
      </c>
      <c r="D153" s="265" t="s">
        <v>1997</v>
      </c>
      <c r="E153" s="265" t="s">
        <v>2246</v>
      </c>
      <c r="F153" s="265" t="s">
        <v>2246</v>
      </c>
      <c r="G153" s="265"/>
      <c r="H153" s="265" t="s">
        <v>2901</v>
      </c>
      <c r="I153" s="265" t="s">
        <v>619</v>
      </c>
      <c r="J153" s="265" t="s">
        <v>2902</v>
      </c>
      <c r="K153" s="266">
        <v>45970</v>
      </c>
      <c r="L153" s="265"/>
      <c r="M153" s="265" t="s">
        <v>2903</v>
      </c>
      <c r="N153" s="265">
        <v>68</v>
      </c>
      <c r="O153" s="265" t="s">
        <v>603</v>
      </c>
      <c r="P153" s="265" t="s">
        <v>2903</v>
      </c>
      <c r="Q153" s="265" t="s">
        <v>2459</v>
      </c>
      <c r="R153" s="265">
        <v>2</v>
      </c>
      <c r="S153" s="265">
        <v>3</v>
      </c>
      <c r="T153" s="265">
        <v>3</v>
      </c>
      <c r="U153" s="265">
        <v>3</v>
      </c>
      <c r="V153" s="265">
        <v>4</v>
      </c>
      <c r="W153" s="265">
        <v>2</v>
      </c>
      <c r="X153" s="265" t="s">
        <v>2420</v>
      </c>
      <c r="Y153" s="265" t="s">
        <v>2420</v>
      </c>
      <c r="Z153" s="265" t="s">
        <v>654</v>
      </c>
      <c r="AA153" s="265" t="s">
        <v>654</v>
      </c>
      <c r="AB153" s="265" t="s">
        <v>654</v>
      </c>
      <c r="AC153" s="265" t="s">
        <v>654</v>
      </c>
      <c r="AD153" s="265" t="s">
        <v>2895</v>
      </c>
      <c r="AE153" s="265"/>
      <c r="AF153" s="265"/>
      <c r="AG153" s="265"/>
      <c r="AH153" s="265"/>
      <c r="AI153" s="265"/>
      <c r="AJ153" s="265"/>
    </row>
    <row r="154" spans="1:36" s="256" customFormat="1" ht="14.25" customHeight="1" x14ac:dyDescent="0.25">
      <c r="A154" s="256">
        <v>151</v>
      </c>
      <c r="B154" s="265" t="s">
        <v>2461</v>
      </c>
      <c r="C154" s="265" t="s">
        <v>1997</v>
      </c>
      <c r="D154" s="265" t="s">
        <v>1997</v>
      </c>
      <c r="E154" s="265" t="s">
        <v>2246</v>
      </c>
      <c r="F154" s="265" t="s">
        <v>2246</v>
      </c>
      <c r="G154" s="265"/>
      <c r="H154" s="265" t="s">
        <v>2904</v>
      </c>
      <c r="I154" s="265" t="s">
        <v>619</v>
      </c>
      <c r="J154" s="265" t="s">
        <v>2905</v>
      </c>
      <c r="K154" s="266">
        <v>45969</v>
      </c>
      <c r="L154" s="265"/>
      <c r="M154" s="265" t="s">
        <v>2906</v>
      </c>
      <c r="N154" s="265">
        <v>70</v>
      </c>
      <c r="O154" s="265" t="s">
        <v>603</v>
      </c>
      <c r="P154" s="265" t="s">
        <v>2906</v>
      </c>
      <c r="Q154" s="265" t="s">
        <v>2459</v>
      </c>
      <c r="R154" s="265">
        <v>3</v>
      </c>
      <c r="S154" s="265">
        <v>3</v>
      </c>
      <c r="T154" s="265">
        <v>3</v>
      </c>
      <c r="U154" s="265">
        <v>3</v>
      </c>
      <c r="V154" s="265">
        <v>4</v>
      </c>
      <c r="W154" s="265">
        <v>3</v>
      </c>
      <c r="X154" s="265" t="s">
        <v>2420</v>
      </c>
      <c r="Y154" s="265" t="s">
        <v>2420</v>
      </c>
      <c r="Z154" s="265" t="s">
        <v>654</v>
      </c>
      <c r="AA154" s="265" t="s">
        <v>654</v>
      </c>
      <c r="AB154" s="265" t="s">
        <v>654</v>
      </c>
      <c r="AC154" s="265" t="s">
        <v>654</v>
      </c>
      <c r="AD154" s="265" t="s">
        <v>2895</v>
      </c>
      <c r="AE154" s="265"/>
      <c r="AF154" s="265"/>
      <c r="AG154" s="265"/>
      <c r="AH154" s="265"/>
      <c r="AI154" s="265"/>
      <c r="AJ154" s="265"/>
    </row>
    <row r="155" spans="1:36" s="256" customFormat="1" ht="14.25" customHeight="1" x14ac:dyDescent="0.25">
      <c r="A155" s="256">
        <v>152</v>
      </c>
      <c r="B155" s="265" t="s">
        <v>2461</v>
      </c>
      <c r="C155" s="265" t="s">
        <v>1997</v>
      </c>
      <c r="D155" s="265" t="s">
        <v>1997</v>
      </c>
      <c r="E155" s="265" t="s">
        <v>2246</v>
      </c>
      <c r="F155" s="265" t="s">
        <v>2246</v>
      </c>
      <c r="G155" s="265"/>
      <c r="H155" s="265" t="s">
        <v>2907</v>
      </c>
      <c r="I155" s="265" t="s">
        <v>619</v>
      </c>
      <c r="J155" s="265" t="s">
        <v>2908</v>
      </c>
      <c r="K155" s="266">
        <v>45963</v>
      </c>
      <c r="L155" s="265"/>
      <c r="M155" s="265" t="s">
        <v>2909</v>
      </c>
      <c r="N155" s="265">
        <v>80</v>
      </c>
      <c r="O155" s="265" t="s">
        <v>402</v>
      </c>
      <c r="P155" s="265" t="s">
        <v>2909</v>
      </c>
      <c r="Q155" s="265" t="s">
        <v>2459</v>
      </c>
      <c r="R155" s="265">
        <v>3</v>
      </c>
      <c r="S155" s="265">
        <v>3</v>
      </c>
      <c r="T155" s="265">
        <v>3</v>
      </c>
      <c r="U155" s="265">
        <v>2</v>
      </c>
      <c r="V155" s="265">
        <v>4</v>
      </c>
      <c r="W155" s="265">
        <v>2</v>
      </c>
      <c r="X155" s="265" t="s">
        <v>2420</v>
      </c>
      <c r="Y155" s="265" t="s">
        <v>2420</v>
      </c>
      <c r="Z155" s="265" t="s">
        <v>654</v>
      </c>
      <c r="AA155" s="265" t="s">
        <v>654</v>
      </c>
      <c r="AB155" s="265" t="s">
        <v>654</v>
      </c>
      <c r="AC155" s="265" t="s">
        <v>654</v>
      </c>
      <c r="AD155" s="265" t="s">
        <v>2895</v>
      </c>
      <c r="AE155" s="265"/>
      <c r="AF155" s="265"/>
      <c r="AG155" s="265"/>
      <c r="AH155" s="265"/>
      <c r="AI155" s="265"/>
      <c r="AJ155" s="265"/>
    </row>
    <row r="156" spans="1:36" s="256" customFormat="1" ht="14.25" customHeight="1" x14ac:dyDescent="0.25">
      <c r="A156" s="256">
        <v>153</v>
      </c>
      <c r="B156" s="267" t="s">
        <v>2461</v>
      </c>
      <c r="C156" s="267" t="s">
        <v>1997</v>
      </c>
      <c r="D156" s="267" t="s">
        <v>1997</v>
      </c>
      <c r="E156" s="267" t="s">
        <v>1998</v>
      </c>
      <c r="F156" s="267" t="s">
        <v>1999</v>
      </c>
      <c r="G156" s="267"/>
      <c r="H156" s="267" t="s">
        <v>2910</v>
      </c>
      <c r="I156" s="267" t="s">
        <v>619</v>
      </c>
      <c r="J156" s="267" t="s">
        <v>2911</v>
      </c>
      <c r="K156" s="268">
        <v>45963</v>
      </c>
      <c r="L156" s="267"/>
      <c r="M156" s="267" t="s">
        <v>2912</v>
      </c>
      <c r="N156" s="267">
        <v>68</v>
      </c>
      <c r="O156" s="267" t="s">
        <v>603</v>
      </c>
      <c r="P156" s="267" t="s">
        <v>2912</v>
      </c>
      <c r="Q156" s="267" t="s">
        <v>2459</v>
      </c>
      <c r="R156" s="267">
        <v>3</v>
      </c>
      <c r="S156" s="267">
        <v>3</v>
      </c>
      <c r="T156" s="267">
        <v>4</v>
      </c>
      <c r="U156" s="267">
        <v>2</v>
      </c>
      <c r="V156" s="267">
        <v>4</v>
      </c>
      <c r="W156" s="267">
        <v>2</v>
      </c>
      <c r="X156" s="267" t="s">
        <v>2420</v>
      </c>
      <c r="Y156" s="267" t="s">
        <v>2420</v>
      </c>
      <c r="Z156" s="267" t="s">
        <v>654</v>
      </c>
      <c r="AA156" s="267" t="s">
        <v>654</v>
      </c>
      <c r="AB156" s="267" t="s">
        <v>654</v>
      </c>
      <c r="AC156" s="267" t="s">
        <v>654</v>
      </c>
      <c r="AD156" s="267" t="s">
        <v>2895</v>
      </c>
      <c r="AE156" s="267"/>
      <c r="AF156" s="267"/>
      <c r="AG156" s="267"/>
      <c r="AH156" s="267"/>
      <c r="AI156" s="267"/>
      <c r="AJ156" s="267"/>
    </row>
    <row r="157" spans="1:36" s="256" customFormat="1" ht="14.25" customHeight="1" x14ac:dyDescent="0.25">
      <c r="A157" s="256">
        <v>154</v>
      </c>
      <c r="B157" s="265" t="s">
        <v>2461</v>
      </c>
      <c r="C157" s="265" t="s">
        <v>1997</v>
      </c>
      <c r="D157" s="265" t="s">
        <v>1997</v>
      </c>
      <c r="E157" s="265" t="s">
        <v>2246</v>
      </c>
      <c r="F157" s="265" t="s">
        <v>2246</v>
      </c>
      <c r="G157" s="265"/>
      <c r="H157" s="265" t="s">
        <v>2913</v>
      </c>
      <c r="I157" s="265" t="s">
        <v>579</v>
      </c>
      <c r="J157" s="265" t="s">
        <v>2914</v>
      </c>
      <c r="K157" s="266">
        <v>45979</v>
      </c>
      <c r="L157" s="272"/>
      <c r="M157" s="265" t="s">
        <v>2915</v>
      </c>
      <c r="N157" s="265">
        <v>32</v>
      </c>
      <c r="O157" s="273" t="s">
        <v>603</v>
      </c>
      <c r="P157" s="265" t="s">
        <v>2916</v>
      </c>
      <c r="Q157" s="265" t="s">
        <v>2470</v>
      </c>
      <c r="R157" s="265">
        <v>1</v>
      </c>
      <c r="S157" s="265">
        <v>1</v>
      </c>
      <c r="T157" s="265">
        <v>3</v>
      </c>
      <c r="U157" s="265">
        <v>1</v>
      </c>
      <c r="V157" s="265">
        <v>3</v>
      </c>
      <c r="W157" s="265">
        <v>1</v>
      </c>
      <c r="X157" s="265" t="s">
        <v>2420</v>
      </c>
      <c r="Y157" s="265" t="s">
        <v>2420</v>
      </c>
      <c r="Z157" s="265" t="s">
        <v>654</v>
      </c>
      <c r="AA157" s="265" t="s">
        <v>654</v>
      </c>
      <c r="AB157" s="265" t="s">
        <v>654</v>
      </c>
      <c r="AC157" s="265" t="s">
        <v>654</v>
      </c>
      <c r="AD157" s="265" t="s">
        <v>2526</v>
      </c>
      <c r="AE157" s="265"/>
      <c r="AF157" s="265"/>
      <c r="AG157" s="265"/>
      <c r="AH157" s="265"/>
      <c r="AI157" s="265"/>
      <c r="AJ157" s="265"/>
    </row>
    <row r="158" spans="1:36" s="256" customFormat="1" ht="14.25" customHeight="1" x14ac:dyDescent="0.25">
      <c r="A158" s="256">
        <v>155</v>
      </c>
      <c r="B158" s="265"/>
      <c r="C158" s="265" t="s">
        <v>1997</v>
      </c>
      <c r="D158" s="265" t="s">
        <v>1997</v>
      </c>
      <c r="E158" s="265" t="s">
        <v>1998</v>
      </c>
      <c r="F158" s="265" t="s">
        <v>2479</v>
      </c>
      <c r="G158" s="265"/>
      <c r="H158" s="265" t="s">
        <v>2917</v>
      </c>
      <c r="I158" s="265" t="s">
        <v>579</v>
      </c>
      <c r="J158" s="265" t="s">
        <v>2918</v>
      </c>
      <c r="K158" s="266">
        <v>46003</v>
      </c>
      <c r="L158" s="272"/>
      <c r="M158" s="265" t="s">
        <v>2919</v>
      </c>
      <c r="N158" s="265">
        <v>64</v>
      </c>
      <c r="O158" s="273" t="s">
        <v>603</v>
      </c>
      <c r="P158" s="265" t="s">
        <v>2919</v>
      </c>
      <c r="Q158" s="265" t="s">
        <v>2459</v>
      </c>
      <c r="R158" s="265">
        <v>2</v>
      </c>
      <c r="S158" s="265">
        <v>2</v>
      </c>
      <c r="T158" s="265">
        <v>2</v>
      </c>
      <c r="U158" s="265">
        <v>2</v>
      </c>
      <c r="V158" s="265">
        <v>3</v>
      </c>
      <c r="W158" s="265">
        <v>2</v>
      </c>
      <c r="X158" s="265" t="s">
        <v>2420</v>
      </c>
      <c r="Y158" s="265" t="s">
        <v>2420</v>
      </c>
      <c r="Z158" s="265" t="s">
        <v>654</v>
      </c>
      <c r="AA158" s="265" t="s">
        <v>654</v>
      </c>
      <c r="AB158" s="265" t="s">
        <v>654</v>
      </c>
      <c r="AC158" s="265" t="s">
        <v>654</v>
      </c>
      <c r="AD158" s="265" t="s">
        <v>2920</v>
      </c>
      <c r="AE158" s="265"/>
      <c r="AF158" s="265"/>
      <c r="AG158" s="265"/>
      <c r="AH158" s="265"/>
      <c r="AI158" s="265"/>
      <c r="AJ158" s="265"/>
    </row>
    <row r="159" spans="1:36" s="256" customFormat="1" ht="14.25" customHeight="1" x14ac:dyDescent="0.25">
      <c r="A159" s="256">
        <v>156</v>
      </c>
      <c r="B159" s="265"/>
      <c r="C159" s="265" t="s">
        <v>1997</v>
      </c>
      <c r="D159" s="265" t="s">
        <v>1997</v>
      </c>
      <c r="E159" s="265" t="s">
        <v>1998</v>
      </c>
      <c r="F159" s="265" t="s">
        <v>1999</v>
      </c>
      <c r="G159" s="265"/>
      <c r="H159" s="265" t="s">
        <v>2804</v>
      </c>
      <c r="I159" s="265" t="s">
        <v>619</v>
      </c>
      <c r="J159" s="265" t="s">
        <v>2921</v>
      </c>
      <c r="K159" s="266">
        <v>46003</v>
      </c>
      <c r="L159" s="272"/>
      <c r="M159" s="265" t="s">
        <v>2922</v>
      </c>
      <c r="N159" s="265">
        <v>38</v>
      </c>
      <c r="O159" s="273" t="s">
        <v>603</v>
      </c>
      <c r="P159" s="265" t="s">
        <v>2923</v>
      </c>
      <c r="Q159" s="265" t="s">
        <v>2459</v>
      </c>
      <c r="R159" s="265">
        <v>6</v>
      </c>
      <c r="S159" s="265">
        <v>6</v>
      </c>
      <c r="T159" s="265">
        <v>6</v>
      </c>
      <c r="U159" s="265">
        <v>6</v>
      </c>
      <c r="V159" s="265">
        <v>4</v>
      </c>
      <c r="W159" s="265">
        <v>6</v>
      </c>
      <c r="X159" s="265" t="s">
        <v>2420</v>
      </c>
      <c r="Y159" s="265" t="s">
        <v>2420</v>
      </c>
      <c r="Z159" s="265" t="s">
        <v>654</v>
      </c>
      <c r="AA159" s="265" t="s">
        <v>654</v>
      </c>
      <c r="AB159" s="265" t="s">
        <v>654</v>
      </c>
      <c r="AC159" s="265" t="s">
        <v>654</v>
      </c>
      <c r="AD159" s="265" t="s">
        <v>2920</v>
      </c>
      <c r="AE159" s="265"/>
      <c r="AF159" s="265"/>
      <c r="AG159" s="265"/>
      <c r="AH159" s="265"/>
      <c r="AI159" s="265"/>
      <c r="AJ159" s="265"/>
    </row>
    <row r="160" spans="1:36" s="256" customFormat="1" ht="14.25" customHeight="1" x14ac:dyDescent="0.25">
      <c r="A160" s="256">
        <v>157</v>
      </c>
      <c r="B160" s="265"/>
      <c r="C160" s="265" t="s">
        <v>1997</v>
      </c>
      <c r="D160" s="265" t="s">
        <v>1997</v>
      </c>
      <c r="E160" s="265" t="s">
        <v>1998</v>
      </c>
      <c r="F160" s="265" t="s">
        <v>1999</v>
      </c>
      <c r="G160" s="265"/>
      <c r="H160" s="265" t="s">
        <v>2924</v>
      </c>
      <c r="I160" s="265" t="s">
        <v>579</v>
      </c>
      <c r="J160" s="265" t="s">
        <v>2925</v>
      </c>
      <c r="K160" s="266">
        <v>46003</v>
      </c>
      <c r="L160" s="272"/>
      <c r="M160" s="265" t="s">
        <v>2926</v>
      </c>
      <c r="N160" s="265">
        <v>66</v>
      </c>
      <c r="O160" s="273" t="s">
        <v>603</v>
      </c>
      <c r="P160" s="265" t="s">
        <v>2926</v>
      </c>
      <c r="Q160" s="265" t="s">
        <v>2459</v>
      </c>
      <c r="R160" s="265">
        <v>3</v>
      </c>
      <c r="S160" s="265">
        <v>3</v>
      </c>
      <c r="T160" s="265">
        <v>3</v>
      </c>
      <c r="U160" s="265">
        <v>3</v>
      </c>
      <c r="V160" s="265">
        <v>4</v>
      </c>
      <c r="W160" s="265">
        <v>3</v>
      </c>
      <c r="X160" s="265" t="s">
        <v>2420</v>
      </c>
      <c r="Y160" s="265" t="s">
        <v>2420</v>
      </c>
      <c r="Z160" s="265" t="s">
        <v>654</v>
      </c>
      <c r="AA160" s="265" t="s">
        <v>654</v>
      </c>
      <c r="AB160" s="265" t="s">
        <v>654</v>
      </c>
      <c r="AC160" s="265" t="s">
        <v>654</v>
      </c>
      <c r="AD160" s="265" t="s">
        <v>2920</v>
      </c>
      <c r="AE160" s="265"/>
      <c r="AF160" s="265"/>
      <c r="AG160" s="265"/>
      <c r="AH160" s="265"/>
      <c r="AI160" s="265"/>
      <c r="AJ160" s="265"/>
    </row>
    <row r="161" spans="1:36" s="256" customFormat="1" ht="14.25" customHeight="1" x14ac:dyDescent="0.25">
      <c r="A161" s="256">
        <v>158</v>
      </c>
      <c r="B161" s="265"/>
      <c r="C161" s="265" t="s">
        <v>1997</v>
      </c>
      <c r="D161" s="265" t="s">
        <v>1997</v>
      </c>
      <c r="E161" s="265" t="s">
        <v>1998</v>
      </c>
      <c r="F161" s="265" t="s">
        <v>2455</v>
      </c>
      <c r="G161" s="265"/>
      <c r="H161" s="265" t="s">
        <v>2927</v>
      </c>
      <c r="I161" s="265" t="s">
        <v>619</v>
      </c>
      <c r="J161" s="265" t="s">
        <v>2928</v>
      </c>
      <c r="K161" s="266">
        <v>46003</v>
      </c>
      <c r="L161" s="272"/>
      <c r="M161" s="265" t="s">
        <v>2929</v>
      </c>
      <c r="N161" s="265">
        <v>59</v>
      </c>
      <c r="O161" s="273" t="s">
        <v>603</v>
      </c>
      <c r="P161" s="265" t="s">
        <v>2929</v>
      </c>
      <c r="Q161" s="265" t="s">
        <v>2459</v>
      </c>
      <c r="R161" s="265">
        <v>2</v>
      </c>
      <c r="S161" s="265">
        <v>2</v>
      </c>
      <c r="T161" s="265">
        <v>2</v>
      </c>
      <c r="U161" s="265">
        <v>2</v>
      </c>
      <c r="V161" s="265">
        <v>3</v>
      </c>
      <c r="W161" s="265">
        <v>1</v>
      </c>
      <c r="X161" s="265" t="s">
        <v>2420</v>
      </c>
      <c r="Y161" s="265" t="s">
        <v>2420</v>
      </c>
      <c r="Z161" s="265" t="s">
        <v>654</v>
      </c>
      <c r="AA161" s="265" t="s">
        <v>654</v>
      </c>
      <c r="AB161" s="265" t="s">
        <v>654</v>
      </c>
      <c r="AC161" s="265" t="s">
        <v>654</v>
      </c>
      <c r="AD161" s="265" t="s">
        <v>2920</v>
      </c>
      <c r="AE161" s="265"/>
      <c r="AF161" s="265"/>
      <c r="AG161" s="265"/>
      <c r="AH161" s="265"/>
      <c r="AI161" s="265"/>
      <c r="AJ161" s="265"/>
    </row>
    <row r="162" spans="1:36" s="256" customFormat="1" ht="14.25" customHeight="1" x14ac:dyDescent="0.25">
      <c r="A162" s="256">
        <v>159</v>
      </c>
      <c r="B162" s="265"/>
      <c r="C162" s="265" t="s">
        <v>1997</v>
      </c>
      <c r="D162" s="265" t="s">
        <v>1997</v>
      </c>
      <c r="E162" s="265" t="s">
        <v>1998</v>
      </c>
      <c r="F162" s="265" t="s">
        <v>2544</v>
      </c>
      <c r="G162" s="265"/>
      <c r="H162" s="265" t="s">
        <v>2930</v>
      </c>
      <c r="I162" s="265" t="s">
        <v>579</v>
      </c>
      <c r="J162" s="265" t="s">
        <v>2657</v>
      </c>
      <c r="K162" s="266">
        <v>45991</v>
      </c>
      <c r="L162" s="272"/>
      <c r="M162" s="265" t="s">
        <v>2931</v>
      </c>
      <c r="N162" s="265">
        <v>65</v>
      </c>
      <c r="O162" s="273" t="s">
        <v>603</v>
      </c>
      <c r="P162" s="265" t="s">
        <v>2931</v>
      </c>
      <c r="Q162" s="265" t="s">
        <v>2459</v>
      </c>
      <c r="R162" s="265">
        <v>2</v>
      </c>
      <c r="S162" s="265">
        <v>2</v>
      </c>
      <c r="T162" s="265">
        <v>3</v>
      </c>
      <c r="U162" s="265">
        <v>2</v>
      </c>
      <c r="V162" s="265">
        <v>3</v>
      </c>
      <c r="W162" s="265">
        <v>2</v>
      </c>
      <c r="X162" s="265" t="s">
        <v>2420</v>
      </c>
      <c r="Y162" s="265" t="s">
        <v>2420</v>
      </c>
      <c r="Z162" s="265" t="s">
        <v>654</v>
      </c>
      <c r="AA162" s="265" t="s">
        <v>654</v>
      </c>
      <c r="AB162" s="265" t="s">
        <v>654</v>
      </c>
      <c r="AC162" s="265" t="s">
        <v>654</v>
      </c>
      <c r="AD162" s="265" t="s">
        <v>2920</v>
      </c>
      <c r="AE162" s="265"/>
      <c r="AF162" s="265"/>
      <c r="AG162" s="265"/>
      <c r="AH162" s="265"/>
      <c r="AI162" s="265"/>
      <c r="AJ162" s="265"/>
    </row>
    <row r="163" spans="1:36" s="256" customFormat="1" ht="14.25" customHeight="1" x14ac:dyDescent="0.25">
      <c r="A163" s="256">
        <v>160</v>
      </c>
      <c r="B163" s="265"/>
      <c r="C163" s="265" t="s">
        <v>1997</v>
      </c>
      <c r="D163" s="265" t="s">
        <v>1997</v>
      </c>
      <c r="E163" s="265" t="s">
        <v>1998</v>
      </c>
      <c r="F163" s="265" t="s">
        <v>2544</v>
      </c>
      <c r="G163" s="265"/>
      <c r="H163" s="265" t="s">
        <v>2932</v>
      </c>
      <c r="I163" s="265" t="s">
        <v>579</v>
      </c>
      <c r="J163" s="265" t="s">
        <v>2933</v>
      </c>
      <c r="K163" s="266">
        <v>45992</v>
      </c>
      <c r="L163" s="272"/>
      <c r="M163" s="265" t="s">
        <v>2934</v>
      </c>
      <c r="N163" s="265">
        <v>76</v>
      </c>
      <c r="O163" s="273" t="s">
        <v>603</v>
      </c>
      <c r="P163" s="265" t="s">
        <v>2934</v>
      </c>
      <c r="Q163" s="265" t="s">
        <v>2459</v>
      </c>
      <c r="R163" s="265">
        <v>2</v>
      </c>
      <c r="S163" s="265">
        <v>2</v>
      </c>
      <c r="T163" s="265">
        <v>3</v>
      </c>
      <c r="U163" s="265">
        <v>2</v>
      </c>
      <c r="V163" s="265">
        <v>4</v>
      </c>
      <c r="W163" s="265">
        <v>2</v>
      </c>
      <c r="X163" s="265" t="s">
        <v>2420</v>
      </c>
      <c r="Y163" s="265" t="s">
        <v>2420</v>
      </c>
      <c r="Z163" s="265" t="s">
        <v>654</v>
      </c>
      <c r="AA163" s="265" t="s">
        <v>654</v>
      </c>
      <c r="AB163" s="265" t="s">
        <v>654</v>
      </c>
      <c r="AC163" s="265" t="s">
        <v>654</v>
      </c>
      <c r="AD163" s="265" t="s">
        <v>2920</v>
      </c>
      <c r="AE163" s="265"/>
      <c r="AF163" s="265"/>
      <c r="AG163" s="265"/>
      <c r="AH163" s="265"/>
      <c r="AI163" s="265"/>
      <c r="AJ163" s="265"/>
    </row>
    <row r="164" spans="1:36" s="256" customFormat="1" ht="14.25" customHeight="1" x14ac:dyDescent="0.25">
      <c r="A164" s="256">
        <v>161</v>
      </c>
      <c r="B164" s="265" t="s">
        <v>399</v>
      </c>
      <c r="C164" s="265" t="s">
        <v>1997</v>
      </c>
      <c r="D164" s="265" t="s">
        <v>1997</v>
      </c>
      <c r="E164" s="265" t="s">
        <v>1998</v>
      </c>
      <c r="F164" s="265" t="s">
        <v>2544</v>
      </c>
      <c r="G164" s="265"/>
      <c r="H164" s="265" t="s">
        <v>2932</v>
      </c>
      <c r="I164" s="265" t="s">
        <v>579</v>
      </c>
      <c r="J164" s="265" t="s">
        <v>2935</v>
      </c>
      <c r="K164" s="266">
        <v>45994</v>
      </c>
      <c r="L164" s="272"/>
      <c r="M164" s="265" t="s">
        <v>2936</v>
      </c>
      <c r="N164" s="265">
        <v>86</v>
      </c>
      <c r="O164" s="273" t="s">
        <v>603</v>
      </c>
      <c r="P164" s="265" t="s">
        <v>2937</v>
      </c>
      <c r="Q164" s="265" t="s">
        <v>2502</v>
      </c>
      <c r="R164" s="265">
        <v>3</v>
      </c>
      <c r="S164" s="265">
        <v>2</v>
      </c>
      <c r="T164" s="265">
        <v>3</v>
      </c>
      <c r="U164" s="265">
        <v>3</v>
      </c>
      <c r="V164" s="265">
        <v>4</v>
      </c>
      <c r="W164" s="265">
        <v>2</v>
      </c>
      <c r="X164" s="265" t="s">
        <v>2420</v>
      </c>
      <c r="Y164" s="265" t="s">
        <v>2420</v>
      </c>
      <c r="Z164" s="265" t="s">
        <v>654</v>
      </c>
      <c r="AA164" s="265" t="s">
        <v>654</v>
      </c>
      <c r="AB164" s="265" t="s">
        <v>654</v>
      </c>
      <c r="AC164" s="265" t="s">
        <v>654</v>
      </c>
      <c r="AD164" s="265" t="s">
        <v>2920</v>
      </c>
      <c r="AE164" s="265"/>
      <c r="AF164" s="265"/>
      <c r="AG164" s="265"/>
      <c r="AH164" s="265"/>
      <c r="AI164" s="265"/>
      <c r="AJ164" s="265"/>
    </row>
    <row r="165" spans="1:36" s="256" customFormat="1" ht="14.25" customHeight="1" x14ac:dyDescent="0.25">
      <c r="A165" s="256">
        <v>162</v>
      </c>
      <c r="B165" s="265" t="s">
        <v>2461</v>
      </c>
      <c r="C165" s="265" t="s">
        <v>1997</v>
      </c>
      <c r="D165" s="265" t="s">
        <v>1997</v>
      </c>
      <c r="E165" s="265" t="s">
        <v>1998</v>
      </c>
      <c r="F165" s="265" t="s">
        <v>2479</v>
      </c>
      <c r="G165" s="265"/>
      <c r="H165" s="265" t="s">
        <v>2479</v>
      </c>
      <c r="I165" s="265" t="s">
        <v>619</v>
      </c>
      <c r="J165" s="265" t="s">
        <v>2938</v>
      </c>
      <c r="K165" s="266">
        <v>46004</v>
      </c>
      <c r="L165" s="272"/>
      <c r="M165" s="265" t="s">
        <v>2939</v>
      </c>
      <c r="N165" s="265">
        <v>38</v>
      </c>
      <c r="O165" s="273" t="s">
        <v>603</v>
      </c>
      <c r="P165" s="265" t="s">
        <v>2939</v>
      </c>
      <c r="Q165" s="265" t="s">
        <v>2459</v>
      </c>
      <c r="R165" s="265">
        <v>1</v>
      </c>
      <c r="S165" s="265">
        <v>1</v>
      </c>
      <c r="T165" s="265">
        <v>3</v>
      </c>
      <c r="U165" s="265">
        <v>1</v>
      </c>
      <c r="V165" s="265">
        <v>3</v>
      </c>
      <c r="W165" s="265">
        <v>2</v>
      </c>
      <c r="X165" s="265" t="s">
        <v>2420</v>
      </c>
      <c r="Y165" s="265" t="s">
        <v>2420</v>
      </c>
      <c r="Z165" s="265" t="s">
        <v>654</v>
      </c>
      <c r="AA165" s="265" t="s">
        <v>654</v>
      </c>
      <c r="AB165" s="265" t="s">
        <v>654</v>
      </c>
      <c r="AC165" s="265" t="s">
        <v>654</v>
      </c>
      <c r="AD165" s="265" t="s">
        <v>2465</v>
      </c>
      <c r="AE165" s="265"/>
      <c r="AF165" s="265"/>
      <c r="AG165" s="265"/>
      <c r="AH165" s="265"/>
      <c r="AI165" s="265"/>
      <c r="AJ165" s="265"/>
    </row>
    <row r="166" spans="1:36" s="256" customFormat="1" ht="14.25" customHeight="1" x14ac:dyDescent="0.25">
      <c r="A166" s="256">
        <v>163</v>
      </c>
      <c r="B166" s="265" t="s">
        <v>2461</v>
      </c>
      <c r="C166" s="265" t="s">
        <v>1997</v>
      </c>
      <c r="D166" s="265" t="s">
        <v>1997</v>
      </c>
      <c r="E166" s="265" t="s">
        <v>1998</v>
      </c>
      <c r="F166" s="265" t="s">
        <v>1999</v>
      </c>
      <c r="G166" s="265"/>
      <c r="H166" s="265" t="s">
        <v>2910</v>
      </c>
      <c r="I166" s="265" t="s">
        <v>619</v>
      </c>
      <c r="J166" s="265" t="s">
        <v>2940</v>
      </c>
      <c r="K166" s="266">
        <v>46004</v>
      </c>
      <c r="L166" s="272"/>
      <c r="M166" s="265" t="s">
        <v>2941</v>
      </c>
      <c r="N166" s="265">
        <v>50</v>
      </c>
      <c r="O166" s="273" t="s">
        <v>603</v>
      </c>
      <c r="P166" s="265" t="s">
        <v>2941</v>
      </c>
      <c r="Q166" s="265" t="s">
        <v>2459</v>
      </c>
      <c r="R166" s="265">
        <v>3</v>
      </c>
      <c r="S166" s="265">
        <v>3</v>
      </c>
      <c r="T166" s="265">
        <v>3</v>
      </c>
      <c r="U166" s="265">
        <v>3</v>
      </c>
      <c r="V166" s="265">
        <v>4</v>
      </c>
      <c r="W166" s="265">
        <v>3</v>
      </c>
      <c r="X166" s="265" t="s">
        <v>2420</v>
      </c>
      <c r="Y166" s="265" t="s">
        <v>2420</v>
      </c>
      <c r="Z166" s="265" t="s">
        <v>654</v>
      </c>
      <c r="AA166" s="265" t="s">
        <v>654</v>
      </c>
      <c r="AB166" s="265" t="s">
        <v>654</v>
      </c>
      <c r="AC166" s="265" t="s">
        <v>654</v>
      </c>
      <c r="AD166" s="265" t="s">
        <v>2484</v>
      </c>
      <c r="AE166" s="265"/>
      <c r="AF166" s="265"/>
      <c r="AG166" s="265"/>
      <c r="AH166" s="265"/>
      <c r="AI166" s="265"/>
      <c r="AJ166" s="265"/>
    </row>
    <row r="167" spans="1:36" s="256" customFormat="1" ht="14.25" customHeight="1" x14ac:dyDescent="0.25">
      <c r="A167" s="256">
        <v>164</v>
      </c>
      <c r="B167" s="265" t="s">
        <v>2461</v>
      </c>
      <c r="C167" s="265" t="s">
        <v>1997</v>
      </c>
      <c r="D167" s="265" t="s">
        <v>1997</v>
      </c>
      <c r="E167" s="265" t="s">
        <v>1998</v>
      </c>
      <c r="F167" s="265" t="s">
        <v>2472</v>
      </c>
      <c r="G167" s="265"/>
      <c r="H167" s="265" t="s">
        <v>2942</v>
      </c>
      <c r="I167" s="265" t="s">
        <v>619</v>
      </c>
      <c r="J167" s="265" t="s">
        <v>2943</v>
      </c>
      <c r="K167" s="266">
        <v>46004</v>
      </c>
      <c r="L167" s="272"/>
      <c r="M167" s="265" t="s">
        <v>2944</v>
      </c>
      <c r="N167" s="265">
        <v>61</v>
      </c>
      <c r="O167" s="273" t="s">
        <v>603</v>
      </c>
      <c r="P167" s="265" t="s">
        <v>2944</v>
      </c>
      <c r="Q167" s="265" t="s">
        <v>2459</v>
      </c>
      <c r="R167" s="265">
        <v>3</v>
      </c>
      <c r="S167" s="265">
        <v>3</v>
      </c>
      <c r="T167" s="265">
        <v>3</v>
      </c>
      <c r="U167" s="265">
        <v>3</v>
      </c>
      <c r="V167" s="265">
        <v>4</v>
      </c>
      <c r="W167" s="265">
        <v>3</v>
      </c>
      <c r="X167" s="265" t="s">
        <v>2420</v>
      </c>
      <c r="Y167" s="265" t="s">
        <v>2420</v>
      </c>
      <c r="Z167" s="265" t="s">
        <v>654</v>
      </c>
      <c r="AA167" s="265" t="s">
        <v>654</v>
      </c>
      <c r="AB167" s="265" t="s">
        <v>654</v>
      </c>
      <c r="AC167" s="265" t="s">
        <v>654</v>
      </c>
      <c r="AD167" s="265" t="s">
        <v>2484</v>
      </c>
      <c r="AE167" s="265"/>
      <c r="AF167" s="265"/>
      <c r="AG167" s="265"/>
      <c r="AH167" s="265"/>
      <c r="AI167" s="265"/>
      <c r="AJ167" s="265"/>
    </row>
    <row r="168" spans="1:36" s="256" customFormat="1" ht="14.25" customHeight="1" x14ac:dyDescent="0.25">
      <c r="A168" s="256">
        <v>165</v>
      </c>
      <c r="B168" s="265" t="s">
        <v>2461</v>
      </c>
      <c r="C168" s="265" t="s">
        <v>1997</v>
      </c>
      <c r="D168" s="265" t="s">
        <v>1997</v>
      </c>
      <c r="E168" s="265" t="s">
        <v>1998</v>
      </c>
      <c r="F168" s="265" t="s">
        <v>2455</v>
      </c>
      <c r="G168" s="265"/>
      <c r="H168" s="265" t="s">
        <v>2455</v>
      </c>
      <c r="I168" s="265" t="s">
        <v>619</v>
      </c>
      <c r="J168" s="265" t="s">
        <v>2945</v>
      </c>
      <c r="K168" s="266">
        <v>46005</v>
      </c>
      <c r="L168" s="272"/>
      <c r="M168" s="265" t="s">
        <v>2946</v>
      </c>
      <c r="N168" s="265">
        <v>57</v>
      </c>
      <c r="O168" s="273" t="s">
        <v>402</v>
      </c>
      <c r="P168" s="265" t="s">
        <v>2946</v>
      </c>
      <c r="Q168" s="265" t="s">
        <v>2459</v>
      </c>
      <c r="R168" s="265">
        <v>2</v>
      </c>
      <c r="S168" s="265">
        <v>2</v>
      </c>
      <c r="T168" s="265">
        <v>3</v>
      </c>
      <c r="U168" s="265">
        <v>1</v>
      </c>
      <c r="V168" s="265">
        <v>3</v>
      </c>
      <c r="W168" s="265">
        <v>1</v>
      </c>
      <c r="X168" s="265" t="s">
        <v>2420</v>
      </c>
      <c r="Y168" s="265" t="s">
        <v>2420</v>
      </c>
      <c r="Z168" s="265" t="s">
        <v>654</v>
      </c>
      <c r="AA168" s="265" t="s">
        <v>654</v>
      </c>
      <c r="AB168" s="265" t="s">
        <v>654</v>
      </c>
      <c r="AC168" s="265" t="s">
        <v>654</v>
      </c>
      <c r="AD168" s="265" t="s">
        <v>2484</v>
      </c>
      <c r="AE168" s="265"/>
      <c r="AF168" s="265"/>
      <c r="AG168" s="265"/>
      <c r="AH168" s="265"/>
      <c r="AI168" s="265"/>
      <c r="AJ168" s="265"/>
    </row>
    <row r="169" spans="1:36" s="256" customFormat="1" ht="14.25" customHeight="1" x14ac:dyDescent="0.25">
      <c r="A169" s="256">
        <v>166</v>
      </c>
      <c r="B169" s="265" t="s">
        <v>2461</v>
      </c>
      <c r="C169" s="265" t="s">
        <v>1997</v>
      </c>
      <c r="D169" s="265" t="s">
        <v>1997</v>
      </c>
      <c r="E169" s="265" t="s">
        <v>1998</v>
      </c>
      <c r="F169" s="265" t="s">
        <v>2472</v>
      </c>
      <c r="G169" s="265"/>
      <c r="H169" s="265" t="s">
        <v>2947</v>
      </c>
      <c r="I169" s="265" t="s">
        <v>619</v>
      </c>
      <c r="J169" s="265" t="s">
        <v>2948</v>
      </c>
      <c r="K169" s="266">
        <v>45999</v>
      </c>
      <c r="L169" s="272"/>
      <c r="M169" s="265" t="s">
        <v>2949</v>
      </c>
      <c r="N169" s="265">
        <v>47</v>
      </c>
      <c r="O169" s="273" t="s">
        <v>402</v>
      </c>
      <c r="P169" s="265" t="s">
        <v>2949</v>
      </c>
      <c r="Q169" s="265" t="s">
        <v>2459</v>
      </c>
      <c r="R169" s="265">
        <v>3</v>
      </c>
      <c r="S169" s="265">
        <v>2</v>
      </c>
      <c r="T169" s="265">
        <v>3</v>
      </c>
      <c r="U169" s="265">
        <v>2</v>
      </c>
      <c r="V169" s="265">
        <v>4</v>
      </c>
      <c r="W169" s="265">
        <v>2</v>
      </c>
      <c r="X169" s="265" t="s">
        <v>2420</v>
      </c>
      <c r="Y169" s="265" t="s">
        <v>2420</v>
      </c>
      <c r="Z169" s="265" t="s">
        <v>654</v>
      </c>
      <c r="AA169" s="265" t="s">
        <v>654</v>
      </c>
      <c r="AB169" s="265" t="s">
        <v>654</v>
      </c>
      <c r="AC169" s="265" t="s">
        <v>654</v>
      </c>
      <c r="AD169" s="265" t="s">
        <v>2484</v>
      </c>
      <c r="AE169" s="265"/>
      <c r="AF169" s="265"/>
      <c r="AG169" s="265"/>
      <c r="AH169" s="265"/>
      <c r="AI169" s="265"/>
      <c r="AJ169" s="265"/>
    </row>
    <row r="170" spans="1:36" s="256" customFormat="1" ht="14.25" customHeight="1" x14ac:dyDescent="0.25">
      <c r="A170" s="256">
        <v>167</v>
      </c>
      <c r="B170" s="265" t="s">
        <v>2461</v>
      </c>
      <c r="C170" s="265" t="s">
        <v>1997</v>
      </c>
      <c r="D170" s="265" t="s">
        <v>1997</v>
      </c>
      <c r="E170" s="265" t="s">
        <v>1998</v>
      </c>
      <c r="F170" s="265" t="s">
        <v>2472</v>
      </c>
      <c r="G170" s="265"/>
      <c r="H170" s="265" t="s">
        <v>2950</v>
      </c>
      <c r="I170" s="265" t="s">
        <v>619</v>
      </c>
      <c r="J170" s="265" t="s">
        <v>2760</v>
      </c>
      <c r="K170" s="266">
        <v>45999</v>
      </c>
      <c r="L170" s="272"/>
      <c r="M170" s="265" t="s">
        <v>2951</v>
      </c>
      <c r="N170" s="265">
        <v>50</v>
      </c>
      <c r="O170" s="273" t="s">
        <v>603</v>
      </c>
      <c r="P170" s="265" t="s">
        <v>2951</v>
      </c>
      <c r="Q170" s="265" t="s">
        <v>2459</v>
      </c>
      <c r="R170" s="265">
        <v>2</v>
      </c>
      <c r="S170" s="265">
        <v>2</v>
      </c>
      <c r="T170" s="265">
        <v>3</v>
      </c>
      <c r="U170" s="265">
        <v>2</v>
      </c>
      <c r="V170" s="265">
        <v>3</v>
      </c>
      <c r="W170" s="265">
        <v>2</v>
      </c>
      <c r="X170" s="265" t="s">
        <v>2420</v>
      </c>
      <c r="Y170" s="265" t="s">
        <v>2420</v>
      </c>
      <c r="Z170" s="265" t="s">
        <v>654</v>
      </c>
      <c r="AA170" s="265" t="s">
        <v>654</v>
      </c>
      <c r="AB170" s="265" t="s">
        <v>654</v>
      </c>
      <c r="AC170" s="265" t="s">
        <v>654</v>
      </c>
      <c r="AD170" s="265" t="s">
        <v>2484</v>
      </c>
      <c r="AE170" s="265"/>
      <c r="AF170" s="265"/>
      <c r="AG170" s="265"/>
      <c r="AH170" s="265"/>
      <c r="AI170" s="265"/>
      <c r="AJ170" s="265"/>
    </row>
    <row r="171" spans="1:36" s="256" customFormat="1" ht="14.25" customHeight="1" x14ac:dyDescent="0.25">
      <c r="A171" s="256">
        <v>168</v>
      </c>
      <c r="B171" s="265" t="s">
        <v>2461</v>
      </c>
      <c r="C171" s="265" t="s">
        <v>1997</v>
      </c>
      <c r="D171" s="265" t="s">
        <v>1997</v>
      </c>
      <c r="E171" s="265" t="s">
        <v>1998</v>
      </c>
      <c r="F171" s="265" t="s">
        <v>2472</v>
      </c>
      <c r="G171" s="265"/>
      <c r="H171" s="265" t="s">
        <v>2950</v>
      </c>
      <c r="I171" s="265" t="s">
        <v>619</v>
      </c>
      <c r="J171" s="265" t="s">
        <v>2758</v>
      </c>
      <c r="K171" s="266">
        <v>45999</v>
      </c>
      <c r="L171" s="272"/>
      <c r="M171" s="265" t="s">
        <v>2952</v>
      </c>
      <c r="N171" s="265">
        <v>67</v>
      </c>
      <c r="O171" s="273" t="s">
        <v>402</v>
      </c>
      <c r="P171" s="265" t="s">
        <v>2952</v>
      </c>
      <c r="Q171" s="265" t="s">
        <v>2459</v>
      </c>
      <c r="R171" s="265">
        <v>2</v>
      </c>
      <c r="S171" s="265">
        <v>2</v>
      </c>
      <c r="T171" s="265">
        <v>3</v>
      </c>
      <c r="U171" s="265">
        <v>2</v>
      </c>
      <c r="V171" s="265">
        <v>3</v>
      </c>
      <c r="W171" s="265">
        <v>2</v>
      </c>
      <c r="X171" s="265" t="s">
        <v>2420</v>
      </c>
      <c r="Y171" s="265" t="s">
        <v>2420</v>
      </c>
      <c r="Z171" s="265" t="s">
        <v>654</v>
      </c>
      <c r="AA171" s="265" t="s">
        <v>654</v>
      </c>
      <c r="AB171" s="265" t="s">
        <v>654</v>
      </c>
      <c r="AC171" s="265" t="s">
        <v>654</v>
      </c>
      <c r="AD171" s="265" t="s">
        <v>2484</v>
      </c>
      <c r="AE171" s="265"/>
      <c r="AF171" s="265"/>
      <c r="AG171" s="265"/>
      <c r="AH171" s="265"/>
      <c r="AI171" s="265"/>
      <c r="AJ171" s="270" t="s">
        <v>2953</v>
      </c>
    </row>
    <row r="172" spans="1:36" s="256" customFormat="1" ht="14.25" customHeight="1" x14ac:dyDescent="0.25">
      <c r="A172" s="256">
        <v>169</v>
      </c>
      <c r="B172" s="265" t="s">
        <v>2461</v>
      </c>
      <c r="C172" s="265" t="s">
        <v>1997</v>
      </c>
      <c r="D172" s="265" t="s">
        <v>1997</v>
      </c>
      <c r="E172" s="265" t="s">
        <v>1998</v>
      </c>
      <c r="F172" s="265" t="s">
        <v>2472</v>
      </c>
      <c r="G172" s="265"/>
      <c r="H172" s="265" t="s">
        <v>2954</v>
      </c>
      <c r="I172" s="265" t="s">
        <v>619</v>
      </c>
      <c r="J172" s="270" t="s">
        <v>2661</v>
      </c>
      <c r="K172" s="266">
        <v>45999</v>
      </c>
      <c r="L172" s="272"/>
      <c r="M172" s="265" t="s">
        <v>2955</v>
      </c>
      <c r="N172" s="265">
        <v>43</v>
      </c>
      <c r="O172" s="273" t="s">
        <v>402</v>
      </c>
      <c r="P172" s="265" t="s">
        <v>2956</v>
      </c>
      <c r="Q172" s="265" t="s">
        <v>2459</v>
      </c>
      <c r="R172" s="265">
        <v>2</v>
      </c>
      <c r="S172" s="265">
        <v>1</v>
      </c>
      <c r="T172" s="265">
        <v>3</v>
      </c>
      <c r="U172" s="265">
        <v>2</v>
      </c>
      <c r="V172" s="265">
        <v>3</v>
      </c>
      <c r="W172" s="265">
        <v>2</v>
      </c>
      <c r="X172" s="270" t="s">
        <v>2420</v>
      </c>
      <c r="Y172" s="265" t="s">
        <v>2420</v>
      </c>
      <c r="Z172" s="265" t="s">
        <v>654</v>
      </c>
      <c r="AA172" s="265" t="s">
        <v>654</v>
      </c>
      <c r="AB172" s="265" t="s">
        <v>654</v>
      </c>
      <c r="AC172" s="265" t="s">
        <v>654</v>
      </c>
      <c r="AD172" s="265" t="s">
        <v>2484</v>
      </c>
      <c r="AE172" s="265"/>
      <c r="AF172" s="265"/>
      <c r="AG172" s="265"/>
      <c r="AH172" s="265"/>
      <c r="AI172" s="265"/>
      <c r="AJ172" s="270" t="s">
        <v>2953</v>
      </c>
    </row>
    <row r="173" spans="1:36" s="256" customFormat="1" ht="14.25" customHeight="1" x14ac:dyDescent="0.25">
      <c r="A173" s="256">
        <v>170</v>
      </c>
      <c r="B173" s="265" t="s">
        <v>2461</v>
      </c>
      <c r="C173" s="265" t="s">
        <v>1997</v>
      </c>
      <c r="D173" s="265" t="s">
        <v>1997</v>
      </c>
      <c r="E173" s="265" t="s">
        <v>1998</v>
      </c>
      <c r="F173" s="265" t="s">
        <v>2472</v>
      </c>
      <c r="G173" s="265"/>
      <c r="H173" s="265" t="s">
        <v>2947</v>
      </c>
      <c r="I173" s="265" t="s">
        <v>619</v>
      </c>
      <c r="J173" s="270" t="s">
        <v>2957</v>
      </c>
      <c r="K173" s="266">
        <v>45999</v>
      </c>
      <c r="L173" s="272"/>
      <c r="M173" s="265" t="s">
        <v>2958</v>
      </c>
      <c r="N173" s="265">
        <v>50</v>
      </c>
      <c r="O173" s="273" t="s">
        <v>402</v>
      </c>
      <c r="P173" s="265" t="s">
        <v>2958</v>
      </c>
      <c r="Q173" s="265" t="s">
        <v>2459</v>
      </c>
      <c r="R173" s="265">
        <v>3</v>
      </c>
      <c r="S173" s="265">
        <v>2</v>
      </c>
      <c r="T173" s="265">
        <v>3</v>
      </c>
      <c r="U173" s="265">
        <v>2</v>
      </c>
      <c r="V173" s="265">
        <v>4</v>
      </c>
      <c r="W173" s="265">
        <v>2</v>
      </c>
      <c r="X173" s="270" t="s">
        <v>2420</v>
      </c>
      <c r="Y173" s="265" t="s">
        <v>2420</v>
      </c>
      <c r="Z173" s="265" t="s">
        <v>654</v>
      </c>
      <c r="AA173" s="265" t="s">
        <v>654</v>
      </c>
      <c r="AB173" s="265" t="s">
        <v>654</v>
      </c>
      <c r="AC173" s="265" t="s">
        <v>654</v>
      </c>
      <c r="AD173" s="265" t="s">
        <v>2484</v>
      </c>
      <c r="AE173" s="265"/>
      <c r="AF173" s="265"/>
      <c r="AG173" s="265"/>
      <c r="AH173" s="265"/>
      <c r="AI173" s="265"/>
      <c r="AJ173" s="270" t="s">
        <v>2953</v>
      </c>
    </row>
    <row r="174" spans="1:36" s="256" customFormat="1" ht="14.25" customHeight="1" x14ac:dyDescent="0.25">
      <c r="A174" s="256">
        <v>171</v>
      </c>
      <c r="B174" s="265" t="s">
        <v>2461</v>
      </c>
      <c r="C174" s="265" t="s">
        <v>1997</v>
      </c>
      <c r="D174" s="265" t="s">
        <v>1997</v>
      </c>
      <c r="E174" s="265" t="s">
        <v>1998</v>
      </c>
      <c r="F174" s="270" t="s">
        <v>2472</v>
      </c>
      <c r="G174" s="265"/>
      <c r="H174" s="265" t="s">
        <v>2947</v>
      </c>
      <c r="I174" s="265" t="s">
        <v>619</v>
      </c>
      <c r="J174" s="270" t="s">
        <v>2959</v>
      </c>
      <c r="K174" s="266">
        <v>45999</v>
      </c>
      <c r="L174" s="272"/>
      <c r="M174" s="265" t="s">
        <v>2960</v>
      </c>
      <c r="N174" s="265">
        <v>30</v>
      </c>
      <c r="O174" s="273" t="s">
        <v>402</v>
      </c>
      <c r="P174" s="265" t="s">
        <v>2960</v>
      </c>
      <c r="Q174" s="265" t="s">
        <v>2459</v>
      </c>
      <c r="R174" s="265">
        <v>3</v>
      </c>
      <c r="S174" s="265">
        <v>2</v>
      </c>
      <c r="T174" s="265">
        <v>3</v>
      </c>
      <c r="U174" s="265">
        <v>2</v>
      </c>
      <c r="V174" s="265">
        <v>4</v>
      </c>
      <c r="W174" s="265">
        <v>2</v>
      </c>
      <c r="X174" s="270" t="s">
        <v>2420</v>
      </c>
      <c r="Y174" s="265" t="s">
        <v>2420</v>
      </c>
      <c r="Z174" s="265" t="s">
        <v>654</v>
      </c>
      <c r="AA174" s="265" t="s">
        <v>654</v>
      </c>
      <c r="AB174" s="265" t="s">
        <v>654</v>
      </c>
      <c r="AC174" s="265" t="s">
        <v>654</v>
      </c>
      <c r="AD174" s="265" t="s">
        <v>2484</v>
      </c>
      <c r="AE174" s="265"/>
      <c r="AF174" s="265"/>
      <c r="AG174" s="265"/>
      <c r="AH174" s="265"/>
      <c r="AI174" s="265"/>
      <c r="AJ174" s="270" t="s">
        <v>2953</v>
      </c>
    </row>
    <row r="175" spans="1:36" s="256" customFormat="1" ht="14.25" customHeight="1" x14ac:dyDescent="0.25">
      <c r="A175" s="256">
        <v>172</v>
      </c>
      <c r="B175" s="265" t="s">
        <v>399</v>
      </c>
      <c r="C175" s="265" t="s">
        <v>1997</v>
      </c>
      <c r="D175" s="265" t="s">
        <v>1997</v>
      </c>
      <c r="E175" s="265" t="s">
        <v>1998</v>
      </c>
      <c r="F175" s="265" t="s">
        <v>1999</v>
      </c>
      <c r="G175" s="265"/>
      <c r="H175" s="265" t="s">
        <v>2961</v>
      </c>
      <c r="I175" s="265" t="s">
        <v>579</v>
      </c>
      <c r="J175" s="270" t="s">
        <v>2708</v>
      </c>
      <c r="K175" s="266">
        <v>46004</v>
      </c>
      <c r="L175" s="272"/>
      <c r="M175" s="265" t="s">
        <v>2691</v>
      </c>
      <c r="N175" s="265">
        <v>77</v>
      </c>
      <c r="O175" s="273" t="s">
        <v>603</v>
      </c>
      <c r="P175" s="265" t="s">
        <v>2691</v>
      </c>
      <c r="Q175" s="265" t="s">
        <v>2459</v>
      </c>
      <c r="R175" s="265">
        <v>2</v>
      </c>
      <c r="S175" s="265">
        <v>2</v>
      </c>
      <c r="T175" s="265">
        <v>3</v>
      </c>
      <c r="U175" s="265">
        <v>2</v>
      </c>
      <c r="V175" s="265">
        <v>3</v>
      </c>
      <c r="W175" s="265">
        <v>2</v>
      </c>
      <c r="X175" s="270" t="s">
        <v>2420</v>
      </c>
      <c r="Y175" s="265" t="s">
        <v>2420</v>
      </c>
      <c r="Z175" s="265" t="s">
        <v>654</v>
      </c>
      <c r="AA175" s="265" t="s">
        <v>654</v>
      </c>
      <c r="AB175" s="265" t="s">
        <v>654</v>
      </c>
      <c r="AC175" s="265" t="s">
        <v>654</v>
      </c>
      <c r="AD175" s="265" t="s">
        <v>2609</v>
      </c>
      <c r="AE175" s="265"/>
      <c r="AF175" s="265"/>
      <c r="AG175" s="265"/>
      <c r="AH175" s="265"/>
      <c r="AI175" s="265"/>
      <c r="AJ175" s="265"/>
    </row>
    <row r="176" spans="1:36" s="256" customFormat="1" ht="14.25" customHeight="1" x14ac:dyDescent="0.25">
      <c r="A176" s="256">
        <v>173</v>
      </c>
      <c r="B176" s="265" t="s">
        <v>399</v>
      </c>
      <c r="C176" s="265" t="s">
        <v>1997</v>
      </c>
      <c r="D176" s="265" t="s">
        <v>1997</v>
      </c>
      <c r="E176" s="265" t="s">
        <v>1998</v>
      </c>
      <c r="F176" s="265" t="s">
        <v>2472</v>
      </c>
      <c r="G176" s="265"/>
      <c r="H176" s="265" t="s">
        <v>2962</v>
      </c>
      <c r="I176" s="265" t="s">
        <v>619</v>
      </c>
      <c r="J176" s="270" t="s">
        <v>2963</v>
      </c>
      <c r="K176" s="266">
        <v>46004</v>
      </c>
      <c r="L176" s="272"/>
      <c r="M176" s="265" t="s">
        <v>2964</v>
      </c>
      <c r="N176" s="265">
        <v>67</v>
      </c>
      <c r="O176" s="273" t="s">
        <v>603</v>
      </c>
      <c r="P176" s="265" t="s">
        <v>2964</v>
      </c>
      <c r="Q176" s="265" t="s">
        <v>2459</v>
      </c>
      <c r="R176" s="265">
        <v>2</v>
      </c>
      <c r="S176" s="265">
        <v>2</v>
      </c>
      <c r="T176" s="265">
        <v>3</v>
      </c>
      <c r="U176" s="265">
        <v>2</v>
      </c>
      <c r="V176" s="265">
        <v>4</v>
      </c>
      <c r="W176" s="265">
        <v>2</v>
      </c>
      <c r="X176" s="270" t="s">
        <v>2420</v>
      </c>
      <c r="Y176" s="265" t="s">
        <v>2420</v>
      </c>
      <c r="Z176" s="265" t="s">
        <v>654</v>
      </c>
      <c r="AA176" s="265" t="s">
        <v>654</v>
      </c>
      <c r="AB176" s="265" t="s">
        <v>654</v>
      </c>
      <c r="AC176" s="265" t="s">
        <v>654</v>
      </c>
      <c r="AD176" s="265" t="s">
        <v>2609</v>
      </c>
      <c r="AE176" s="265"/>
      <c r="AF176" s="265"/>
      <c r="AG176" s="265"/>
      <c r="AH176" s="265"/>
      <c r="AI176" s="265"/>
      <c r="AJ176" s="265"/>
    </row>
    <row r="177" spans="1:36" s="256" customFormat="1" ht="14.25" customHeight="1" x14ac:dyDescent="0.25">
      <c r="A177" s="256">
        <v>174</v>
      </c>
      <c r="B177" s="265" t="s">
        <v>399</v>
      </c>
      <c r="C177" s="265" t="s">
        <v>1997</v>
      </c>
      <c r="D177" s="265" t="s">
        <v>1997</v>
      </c>
      <c r="E177" s="265" t="s">
        <v>1998</v>
      </c>
      <c r="F177" s="265" t="s">
        <v>2544</v>
      </c>
      <c r="G177" s="265"/>
      <c r="H177" s="265" t="s">
        <v>2932</v>
      </c>
      <c r="I177" s="265" t="s">
        <v>579</v>
      </c>
      <c r="J177" s="270" t="s">
        <v>2933</v>
      </c>
      <c r="K177" s="266">
        <v>46004</v>
      </c>
      <c r="L177" s="272"/>
      <c r="M177" s="265" t="s">
        <v>2934</v>
      </c>
      <c r="N177" s="265">
        <v>76</v>
      </c>
      <c r="O177" s="273" t="s">
        <v>603</v>
      </c>
      <c r="P177" s="265" t="s">
        <v>2934</v>
      </c>
      <c r="Q177" s="265" t="s">
        <v>2459</v>
      </c>
      <c r="R177" s="265">
        <v>2</v>
      </c>
      <c r="S177" s="265">
        <v>2</v>
      </c>
      <c r="T177" s="265">
        <v>3</v>
      </c>
      <c r="U177" s="265">
        <v>2</v>
      </c>
      <c r="V177" s="265">
        <v>4</v>
      </c>
      <c r="W177" s="265">
        <v>2</v>
      </c>
      <c r="X177" s="270" t="s">
        <v>2420</v>
      </c>
      <c r="Y177" s="265" t="s">
        <v>2420</v>
      </c>
      <c r="Z177" s="265" t="s">
        <v>654</v>
      </c>
      <c r="AA177" s="265" t="s">
        <v>654</v>
      </c>
      <c r="AB177" s="265" t="s">
        <v>654</v>
      </c>
      <c r="AC177" s="265" t="s">
        <v>654</v>
      </c>
      <c r="AD177" s="265" t="s">
        <v>2609</v>
      </c>
      <c r="AE177" s="265"/>
      <c r="AF177" s="265"/>
      <c r="AG177" s="265"/>
      <c r="AH177" s="265"/>
      <c r="AI177" s="265"/>
      <c r="AJ177" s="265"/>
    </row>
    <row r="178" spans="1:36" s="256" customFormat="1" ht="14.25" customHeight="1" x14ac:dyDescent="0.25">
      <c r="A178" s="256">
        <v>175</v>
      </c>
      <c r="B178" s="265" t="s">
        <v>2461</v>
      </c>
      <c r="C178" s="265" t="s">
        <v>1997</v>
      </c>
      <c r="D178" s="265" t="s">
        <v>1997</v>
      </c>
      <c r="E178" s="265" t="s">
        <v>1998</v>
      </c>
      <c r="F178" s="265" t="s">
        <v>1999</v>
      </c>
      <c r="G178" s="265"/>
      <c r="H178" s="265" t="s">
        <v>2965</v>
      </c>
      <c r="I178" s="265" t="s">
        <v>579</v>
      </c>
      <c r="J178" s="270" t="s">
        <v>2966</v>
      </c>
      <c r="K178" s="266">
        <v>46004</v>
      </c>
      <c r="L178" s="272"/>
      <c r="M178" s="265" t="s">
        <v>2967</v>
      </c>
      <c r="N178" s="265">
        <v>75</v>
      </c>
      <c r="O178" s="273" t="s">
        <v>402</v>
      </c>
      <c r="P178" s="265" t="s">
        <v>2967</v>
      </c>
      <c r="Q178" s="265" t="s">
        <v>2459</v>
      </c>
      <c r="R178" s="265">
        <v>2</v>
      </c>
      <c r="S178" s="265">
        <v>2</v>
      </c>
      <c r="T178" s="265">
        <v>3</v>
      </c>
      <c r="U178" s="265">
        <v>2</v>
      </c>
      <c r="V178" s="265">
        <v>3</v>
      </c>
      <c r="W178" s="265">
        <v>2</v>
      </c>
      <c r="X178" s="270" t="s">
        <v>2420</v>
      </c>
      <c r="Y178" s="265" t="s">
        <v>2420</v>
      </c>
      <c r="Z178" s="265" t="s">
        <v>654</v>
      </c>
      <c r="AA178" s="265" t="s">
        <v>654</v>
      </c>
      <c r="AB178" s="265" t="s">
        <v>654</v>
      </c>
      <c r="AC178" s="265" t="s">
        <v>654</v>
      </c>
      <c r="AD178" s="265" t="s">
        <v>2490</v>
      </c>
      <c r="AE178" s="265" t="s">
        <v>2609</v>
      </c>
      <c r="AF178" s="265"/>
      <c r="AG178" s="265"/>
      <c r="AH178" s="265"/>
      <c r="AI178" s="265"/>
      <c r="AJ178" s="265"/>
    </row>
    <row r="179" spans="1:36" s="256" customFormat="1" ht="14.25" customHeight="1" x14ac:dyDescent="0.25">
      <c r="A179" s="256">
        <v>176</v>
      </c>
      <c r="B179" s="265" t="s">
        <v>399</v>
      </c>
      <c r="C179" s="265" t="s">
        <v>1997</v>
      </c>
      <c r="D179" s="265" t="s">
        <v>1997</v>
      </c>
      <c r="E179" s="265" t="s">
        <v>1998</v>
      </c>
      <c r="F179" s="265" t="s">
        <v>1999</v>
      </c>
      <c r="G179" s="265"/>
      <c r="H179" s="265" t="s">
        <v>2727</v>
      </c>
      <c r="I179" s="265" t="s">
        <v>579</v>
      </c>
      <c r="J179" s="270" t="s">
        <v>2968</v>
      </c>
      <c r="K179" s="266">
        <v>46004</v>
      </c>
      <c r="L179" s="272"/>
      <c r="M179" s="265" t="s">
        <v>2114</v>
      </c>
      <c r="N179" s="265">
        <v>65</v>
      </c>
      <c r="O179" s="273" t="s">
        <v>603</v>
      </c>
      <c r="P179" s="265" t="s">
        <v>2114</v>
      </c>
      <c r="Q179" s="265" t="s">
        <v>2459</v>
      </c>
      <c r="R179" s="265">
        <v>2</v>
      </c>
      <c r="S179" s="265">
        <v>2</v>
      </c>
      <c r="T179" s="265">
        <v>3</v>
      </c>
      <c r="U179" s="265">
        <v>2</v>
      </c>
      <c r="V179" s="265">
        <v>3</v>
      </c>
      <c r="W179" s="265">
        <v>2</v>
      </c>
      <c r="X179" s="270" t="s">
        <v>2420</v>
      </c>
      <c r="Y179" s="265" t="s">
        <v>2420</v>
      </c>
      <c r="Z179" s="265" t="s">
        <v>654</v>
      </c>
      <c r="AA179" s="265" t="s">
        <v>654</v>
      </c>
      <c r="AB179" s="265" t="s">
        <v>654</v>
      </c>
      <c r="AC179" s="265" t="s">
        <v>654</v>
      </c>
      <c r="AD179" s="265" t="s">
        <v>2609</v>
      </c>
      <c r="AE179" s="265"/>
      <c r="AF179" s="265"/>
      <c r="AG179" s="265"/>
      <c r="AH179" s="265"/>
      <c r="AI179" s="265"/>
      <c r="AJ179" s="265"/>
    </row>
    <row r="180" spans="1:36" s="256" customFormat="1" ht="14.25" customHeight="1" x14ac:dyDescent="0.25">
      <c r="A180" s="256">
        <v>177</v>
      </c>
      <c r="B180" s="265" t="s">
        <v>399</v>
      </c>
      <c r="C180" s="265" t="s">
        <v>1997</v>
      </c>
      <c r="D180" s="265" t="s">
        <v>1997</v>
      </c>
      <c r="E180" s="265" t="s">
        <v>1998</v>
      </c>
      <c r="F180" s="265" t="s">
        <v>2472</v>
      </c>
      <c r="G180" s="265"/>
      <c r="H180" s="265" t="s">
        <v>2807</v>
      </c>
      <c r="I180" s="265" t="s">
        <v>619</v>
      </c>
      <c r="J180" s="270" t="s">
        <v>2969</v>
      </c>
      <c r="K180" s="266">
        <v>46004</v>
      </c>
      <c r="L180" s="272"/>
      <c r="M180" s="265" t="s">
        <v>2970</v>
      </c>
      <c r="N180" s="265">
        <v>70</v>
      </c>
      <c r="O180" s="273" t="s">
        <v>603</v>
      </c>
      <c r="P180" s="265" t="s">
        <v>2970</v>
      </c>
      <c r="Q180" s="265" t="s">
        <v>2459</v>
      </c>
      <c r="R180" s="265">
        <v>2</v>
      </c>
      <c r="S180" s="265">
        <v>2</v>
      </c>
      <c r="T180" s="265">
        <v>3</v>
      </c>
      <c r="U180" s="265">
        <v>2</v>
      </c>
      <c r="V180" s="265">
        <v>4</v>
      </c>
      <c r="W180" s="265">
        <v>2</v>
      </c>
      <c r="X180" s="270" t="s">
        <v>2420</v>
      </c>
      <c r="Y180" s="265" t="s">
        <v>2420</v>
      </c>
      <c r="Z180" s="265" t="s">
        <v>654</v>
      </c>
      <c r="AA180" s="265" t="s">
        <v>654</v>
      </c>
      <c r="AB180" s="265" t="s">
        <v>654</v>
      </c>
      <c r="AC180" s="265" t="s">
        <v>654</v>
      </c>
      <c r="AD180" s="265" t="s">
        <v>2609</v>
      </c>
      <c r="AE180" s="265"/>
      <c r="AF180" s="265"/>
      <c r="AG180" s="265"/>
      <c r="AH180" s="265"/>
      <c r="AI180" s="265"/>
      <c r="AJ180" s="265"/>
    </row>
    <row r="181" spans="1:36" s="256" customFormat="1" ht="14.25" customHeight="1" x14ac:dyDescent="0.25">
      <c r="A181" s="256">
        <v>178</v>
      </c>
      <c r="B181" s="265" t="s">
        <v>399</v>
      </c>
      <c r="C181" s="265" t="s">
        <v>1997</v>
      </c>
      <c r="D181" s="265" t="s">
        <v>1997</v>
      </c>
      <c r="E181" s="265" t="s">
        <v>1998</v>
      </c>
      <c r="F181" s="265" t="s">
        <v>2472</v>
      </c>
      <c r="G181" s="265"/>
      <c r="H181" s="265" t="s">
        <v>2660</v>
      </c>
      <c r="I181" s="265" t="s">
        <v>619</v>
      </c>
      <c r="J181" s="270" t="s">
        <v>2971</v>
      </c>
      <c r="K181" s="266">
        <v>46004</v>
      </c>
      <c r="L181" s="272"/>
      <c r="M181" s="265" t="s">
        <v>2972</v>
      </c>
      <c r="N181" s="265">
        <v>80</v>
      </c>
      <c r="O181" s="273" t="s">
        <v>603</v>
      </c>
      <c r="P181" s="265" t="s">
        <v>2972</v>
      </c>
      <c r="Q181" s="265" t="s">
        <v>2459</v>
      </c>
      <c r="R181" s="265">
        <v>3</v>
      </c>
      <c r="S181" s="265">
        <v>3</v>
      </c>
      <c r="T181" s="265">
        <v>3</v>
      </c>
      <c r="U181" s="265">
        <v>3</v>
      </c>
      <c r="V181" s="265">
        <v>4</v>
      </c>
      <c r="W181" s="265">
        <v>3</v>
      </c>
      <c r="X181" s="270" t="s">
        <v>2420</v>
      </c>
      <c r="Y181" s="265" t="s">
        <v>2420</v>
      </c>
      <c r="Z181" s="265" t="s">
        <v>654</v>
      </c>
      <c r="AA181" s="265" t="s">
        <v>654</v>
      </c>
      <c r="AB181" s="265" t="s">
        <v>654</v>
      </c>
      <c r="AC181" s="265" t="s">
        <v>654</v>
      </c>
      <c r="AD181" s="265" t="s">
        <v>2609</v>
      </c>
      <c r="AE181" s="265"/>
      <c r="AF181" s="265"/>
      <c r="AG181" s="265"/>
      <c r="AH181" s="265"/>
      <c r="AI181" s="265"/>
      <c r="AJ181" s="265"/>
    </row>
    <row r="182" spans="1:36" s="256" customFormat="1" ht="14.25" customHeight="1" x14ac:dyDescent="0.25">
      <c r="A182" s="256">
        <v>179</v>
      </c>
      <c r="B182" s="265" t="s">
        <v>399</v>
      </c>
      <c r="C182" s="265" t="s">
        <v>1997</v>
      </c>
      <c r="D182" s="265" t="s">
        <v>1997</v>
      </c>
      <c r="E182" s="265" t="s">
        <v>1998</v>
      </c>
      <c r="F182" s="265" t="s">
        <v>1999</v>
      </c>
      <c r="G182" s="265"/>
      <c r="H182" s="265" t="s">
        <v>2852</v>
      </c>
      <c r="I182" s="265" t="s">
        <v>619</v>
      </c>
      <c r="J182" s="270" t="s">
        <v>2671</v>
      </c>
      <c r="K182" s="266">
        <v>45995</v>
      </c>
      <c r="L182" s="272"/>
      <c r="M182" s="265" t="s">
        <v>2673</v>
      </c>
      <c r="N182" s="265">
        <v>45</v>
      </c>
      <c r="O182" s="273" t="s">
        <v>603</v>
      </c>
      <c r="P182" s="265" t="s">
        <v>2673</v>
      </c>
      <c r="Q182" s="265" t="s">
        <v>2459</v>
      </c>
      <c r="R182" s="265">
        <v>3</v>
      </c>
      <c r="S182" s="265">
        <v>2</v>
      </c>
      <c r="T182" s="265">
        <v>3</v>
      </c>
      <c r="U182" s="265">
        <v>2</v>
      </c>
      <c r="V182" s="265">
        <v>4</v>
      </c>
      <c r="W182" s="265">
        <v>2</v>
      </c>
      <c r="X182" s="270" t="s">
        <v>2420</v>
      </c>
      <c r="Y182" s="265" t="s">
        <v>2420</v>
      </c>
      <c r="Z182" s="265" t="s">
        <v>654</v>
      </c>
      <c r="AA182" s="265" t="s">
        <v>654</v>
      </c>
      <c r="AB182" s="265" t="s">
        <v>654</v>
      </c>
      <c r="AC182" s="265" t="s">
        <v>654</v>
      </c>
      <c r="AD182" s="265" t="s">
        <v>2973</v>
      </c>
      <c r="AE182" s="265"/>
      <c r="AF182" s="265"/>
      <c r="AG182" s="265"/>
      <c r="AH182" s="265"/>
      <c r="AI182" s="265"/>
      <c r="AJ182" s="265"/>
    </row>
    <row r="183" spans="1:36" s="256" customFormat="1" ht="14.25" customHeight="1" x14ac:dyDescent="0.25">
      <c r="A183" s="256">
        <v>180</v>
      </c>
      <c r="B183" s="265" t="s">
        <v>399</v>
      </c>
      <c r="C183" s="265" t="s">
        <v>1997</v>
      </c>
      <c r="D183" s="265" t="s">
        <v>1997</v>
      </c>
      <c r="E183" s="265" t="s">
        <v>1998</v>
      </c>
      <c r="F183" s="265" t="s">
        <v>2479</v>
      </c>
      <c r="G183" s="265"/>
      <c r="H183" s="265" t="s">
        <v>2479</v>
      </c>
      <c r="I183" s="265" t="s">
        <v>619</v>
      </c>
      <c r="J183" s="270" t="s">
        <v>2974</v>
      </c>
      <c r="K183" s="266">
        <v>45993</v>
      </c>
      <c r="L183" s="272"/>
      <c r="M183" s="265" t="s">
        <v>2975</v>
      </c>
      <c r="N183" s="265">
        <v>31</v>
      </c>
      <c r="O183" s="273" t="s">
        <v>603</v>
      </c>
      <c r="P183" s="265" t="s">
        <v>2975</v>
      </c>
      <c r="Q183" s="265" t="s">
        <v>2459</v>
      </c>
      <c r="R183" s="265">
        <v>2</v>
      </c>
      <c r="S183" s="265">
        <v>1</v>
      </c>
      <c r="T183" s="265">
        <v>3</v>
      </c>
      <c r="U183" s="265">
        <v>1</v>
      </c>
      <c r="V183" s="265">
        <v>3</v>
      </c>
      <c r="W183" s="265">
        <v>1</v>
      </c>
      <c r="X183" s="270" t="s">
        <v>2420</v>
      </c>
      <c r="Y183" s="265" t="s">
        <v>2420</v>
      </c>
      <c r="Z183" s="265" t="s">
        <v>654</v>
      </c>
      <c r="AA183" s="265" t="s">
        <v>654</v>
      </c>
      <c r="AB183" s="265" t="s">
        <v>654</v>
      </c>
      <c r="AC183" s="265" t="s">
        <v>654</v>
      </c>
      <c r="AD183" s="265" t="s">
        <v>2973</v>
      </c>
      <c r="AE183" s="265"/>
      <c r="AF183" s="265"/>
      <c r="AG183" s="265"/>
      <c r="AH183" s="265"/>
      <c r="AI183" s="265"/>
      <c r="AJ183" s="265"/>
    </row>
    <row r="184" spans="1:36" s="256" customFormat="1" ht="14.25" customHeight="1" x14ac:dyDescent="0.25">
      <c r="A184" s="256">
        <v>181</v>
      </c>
      <c r="B184" s="265" t="s">
        <v>399</v>
      </c>
      <c r="C184" s="265" t="s">
        <v>1997</v>
      </c>
      <c r="D184" s="265" t="s">
        <v>1997</v>
      </c>
      <c r="E184" s="265" t="s">
        <v>1998</v>
      </c>
      <c r="F184" s="265" t="s">
        <v>2479</v>
      </c>
      <c r="G184" s="265"/>
      <c r="H184" s="265" t="s">
        <v>2479</v>
      </c>
      <c r="I184" s="265" t="s">
        <v>619</v>
      </c>
      <c r="J184" s="270" t="s">
        <v>2976</v>
      </c>
      <c r="K184" s="266">
        <v>45993</v>
      </c>
      <c r="L184" s="272"/>
      <c r="M184" s="265" t="s">
        <v>2977</v>
      </c>
      <c r="N184" s="265">
        <v>31</v>
      </c>
      <c r="O184" s="273" t="s">
        <v>603</v>
      </c>
      <c r="P184" s="265" t="s">
        <v>2978</v>
      </c>
      <c r="Q184" s="265" t="s">
        <v>2459</v>
      </c>
      <c r="R184" s="265">
        <v>2</v>
      </c>
      <c r="S184" s="265">
        <v>1</v>
      </c>
      <c r="T184" s="265">
        <v>3</v>
      </c>
      <c r="U184" s="265">
        <v>1</v>
      </c>
      <c r="V184" s="265">
        <v>3</v>
      </c>
      <c r="W184" s="265">
        <v>1</v>
      </c>
      <c r="X184" s="270" t="s">
        <v>2420</v>
      </c>
      <c r="Y184" s="265" t="s">
        <v>2420</v>
      </c>
      <c r="Z184" s="265" t="s">
        <v>654</v>
      </c>
      <c r="AA184" s="265" t="s">
        <v>654</v>
      </c>
      <c r="AB184" s="265" t="s">
        <v>654</v>
      </c>
      <c r="AC184" s="265" t="s">
        <v>654</v>
      </c>
      <c r="AD184" s="265" t="s">
        <v>2973</v>
      </c>
      <c r="AE184" s="265"/>
      <c r="AF184" s="265"/>
      <c r="AG184" s="265"/>
      <c r="AH184" s="265"/>
      <c r="AI184" s="265"/>
      <c r="AJ184" s="265"/>
    </row>
    <row r="185" spans="1:36" s="256" customFormat="1" ht="14.25" customHeight="1" x14ac:dyDescent="0.25">
      <c r="A185" s="256">
        <v>182</v>
      </c>
      <c r="B185" s="265" t="s">
        <v>399</v>
      </c>
      <c r="C185" s="265" t="s">
        <v>1997</v>
      </c>
      <c r="D185" s="265" t="s">
        <v>1997</v>
      </c>
      <c r="E185" s="265" t="s">
        <v>1998</v>
      </c>
      <c r="F185" s="265" t="s">
        <v>1999</v>
      </c>
      <c r="G185" s="265"/>
      <c r="H185" s="265" t="s">
        <v>2617</v>
      </c>
      <c r="I185" s="265" t="s">
        <v>579</v>
      </c>
      <c r="J185" s="270" t="s">
        <v>2979</v>
      </c>
      <c r="K185" s="266">
        <v>46003</v>
      </c>
      <c r="L185" s="272"/>
      <c r="M185" s="265" t="s">
        <v>2980</v>
      </c>
      <c r="N185" s="265">
        <v>15</v>
      </c>
      <c r="O185" s="273" t="s">
        <v>402</v>
      </c>
      <c r="P185" s="265" t="s">
        <v>2981</v>
      </c>
      <c r="Q185" s="265" t="s">
        <v>2477</v>
      </c>
      <c r="R185" s="265">
        <v>3</v>
      </c>
      <c r="S185" s="265">
        <v>4</v>
      </c>
      <c r="T185" s="265">
        <v>4</v>
      </c>
      <c r="U185" s="265">
        <v>4</v>
      </c>
      <c r="V185" s="265">
        <v>4</v>
      </c>
      <c r="W185" s="265">
        <v>4</v>
      </c>
      <c r="X185" s="270" t="s">
        <v>2420</v>
      </c>
      <c r="Y185" s="265" t="s">
        <v>2420</v>
      </c>
      <c r="Z185" s="265" t="s">
        <v>654</v>
      </c>
      <c r="AA185" s="265" t="s">
        <v>654</v>
      </c>
      <c r="AB185" s="265" t="s">
        <v>654</v>
      </c>
      <c r="AC185" s="265" t="s">
        <v>654</v>
      </c>
      <c r="AD185" s="265" t="s">
        <v>2982</v>
      </c>
      <c r="AE185" s="265"/>
      <c r="AF185" s="265"/>
      <c r="AG185" s="265"/>
      <c r="AH185" s="265"/>
      <c r="AI185" s="265"/>
      <c r="AJ185" s="265"/>
    </row>
    <row r="186" spans="1:36" s="256" customFormat="1" ht="14.25" customHeight="1" x14ac:dyDescent="0.25">
      <c r="A186" s="256">
        <v>183</v>
      </c>
      <c r="B186" s="265" t="s">
        <v>399</v>
      </c>
      <c r="C186" s="265" t="s">
        <v>1997</v>
      </c>
      <c r="D186" s="265" t="s">
        <v>1997</v>
      </c>
      <c r="E186" s="265" t="s">
        <v>1998</v>
      </c>
      <c r="F186" s="265" t="s">
        <v>2544</v>
      </c>
      <c r="G186" s="265"/>
      <c r="H186" s="265" t="s">
        <v>2983</v>
      </c>
      <c r="I186" s="265" t="s">
        <v>579</v>
      </c>
      <c r="J186" s="270" t="s">
        <v>2984</v>
      </c>
      <c r="K186" s="266">
        <v>46003</v>
      </c>
      <c r="L186" s="272"/>
      <c r="M186" s="265" t="s">
        <v>2985</v>
      </c>
      <c r="N186" s="265">
        <v>67</v>
      </c>
      <c r="O186" s="273" t="s">
        <v>402</v>
      </c>
      <c r="P186" s="265" t="s">
        <v>2986</v>
      </c>
      <c r="Q186" s="265" t="s">
        <v>2489</v>
      </c>
      <c r="R186" s="265">
        <v>2</v>
      </c>
      <c r="S186" s="265">
        <v>2</v>
      </c>
      <c r="T186" s="265">
        <v>3</v>
      </c>
      <c r="U186" s="265">
        <v>3</v>
      </c>
      <c r="V186" s="265">
        <v>3</v>
      </c>
      <c r="W186" s="265">
        <v>2</v>
      </c>
      <c r="X186" s="270" t="s">
        <v>2420</v>
      </c>
      <c r="Y186" s="265" t="s">
        <v>2420</v>
      </c>
      <c r="Z186" s="265" t="s">
        <v>654</v>
      </c>
      <c r="AA186" s="265" t="s">
        <v>654</v>
      </c>
      <c r="AB186" s="265" t="s">
        <v>654</v>
      </c>
      <c r="AC186" s="265" t="s">
        <v>654</v>
      </c>
      <c r="AD186" s="265" t="s">
        <v>2609</v>
      </c>
      <c r="AE186" s="265"/>
      <c r="AF186" s="265"/>
      <c r="AG186" s="265"/>
      <c r="AH186" s="265"/>
      <c r="AI186" s="265"/>
      <c r="AJ186" s="265"/>
    </row>
    <row r="187" spans="1:36" s="256" customFormat="1" ht="14.25" customHeight="1" x14ac:dyDescent="0.25">
      <c r="A187" s="256">
        <v>184</v>
      </c>
      <c r="B187" s="265" t="s">
        <v>399</v>
      </c>
      <c r="C187" s="265" t="s">
        <v>1997</v>
      </c>
      <c r="D187" s="265" t="s">
        <v>1997</v>
      </c>
      <c r="E187" s="265" t="s">
        <v>1998</v>
      </c>
      <c r="F187" s="265" t="s">
        <v>2472</v>
      </c>
      <c r="G187" s="265"/>
      <c r="H187" s="265" t="s">
        <v>2987</v>
      </c>
      <c r="I187" s="265" t="s">
        <v>619</v>
      </c>
      <c r="J187" s="270" t="s">
        <v>2988</v>
      </c>
      <c r="K187" s="266">
        <v>46002</v>
      </c>
      <c r="L187" s="272"/>
      <c r="M187" s="265" t="s">
        <v>2989</v>
      </c>
      <c r="N187" s="265">
        <v>57</v>
      </c>
      <c r="O187" s="273" t="s">
        <v>402</v>
      </c>
      <c r="P187" s="265" t="s">
        <v>2989</v>
      </c>
      <c r="Q187" s="265" t="s">
        <v>2459</v>
      </c>
      <c r="R187" s="265">
        <v>1</v>
      </c>
      <c r="S187" s="265">
        <v>1</v>
      </c>
      <c r="T187" s="265">
        <v>3</v>
      </c>
      <c r="U187" s="265">
        <v>2</v>
      </c>
      <c r="V187" s="265">
        <v>3</v>
      </c>
      <c r="W187" s="265">
        <v>2</v>
      </c>
      <c r="X187" s="270" t="s">
        <v>2420</v>
      </c>
      <c r="Y187" s="265" t="s">
        <v>2420</v>
      </c>
      <c r="Z187" s="265" t="s">
        <v>654</v>
      </c>
      <c r="AA187" s="265" t="s">
        <v>654</v>
      </c>
      <c r="AB187" s="265" t="s">
        <v>654</v>
      </c>
      <c r="AC187" s="265" t="s">
        <v>654</v>
      </c>
      <c r="AD187" s="265" t="s">
        <v>2973</v>
      </c>
      <c r="AE187" s="265"/>
      <c r="AF187" s="265"/>
      <c r="AG187" s="265"/>
      <c r="AH187" s="265"/>
      <c r="AI187" s="265"/>
      <c r="AJ187" s="265"/>
    </row>
    <row r="188" spans="1:36" s="256" customFormat="1" ht="14.25" customHeight="1" x14ac:dyDescent="0.25">
      <c r="A188" s="256">
        <v>185</v>
      </c>
      <c r="B188" s="265" t="s">
        <v>399</v>
      </c>
      <c r="C188" s="265" t="s">
        <v>1997</v>
      </c>
      <c r="D188" s="265" t="s">
        <v>1997</v>
      </c>
      <c r="E188" s="265" t="s">
        <v>1998</v>
      </c>
      <c r="F188" s="265" t="s">
        <v>2544</v>
      </c>
      <c r="G188" s="265"/>
      <c r="H188" s="265" t="s">
        <v>2990</v>
      </c>
      <c r="I188" s="265" t="s">
        <v>579</v>
      </c>
      <c r="J188" s="270" t="s">
        <v>2991</v>
      </c>
      <c r="K188" s="266">
        <v>46002</v>
      </c>
      <c r="L188" s="272"/>
      <c r="M188" s="265" t="s">
        <v>2992</v>
      </c>
      <c r="N188" s="265">
        <v>55</v>
      </c>
      <c r="O188" s="273" t="s">
        <v>603</v>
      </c>
      <c r="P188" s="265" t="s">
        <v>2992</v>
      </c>
      <c r="Q188" s="265" t="s">
        <v>2459</v>
      </c>
      <c r="R188" s="265">
        <v>1</v>
      </c>
      <c r="S188" s="265">
        <v>1</v>
      </c>
      <c r="T188" s="265">
        <v>3</v>
      </c>
      <c r="U188" s="265">
        <v>2</v>
      </c>
      <c r="V188" s="265">
        <v>3</v>
      </c>
      <c r="W188" s="265">
        <v>2</v>
      </c>
      <c r="X188" s="270" t="s">
        <v>2420</v>
      </c>
      <c r="Y188" s="265" t="s">
        <v>2420</v>
      </c>
      <c r="Z188" s="265" t="s">
        <v>654</v>
      </c>
      <c r="AA188" s="265" t="s">
        <v>654</v>
      </c>
      <c r="AB188" s="265" t="s">
        <v>654</v>
      </c>
      <c r="AC188" s="265" t="s">
        <v>654</v>
      </c>
      <c r="AD188" s="265" t="s">
        <v>2973</v>
      </c>
      <c r="AE188" s="265"/>
      <c r="AF188" s="265"/>
      <c r="AG188" s="265"/>
      <c r="AH188" s="265"/>
      <c r="AI188" s="265"/>
      <c r="AJ188" s="265"/>
    </row>
    <row r="189" spans="1:36" s="256" customFormat="1" ht="14.25" customHeight="1" x14ac:dyDescent="0.25">
      <c r="A189" s="256">
        <v>186</v>
      </c>
      <c r="B189" s="265" t="s">
        <v>2461</v>
      </c>
      <c r="C189" s="265" t="s">
        <v>1997</v>
      </c>
      <c r="D189" s="265" t="s">
        <v>1997</v>
      </c>
      <c r="E189" s="265" t="s">
        <v>2246</v>
      </c>
      <c r="F189" s="265" t="s">
        <v>2246</v>
      </c>
      <c r="G189" s="265"/>
      <c r="H189" s="265" t="s">
        <v>2993</v>
      </c>
      <c r="I189" s="265" t="s">
        <v>619</v>
      </c>
      <c r="J189" s="270" t="s">
        <v>2994</v>
      </c>
      <c r="K189" s="266">
        <v>45994</v>
      </c>
      <c r="L189" s="272"/>
      <c r="M189" s="265" t="s">
        <v>2995</v>
      </c>
      <c r="N189" s="265">
        <v>75</v>
      </c>
      <c r="O189" s="273" t="s">
        <v>603</v>
      </c>
      <c r="P189" s="265" t="s">
        <v>2995</v>
      </c>
      <c r="Q189" s="265" t="s">
        <v>2459</v>
      </c>
      <c r="R189" s="265">
        <v>2</v>
      </c>
      <c r="S189" s="265">
        <v>2</v>
      </c>
      <c r="T189" s="265">
        <v>3</v>
      </c>
      <c r="U189" s="265">
        <v>2</v>
      </c>
      <c r="V189" s="265">
        <v>3</v>
      </c>
      <c r="W189" s="265">
        <v>2</v>
      </c>
      <c r="X189" s="270" t="s">
        <v>2420</v>
      </c>
      <c r="Y189" s="265" t="s">
        <v>2420</v>
      </c>
      <c r="Z189" s="265" t="s">
        <v>654</v>
      </c>
      <c r="AA189" s="265" t="s">
        <v>654</v>
      </c>
      <c r="AB189" s="265" t="s">
        <v>654</v>
      </c>
      <c r="AC189" s="265" t="s">
        <v>654</v>
      </c>
      <c r="AD189" s="265" t="s">
        <v>2484</v>
      </c>
      <c r="AE189" s="265"/>
      <c r="AF189" s="265"/>
      <c r="AG189" s="265"/>
      <c r="AH189" s="265"/>
      <c r="AI189" s="265"/>
      <c r="AJ189" s="265"/>
    </row>
    <row r="190" spans="1:36" s="256" customFormat="1" ht="14.25" customHeight="1" x14ac:dyDescent="0.25">
      <c r="A190" s="256">
        <v>187</v>
      </c>
      <c r="B190" s="265" t="s">
        <v>2461</v>
      </c>
      <c r="C190" s="265" t="s">
        <v>1997</v>
      </c>
      <c r="D190" s="265" t="s">
        <v>1997</v>
      </c>
      <c r="E190" s="265" t="s">
        <v>2246</v>
      </c>
      <c r="F190" s="265" t="s">
        <v>2246</v>
      </c>
      <c r="G190" s="265"/>
      <c r="H190" s="265" t="s">
        <v>2770</v>
      </c>
      <c r="I190" s="265" t="s">
        <v>619</v>
      </c>
      <c r="J190" s="270" t="s">
        <v>2996</v>
      </c>
      <c r="K190" s="266">
        <v>45993</v>
      </c>
      <c r="L190" s="272"/>
      <c r="M190" s="265" t="s">
        <v>2997</v>
      </c>
      <c r="N190" s="265">
        <v>37</v>
      </c>
      <c r="O190" s="273" t="s">
        <v>402</v>
      </c>
      <c r="P190" s="265" t="s">
        <v>2997</v>
      </c>
      <c r="Q190" s="265" t="s">
        <v>2459</v>
      </c>
      <c r="R190" s="265">
        <v>1</v>
      </c>
      <c r="S190" s="265">
        <v>1</v>
      </c>
      <c r="T190" s="265">
        <v>3</v>
      </c>
      <c r="U190" s="265">
        <v>2</v>
      </c>
      <c r="V190" s="265">
        <v>3</v>
      </c>
      <c r="W190" s="265">
        <v>1</v>
      </c>
      <c r="X190" s="270" t="s">
        <v>2420</v>
      </c>
      <c r="Y190" s="265" t="s">
        <v>2420</v>
      </c>
      <c r="Z190" s="265" t="s">
        <v>654</v>
      </c>
      <c r="AA190" s="265" t="s">
        <v>654</v>
      </c>
      <c r="AB190" s="265" t="s">
        <v>654</v>
      </c>
      <c r="AC190" s="265" t="s">
        <v>654</v>
      </c>
      <c r="AD190" s="265" t="s">
        <v>2895</v>
      </c>
      <c r="AE190" s="265"/>
      <c r="AF190" s="265"/>
      <c r="AG190" s="265"/>
      <c r="AH190" s="265"/>
      <c r="AI190" s="265"/>
      <c r="AJ190" s="265"/>
    </row>
    <row r="191" spans="1:36" s="256" customFormat="1" ht="14.25" customHeight="1" x14ac:dyDescent="0.25">
      <c r="A191" s="256">
        <v>188</v>
      </c>
      <c r="B191" s="265" t="s">
        <v>2461</v>
      </c>
      <c r="C191" s="265" t="s">
        <v>1997</v>
      </c>
      <c r="D191" s="265" t="s">
        <v>1997</v>
      </c>
      <c r="E191" s="265" t="s">
        <v>2246</v>
      </c>
      <c r="F191" s="265" t="s">
        <v>2246</v>
      </c>
      <c r="G191" s="265"/>
      <c r="H191" s="265" t="s">
        <v>2998</v>
      </c>
      <c r="I191" s="265" t="s">
        <v>579</v>
      </c>
      <c r="J191" s="270" t="s">
        <v>2999</v>
      </c>
      <c r="K191" s="266">
        <v>45993</v>
      </c>
      <c r="L191" s="272"/>
      <c r="M191" s="265" t="s">
        <v>3000</v>
      </c>
      <c r="N191" s="265">
        <v>56</v>
      </c>
      <c r="O191" s="273" t="s">
        <v>402</v>
      </c>
      <c r="P191" s="265" t="s">
        <v>3000</v>
      </c>
      <c r="Q191" s="265" t="s">
        <v>2459</v>
      </c>
      <c r="R191" s="265">
        <v>2</v>
      </c>
      <c r="S191" s="265">
        <v>2</v>
      </c>
      <c r="T191" s="265">
        <v>3</v>
      </c>
      <c r="U191" s="265">
        <v>2</v>
      </c>
      <c r="V191" s="265">
        <v>3</v>
      </c>
      <c r="W191" s="265">
        <v>2</v>
      </c>
      <c r="X191" s="270" t="s">
        <v>2420</v>
      </c>
      <c r="Y191" s="265" t="s">
        <v>2420</v>
      </c>
      <c r="Z191" s="265" t="s">
        <v>654</v>
      </c>
      <c r="AA191" s="265" t="s">
        <v>654</v>
      </c>
      <c r="AB191" s="265" t="s">
        <v>654</v>
      </c>
      <c r="AC191" s="265" t="s">
        <v>654</v>
      </c>
      <c r="AD191" s="265" t="s">
        <v>2895</v>
      </c>
      <c r="AE191" s="265"/>
      <c r="AF191" s="265"/>
      <c r="AG191" s="265"/>
      <c r="AH191" s="265"/>
      <c r="AI191" s="265"/>
      <c r="AJ191" s="265"/>
    </row>
    <row r="192" spans="1:36" s="256" customFormat="1" ht="14.25" customHeight="1" x14ac:dyDescent="0.25">
      <c r="A192" s="256">
        <v>189</v>
      </c>
      <c r="B192" s="265" t="s">
        <v>2461</v>
      </c>
      <c r="C192" s="265" t="s">
        <v>1997</v>
      </c>
      <c r="D192" s="265" t="s">
        <v>1997</v>
      </c>
      <c r="E192" s="265" t="s">
        <v>2246</v>
      </c>
      <c r="F192" s="265" t="s">
        <v>2246</v>
      </c>
      <c r="G192" s="265"/>
      <c r="H192" s="265" t="s">
        <v>3001</v>
      </c>
      <c r="I192" s="265" t="s">
        <v>579</v>
      </c>
      <c r="J192" s="270" t="s">
        <v>3002</v>
      </c>
      <c r="K192" s="266">
        <v>45993</v>
      </c>
      <c r="L192" s="272"/>
      <c r="M192" s="265" t="s">
        <v>3003</v>
      </c>
      <c r="N192" s="265">
        <v>15</v>
      </c>
      <c r="O192" s="273" t="s">
        <v>402</v>
      </c>
      <c r="P192" s="265" t="s">
        <v>3003</v>
      </c>
      <c r="Q192" s="265" t="s">
        <v>2459</v>
      </c>
      <c r="R192" s="265">
        <v>1</v>
      </c>
      <c r="S192" s="265">
        <v>1</v>
      </c>
      <c r="T192" s="265">
        <v>3</v>
      </c>
      <c r="U192" s="265">
        <v>2</v>
      </c>
      <c r="V192" s="265">
        <v>3</v>
      </c>
      <c r="W192" s="265">
        <v>1</v>
      </c>
      <c r="X192" s="270" t="s">
        <v>2420</v>
      </c>
      <c r="Y192" s="265" t="s">
        <v>2420</v>
      </c>
      <c r="Z192" s="265" t="s">
        <v>654</v>
      </c>
      <c r="AA192" s="265" t="s">
        <v>654</v>
      </c>
      <c r="AB192" s="265" t="s">
        <v>654</v>
      </c>
      <c r="AC192" s="265" t="s">
        <v>654</v>
      </c>
      <c r="AD192" s="265" t="s">
        <v>2895</v>
      </c>
      <c r="AE192" s="265"/>
      <c r="AF192" s="265"/>
      <c r="AG192" s="265"/>
      <c r="AH192" s="265"/>
      <c r="AI192" s="265"/>
      <c r="AJ192" s="265"/>
    </row>
    <row r="193" spans="1:36" s="256" customFormat="1" ht="14.25" customHeight="1" x14ac:dyDescent="0.25">
      <c r="A193" s="256">
        <v>190</v>
      </c>
      <c r="B193" s="265" t="s">
        <v>2461</v>
      </c>
      <c r="C193" s="265" t="s">
        <v>1997</v>
      </c>
      <c r="D193" s="265" t="s">
        <v>1997</v>
      </c>
      <c r="E193" s="265" t="s">
        <v>2246</v>
      </c>
      <c r="F193" s="265" t="s">
        <v>2246</v>
      </c>
      <c r="G193" s="265"/>
      <c r="H193" s="265" t="s">
        <v>2272</v>
      </c>
      <c r="I193" s="265" t="s">
        <v>579</v>
      </c>
      <c r="J193" s="270" t="s">
        <v>3004</v>
      </c>
      <c r="K193" s="266">
        <v>45993</v>
      </c>
      <c r="L193" s="272"/>
      <c r="M193" s="265" t="s">
        <v>3005</v>
      </c>
      <c r="N193" s="265">
        <v>29</v>
      </c>
      <c r="O193" s="273" t="s">
        <v>402</v>
      </c>
      <c r="P193" s="265" t="s">
        <v>3005</v>
      </c>
      <c r="Q193" s="265" t="s">
        <v>2459</v>
      </c>
      <c r="R193" s="265">
        <v>1</v>
      </c>
      <c r="S193" s="265">
        <v>1</v>
      </c>
      <c r="T193" s="265">
        <v>3</v>
      </c>
      <c r="U193" s="265">
        <v>2</v>
      </c>
      <c r="V193" s="265">
        <v>3</v>
      </c>
      <c r="W193" s="265">
        <v>1</v>
      </c>
      <c r="X193" s="270" t="s">
        <v>2420</v>
      </c>
      <c r="Y193" s="265" t="s">
        <v>2420</v>
      </c>
      <c r="Z193" s="265" t="s">
        <v>654</v>
      </c>
      <c r="AA193" s="265" t="s">
        <v>654</v>
      </c>
      <c r="AB193" s="265" t="s">
        <v>654</v>
      </c>
      <c r="AC193" s="265" t="s">
        <v>654</v>
      </c>
      <c r="AD193" s="265" t="s">
        <v>2895</v>
      </c>
      <c r="AE193" s="265"/>
      <c r="AF193" s="265"/>
      <c r="AG193" s="265"/>
      <c r="AH193" s="265"/>
      <c r="AI193" s="265"/>
      <c r="AJ193" s="265"/>
    </row>
    <row r="194" spans="1:36" s="256" customFormat="1" ht="14.25" customHeight="1" x14ac:dyDescent="0.25">
      <c r="A194" s="256">
        <v>191</v>
      </c>
      <c r="B194" s="265" t="s">
        <v>2461</v>
      </c>
      <c r="C194" s="265" t="s">
        <v>1997</v>
      </c>
      <c r="D194" s="265" t="s">
        <v>1997</v>
      </c>
      <c r="E194" s="265" t="s">
        <v>1998</v>
      </c>
      <c r="F194" s="265" t="s">
        <v>2544</v>
      </c>
      <c r="G194" s="265"/>
      <c r="H194" s="265" t="s">
        <v>3006</v>
      </c>
      <c r="I194" s="265" t="s">
        <v>579</v>
      </c>
      <c r="J194" s="271" t="s">
        <v>2648</v>
      </c>
      <c r="K194" s="266">
        <v>46001</v>
      </c>
      <c r="L194" s="272"/>
      <c r="M194" s="265" t="s">
        <v>3007</v>
      </c>
      <c r="N194" s="265">
        <v>46</v>
      </c>
      <c r="O194" s="273" t="s">
        <v>603</v>
      </c>
      <c r="P194" s="265" t="s">
        <v>3007</v>
      </c>
      <c r="Q194" s="265" t="s">
        <v>2459</v>
      </c>
      <c r="R194" s="265">
        <v>1</v>
      </c>
      <c r="S194" s="265">
        <v>1</v>
      </c>
      <c r="T194" s="265">
        <v>3</v>
      </c>
      <c r="U194" s="265">
        <v>1</v>
      </c>
      <c r="V194" s="265">
        <v>1</v>
      </c>
      <c r="W194" s="265">
        <v>2</v>
      </c>
      <c r="X194" s="265" t="s">
        <v>2420</v>
      </c>
      <c r="Y194" s="265" t="s">
        <v>2420</v>
      </c>
      <c r="Z194" s="265" t="s">
        <v>654</v>
      </c>
      <c r="AA194" s="265" t="s">
        <v>654</v>
      </c>
      <c r="AB194" s="265" t="s">
        <v>654</v>
      </c>
      <c r="AC194" s="265" t="s">
        <v>654</v>
      </c>
      <c r="AD194" s="265" t="s">
        <v>3008</v>
      </c>
      <c r="AE194" s="265"/>
      <c r="AF194" s="265"/>
      <c r="AG194" s="265"/>
      <c r="AH194" s="265"/>
      <c r="AI194" s="265"/>
      <c r="AJ194" s="265" t="s">
        <v>3009</v>
      </c>
    </row>
    <row r="195" spans="1:36" s="256" customFormat="1" ht="14.25" customHeight="1" x14ac:dyDescent="0.25">
      <c r="A195" s="256">
        <v>192</v>
      </c>
      <c r="B195" s="265" t="s">
        <v>2461</v>
      </c>
      <c r="C195" s="265" t="s">
        <v>1997</v>
      </c>
      <c r="D195" s="265" t="s">
        <v>1997</v>
      </c>
      <c r="E195" s="265" t="s">
        <v>1998</v>
      </c>
      <c r="F195" s="265" t="s">
        <v>3010</v>
      </c>
      <c r="G195" s="265"/>
      <c r="H195" s="265" t="s">
        <v>3011</v>
      </c>
      <c r="I195" s="265" t="s">
        <v>579</v>
      </c>
      <c r="J195" s="271"/>
      <c r="K195" s="266">
        <v>46004</v>
      </c>
      <c r="L195" s="272"/>
      <c r="M195" s="265" t="s">
        <v>3012</v>
      </c>
      <c r="N195" s="265">
        <v>38</v>
      </c>
      <c r="O195" s="273" t="s">
        <v>603</v>
      </c>
      <c r="P195" s="265" t="s">
        <v>3012</v>
      </c>
      <c r="Q195" s="265" t="s">
        <v>2459</v>
      </c>
      <c r="R195" s="265">
        <v>1</v>
      </c>
      <c r="S195" s="265">
        <v>1</v>
      </c>
      <c r="T195" s="265">
        <v>3</v>
      </c>
      <c r="U195" s="265">
        <v>1</v>
      </c>
      <c r="V195" s="265">
        <v>1</v>
      </c>
      <c r="W195" s="265">
        <v>1</v>
      </c>
      <c r="X195" s="265" t="s">
        <v>2420</v>
      </c>
      <c r="Y195" s="265" t="s">
        <v>2420</v>
      </c>
      <c r="Z195" s="265" t="s">
        <v>654</v>
      </c>
      <c r="AA195" s="265" t="s">
        <v>654</v>
      </c>
      <c r="AB195" s="265" t="s">
        <v>654</v>
      </c>
      <c r="AC195" s="265" t="s">
        <v>654</v>
      </c>
      <c r="AD195" s="265" t="s">
        <v>3008</v>
      </c>
      <c r="AE195" s="265"/>
      <c r="AF195" s="265"/>
      <c r="AG195" s="265"/>
      <c r="AH195" s="265"/>
      <c r="AI195" s="265"/>
      <c r="AJ195" s="265" t="s">
        <v>3009</v>
      </c>
    </row>
    <row r="196" spans="1:36" s="256" customFormat="1" ht="14.25" customHeight="1" x14ac:dyDescent="0.25">
      <c r="A196" s="256">
        <v>193</v>
      </c>
      <c r="B196" s="265" t="s">
        <v>2461</v>
      </c>
      <c r="C196" s="265" t="s">
        <v>1997</v>
      </c>
      <c r="D196" s="265" t="s">
        <v>1997</v>
      </c>
      <c r="E196" s="265" t="s">
        <v>1998</v>
      </c>
      <c r="F196" s="265" t="s">
        <v>3010</v>
      </c>
      <c r="G196" s="265"/>
      <c r="H196" s="265" t="s">
        <v>3011</v>
      </c>
      <c r="I196" s="265" t="s">
        <v>579</v>
      </c>
      <c r="J196" s="271"/>
      <c r="K196" s="266">
        <v>46004</v>
      </c>
      <c r="L196" s="272"/>
      <c r="M196" s="265" t="s">
        <v>2688</v>
      </c>
      <c r="N196" s="265">
        <v>47</v>
      </c>
      <c r="O196" s="273" t="s">
        <v>603</v>
      </c>
      <c r="P196" s="265" t="s">
        <v>2688</v>
      </c>
      <c r="Q196" s="265" t="s">
        <v>2459</v>
      </c>
      <c r="R196" s="265">
        <v>1</v>
      </c>
      <c r="S196" s="265">
        <v>1</v>
      </c>
      <c r="T196" s="265">
        <v>3</v>
      </c>
      <c r="U196" s="265">
        <v>1</v>
      </c>
      <c r="V196" s="265">
        <v>1</v>
      </c>
      <c r="W196" s="265">
        <v>1</v>
      </c>
      <c r="X196" s="265" t="s">
        <v>2420</v>
      </c>
      <c r="Y196" s="265" t="s">
        <v>2420</v>
      </c>
      <c r="Z196" s="265" t="s">
        <v>654</v>
      </c>
      <c r="AA196" s="265" t="s">
        <v>654</v>
      </c>
      <c r="AB196" s="265" t="s">
        <v>654</v>
      </c>
      <c r="AC196" s="265" t="s">
        <v>654</v>
      </c>
      <c r="AD196" s="265" t="s">
        <v>3008</v>
      </c>
      <c r="AE196" s="265"/>
      <c r="AF196" s="265"/>
      <c r="AG196" s="265"/>
      <c r="AH196" s="265"/>
      <c r="AI196" s="265"/>
      <c r="AJ196" s="265" t="s">
        <v>3009</v>
      </c>
    </row>
    <row r="197" spans="1:36" s="260" customFormat="1" ht="14.25" customHeight="1" x14ac:dyDescent="0.25">
      <c r="A197" s="260">
        <v>1</v>
      </c>
      <c r="B197" s="265" t="s">
        <v>399</v>
      </c>
      <c r="C197" s="265" t="s">
        <v>1997</v>
      </c>
      <c r="D197" s="265" t="s">
        <v>1997</v>
      </c>
      <c r="E197" s="265" t="s">
        <v>1998</v>
      </c>
      <c r="F197" s="265" t="s">
        <v>3010</v>
      </c>
      <c r="G197" s="265"/>
      <c r="H197" s="265" t="s">
        <v>2377</v>
      </c>
      <c r="I197" s="265" t="s">
        <v>579</v>
      </c>
      <c r="J197" s="271" t="s">
        <v>3013</v>
      </c>
      <c r="K197" s="266">
        <v>46035</v>
      </c>
      <c r="L197" s="272"/>
      <c r="M197" s="265" t="s">
        <v>3014</v>
      </c>
      <c r="N197" s="265">
        <v>72</v>
      </c>
      <c r="O197" s="273" t="s">
        <v>603</v>
      </c>
      <c r="P197" s="265"/>
      <c r="Q197" s="265" t="s">
        <v>2459</v>
      </c>
      <c r="R197" s="265">
        <v>1</v>
      </c>
      <c r="S197" s="265">
        <v>1</v>
      </c>
      <c r="T197" s="265">
        <v>2</v>
      </c>
      <c r="U197" s="265">
        <v>1</v>
      </c>
      <c r="V197" s="265">
        <v>2</v>
      </c>
      <c r="W197" s="265">
        <v>1</v>
      </c>
      <c r="X197" s="265" t="s">
        <v>2420</v>
      </c>
      <c r="Y197" s="265" t="s">
        <v>2420</v>
      </c>
      <c r="Z197" s="265" t="s">
        <v>654</v>
      </c>
      <c r="AA197" s="265" t="s">
        <v>654</v>
      </c>
      <c r="AB197" s="265" t="s">
        <v>654</v>
      </c>
      <c r="AC197" s="265" t="s">
        <v>654</v>
      </c>
      <c r="AD197" s="265" t="s">
        <v>2609</v>
      </c>
      <c r="AE197" s="265"/>
      <c r="AF197" s="265"/>
      <c r="AG197" s="265"/>
      <c r="AH197" s="265"/>
      <c r="AI197" s="265"/>
      <c r="AJ197" s="265"/>
    </row>
    <row r="198" spans="1:36" ht="14.25" customHeight="1" x14ac:dyDescent="0.25">
      <c r="A198" s="256">
        <v>2</v>
      </c>
      <c r="B198" s="265" t="s">
        <v>399</v>
      </c>
      <c r="C198" s="265" t="s">
        <v>1997</v>
      </c>
      <c r="D198" s="265" t="s">
        <v>1997</v>
      </c>
      <c r="E198" s="265" t="s">
        <v>1998</v>
      </c>
      <c r="F198" s="265" t="s">
        <v>3010</v>
      </c>
      <c r="G198" s="265"/>
      <c r="H198" s="265" t="s">
        <v>2377</v>
      </c>
      <c r="I198" s="265" t="s">
        <v>579</v>
      </c>
      <c r="J198" s="271" t="s">
        <v>3015</v>
      </c>
      <c r="K198" s="266">
        <v>46035</v>
      </c>
      <c r="L198" s="272"/>
      <c r="M198" s="265" t="s">
        <v>3016</v>
      </c>
      <c r="N198" s="265">
        <v>79</v>
      </c>
      <c r="O198" s="273" t="s">
        <v>603</v>
      </c>
      <c r="P198" s="265"/>
      <c r="Q198" s="265" t="s">
        <v>2459</v>
      </c>
      <c r="R198" s="265">
        <v>2</v>
      </c>
      <c r="S198" s="265">
        <v>2</v>
      </c>
      <c r="T198" s="265">
        <v>3</v>
      </c>
      <c r="U198" s="265">
        <v>2</v>
      </c>
      <c r="V198" s="265">
        <v>3</v>
      </c>
      <c r="W198" s="265">
        <v>2</v>
      </c>
      <c r="X198" s="265" t="s">
        <v>2420</v>
      </c>
      <c r="Y198" s="265" t="s">
        <v>2420</v>
      </c>
      <c r="Z198" s="265" t="s">
        <v>654</v>
      </c>
      <c r="AA198" s="265" t="s">
        <v>654</v>
      </c>
      <c r="AB198" s="265" t="s">
        <v>654</v>
      </c>
      <c r="AC198" s="265" t="s">
        <v>654</v>
      </c>
      <c r="AD198" s="265" t="s">
        <v>2609</v>
      </c>
      <c r="AE198" s="265"/>
      <c r="AF198" s="265"/>
      <c r="AG198" s="265"/>
      <c r="AH198" s="265"/>
      <c r="AI198" s="265"/>
      <c r="AJ198" s="265"/>
    </row>
    <row r="199" spans="1:36" ht="14.25" customHeight="1" x14ac:dyDescent="0.25">
      <c r="A199" s="256">
        <v>3</v>
      </c>
      <c r="B199" s="265" t="s">
        <v>399</v>
      </c>
      <c r="C199" s="265" t="s">
        <v>1997</v>
      </c>
      <c r="D199" s="265" t="s">
        <v>1997</v>
      </c>
      <c r="E199" s="265" t="s">
        <v>1998</v>
      </c>
      <c r="F199" s="265" t="s">
        <v>3010</v>
      </c>
      <c r="G199" s="265"/>
      <c r="H199" s="265" t="s">
        <v>3017</v>
      </c>
      <c r="I199" s="265" t="s">
        <v>579</v>
      </c>
      <c r="J199" s="271" t="s">
        <v>3018</v>
      </c>
      <c r="K199" s="266">
        <v>46035</v>
      </c>
      <c r="L199" s="272"/>
      <c r="M199" s="265" t="s">
        <v>3019</v>
      </c>
      <c r="N199" s="265">
        <v>65</v>
      </c>
      <c r="O199" s="273" t="s">
        <v>603</v>
      </c>
      <c r="P199" s="265"/>
      <c r="Q199" s="265" t="s">
        <v>2459</v>
      </c>
      <c r="R199" s="265">
        <v>1</v>
      </c>
      <c r="S199" s="265">
        <v>1</v>
      </c>
      <c r="T199" s="265">
        <v>2</v>
      </c>
      <c r="U199" s="265">
        <v>1</v>
      </c>
      <c r="V199" s="265">
        <v>2</v>
      </c>
      <c r="W199" s="265">
        <v>1</v>
      </c>
      <c r="X199" s="265" t="s">
        <v>2420</v>
      </c>
      <c r="Y199" s="265" t="s">
        <v>2420</v>
      </c>
      <c r="Z199" s="265" t="s">
        <v>654</v>
      </c>
      <c r="AA199" s="265" t="s">
        <v>654</v>
      </c>
      <c r="AB199" s="265" t="s">
        <v>654</v>
      </c>
      <c r="AC199" s="265" t="s">
        <v>654</v>
      </c>
      <c r="AD199" s="265" t="s">
        <v>2609</v>
      </c>
      <c r="AE199" s="265"/>
      <c r="AF199" s="265"/>
      <c r="AG199" s="265"/>
      <c r="AH199" s="265"/>
      <c r="AI199" s="265"/>
      <c r="AJ199" s="265"/>
    </row>
    <row r="200" spans="1:36" ht="14.25" customHeight="1" x14ac:dyDescent="0.25">
      <c r="A200" s="256">
        <v>4</v>
      </c>
      <c r="B200" s="265" t="s">
        <v>399</v>
      </c>
      <c r="C200" s="265" t="s">
        <v>1997</v>
      </c>
      <c r="D200" s="265" t="s">
        <v>1997</v>
      </c>
      <c r="E200" s="265" t="s">
        <v>1998</v>
      </c>
      <c r="F200" s="265" t="s">
        <v>3010</v>
      </c>
      <c r="G200" s="265"/>
      <c r="H200" s="265" t="s">
        <v>3017</v>
      </c>
      <c r="I200" s="265" t="s">
        <v>579</v>
      </c>
      <c r="J200" s="271" t="s">
        <v>2648</v>
      </c>
      <c r="K200" s="266">
        <v>46039</v>
      </c>
      <c r="L200" s="272"/>
      <c r="M200" s="265" t="s">
        <v>2726</v>
      </c>
      <c r="N200" s="265">
        <v>57</v>
      </c>
      <c r="O200" s="273" t="s">
        <v>402</v>
      </c>
      <c r="P200" s="265"/>
      <c r="Q200" s="265" t="s">
        <v>2459</v>
      </c>
      <c r="R200" s="265">
        <v>1</v>
      </c>
      <c r="S200" s="265">
        <v>1</v>
      </c>
      <c r="T200" s="265">
        <v>2</v>
      </c>
      <c r="U200" s="265">
        <v>1</v>
      </c>
      <c r="V200" s="265">
        <v>2</v>
      </c>
      <c r="W200" s="265">
        <v>1</v>
      </c>
      <c r="X200" s="265" t="s">
        <v>2420</v>
      </c>
      <c r="Y200" s="265" t="s">
        <v>2420</v>
      </c>
      <c r="Z200" s="265" t="s">
        <v>654</v>
      </c>
      <c r="AA200" s="265" t="s">
        <v>654</v>
      </c>
      <c r="AB200" s="265" t="s">
        <v>654</v>
      </c>
      <c r="AC200" s="265" t="s">
        <v>654</v>
      </c>
      <c r="AD200" s="265" t="s">
        <v>3020</v>
      </c>
      <c r="AE200" s="265"/>
      <c r="AF200" s="265"/>
      <c r="AG200" s="265"/>
      <c r="AH200" s="265"/>
      <c r="AI200" s="265"/>
      <c r="AJ200" s="265"/>
    </row>
    <row r="201" spans="1:36" ht="14.25" customHeight="1" x14ac:dyDescent="0.25">
      <c r="A201" s="256">
        <v>5</v>
      </c>
      <c r="B201" s="265" t="s">
        <v>399</v>
      </c>
      <c r="C201" s="265" t="s">
        <v>1997</v>
      </c>
      <c r="D201" s="265" t="s">
        <v>1997</v>
      </c>
      <c r="E201" s="265" t="s">
        <v>1998</v>
      </c>
      <c r="F201" s="265" t="s">
        <v>3010</v>
      </c>
      <c r="G201" s="265"/>
      <c r="H201" s="265" t="s">
        <v>2228</v>
      </c>
      <c r="I201" s="265" t="s">
        <v>579</v>
      </c>
      <c r="J201" s="271" t="s">
        <v>3021</v>
      </c>
      <c r="K201" s="266">
        <v>46039</v>
      </c>
      <c r="L201" s="272"/>
      <c r="M201" s="265" t="s">
        <v>3022</v>
      </c>
      <c r="N201" s="265">
        <v>75</v>
      </c>
      <c r="O201" s="273" t="s">
        <v>402</v>
      </c>
      <c r="P201" s="265"/>
      <c r="Q201" s="265" t="s">
        <v>2459</v>
      </c>
      <c r="R201" s="265">
        <v>1</v>
      </c>
      <c r="S201" s="265">
        <v>1</v>
      </c>
      <c r="T201" s="265">
        <v>2</v>
      </c>
      <c r="U201" s="265">
        <v>1</v>
      </c>
      <c r="V201" s="265">
        <v>2</v>
      </c>
      <c r="W201" s="265">
        <v>1</v>
      </c>
      <c r="X201" s="265" t="s">
        <v>2420</v>
      </c>
      <c r="Y201" s="265" t="s">
        <v>2420</v>
      </c>
      <c r="Z201" s="265" t="s">
        <v>654</v>
      </c>
      <c r="AA201" s="265" t="s">
        <v>654</v>
      </c>
      <c r="AB201" s="265" t="s">
        <v>654</v>
      </c>
      <c r="AC201" s="265" t="s">
        <v>654</v>
      </c>
      <c r="AD201" s="265" t="s">
        <v>3020</v>
      </c>
      <c r="AE201" s="265"/>
      <c r="AF201" s="265"/>
      <c r="AG201" s="265"/>
      <c r="AH201" s="265"/>
      <c r="AI201" s="265"/>
      <c r="AJ201" s="265"/>
    </row>
    <row r="202" spans="1:36" ht="14.25" customHeight="1" x14ac:dyDescent="0.25">
      <c r="A202" s="256">
        <v>6</v>
      </c>
      <c r="B202" s="265" t="s">
        <v>399</v>
      </c>
      <c r="C202" s="265" t="s">
        <v>1997</v>
      </c>
      <c r="D202" s="265" t="s">
        <v>1997</v>
      </c>
      <c r="E202" s="265" t="s">
        <v>1998</v>
      </c>
      <c r="F202" s="265" t="s">
        <v>3010</v>
      </c>
      <c r="G202" s="265"/>
      <c r="H202" s="265" t="s">
        <v>2804</v>
      </c>
      <c r="I202" s="265" t="s">
        <v>579</v>
      </c>
      <c r="J202" s="271" t="s">
        <v>3023</v>
      </c>
      <c r="K202" s="266">
        <v>46035</v>
      </c>
      <c r="L202" s="272"/>
      <c r="M202" s="265" t="s">
        <v>3024</v>
      </c>
      <c r="N202" s="265">
        <v>50</v>
      </c>
      <c r="O202" s="273" t="s">
        <v>402</v>
      </c>
      <c r="P202" s="265"/>
      <c r="Q202" s="265" t="s">
        <v>2459</v>
      </c>
      <c r="R202" s="265">
        <v>0</v>
      </c>
      <c r="S202" s="265">
        <v>0</v>
      </c>
      <c r="T202" s="265">
        <v>2</v>
      </c>
      <c r="U202" s="265">
        <v>1</v>
      </c>
      <c r="V202" s="265">
        <v>2</v>
      </c>
      <c r="W202" s="265">
        <v>0</v>
      </c>
      <c r="X202" s="265" t="s">
        <v>2420</v>
      </c>
      <c r="Y202" s="265" t="s">
        <v>2420</v>
      </c>
      <c r="Z202" s="265" t="s">
        <v>654</v>
      </c>
      <c r="AA202" s="265" t="s">
        <v>654</v>
      </c>
      <c r="AB202" s="265" t="s">
        <v>654</v>
      </c>
      <c r="AC202" s="265" t="s">
        <v>654</v>
      </c>
      <c r="AD202" s="277" t="s">
        <v>3070</v>
      </c>
      <c r="AE202" s="265"/>
      <c r="AF202" s="265"/>
      <c r="AG202" s="265"/>
      <c r="AH202" s="265"/>
      <c r="AI202" s="265"/>
      <c r="AJ202" s="265"/>
    </row>
    <row r="203" spans="1:36" ht="14.25" customHeight="1" x14ac:dyDescent="0.25">
      <c r="A203" s="256">
        <v>7</v>
      </c>
      <c r="B203" s="265" t="s">
        <v>399</v>
      </c>
      <c r="C203" s="265" t="s">
        <v>1997</v>
      </c>
      <c r="D203" s="265" t="s">
        <v>1997</v>
      </c>
      <c r="E203" s="265" t="s">
        <v>1998</v>
      </c>
      <c r="F203" s="265" t="s">
        <v>3010</v>
      </c>
      <c r="G203" s="265"/>
      <c r="H203" s="265" t="s">
        <v>3025</v>
      </c>
      <c r="I203" s="265" t="s">
        <v>579</v>
      </c>
      <c r="J203" s="271" t="s">
        <v>3026</v>
      </c>
      <c r="K203" s="266">
        <v>46035</v>
      </c>
      <c r="L203" s="272"/>
      <c r="M203" s="265" t="s">
        <v>3027</v>
      </c>
      <c r="N203" s="265">
        <v>47</v>
      </c>
      <c r="O203" s="273" t="s">
        <v>402</v>
      </c>
      <c r="P203" s="265"/>
      <c r="Q203" s="265" t="s">
        <v>2459</v>
      </c>
      <c r="R203" s="265">
        <v>0</v>
      </c>
      <c r="S203" s="265">
        <v>0</v>
      </c>
      <c r="T203" s="265">
        <v>2</v>
      </c>
      <c r="U203" s="265">
        <v>0</v>
      </c>
      <c r="V203" s="265">
        <v>2</v>
      </c>
      <c r="W203" s="265">
        <v>0</v>
      </c>
      <c r="X203" s="265" t="s">
        <v>2420</v>
      </c>
      <c r="Y203" s="265" t="s">
        <v>2420</v>
      </c>
      <c r="Z203" s="265" t="s">
        <v>654</v>
      </c>
      <c r="AA203" s="265" t="s">
        <v>654</v>
      </c>
      <c r="AB203" s="265" t="s">
        <v>654</v>
      </c>
      <c r="AC203" s="265" t="s">
        <v>654</v>
      </c>
      <c r="AD203" s="277" t="s">
        <v>3070</v>
      </c>
      <c r="AE203" s="265"/>
      <c r="AF203" s="265"/>
      <c r="AG203" s="265"/>
      <c r="AH203" s="265"/>
      <c r="AI203" s="265"/>
      <c r="AJ203" s="265"/>
    </row>
    <row r="204" spans="1:36" ht="14.25" customHeight="1" x14ac:dyDescent="0.25">
      <c r="A204" s="256">
        <v>8</v>
      </c>
      <c r="B204" s="265" t="s">
        <v>399</v>
      </c>
      <c r="C204" s="265" t="s">
        <v>1997</v>
      </c>
      <c r="D204" s="265" t="s">
        <v>1997</v>
      </c>
      <c r="E204" s="265" t="s">
        <v>1998</v>
      </c>
      <c r="F204" s="265" t="s">
        <v>2417</v>
      </c>
      <c r="G204" s="265"/>
      <c r="H204" s="265" t="s">
        <v>3028</v>
      </c>
      <c r="I204" s="265" t="s">
        <v>579</v>
      </c>
      <c r="J204" s="271" t="s">
        <v>3029</v>
      </c>
      <c r="K204" s="266">
        <v>46036</v>
      </c>
      <c r="L204" s="272"/>
      <c r="M204" s="265" t="s">
        <v>3030</v>
      </c>
      <c r="N204" s="265">
        <v>52</v>
      </c>
      <c r="O204" s="273" t="s">
        <v>603</v>
      </c>
      <c r="P204" s="265"/>
      <c r="Q204" s="265" t="s">
        <v>2459</v>
      </c>
      <c r="R204" s="265">
        <v>0</v>
      </c>
      <c r="S204" s="265">
        <v>0</v>
      </c>
      <c r="T204" s="265">
        <v>2</v>
      </c>
      <c r="U204" s="265">
        <v>0</v>
      </c>
      <c r="V204" s="265">
        <v>4</v>
      </c>
      <c r="W204" s="265">
        <v>0</v>
      </c>
      <c r="X204" s="265" t="s">
        <v>2420</v>
      </c>
      <c r="Y204" s="265" t="s">
        <v>2420</v>
      </c>
      <c r="Z204" s="265" t="s">
        <v>654</v>
      </c>
      <c r="AA204" s="265" t="s">
        <v>654</v>
      </c>
      <c r="AB204" s="265" t="s">
        <v>654</v>
      </c>
      <c r="AC204" s="265" t="s">
        <v>654</v>
      </c>
      <c r="AD204" s="265" t="s">
        <v>2825</v>
      </c>
      <c r="AE204" s="265"/>
      <c r="AF204" s="265"/>
      <c r="AG204" s="265"/>
      <c r="AH204" s="265"/>
      <c r="AI204" s="265"/>
      <c r="AJ204" s="265"/>
    </row>
    <row r="205" spans="1:36" ht="14.25" customHeight="1" x14ac:dyDescent="0.25">
      <c r="A205" s="256">
        <v>9</v>
      </c>
      <c r="B205" s="265" t="s">
        <v>399</v>
      </c>
      <c r="C205" s="265" t="s">
        <v>1997</v>
      </c>
      <c r="D205" s="265" t="s">
        <v>1997</v>
      </c>
      <c r="E205" s="265" t="s">
        <v>1998</v>
      </c>
      <c r="F205" s="265" t="s">
        <v>3031</v>
      </c>
      <c r="G205" s="265"/>
      <c r="H205" s="265" t="s">
        <v>3032</v>
      </c>
      <c r="I205" s="265" t="s">
        <v>579</v>
      </c>
      <c r="J205" s="271" t="s">
        <v>3033</v>
      </c>
      <c r="K205" s="266">
        <v>46030</v>
      </c>
      <c r="L205" s="272"/>
      <c r="M205" s="265" t="s">
        <v>3034</v>
      </c>
      <c r="N205" s="265">
        <v>69</v>
      </c>
      <c r="O205" s="273" t="s">
        <v>603</v>
      </c>
      <c r="P205" s="265"/>
      <c r="Q205" s="265" t="s">
        <v>2459</v>
      </c>
      <c r="R205" s="265">
        <v>1</v>
      </c>
      <c r="S205" s="265">
        <v>1</v>
      </c>
      <c r="T205" s="265">
        <v>2</v>
      </c>
      <c r="U205" s="265">
        <v>1</v>
      </c>
      <c r="V205" s="265">
        <v>2</v>
      </c>
      <c r="W205" s="265">
        <v>1</v>
      </c>
      <c r="X205" s="265" t="s">
        <v>2420</v>
      </c>
      <c r="Y205" s="265" t="s">
        <v>2420</v>
      </c>
      <c r="Z205" s="265" t="s">
        <v>654</v>
      </c>
      <c r="AA205" s="265" t="s">
        <v>654</v>
      </c>
      <c r="AB205" s="265" t="s">
        <v>654</v>
      </c>
      <c r="AC205" s="265" t="s">
        <v>654</v>
      </c>
      <c r="AD205" s="265" t="s">
        <v>3035</v>
      </c>
      <c r="AE205" s="265"/>
      <c r="AF205" s="265"/>
      <c r="AG205" s="265"/>
      <c r="AH205" s="265"/>
      <c r="AI205" s="265"/>
      <c r="AJ205" s="265"/>
    </row>
    <row r="206" spans="1:36" ht="14.25" customHeight="1" x14ac:dyDescent="0.25">
      <c r="A206" s="256">
        <v>10</v>
      </c>
      <c r="B206" s="265" t="s">
        <v>399</v>
      </c>
      <c r="C206" s="265" t="s">
        <v>1997</v>
      </c>
      <c r="D206" s="265" t="s">
        <v>1997</v>
      </c>
      <c r="E206" s="265" t="s">
        <v>1998</v>
      </c>
      <c r="F206" s="265"/>
      <c r="G206" s="265"/>
      <c r="H206" s="265" t="s">
        <v>2377</v>
      </c>
      <c r="I206" s="265" t="s">
        <v>579</v>
      </c>
      <c r="J206" s="271" t="s">
        <v>3036</v>
      </c>
      <c r="K206" s="266">
        <v>46035</v>
      </c>
      <c r="L206" s="272"/>
      <c r="M206" s="265" t="s">
        <v>3037</v>
      </c>
      <c r="N206" s="265">
        <v>72</v>
      </c>
      <c r="O206" s="273" t="s">
        <v>603</v>
      </c>
      <c r="P206" s="265"/>
      <c r="Q206" s="265" t="s">
        <v>2459</v>
      </c>
      <c r="R206" s="265">
        <v>1</v>
      </c>
      <c r="S206" s="265">
        <v>1</v>
      </c>
      <c r="T206" s="265">
        <v>2</v>
      </c>
      <c r="U206" s="265">
        <v>1</v>
      </c>
      <c r="V206" s="265">
        <v>2</v>
      </c>
      <c r="W206" s="265">
        <v>1</v>
      </c>
      <c r="X206" s="265" t="s">
        <v>2420</v>
      </c>
      <c r="Y206" s="265" t="s">
        <v>2420</v>
      </c>
      <c r="Z206" s="265" t="s">
        <v>654</v>
      </c>
      <c r="AA206" s="265" t="s">
        <v>654</v>
      </c>
      <c r="AB206" s="265" t="s">
        <v>654</v>
      </c>
      <c r="AC206" s="265" t="s">
        <v>654</v>
      </c>
      <c r="AD206" s="265" t="s">
        <v>2609</v>
      </c>
      <c r="AE206" s="265"/>
      <c r="AF206" s="265"/>
      <c r="AG206" s="265"/>
      <c r="AH206" s="265"/>
      <c r="AI206" s="265"/>
      <c r="AJ206" s="265"/>
    </row>
    <row r="207" spans="1:36" ht="14.25" customHeight="1" x14ac:dyDescent="0.25">
      <c r="A207" s="256">
        <v>11</v>
      </c>
      <c r="B207" s="265" t="s">
        <v>399</v>
      </c>
      <c r="C207" s="265" t="s">
        <v>1997</v>
      </c>
      <c r="D207" s="265" t="s">
        <v>1997</v>
      </c>
      <c r="E207" s="265" t="s">
        <v>1998</v>
      </c>
      <c r="F207" s="265"/>
      <c r="G207" s="265"/>
      <c r="H207" s="265" t="s">
        <v>3038</v>
      </c>
      <c r="I207" s="265"/>
      <c r="J207" s="271" t="s">
        <v>3039</v>
      </c>
      <c r="K207" s="266">
        <v>46035</v>
      </c>
      <c r="L207" s="272"/>
      <c r="M207" s="265" t="s">
        <v>3040</v>
      </c>
      <c r="N207" s="265">
        <v>72</v>
      </c>
      <c r="O207" s="273" t="s">
        <v>603</v>
      </c>
      <c r="P207" s="265"/>
      <c r="Q207" s="265" t="s">
        <v>2459</v>
      </c>
      <c r="R207" s="265">
        <v>2</v>
      </c>
      <c r="S207" s="265">
        <v>1</v>
      </c>
      <c r="T207" s="265">
        <v>2</v>
      </c>
      <c r="U207" s="265">
        <v>2</v>
      </c>
      <c r="V207" s="265">
        <v>3</v>
      </c>
      <c r="W207" s="265">
        <v>1</v>
      </c>
      <c r="X207" s="265" t="s">
        <v>2420</v>
      </c>
      <c r="Y207" s="265" t="s">
        <v>2420</v>
      </c>
      <c r="Z207" s="265" t="s">
        <v>654</v>
      </c>
      <c r="AA207" s="265" t="s">
        <v>654</v>
      </c>
      <c r="AB207" s="265" t="s">
        <v>654</v>
      </c>
      <c r="AC207" s="265" t="s">
        <v>654</v>
      </c>
      <c r="AD207" s="265" t="s">
        <v>2825</v>
      </c>
      <c r="AE207" s="265"/>
      <c r="AF207" s="265"/>
      <c r="AG207" s="265"/>
      <c r="AH207" s="265"/>
      <c r="AI207" s="265"/>
      <c r="AJ207" s="265"/>
    </row>
    <row r="208" spans="1:36" ht="14.25" customHeight="1" x14ac:dyDescent="0.25">
      <c r="A208" s="256">
        <v>12</v>
      </c>
      <c r="B208" s="265" t="s">
        <v>399</v>
      </c>
      <c r="C208" s="265" t="s">
        <v>1997</v>
      </c>
      <c r="D208" s="265" t="s">
        <v>1997</v>
      </c>
      <c r="E208" s="265" t="s">
        <v>1998</v>
      </c>
      <c r="F208" s="265"/>
      <c r="G208" s="265"/>
      <c r="H208" s="265" t="s">
        <v>2455</v>
      </c>
      <c r="I208" s="265"/>
      <c r="J208" s="271" t="s">
        <v>3041</v>
      </c>
      <c r="K208" s="266">
        <v>46035</v>
      </c>
      <c r="L208" s="272"/>
      <c r="M208" s="265" t="s">
        <v>3042</v>
      </c>
      <c r="N208" s="265">
        <v>81</v>
      </c>
      <c r="O208" s="273" t="s">
        <v>402</v>
      </c>
      <c r="P208" s="265"/>
      <c r="Q208" s="265" t="s">
        <v>2459</v>
      </c>
      <c r="R208" s="265">
        <v>1</v>
      </c>
      <c r="S208" s="265">
        <v>1</v>
      </c>
      <c r="T208" s="265">
        <v>2</v>
      </c>
      <c r="U208" s="265">
        <v>1</v>
      </c>
      <c r="V208" s="265">
        <v>3</v>
      </c>
      <c r="W208" s="265">
        <v>1</v>
      </c>
      <c r="X208" s="265" t="s">
        <v>2420</v>
      </c>
      <c r="Y208" s="265" t="s">
        <v>2420</v>
      </c>
      <c r="Z208" s="265" t="s">
        <v>654</v>
      </c>
      <c r="AA208" s="265" t="s">
        <v>654</v>
      </c>
      <c r="AB208" s="265" t="s">
        <v>654</v>
      </c>
      <c r="AC208" s="265" t="s">
        <v>654</v>
      </c>
      <c r="AD208" s="265" t="s">
        <v>3043</v>
      </c>
      <c r="AE208" s="265"/>
      <c r="AF208" s="265"/>
      <c r="AG208" s="265"/>
      <c r="AH208" s="265"/>
      <c r="AI208" s="265"/>
      <c r="AJ208" s="265"/>
    </row>
    <row r="209" spans="1:36" ht="14.25" customHeight="1" x14ac:dyDescent="0.25">
      <c r="A209" s="256">
        <v>13</v>
      </c>
      <c r="B209" s="265" t="s">
        <v>399</v>
      </c>
      <c r="C209" s="265" t="s">
        <v>1997</v>
      </c>
      <c r="D209" s="265" t="s">
        <v>1997</v>
      </c>
      <c r="E209" s="265" t="s">
        <v>1998</v>
      </c>
      <c r="F209" s="265"/>
      <c r="G209" s="265"/>
      <c r="H209" s="265" t="s">
        <v>2228</v>
      </c>
      <c r="I209" s="265"/>
      <c r="J209" s="271" t="s">
        <v>2803</v>
      </c>
      <c r="K209" s="266">
        <v>46035</v>
      </c>
      <c r="L209" s="272"/>
      <c r="M209" s="265" t="s">
        <v>3044</v>
      </c>
      <c r="N209" s="265">
        <v>83</v>
      </c>
      <c r="O209" s="273" t="s">
        <v>603</v>
      </c>
      <c r="P209" s="265"/>
      <c r="Q209" s="265" t="s">
        <v>2459</v>
      </c>
      <c r="R209" s="265">
        <v>1</v>
      </c>
      <c r="S209" s="265">
        <v>2</v>
      </c>
      <c r="T209" s="265">
        <v>2</v>
      </c>
      <c r="U209" s="265">
        <v>2</v>
      </c>
      <c r="V209" s="265">
        <v>3</v>
      </c>
      <c r="W209" s="265">
        <v>1</v>
      </c>
      <c r="X209" s="265" t="s">
        <v>2420</v>
      </c>
      <c r="Y209" s="265" t="s">
        <v>2420</v>
      </c>
      <c r="Z209" s="265" t="s">
        <v>654</v>
      </c>
      <c r="AA209" s="265" t="s">
        <v>654</v>
      </c>
      <c r="AB209" s="265" t="s">
        <v>654</v>
      </c>
      <c r="AC209" s="265" t="s">
        <v>654</v>
      </c>
      <c r="AD209" s="265" t="s">
        <v>2609</v>
      </c>
      <c r="AE209" s="265"/>
      <c r="AF209" s="265"/>
      <c r="AG209" s="265"/>
      <c r="AH209" s="265"/>
      <c r="AI209" s="265"/>
      <c r="AJ209" s="265"/>
    </row>
    <row r="210" spans="1:36" ht="14.25" customHeight="1" x14ac:dyDescent="0.25">
      <c r="A210" s="256">
        <v>14</v>
      </c>
      <c r="B210" s="265" t="s">
        <v>399</v>
      </c>
      <c r="C210" s="265" t="s">
        <v>1997</v>
      </c>
      <c r="D210" s="265" t="s">
        <v>1997</v>
      </c>
      <c r="E210" s="265" t="s">
        <v>1998</v>
      </c>
      <c r="F210" s="265"/>
      <c r="G210" s="265"/>
      <c r="H210" s="265" t="s">
        <v>2228</v>
      </c>
      <c r="I210" s="265"/>
      <c r="J210" s="271" t="s">
        <v>3045</v>
      </c>
      <c r="K210" s="266">
        <v>46035</v>
      </c>
      <c r="L210" s="272"/>
      <c r="M210" s="265" t="s">
        <v>3046</v>
      </c>
      <c r="N210" s="265">
        <v>70</v>
      </c>
      <c r="O210" s="273" t="s">
        <v>603</v>
      </c>
      <c r="P210" s="265" t="s">
        <v>2129</v>
      </c>
      <c r="Q210" s="265" t="s">
        <v>2459</v>
      </c>
      <c r="R210" s="265">
        <v>1</v>
      </c>
      <c r="S210" s="265">
        <v>1</v>
      </c>
      <c r="T210" s="265">
        <v>2</v>
      </c>
      <c r="U210" s="265">
        <v>1</v>
      </c>
      <c r="V210" s="265">
        <v>2</v>
      </c>
      <c r="W210" s="265">
        <v>1</v>
      </c>
      <c r="X210" s="265" t="s">
        <v>2420</v>
      </c>
      <c r="Y210" s="265" t="s">
        <v>2420</v>
      </c>
      <c r="Z210" s="265" t="s">
        <v>654</v>
      </c>
      <c r="AA210" s="265" t="s">
        <v>654</v>
      </c>
      <c r="AB210" s="265" t="s">
        <v>654</v>
      </c>
      <c r="AC210" s="265" t="s">
        <v>654</v>
      </c>
      <c r="AD210" s="265" t="s">
        <v>2609</v>
      </c>
      <c r="AE210" s="265"/>
      <c r="AF210" s="265"/>
      <c r="AG210" s="265"/>
      <c r="AH210" s="265"/>
      <c r="AI210" s="265"/>
      <c r="AJ210" s="265"/>
    </row>
    <row r="211" spans="1:36" ht="14.25" customHeight="1" x14ac:dyDescent="0.25">
      <c r="A211" s="256">
        <v>15</v>
      </c>
      <c r="B211" s="265" t="s">
        <v>399</v>
      </c>
      <c r="C211" s="265" t="s">
        <v>1997</v>
      </c>
      <c r="D211" s="265" t="s">
        <v>1997</v>
      </c>
      <c r="E211" s="265" t="s">
        <v>1998</v>
      </c>
      <c r="F211" s="265"/>
      <c r="G211" s="265"/>
      <c r="H211" s="265" t="s">
        <v>2228</v>
      </c>
      <c r="I211" s="265"/>
      <c r="J211" s="271" t="s">
        <v>3047</v>
      </c>
      <c r="K211" s="266">
        <v>46039</v>
      </c>
      <c r="L211" s="272"/>
      <c r="M211" s="265" t="s">
        <v>3048</v>
      </c>
      <c r="N211" s="265">
        <v>60</v>
      </c>
      <c r="O211" s="273" t="s">
        <v>603</v>
      </c>
      <c r="P211" s="265" t="s">
        <v>3049</v>
      </c>
      <c r="Q211" s="265" t="s">
        <v>2459</v>
      </c>
      <c r="R211" s="265">
        <v>1</v>
      </c>
      <c r="S211" s="265">
        <v>1</v>
      </c>
      <c r="T211" s="265">
        <v>2</v>
      </c>
      <c r="U211" s="265">
        <v>2</v>
      </c>
      <c r="V211" s="265">
        <v>2</v>
      </c>
      <c r="W211" s="265">
        <v>1</v>
      </c>
      <c r="X211" s="265" t="s">
        <v>2420</v>
      </c>
      <c r="Y211" s="265" t="s">
        <v>2420</v>
      </c>
      <c r="Z211" s="265" t="s">
        <v>654</v>
      </c>
      <c r="AA211" s="265" t="s">
        <v>654</v>
      </c>
      <c r="AB211" s="265" t="s">
        <v>654</v>
      </c>
      <c r="AC211" s="265" t="s">
        <v>654</v>
      </c>
      <c r="AD211" s="265" t="s">
        <v>2609</v>
      </c>
      <c r="AE211" s="265"/>
      <c r="AF211" s="265"/>
      <c r="AG211" s="265"/>
      <c r="AH211" s="265"/>
      <c r="AI211" s="265"/>
      <c r="AJ211" s="265"/>
    </row>
    <row r="212" spans="1:36" ht="14.25" customHeight="1" x14ac:dyDescent="0.25">
      <c r="A212" s="256">
        <v>16</v>
      </c>
      <c r="B212" s="265" t="s">
        <v>399</v>
      </c>
      <c r="C212" s="265" t="s">
        <v>1997</v>
      </c>
      <c r="D212" s="265" t="s">
        <v>1997</v>
      </c>
      <c r="E212" s="265" t="s">
        <v>1998</v>
      </c>
      <c r="F212" s="265" t="s">
        <v>2417</v>
      </c>
      <c r="G212" s="265" t="s">
        <v>2417</v>
      </c>
      <c r="H212" s="265" t="s">
        <v>3050</v>
      </c>
      <c r="I212" s="265"/>
      <c r="J212" s="271" t="s">
        <v>3051</v>
      </c>
      <c r="K212" s="266">
        <v>46035</v>
      </c>
      <c r="L212" s="272"/>
      <c r="M212" s="265" t="s">
        <v>3052</v>
      </c>
      <c r="N212" s="265">
        <v>81</v>
      </c>
      <c r="O212" s="273" t="s">
        <v>603</v>
      </c>
      <c r="P212" s="265"/>
      <c r="Q212" s="265" t="s">
        <v>2459</v>
      </c>
      <c r="R212" s="265">
        <v>2</v>
      </c>
      <c r="S212" s="265">
        <v>2</v>
      </c>
      <c r="T212" s="265">
        <v>3</v>
      </c>
      <c r="U212" s="265">
        <v>2</v>
      </c>
      <c r="V212" s="265">
        <v>3</v>
      </c>
      <c r="W212" s="265">
        <v>2</v>
      </c>
      <c r="X212" s="265" t="s">
        <v>2420</v>
      </c>
      <c r="Y212" s="265" t="s">
        <v>2420</v>
      </c>
      <c r="Z212" s="265" t="s">
        <v>654</v>
      </c>
      <c r="AA212" s="265" t="s">
        <v>654</v>
      </c>
      <c r="AB212" s="265" t="s">
        <v>654</v>
      </c>
      <c r="AC212" s="265" t="s">
        <v>654</v>
      </c>
      <c r="AD212" s="265" t="s">
        <v>2609</v>
      </c>
      <c r="AE212" s="265"/>
      <c r="AF212" s="265"/>
      <c r="AG212" s="265"/>
      <c r="AH212" s="265"/>
      <c r="AI212" s="265"/>
      <c r="AJ212" s="265"/>
    </row>
    <row r="213" spans="1:36" ht="14.25" customHeight="1" x14ac:dyDescent="0.25">
      <c r="A213" s="256">
        <v>17</v>
      </c>
      <c r="B213" s="265" t="s">
        <v>399</v>
      </c>
      <c r="C213" s="265" t="s">
        <v>1997</v>
      </c>
      <c r="D213" s="265" t="s">
        <v>1997</v>
      </c>
      <c r="E213" s="265" t="s">
        <v>1998</v>
      </c>
      <c r="F213" s="265"/>
      <c r="G213" s="265"/>
      <c r="H213" s="265" t="s">
        <v>3053</v>
      </c>
      <c r="I213" s="265"/>
      <c r="J213" s="271" t="s">
        <v>3054</v>
      </c>
      <c r="K213" s="266">
        <v>46035</v>
      </c>
      <c r="L213" s="272"/>
      <c r="M213" s="265" t="s">
        <v>3055</v>
      </c>
      <c r="N213" s="265">
        <v>78</v>
      </c>
      <c r="O213" s="273" t="s">
        <v>603</v>
      </c>
      <c r="P213" s="265"/>
      <c r="Q213" s="265" t="s">
        <v>2459</v>
      </c>
      <c r="R213" s="265">
        <v>2</v>
      </c>
      <c r="S213" s="265">
        <v>2</v>
      </c>
      <c r="T213" s="265">
        <v>3</v>
      </c>
      <c r="U213" s="265">
        <v>2</v>
      </c>
      <c r="V213" s="265">
        <v>3</v>
      </c>
      <c r="W213" s="265">
        <v>2</v>
      </c>
      <c r="X213" s="265" t="s">
        <v>2420</v>
      </c>
      <c r="Y213" s="265" t="s">
        <v>2420</v>
      </c>
      <c r="Z213" s="265" t="s">
        <v>654</v>
      </c>
      <c r="AA213" s="265" t="s">
        <v>654</v>
      </c>
      <c r="AB213" s="265" t="s">
        <v>654</v>
      </c>
      <c r="AC213" s="265" t="s">
        <v>654</v>
      </c>
      <c r="AD213" s="265" t="s">
        <v>2609</v>
      </c>
      <c r="AE213" s="265"/>
      <c r="AF213" s="265"/>
      <c r="AG213" s="265"/>
      <c r="AH213" s="265"/>
      <c r="AI213" s="265"/>
      <c r="AJ213" s="265"/>
    </row>
    <row r="214" spans="1:36" ht="14.25" customHeight="1" x14ac:dyDescent="0.25">
      <c r="A214" s="256">
        <v>18</v>
      </c>
      <c r="B214" s="265" t="s">
        <v>399</v>
      </c>
      <c r="C214" s="265" t="s">
        <v>1997</v>
      </c>
      <c r="D214" s="265" t="s">
        <v>1997</v>
      </c>
      <c r="E214" s="265" t="s">
        <v>1998</v>
      </c>
      <c r="F214" s="265"/>
      <c r="G214" s="265"/>
      <c r="H214" s="265" t="s">
        <v>3050</v>
      </c>
      <c r="I214" s="265"/>
      <c r="J214" s="271" t="s">
        <v>3056</v>
      </c>
      <c r="K214" s="266">
        <v>46035</v>
      </c>
      <c r="L214" s="272"/>
      <c r="M214" s="265" t="s">
        <v>3057</v>
      </c>
      <c r="N214" s="265">
        <v>60</v>
      </c>
      <c r="O214" s="273" t="s">
        <v>603</v>
      </c>
      <c r="P214" s="265"/>
      <c r="Q214" s="265" t="s">
        <v>2459</v>
      </c>
      <c r="R214" s="265">
        <v>2</v>
      </c>
      <c r="S214" s="265">
        <v>2</v>
      </c>
      <c r="T214" s="265">
        <v>3</v>
      </c>
      <c r="U214" s="265">
        <v>2</v>
      </c>
      <c r="V214" s="265">
        <v>3</v>
      </c>
      <c r="W214" s="265">
        <v>2</v>
      </c>
      <c r="X214" s="265" t="s">
        <v>2420</v>
      </c>
      <c r="Y214" s="265" t="s">
        <v>2420</v>
      </c>
      <c r="Z214" s="265" t="s">
        <v>654</v>
      </c>
      <c r="AA214" s="265" t="s">
        <v>654</v>
      </c>
      <c r="AB214" s="265" t="s">
        <v>654</v>
      </c>
      <c r="AC214" s="265" t="s">
        <v>654</v>
      </c>
      <c r="AD214" s="265" t="s">
        <v>2609</v>
      </c>
      <c r="AE214" s="265"/>
      <c r="AF214" s="265"/>
      <c r="AG214" s="265"/>
      <c r="AH214" s="265"/>
      <c r="AI214" s="265"/>
      <c r="AJ214" s="265"/>
    </row>
    <row r="215" spans="1:36" ht="14.25" customHeight="1" x14ac:dyDescent="0.25">
      <c r="A215" s="256">
        <v>19</v>
      </c>
      <c r="B215" s="265" t="s">
        <v>399</v>
      </c>
      <c r="C215" s="265" t="s">
        <v>1997</v>
      </c>
      <c r="D215" s="265" t="s">
        <v>1997</v>
      </c>
      <c r="E215" s="265" t="s">
        <v>1998</v>
      </c>
      <c r="F215" s="265"/>
      <c r="G215" s="265"/>
      <c r="H215" s="265" t="s">
        <v>3053</v>
      </c>
      <c r="I215" s="265"/>
      <c r="J215" s="271" t="s">
        <v>3058</v>
      </c>
      <c r="K215" s="266">
        <v>46035</v>
      </c>
      <c r="L215" s="272"/>
      <c r="M215" s="265" t="s">
        <v>3059</v>
      </c>
      <c r="N215" s="265">
        <v>75</v>
      </c>
      <c r="O215" s="273" t="s">
        <v>603</v>
      </c>
      <c r="P215" s="265"/>
      <c r="Q215" s="265" t="s">
        <v>2459</v>
      </c>
      <c r="R215" s="265">
        <v>2</v>
      </c>
      <c r="S215" s="265">
        <v>2</v>
      </c>
      <c r="T215" s="265">
        <v>3</v>
      </c>
      <c r="U215" s="265">
        <v>2</v>
      </c>
      <c r="V215" s="265">
        <v>3</v>
      </c>
      <c r="W215" s="265">
        <v>2</v>
      </c>
      <c r="X215" s="265" t="s">
        <v>2420</v>
      </c>
      <c r="Y215" s="265" t="s">
        <v>2420</v>
      </c>
      <c r="Z215" s="265" t="s">
        <v>654</v>
      </c>
      <c r="AA215" s="265" t="s">
        <v>654</v>
      </c>
      <c r="AB215" s="265" t="s">
        <v>654</v>
      </c>
      <c r="AC215" s="265" t="s">
        <v>654</v>
      </c>
      <c r="AD215" s="265" t="s">
        <v>2609</v>
      </c>
      <c r="AE215" s="265"/>
      <c r="AF215" s="265"/>
      <c r="AG215" s="265"/>
      <c r="AH215" s="265"/>
      <c r="AI215" s="265"/>
      <c r="AJ215" s="265"/>
    </row>
    <row r="216" spans="1:36" ht="14.25" customHeight="1" x14ac:dyDescent="0.25">
      <c r="A216" s="256">
        <v>20</v>
      </c>
      <c r="B216" s="265" t="s">
        <v>399</v>
      </c>
      <c r="C216" s="265" t="s">
        <v>1997</v>
      </c>
      <c r="D216" s="265" t="s">
        <v>1997</v>
      </c>
      <c r="E216" s="265" t="s">
        <v>1998</v>
      </c>
      <c r="F216" s="265"/>
      <c r="G216" s="265"/>
      <c r="H216" s="265" t="s">
        <v>3060</v>
      </c>
      <c r="I216" s="265"/>
      <c r="J216" s="271" t="s">
        <v>3061</v>
      </c>
      <c r="K216" s="266">
        <v>46035</v>
      </c>
      <c r="L216" s="272"/>
      <c r="M216" s="265" t="s">
        <v>3062</v>
      </c>
      <c r="N216" s="265">
        <v>81</v>
      </c>
      <c r="O216" s="273" t="s">
        <v>603</v>
      </c>
      <c r="P216" s="265"/>
      <c r="Q216" s="265" t="s">
        <v>2459</v>
      </c>
      <c r="R216" s="265">
        <v>2</v>
      </c>
      <c r="S216" s="265">
        <v>2</v>
      </c>
      <c r="T216" s="265">
        <v>3</v>
      </c>
      <c r="U216" s="265">
        <v>2</v>
      </c>
      <c r="V216" s="265">
        <v>3</v>
      </c>
      <c r="W216" s="265">
        <v>2</v>
      </c>
      <c r="X216" s="265" t="s">
        <v>2420</v>
      </c>
      <c r="Y216" s="265" t="s">
        <v>2420</v>
      </c>
      <c r="Z216" s="265" t="s">
        <v>654</v>
      </c>
      <c r="AA216" s="265" t="s">
        <v>654</v>
      </c>
      <c r="AB216" s="265" t="s">
        <v>654</v>
      </c>
      <c r="AC216" s="265" t="s">
        <v>654</v>
      </c>
      <c r="AD216" s="265" t="s">
        <v>2609</v>
      </c>
      <c r="AE216" s="265"/>
      <c r="AF216" s="265"/>
      <c r="AG216" s="265"/>
      <c r="AH216" s="265"/>
      <c r="AI216" s="265"/>
      <c r="AJ216" s="265"/>
    </row>
    <row r="217" spans="1:36" ht="14.25" customHeight="1" x14ac:dyDescent="0.25">
      <c r="A217" s="256">
        <v>21</v>
      </c>
      <c r="B217" s="265" t="s">
        <v>399</v>
      </c>
      <c r="C217" s="265" t="s">
        <v>1997</v>
      </c>
      <c r="D217" s="265" t="s">
        <v>1997</v>
      </c>
      <c r="E217" s="265" t="s">
        <v>1998</v>
      </c>
      <c r="F217" s="265"/>
      <c r="G217" s="265"/>
      <c r="H217" s="265" t="s">
        <v>3063</v>
      </c>
      <c r="I217" s="265"/>
      <c r="J217" s="271" t="s">
        <v>2533</v>
      </c>
      <c r="K217" s="266">
        <v>46035</v>
      </c>
      <c r="L217" s="272"/>
      <c r="M217" s="265" t="s">
        <v>3064</v>
      </c>
      <c r="N217" s="265">
        <v>69</v>
      </c>
      <c r="O217" s="273" t="s">
        <v>603</v>
      </c>
      <c r="P217" s="265"/>
      <c r="Q217" s="265" t="s">
        <v>2459</v>
      </c>
      <c r="R217" s="265">
        <v>2</v>
      </c>
      <c r="S217" s="265">
        <v>2</v>
      </c>
      <c r="T217" s="265">
        <v>3</v>
      </c>
      <c r="U217" s="265">
        <v>2</v>
      </c>
      <c r="V217" s="265">
        <v>3</v>
      </c>
      <c r="W217" s="265">
        <v>2</v>
      </c>
      <c r="X217" s="265" t="s">
        <v>2420</v>
      </c>
      <c r="Y217" s="265" t="s">
        <v>2420</v>
      </c>
      <c r="Z217" s="265" t="s">
        <v>654</v>
      </c>
      <c r="AA217" s="265" t="s">
        <v>654</v>
      </c>
      <c r="AB217" s="265" t="s">
        <v>654</v>
      </c>
      <c r="AC217" s="265" t="s">
        <v>654</v>
      </c>
      <c r="AD217" s="265" t="s">
        <v>2609</v>
      </c>
      <c r="AE217" s="265"/>
      <c r="AF217" s="265"/>
      <c r="AG217" s="265"/>
      <c r="AH217" s="265"/>
      <c r="AI217" s="265"/>
      <c r="AJ217" s="265"/>
    </row>
    <row r="218" spans="1:36" ht="14.25" customHeight="1" x14ac:dyDescent="0.25">
      <c r="A218" s="256">
        <v>22</v>
      </c>
      <c r="B218" s="265" t="s">
        <v>399</v>
      </c>
      <c r="C218" s="265" t="s">
        <v>1997</v>
      </c>
      <c r="D218" s="265" t="s">
        <v>1997</v>
      </c>
      <c r="E218" s="265" t="s">
        <v>1998</v>
      </c>
      <c r="F218" s="265"/>
      <c r="G218" s="265"/>
      <c r="H218" s="265" t="s">
        <v>3063</v>
      </c>
      <c r="I218" s="265"/>
      <c r="J218" s="271" t="s">
        <v>3065</v>
      </c>
      <c r="K218" s="266">
        <v>46035</v>
      </c>
      <c r="L218" s="272"/>
      <c r="M218" s="265" t="s">
        <v>3066</v>
      </c>
      <c r="N218" s="265">
        <v>80</v>
      </c>
      <c r="O218" s="273" t="s">
        <v>402</v>
      </c>
      <c r="P218" s="265"/>
      <c r="Q218" s="265" t="s">
        <v>2459</v>
      </c>
      <c r="R218" s="265">
        <v>2</v>
      </c>
      <c r="S218" s="265">
        <v>2</v>
      </c>
      <c r="T218" s="265">
        <v>3</v>
      </c>
      <c r="U218" s="265">
        <v>2</v>
      </c>
      <c r="V218" s="265">
        <v>3</v>
      </c>
      <c r="W218" s="265">
        <v>2</v>
      </c>
      <c r="X218" s="265" t="s">
        <v>2420</v>
      </c>
      <c r="Y218" s="265" t="s">
        <v>2420</v>
      </c>
      <c r="Z218" s="265" t="s">
        <v>654</v>
      </c>
      <c r="AA218" s="265" t="s">
        <v>654</v>
      </c>
      <c r="AB218" s="265" t="s">
        <v>654</v>
      </c>
      <c r="AC218" s="265" t="s">
        <v>654</v>
      </c>
      <c r="AD218" s="265" t="s">
        <v>2609</v>
      </c>
      <c r="AE218" s="265"/>
      <c r="AF218" s="265"/>
      <c r="AG218" s="265"/>
      <c r="AH218" s="265"/>
      <c r="AI218" s="265"/>
      <c r="AJ218" s="265"/>
    </row>
    <row r="219" spans="1:36" ht="14.25" customHeight="1" x14ac:dyDescent="0.25">
      <c r="A219" s="256">
        <v>23</v>
      </c>
      <c r="B219" s="265" t="s">
        <v>399</v>
      </c>
      <c r="C219" s="265" t="s">
        <v>1997</v>
      </c>
      <c r="D219" s="265" t="s">
        <v>1997</v>
      </c>
      <c r="E219" s="265" t="s">
        <v>1998</v>
      </c>
      <c r="F219" s="265"/>
      <c r="G219" s="265"/>
      <c r="H219" s="265"/>
      <c r="I219" s="265"/>
      <c r="J219" s="271"/>
      <c r="K219" s="266"/>
      <c r="L219" s="272"/>
      <c r="M219" s="265"/>
      <c r="N219" s="265"/>
      <c r="O219" s="273"/>
      <c r="P219" s="265"/>
      <c r="Q219" s="265"/>
      <c r="R219" s="265"/>
      <c r="S219" s="265"/>
      <c r="T219" s="265"/>
      <c r="U219" s="265"/>
      <c r="V219" s="265"/>
      <c r="W219" s="265"/>
      <c r="X219" s="265"/>
      <c r="Y219" s="265"/>
      <c r="Z219" s="265"/>
      <c r="AA219" s="265"/>
      <c r="AB219" s="265"/>
      <c r="AC219" s="265"/>
      <c r="AD219" s="265"/>
      <c r="AE219" s="265"/>
      <c r="AF219" s="265"/>
      <c r="AG219" s="265"/>
      <c r="AH219" s="265"/>
      <c r="AI219" s="265"/>
      <c r="AJ219" s="265"/>
    </row>
    <row r="220" spans="1:36" ht="14.25" customHeight="1" x14ac:dyDescent="0.25">
      <c r="A220" s="256">
        <v>24</v>
      </c>
      <c r="B220" s="265" t="s">
        <v>399</v>
      </c>
      <c r="C220" s="265" t="s">
        <v>1997</v>
      </c>
      <c r="D220" s="265" t="s">
        <v>1997</v>
      </c>
      <c r="E220" s="265" t="s">
        <v>1998</v>
      </c>
      <c r="F220" s="277" t="s">
        <v>2417</v>
      </c>
      <c r="G220" s="265"/>
      <c r="H220" s="277" t="s">
        <v>2278</v>
      </c>
      <c r="I220" s="265"/>
      <c r="J220" s="271" t="s">
        <v>5201</v>
      </c>
      <c r="K220" s="266">
        <v>46070</v>
      </c>
      <c r="L220" s="272"/>
      <c r="M220" s="277" t="s">
        <v>5200</v>
      </c>
      <c r="N220" s="265">
        <v>47</v>
      </c>
      <c r="O220" s="273" t="s">
        <v>402</v>
      </c>
      <c r="P220" s="265"/>
      <c r="Q220" s="277" t="s">
        <v>2459</v>
      </c>
      <c r="R220" s="265"/>
      <c r="S220" s="265"/>
      <c r="T220" s="265"/>
      <c r="U220" s="265"/>
      <c r="V220" s="265"/>
      <c r="W220" s="265"/>
      <c r="X220" s="265"/>
      <c r="Y220" s="265" t="s">
        <v>2420</v>
      </c>
      <c r="Z220" s="265" t="s">
        <v>654</v>
      </c>
      <c r="AA220" s="265" t="s">
        <v>654</v>
      </c>
      <c r="AB220" s="265" t="s">
        <v>654</v>
      </c>
      <c r="AC220" s="265" t="s">
        <v>654</v>
      </c>
      <c r="AD220" s="277" t="s">
        <v>5202</v>
      </c>
      <c r="AE220" s="265"/>
      <c r="AF220" s="265"/>
      <c r="AG220" s="265"/>
      <c r="AH220" s="265"/>
      <c r="AI220" s="265"/>
      <c r="AJ220" s="265"/>
    </row>
    <row r="221" spans="1:36" ht="14.25" customHeight="1" x14ac:dyDescent="0.25">
      <c r="A221" s="256">
        <v>25</v>
      </c>
      <c r="B221" s="265" t="s">
        <v>399</v>
      </c>
      <c r="C221" s="265" t="s">
        <v>1997</v>
      </c>
      <c r="D221" s="265" t="s">
        <v>1997</v>
      </c>
      <c r="E221" s="265" t="s">
        <v>1998</v>
      </c>
      <c r="F221" s="277" t="s">
        <v>5207</v>
      </c>
      <c r="G221" s="265"/>
      <c r="H221" s="277" t="s">
        <v>5207</v>
      </c>
      <c r="I221" s="265"/>
      <c r="J221" s="271" t="s">
        <v>5206</v>
      </c>
      <c r="K221" s="266"/>
      <c r="L221" s="272"/>
      <c r="M221" s="277" t="s">
        <v>5204</v>
      </c>
      <c r="N221" s="265">
        <v>47</v>
      </c>
      <c r="O221" s="273"/>
      <c r="P221" s="265"/>
      <c r="Q221" s="277" t="s">
        <v>2459</v>
      </c>
      <c r="R221" s="265"/>
      <c r="S221" s="265"/>
      <c r="T221" s="265"/>
      <c r="U221" s="265"/>
      <c r="V221" s="265"/>
      <c r="W221" s="265"/>
      <c r="X221" s="265"/>
      <c r="Y221" s="265" t="s">
        <v>2420</v>
      </c>
      <c r="Z221" s="265" t="s">
        <v>654</v>
      </c>
      <c r="AA221" s="265" t="s">
        <v>654</v>
      </c>
      <c r="AB221" s="265" t="s">
        <v>654</v>
      </c>
      <c r="AC221" s="265" t="s">
        <v>654</v>
      </c>
      <c r="AD221" s="277" t="s">
        <v>5203</v>
      </c>
      <c r="AE221" s="265"/>
      <c r="AF221" s="265"/>
      <c r="AG221" s="265"/>
      <c r="AH221" s="265"/>
      <c r="AI221" s="265"/>
      <c r="AJ221" s="265"/>
    </row>
    <row r="222" spans="1:36" ht="14.25" customHeight="1" x14ac:dyDescent="0.25">
      <c r="A222" s="256">
        <v>26</v>
      </c>
      <c r="B222" s="265" t="s">
        <v>399</v>
      </c>
      <c r="C222" s="265" t="s">
        <v>1997</v>
      </c>
      <c r="D222" s="265" t="s">
        <v>1997</v>
      </c>
      <c r="E222" s="265" t="s">
        <v>1998</v>
      </c>
      <c r="F222" s="277" t="s">
        <v>2544</v>
      </c>
      <c r="G222" s="265"/>
      <c r="H222" s="277" t="s">
        <v>2930</v>
      </c>
      <c r="I222" s="265"/>
      <c r="J222" s="271" t="s">
        <v>2657</v>
      </c>
      <c r="K222" s="266">
        <v>46068</v>
      </c>
      <c r="L222" s="272"/>
      <c r="M222" s="277" t="s">
        <v>5205</v>
      </c>
      <c r="N222" s="265">
        <v>55</v>
      </c>
      <c r="O222" s="273" t="s">
        <v>603</v>
      </c>
      <c r="P222" s="265"/>
      <c r="Q222" s="277" t="s">
        <v>2459</v>
      </c>
      <c r="R222" s="265"/>
      <c r="S222" s="265"/>
      <c r="T222" s="265"/>
      <c r="U222" s="265"/>
      <c r="V222" s="265"/>
      <c r="W222" s="265"/>
      <c r="X222" s="265"/>
      <c r="Y222" s="265" t="s">
        <v>2420</v>
      </c>
      <c r="Z222" s="265" t="s">
        <v>654</v>
      </c>
      <c r="AA222" s="265" t="s">
        <v>654</v>
      </c>
      <c r="AB222" s="265" t="s">
        <v>654</v>
      </c>
      <c r="AC222" s="265" t="s">
        <v>654</v>
      </c>
      <c r="AD222" s="277" t="s">
        <v>5203</v>
      </c>
      <c r="AE222" s="265"/>
      <c r="AF222" s="265"/>
      <c r="AG222" s="265"/>
      <c r="AH222" s="265"/>
      <c r="AI222" s="265"/>
      <c r="AJ222" s="265"/>
    </row>
    <row r="223" spans="1:36" ht="14.25" customHeight="1" x14ac:dyDescent="0.25">
      <c r="A223" s="256">
        <v>27</v>
      </c>
      <c r="B223" s="265" t="s">
        <v>399</v>
      </c>
      <c r="C223" s="265" t="s">
        <v>1997</v>
      </c>
      <c r="D223" s="265" t="s">
        <v>1997</v>
      </c>
      <c r="E223" s="265" t="s">
        <v>1998</v>
      </c>
      <c r="F223" s="277" t="s">
        <v>2222</v>
      </c>
      <c r="G223" s="265"/>
      <c r="H223" s="277" t="s">
        <v>4392</v>
      </c>
      <c r="I223" s="265"/>
      <c r="J223" s="271" t="s">
        <v>5208</v>
      </c>
      <c r="K223" s="266">
        <v>46065</v>
      </c>
      <c r="L223" s="272"/>
      <c r="M223" s="277" t="s">
        <v>4394</v>
      </c>
      <c r="N223" s="265">
        <v>82</v>
      </c>
      <c r="O223" s="273"/>
      <c r="P223" s="265"/>
      <c r="Q223" s="265"/>
      <c r="R223" s="265"/>
      <c r="S223" s="265"/>
      <c r="T223" s="265"/>
      <c r="U223" s="265"/>
      <c r="V223" s="265"/>
      <c r="W223" s="265"/>
      <c r="X223" s="265"/>
      <c r="Y223" s="265" t="s">
        <v>2420</v>
      </c>
      <c r="Z223" s="265" t="s">
        <v>654</v>
      </c>
      <c r="AA223" s="265" t="s">
        <v>654</v>
      </c>
      <c r="AB223" s="265" t="s">
        <v>654</v>
      </c>
      <c r="AC223" s="265" t="s">
        <v>654</v>
      </c>
      <c r="AD223" s="277" t="s">
        <v>2609</v>
      </c>
      <c r="AE223" s="265"/>
      <c r="AF223" s="265"/>
      <c r="AG223" s="265"/>
      <c r="AH223" s="265"/>
      <c r="AI223" s="265"/>
      <c r="AJ223" s="265"/>
    </row>
    <row r="224" spans="1:36" ht="14.25" customHeight="1" x14ac:dyDescent="0.25">
      <c r="A224" s="256">
        <v>28</v>
      </c>
      <c r="B224" s="265" t="s">
        <v>399</v>
      </c>
      <c r="C224" s="265" t="s">
        <v>1997</v>
      </c>
      <c r="D224" s="265" t="s">
        <v>1997</v>
      </c>
      <c r="E224" s="265" t="s">
        <v>1998</v>
      </c>
      <c r="F224" s="277" t="s">
        <v>2222</v>
      </c>
      <c r="G224" s="265"/>
      <c r="H224" s="277" t="s">
        <v>4392</v>
      </c>
      <c r="I224" s="265"/>
      <c r="J224" s="271" t="s">
        <v>5209</v>
      </c>
      <c r="K224" s="266">
        <v>46065</v>
      </c>
      <c r="L224" s="272"/>
      <c r="M224" s="277" t="s">
        <v>3175</v>
      </c>
      <c r="N224" s="265">
        <v>90</v>
      </c>
      <c r="O224" s="273"/>
      <c r="P224" s="265"/>
      <c r="Q224" s="265"/>
      <c r="R224" s="265"/>
      <c r="S224" s="265"/>
      <c r="T224" s="265"/>
      <c r="U224" s="265"/>
      <c r="V224" s="265"/>
      <c r="W224" s="265"/>
      <c r="X224" s="265"/>
      <c r="Y224" s="265" t="s">
        <v>2420</v>
      </c>
      <c r="Z224" s="265" t="s">
        <v>654</v>
      </c>
      <c r="AA224" s="265" t="s">
        <v>654</v>
      </c>
      <c r="AB224" s="265" t="s">
        <v>654</v>
      </c>
      <c r="AC224" s="265" t="s">
        <v>654</v>
      </c>
      <c r="AD224" s="277" t="s">
        <v>2609</v>
      </c>
      <c r="AE224" s="265"/>
      <c r="AF224" s="265"/>
      <c r="AG224" s="265"/>
      <c r="AH224" s="265"/>
      <c r="AI224" s="265"/>
      <c r="AJ224" s="265"/>
    </row>
    <row r="225" spans="1:36" ht="14.25" customHeight="1" x14ac:dyDescent="0.25">
      <c r="A225" s="256">
        <v>29</v>
      </c>
      <c r="B225" s="265" t="s">
        <v>399</v>
      </c>
      <c r="C225" s="265" t="s">
        <v>1997</v>
      </c>
      <c r="D225" s="265" t="s">
        <v>1997</v>
      </c>
      <c r="E225" s="265" t="s">
        <v>1998</v>
      </c>
      <c r="F225" s="277" t="s">
        <v>2222</v>
      </c>
      <c r="G225" s="265"/>
      <c r="H225" s="277" t="s">
        <v>4392</v>
      </c>
      <c r="I225" s="265"/>
      <c r="J225" s="271" t="s">
        <v>5210</v>
      </c>
      <c r="K225" s="266">
        <v>46065</v>
      </c>
      <c r="L225" s="272"/>
      <c r="M225" s="277" t="s">
        <v>4393</v>
      </c>
      <c r="N225" s="265">
        <v>79</v>
      </c>
      <c r="O225" s="273" t="s">
        <v>402</v>
      </c>
      <c r="P225" s="265"/>
      <c r="Q225" s="265"/>
      <c r="R225" s="265"/>
      <c r="S225" s="265"/>
      <c r="T225" s="265"/>
      <c r="U225" s="265"/>
      <c r="V225" s="265"/>
      <c r="W225" s="265"/>
      <c r="X225" s="265"/>
      <c r="Y225" s="265" t="s">
        <v>2420</v>
      </c>
      <c r="Z225" s="265" t="s">
        <v>654</v>
      </c>
      <c r="AA225" s="265" t="s">
        <v>654</v>
      </c>
      <c r="AB225" s="265" t="s">
        <v>654</v>
      </c>
      <c r="AC225" s="265" t="s">
        <v>654</v>
      </c>
      <c r="AD225" s="277" t="s">
        <v>2609</v>
      </c>
      <c r="AE225" s="265"/>
      <c r="AF225" s="265"/>
      <c r="AG225" s="265"/>
      <c r="AH225" s="265"/>
      <c r="AI225" s="265"/>
      <c r="AJ225" s="265"/>
    </row>
    <row r="226" spans="1:36" ht="14.25" customHeight="1" x14ac:dyDescent="0.25">
      <c r="A226" s="256">
        <v>30</v>
      </c>
      <c r="B226" s="265" t="s">
        <v>399</v>
      </c>
      <c r="C226" s="265" t="s">
        <v>1997</v>
      </c>
      <c r="D226" s="265" t="s">
        <v>1997</v>
      </c>
      <c r="E226" s="265" t="s">
        <v>1998</v>
      </c>
      <c r="F226" s="277" t="s">
        <v>2222</v>
      </c>
      <c r="G226" s="265"/>
      <c r="H226" s="277" t="s">
        <v>4392</v>
      </c>
      <c r="I226" s="265"/>
      <c r="J226" s="271" t="s">
        <v>5211</v>
      </c>
      <c r="K226" s="266">
        <v>46065</v>
      </c>
      <c r="L226" s="272"/>
      <c r="M226" s="277" t="s">
        <v>4522</v>
      </c>
      <c r="N226" s="265">
        <v>77</v>
      </c>
      <c r="O226" s="273" t="s">
        <v>603</v>
      </c>
      <c r="P226" s="265"/>
      <c r="Q226" s="265"/>
      <c r="R226" s="265"/>
      <c r="S226" s="265"/>
      <c r="T226" s="265"/>
      <c r="U226" s="265"/>
      <c r="V226" s="265"/>
      <c r="W226" s="265"/>
      <c r="X226" s="265"/>
      <c r="Y226" s="265" t="s">
        <v>2420</v>
      </c>
      <c r="Z226" s="265" t="s">
        <v>654</v>
      </c>
      <c r="AA226" s="265" t="s">
        <v>654</v>
      </c>
      <c r="AB226" s="265" t="s">
        <v>654</v>
      </c>
      <c r="AC226" s="265" t="s">
        <v>654</v>
      </c>
      <c r="AD226" s="277" t="s">
        <v>2609</v>
      </c>
      <c r="AE226" s="265"/>
      <c r="AF226" s="265"/>
      <c r="AG226" s="265"/>
      <c r="AH226" s="265"/>
      <c r="AI226" s="265"/>
      <c r="AJ226" s="265"/>
    </row>
    <row r="227" spans="1:36" ht="14.25" customHeight="1" x14ac:dyDescent="0.25">
      <c r="A227" s="256">
        <v>31</v>
      </c>
      <c r="B227" s="265" t="s">
        <v>399</v>
      </c>
      <c r="C227" s="265" t="s">
        <v>1997</v>
      </c>
      <c r="D227" s="265" t="s">
        <v>1997</v>
      </c>
      <c r="E227" s="265" t="s">
        <v>1998</v>
      </c>
      <c r="F227" s="277" t="s">
        <v>2222</v>
      </c>
      <c r="G227" s="265"/>
      <c r="H227" s="277" t="s">
        <v>5213</v>
      </c>
      <c r="I227" s="265"/>
      <c r="J227" s="271" t="s">
        <v>5212</v>
      </c>
      <c r="K227" s="266">
        <v>46065</v>
      </c>
      <c r="L227" s="272"/>
      <c r="M227" s="277" t="s">
        <v>4434</v>
      </c>
      <c r="N227" s="265">
        <v>78</v>
      </c>
      <c r="O227" s="273" t="s">
        <v>603</v>
      </c>
      <c r="P227" s="265"/>
      <c r="Q227" s="265"/>
      <c r="R227" s="265"/>
      <c r="S227" s="265"/>
      <c r="T227" s="265"/>
      <c r="U227" s="265"/>
      <c r="V227" s="265"/>
      <c r="W227" s="265"/>
      <c r="X227" s="265"/>
      <c r="Y227" s="265" t="s">
        <v>2420</v>
      </c>
      <c r="Z227" s="265" t="s">
        <v>654</v>
      </c>
      <c r="AA227" s="265" t="s">
        <v>654</v>
      </c>
      <c r="AB227" s="265" t="s">
        <v>654</v>
      </c>
      <c r="AC227" s="265" t="s">
        <v>654</v>
      </c>
      <c r="AD227" s="277" t="s">
        <v>2609</v>
      </c>
      <c r="AE227" s="265"/>
      <c r="AF227" s="265"/>
      <c r="AG227" s="265"/>
      <c r="AH227" s="265"/>
      <c r="AI227" s="265"/>
      <c r="AJ227" s="265"/>
    </row>
    <row r="228" spans="1:36" ht="14.25" customHeight="1" x14ac:dyDescent="0.25">
      <c r="A228" s="256">
        <v>32</v>
      </c>
      <c r="B228" s="265" t="s">
        <v>399</v>
      </c>
      <c r="C228" s="265" t="s">
        <v>1997</v>
      </c>
      <c r="D228" s="265" t="s">
        <v>1997</v>
      </c>
      <c r="E228" s="265" t="s">
        <v>1998</v>
      </c>
      <c r="F228" s="277" t="s">
        <v>2222</v>
      </c>
      <c r="G228" s="265"/>
      <c r="H228" s="277" t="s">
        <v>5216</v>
      </c>
      <c r="I228" s="265"/>
      <c r="J228" s="271" t="s">
        <v>5215</v>
      </c>
      <c r="K228" s="266">
        <v>46065</v>
      </c>
      <c r="L228" s="272"/>
      <c r="M228" s="277" t="s">
        <v>5214</v>
      </c>
      <c r="N228" s="265">
        <v>95</v>
      </c>
      <c r="O228" s="273" t="s">
        <v>603</v>
      </c>
      <c r="P228" s="265"/>
      <c r="Q228" s="265"/>
      <c r="R228" s="265"/>
      <c r="S228" s="265"/>
      <c r="T228" s="265"/>
      <c r="U228" s="265"/>
      <c r="V228" s="265"/>
      <c r="W228" s="265"/>
      <c r="X228" s="265"/>
      <c r="Y228" s="265" t="s">
        <v>2420</v>
      </c>
      <c r="Z228" s="265" t="s">
        <v>654</v>
      </c>
      <c r="AA228" s="265" t="s">
        <v>654</v>
      </c>
      <c r="AB228" s="265" t="s">
        <v>654</v>
      </c>
      <c r="AC228" s="265" t="s">
        <v>654</v>
      </c>
      <c r="AD228" s="277" t="s">
        <v>2609</v>
      </c>
      <c r="AE228" s="265"/>
      <c r="AF228" s="265"/>
      <c r="AG228" s="265"/>
      <c r="AH228" s="265"/>
      <c r="AI228" s="265"/>
      <c r="AJ228" s="265"/>
    </row>
    <row r="229" spans="1:36" ht="14.25" customHeight="1" x14ac:dyDescent="0.25">
      <c r="A229" s="256">
        <v>33</v>
      </c>
      <c r="B229" s="265" t="s">
        <v>399</v>
      </c>
      <c r="C229" s="265" t="s">
        <v>1997</v>
      </c>
      <c r="D229" s="265" t="s">
        <v>1997</v>
      </c>
      <c r="E229" s="265" t="s">
        <v>1998</v>
      </c>
      <c r="F229" s="277" t="s">
        <v>2222</v>
      </c>
      <c r="G229" s="265"/>
      <c r="H229" s="277" t="s">
        <v>4392</v>
      </c>
      <c r="I229" s="265"/>
      <c r="J229" s="271" t="s">
        <v>5218</v>
      </c>
      <c r="K229" s="266">
        <v>46065</v>
      </c>
      <c r="L229" s="272"/>
      <c r="M229" s="277" t="s">
        <v>5217</v>
      </c>
      <c r="N229" s="265">
        <v>85</v>
      </c>
      <c r="O229" s="273" t="s">
        <v>603</v>
      </c>
      <c r="P229" s="265"/>
      <c r="Q229" s="265"/>
      <c r="R229" s="265"/>
      <c r="S229" s="265"/>
      <c r="T229" s="265"/>
      <c r="U229" s="265"/>
      <c r="V229" s="265"/>
      <c r="W229" s="265"/>
      <c r="X229" s="265"/>
      <c r="Y229" s="265" t="s">
        <v>2420</v>
      </c>
      <c r="Z229" s="265" t="s">
        <v>654</v>
      </c>
      <c r="AA229" s="265" t="s">
        <v>654</v>
      </c>
      <c r="AB229" s="265" t="s">
        <v>654</v>
      </c>
      <c r="AC229" s="265" t="s">
        <v>654</v>
      </c>
      <c r="AD229" s="277" t="s">
        <v>2609</v>
      </c>
      <c r="AE229" s="265"/>
      <c r="AF229" s="265"/>
      <c r="AG229" s="265"/>
      <c r="AH229" s="265"/>
      <c r="AI229" s="265"/>
      <c r="AJ229" s="265"/>
    </row>
    <row r="230" spans="1:36" ht="14.25" customHeight="1" x14ac:dyDescent="0.25">
      <c r="A230" s="256">
        <v>34</v>
      </c>
      <c r="B230" s="265" t="s">
        <v>399</v>
      </c>
      <c r="C230" s="265" t="s">
        <v>1997</v>
      </c>
      <c r="D230" s="265" t="s">
        <v>1997</v>
      </c>
      <c r="E230" s="265" t="s">
        <v>1998</v>
      </c>
      <c r="F230" s="277" t="s">
        <v>2222</v>
      </c>
      <c r="G230" s="265"/>
      <c r="H230" s="277" t="s">
        <v>4392</v>
      </c>
      <c r="I230" s="265"/>
      <c r="J230" s="271" t="s">
        <v>5219</v>
      </c>
      <c r="K230" s="266">
        <v>46065</v>
      </c>
      <c r="L230" s="272"/>
      <c r="M230" s="277" t="s">
        <v>3986</v>
      </c>
      <c r="N230" s="265">
        <v>74</v>
      </c>
      <c r="O230" s="273" t="s">
        <v>402</v>
      </c>
      <c r="P230" s="265"/>
      <c r="Q230" s="265"/>
      <c r="R230" s="265"/>
      <c r="S230" s="265"/>
      <c r="T230" s="265"/>
      <c r="U230" s="265"/>
      <c r="V230" s="265"/>
      <c r="W230" s="265"/>
      <c r="X230" s="265"/>
      <c r="Y230" s="265" t="s">
        <v>2420</v>
      </c>
      <c r="Z230" s="265" t="s">
        <v>654</v>
      </c>
      <c r="AA230" s="265" t="s">
        <v>654</v>
      </c>
      <c r="AB230" s="265" t="s">
        <v>654</v>
      </c>
      <c r="AC230" s="265" t="s">
        <v>654</v>
      </c>
      <c r="AD230" s="277" t="s">
        <v>2609</v>
      </c>
      <c r="AE230" s="265"/>
      <c r="AF230" s="265"/>
      <c r="AG230" s="265"/>
      <c r="AH230" s="265"/>
      <c r="AI230" s="265"/>
      <c r="AJ230" s="265"/>
    </row>
    <row r="231" spans="1:36" ht="14.25" customHeight="1" x14ac:dyDescent="0.25">
      <c r="A231" s="256">
        <v>35</v>
      </c>
      <c r="B231" s="265" t="s">
        <v>399</v>
      </c>
      <c r="C231" s="265" t="s">
        <v>1997</v>
      </c>
      <c r="D231" s="265" t="s">
        <v>1997</v>
      </c>
      <c r="E231" s="265" t="s">
        <v>1998</v>
      </c>
      <c r="F231" s="277" t="s">
        <v>2222</v>
      </c>
      <c r="G231" s="265"/>
      <c r="H231" s="277" t="s">
        <v>4392</v>
      </c>
      <c r="I231" s="265"/>
      <c r="J231" s="271" t="s">
        <v>5221</v>
      </c>
      <c r="K231" s="266">
        <v>46065</v>
      </c>
      <c r="L231" s="272"/>
      <c r="M231" s="277" t="s">
        <v>5220</v>
      </c>
      <c r="N231" s="265">
        <v>92</v>
      </c>
      <c r="O231" s="273" t="s">
        <v>603</v>
      </c>
      <c r="P231" s="265"/>
      <c r="Q231" s="265"/>
      <c r="R231" s="265"/>
      <c r="S231" s="265"/>
      <c r="T231" s="265"/>
      <c r="U231" s="265"/>
      <c r="V231" s="265"/>
      <c r="W231" s="265"/>
      <c r="X231" s="265"/>
      <c r="Y231" s="265" t="s">
        <v>2420</v>
      </c>
      <c r="Z231" s="265" t="s">
        <v>654</v>
      </c>
      <c r="AA231" s="265" t="s">
        <v>654</v>
      </c>
      <c r="AB231" s="265" t="s">
        <v>654</v>
      </c>
      <c r="AC231" s="265" t="s">
        <v>654</v>
      </c>
      <c r="AD231" s="277" t="s">
        <v>2609</v>
      </c>
      <c r="AE231" s="265"/>
      <c r="AF231" s="265"/>
      <c r="AG231" s="265"/>
      <c r="AH231" s="265"/>
      <c r="AI231" s="265"/>
      <c r="AJ231" s="265"/>
    </row>
    <row r="232" spans="1:36" ht="14.25" customHeight="1" x14ac:dyDescent="0.25">
      <c r="A232" s="256">
        <v>36</v>
      </c>
      <c r="B232" s="265" t="s">
        <v>399</v>
      </c>
      <c r="C232" s="265" t="s">
        <v>1997</v>
      </c>
      <c r="D232" s="265" t="s">
        <v>1997</v>
      </c>
      <c r="E232" s="265" t="s">
        <v>1998</v>
      </c>
      <c r="F232" s="277" t="s">
        <v>2222</v>
      </c>
      <c r="G232" s="265"/>
      <c r="H232" s="277" t="s">
        <v>4392</v>
      </c>
      <c r="I232" s="265"/>
      <c r="J232" s="271" t="s">
        <v>5223</v>
      </c>
      <c r="K232" s="266">
        <v>46065</v>
      </c>
      <c r="L232" s="272"/>
      <c r="M232" s="277" t="s">
        <v>5222</v>
      </c>
      <c r="N232" s="265">
        <v>85</v>
      </c>
      <c r="O232" s="273" t="s">
        <v>603</v>
      </c>
      <c r="P232" s="265"/>
      <c r="Q232" s="265"/>
      <c r="R232" s="265"/>
      <c r="S232" s="265"/>
      <c r="T232" s="265"/>
      <c r="U232" s="265"/>
      <c r="V232" s="265"/>
      <c r="W232" s="265"/>
      <c r="X232" s="265"/>
      <c r="Y232" s="265" t="s">
        <v>2420</v>
      </c>
      <c r="Z232" s="265" t="s">
        <v>654</v>
      </c>
      <c r="AA232" s="265" t="s">
        <v>654</v>
      </c>
      <c r="AB232" s="265" t="s">
        <v>654</v>
      </c>
      <c r="AC232" s="265" t="s">
        <v>654</v>
      </c>
      <c r="AD232" s="277" t="s">
        <v>2609</v>
      </c>
      <c r="AE232" s="265"/>
      <c r="AF232" s="265"/>
      <c r="AG232" s="265"/>
      <c r="AH232" s="265"/>
      <c r="AI232" s="265"/>
      <c r="AJ232" s="265"/>
    </row>
    <row r="233" spans="1:36" ht="14.25" customHeight="1" x14ac:dyDescent="0.25">
      <c r="A233" s="256">
        <v>37</v>
      </c>
      <c r="B233" s="265" t="s">
        <v>399</v>
      </c>
      <c r="C233" s="265" t="s">
        <v>1997</v>
      </c>
      <c r="D233" s="265" t="s">
        <v>1997</v>
      </c>
      <c r="E233" s="265" t="s">
        <v>1998</v>
      </c>
      <c r="F233" s="277" t="s">
        <v>2222</v>
      </c>
      <c r="G233" s="265"/>
      <c r="H233" s="277" t="s">
        <v>3017</v>
      </c>
      <c r="I233" s="265"/>
      <c r="J233" s="271" t="s">
        <v>5224</v>
      </c>
      <c r="K233" s="266">
        <v>46071</v>
      </c>
      <c r="L233" s="272"/>
      <c r="M233" s="277" t="s">
        <v>3243</v>
      </c>
      <c r="N233" s="265">
        <v>80</v>
      </c>
      <c r="O233" s="273" t="s">
        <v>603</v>
      </c>
      <c r="P233" s="265"/>
      <c r="Q233" s="265"/>
      <c r="R233" s="265"/>
      <c r="S233" s="265"/>
      <c r="T233" s="265"/>
      <c r="U233" s="265"/>
      <c r="V233" s="265"/>
      <c r="W233" s="265"/>
      <c r="X233" s="265"/>
      <c r="Y233" s="265" t="s">
        <v>2420</v>
      </c>
      <c r="Z233" s="265" t="s">
        <v>654</v>
      </c>
      <c r="AA233" s="265" t="s">
        <v>654</v>
      </c>
      <c r="AB233" s="265" t="s">
        <v>654</v>
      </c>
      <c r="AC233" s="265" t="s">
        <v>654</v>
      </c>
      <c r="AD233" s="277" t="s">
        <v>2609</v>
      </c>
      <c r="AE233" s="265"/>
      <c r="AF233" s="265"/>
      <c r="AG233" s="265"/>
      <c r="AH233" s="265"/>
      <c r="AI233" s="265"/>
      <c r="AJ233" s="265"/>
    </row>
    <row r="234" spans="1:36" ht="14.25" customHeight="1" x14ac:dyDescent="0.25">
      <c r="A234" s="256">
        <v>38</v>
      </c>
      <c r="B234" s="265" t="s">
        <v>399</v>
      </c>
      <c r="C234" s="265" t="s">
        <v>1997</v>
      </c>
      <c r="D234" s="265" t="s">
        <v>1997</v>
      </c>
      <c r="E234" s="265" t="s">
        <v>1998</v>
      </c>
      <c r="F234" s="277" t="s">
        <v>2222</v>
      </c>
      <c r="G234" s="265"/>
      <c r="H234" s="277" t="s">
        <v>3017</v>
      </c>
      <c r="I234" s="265"/>
      <c r="J234" s="271" t="s">
        <v>2648</v>
      </c>
      <c r="K234" s="266">
        <v>46071</v>
      </c>
      <c r="L234" s="272"/>
      <c r="M234" s="277" t="s">
        <v>5225</v>
      </c>
      <c r="N234" s="265">
        <v>91</v>
      </c>
      <c r="O234" s="273" t="s">
        <v>603</v>
      </c>
      <c r="P234" s="265"/>
      <c r="Q234" s="265"/>
      <c r="R234" s="265"/>
      <c r="S234" s="265"/>
      <c r="T234" s="265"/>
      <c r="U234" s="265"/>
      <c r="V234" s="265"/>
      <c r="W234" s="265"/>
      <c r="X234" s="265"/>
      <c r="Y234" s="265" t="s">
        <v>2420</v>
      </c>
      <c r="Z234" s="265" t="s">
        <v>654</v>
      </c>
      <c r="AA234" s="265" t="s">
        <v>654</v>
      </c>
      <c r="AB234" s="265" t="s">
        <v>654</v>
      </c>
      <c r="AC234" s="265" t="s">
        <v>654</v>
      </c>
      <c r="AD234" s="277" t="s">
        <v>2609</v>
      </c>
      <c r="AE234" s="265"/>
      <c r="AF234" s="265"/>
      <c r="AG234" s="265"/>
      <c r="AH234" s="265"/>
      <c r="AI234" s="265"/>
      <c r="AJ234" s="265"/>
    </row>
    <row r="235" spans="1:36" ht="14.25" customHeight="1" x14ac:dyDescent="0.25">
      <c r="A235" s="256">
        <v>39</v>
      </c>
      <c r="B235" s="265" t="s">
        <v>399</v>
      </c>
      <c r="C235" s="265" t="s">
        <v>1997</v>
      </c>
      <c r="D235" s="265" t="s">
        <v>1997</v>
      </c>
      <c r="E235" s="265" t="s">
        <v>1998</v>
      </c>
      <c r="F235" s="277" t="s">
        <v>1999</v>
      </c>
      <c r="G235" s="265"/>
      <c r="H235" s="277" t="s">
        <v>2278</v>
      </c>
      <c r="I235" s="265"/>
      <c r="J235" s="271" t="s">
        <v>5231</v>
      </c>
      <c r="K235" s="266">
        <v>46067</v>
      </c>
      <c r="L235" s="272"/>
      <c r="M235" s="277" t="s">
        <v>5227</v>
      </c>
      <c r="N235" s="265">
        <v>76</v>
      </c>
      <c r="O235" s="273" t="s">
        <v>402</v>
      </c>
      <c r="P235" s="265"/>
      <c r="Q235" s="265"/>
      <c r="R235" s="265"/>
      <c r="S235" s="265"/>
      <c r="T235" s="265"/>
      <c r="U235" s="265"/>
      <c r="V235" s="265"/>
      <c r="W235" s="265"/>
      <c r="X235" s="265"/>
      <c r="Y235" s="265" t="s">
        <v>2420</v>
      </c>
      <c r="Z235" s="265" t="s">
        <v>654</v>
      </c>
      <c r="AA235" s="265" t="s">
        <v>654</v>
      </c>
      <c r="AB235" s="265" t="s">
        <v>654</v>
      </c>
      <c r="AC235" s="265" t="s">
        <v>654</v>
      </c>
      <c r="AD235" s="277" t="s">
        <v>5226</v>
      </c>
      <c r="AE235" s="265"/>
      <c r="AF235" s="265"/>
      <c r="AG235" s="265"/>
      <c r="AH235" s="265"/>
      <c r="AI235" s="265"/>
      <c r="AJ235" s="265"/>
    </row>
    <row r="236" spans="1:36" ht="14.25" customHeight="1" x14ac:dyDescent="0.25">
      <c r="A236" s="256">
        <v>40</v>
      </c>
      <c r="B236" s="265" t="s">
        <v>399</v>
      </c>
      <c r="C236" s="265" t="s">
        <v>1997</v>
      </c>
      <c r="D236" s="265" t="s">
        <v>1997</v>
      </c>
      <c r="E236" s="265" t="s">
        <v>1998</v>
      </c>
      <c r="F236" s="277" t="s">
        <v>1999</v>
      </c>
      <c r="G236" s="265"/>
      <c r="H236" s="277" t="s">
        <v>5230</v>
      </c>
      <c r="I236" s="265"/>
      <c r="J236" s="271" t="s">
        <v>5232</v>
      </c>
      <c r="K236" s="266">
        <v>46067</v>
      </c>
      <c r="L236" s="272"/>
      <c r="M236" s="277" t="s">
        <v>5229</v>
      </c>
      <c r="N236" s="265">
        <v>55</v>
      </c>
      <c r="O236" s="273" t="s">
        <v>402</v>
      </c>
      <c r="P236" s="277" t="s">
        <v>5233</v>
      </c>
      <c r="Q236" s="265"/>
      <c r="R236" s="265"/>
      <c r="S236" s="265"/>
      <c r="T236" s="265"/>
      <c r="U236" s="265"/>
      <c r="V236" s="265"/>
      <c r="W236" s="265"/>
      <c r="X236" s="265"/>
      <c r="Y236" s="265" t="s">
        <v>2420</v>
      </c>
      <c r="Z236" s="265" t="s">
        <v>654</v>
      </c>
      <c r="AA236" s="265" t="s">
        <v>654</v>
      </c>
      <c r="AB236" s="265" t="s">
        <v>654</v>
      </c>
      <c r="AC236" s="265" t="s">
        <v>654</v>
      </c>
      <c r="AD236" s="277" t="s">
        <v>5228</v>
      </c>
      <c r="AE236" s="265"/>
      <c r="AF236" s="265"/>
      <c r="AG236" s="265"/>
      <c r="AH236" s="265"/>
      <c r="AI236" s="265"/>
      <c r="AJ236" s="265"/>
    </row>
    <row r="237" spans="1:36" ht="14.25" customHeight="1" x14ac:dyDescent="0.25">
      <c r="A237" s="256">
        <v>41</v>
      </c>
      <c r="B237" s="265" t="s">
        <v>399</v>
      </c>
      <c r="C237" s="265" t="s">
        <v>1997</v>
      </c>
      <c r="D237" s="265" t="s">
        <v>1997</v>
      </c>
      <c r="E237" s="265" t="s">
        <v>1998</v>
      </c>
      <c r="F237" s="277" t="s">
        <v>1999</v>
      </c>
      <c r="G237" s="265"/>
      <c r="H237" s="277" t="s">
        <v>2278</v>
      </c>
      <c r="I237" s="265"/>
      <c r="J237" s="271" t="s">
        <v>5234</v>
      </c>
      <c r="K237" s="266">
        <v>46068</v>
      </c>
      <c r="L237" s="272"/>
      <c r="M237" s="277" t="s">
        <v>2649</v>
      </c>
      <c r="N237" s="265">
        <v>60</v>
      </c>
      <c r="O237" s="273" t="s">
        <v>603</v>
      </c>
      <c r="P237" s="265"/>
      <c r="Q237" s="265"/>
      <c r="R237" s="265"/>
      <c r="S237" s="265"/>
      <c r="T237" s="265"/>
      <c r="U237" s="265"/>
      <c r="V237" s="265"/>
      <c r="W237" s="265"/>
      <c r="X237" s="265"/>
      <c r="Y237" s="265" t="s">
        <v>2420</v>
      </c>
      <c r="Z237" s="265" t="s">
        <v>654</v>
      </c>
      <c r="AA237" s="265" t="s">
        <v>654</v>
      </c>
      <c r="AB237" s="265" t="s">
        <v>654</v>
      </c>
      <c r="AC237" s="265" t="s">
        <v>654</v>
      </c>
      <c r="AD237" s="277" t="s">
        <v>5235</v>
      </c>
      <c r="AE237" s="265"/>
      <c r="AF237" s="265"/>
      <c r="AG237" s="265"/>
      <c r="AH237" s="265"/>
      <c r="AI237" s="265"/>
      <c r="AJ237" s="265"/>
    </row>
    <row r="238" spans="1:36" ht="14.25" customHeight="1" x14ac:dyDescent="0.25">
      <c r="A238" s="256">
        <v>42</v>
      </c>
      <c r="B238" s="265" t="s">
        <v>399</v>
      </c>
      <c r="C238" s="265" t="s">
        <v>1997</v>
      </c>
      <c r="D238" s="265" t="s">
        <v>1997</v>
      </c>
      <c r="E238" s="265" t="s">
        <v>1998</v>
      </c>
      <c r="F238" s="277" t="s">
        <v>2222</v>
      </c>
      <c r="G238" s="265"/>
      <c r="H238" s="277" t="s">
        <v>4392</v>
      </c>
      <c r="I238" s="265"/>
      <c r="J238" s="271" t="s">
        <v>5236</v>
      </c>
      <c r="K238" s="266">
        <v>46065</v>
      </c>
      <c r="L238" s="272"/>
      <c r="M238" s="277" t="s">
        <v>2936</v>
      </c>
      <c r="N238" s="265">
        <v>76</v>
      </c>
      <c r="O238" s="273" t="s">
        <v>603</v>
      </c>
      <c r="P238" s="265"/>
      <c r="Q238" s="265"/>
      <c r="R238" s="265"/>
      <c r="S238" s="265"/>
      <c r="T238" s="265"/>
      <c r="U238" s="265"/>
      <c r="V238" s="265"/>
      <c r="W238" s="265"/>
      <c r="X238" s="265"/>
      <c r="Y238" s="265" t="s">
        <v>2420</v>
      </c>
      <c r="Z238" s="265" t="s">
        <v>654</v>
      </c>
      <c r="AA238" s="265" t="s">
        <v>654</v>
      </c>
      <c r="AB238" s="265" t="s">
        <v>654</v>
      </c>
      <c r="AC238" s="265" t="s">
        <v>654</v>
      </c>
      <c r="AD238" s="277" t="s">
        <v>2609</v>
      </c>
      <c r="AE238" s="265"/>
      <c r="AF238" s="265"/>
      <c r="AG238" s="265"/>
      <c r="AH238" s="265"/>
      <c r="AI238" s="265"/>
      <c r="AJ238" s="265"/>
    </row>
    <row r="239" spans="1:36" ht="14.25" customHeight="1" x14ac:dyDescent="0.25">
      <c r="A239" s="256">
        <v>43</v>
      </c>
      <c r="B239" s="265" t="s">
        <v>399</v>
      </c>
      <c r="C239" s="265" t="s">
        <v>1997</v>
      </c>
      <c r="D239" s="265" t="s">
        <v>1997</v>
      </c>
      <c r="E239" s="265" t="s">
        <v>1998</v>
      </c>
      <c r="F239" s="277" t="s">
        <v>2472</v>
      </c>
      <c r="G239" s="265"/>
      <c r="H239" s="265">
        <v>880</v>
      </c>
      <c r="I239" s="277" t="s">
        <v>619</v>
      </c>
      <c r="J239" s="271" t="s">
        <v>5238</v>
      </c>
      <c r="K239" s="266">
        <v>46069</v>
      </c>
      <c r="L239" s="272"/>
      <c r="M239" s="277" t="s">
        <v>5237</v>
      </c>
      <c r="N239" s="265">
        <v>61</v>
      </c>
      <c r="O239" s="273" t="s">
        <v>603</v>
      </c>
      <c r="P239" s="265"/>
      <c r="Q239" s="265"/>
      <c r="R239" s="265"/>
      <c r="S239" s="265"/>
      <c r="T239" s="265"/>
      <c r="U239" s="265"/>
      <c r="V239" s="265"/>
      <c r="W239" s="265"/>
      <c r="X239" s="265"/>
      <c r="Y239" s="265" t="s">
        <v>2420</v>
      </c>
      <c r="Z239" s="265" t="s">
        <v>654</v>
      </c>
      <c r="AA239" s="265" t="s">
        <v>654</v>
      </c>
      <c r="AB239" s="265" t="s">
        <v>654</v>
      </c>
      <c r="AC239" s="265" t="s">
        <v>654</v>
      </c>
      <c r="AD239" s="277" t="s">
        <v>5239</v>
      </c>
      <c r="AE239" s="265"/>
      <c r="AF239" s="265"/>
      <c r="AG239" s="265"/>
      <c r="AH239" s="265"/>
      <c r="AI239" s="265"/>
      <c r="AJ239" s="265"/>
    </row>
    <row r="240" spans="1:36" ht="14.25" customHeight="1" x14ac:dyDescent="0.25">
      <c r="A240" s="256">
        <v>44</v>
      </c>
      <c r="B240" s="265" t="s">
        <v>399</v>
      </c>
      <c r="C240" s="265" t="s">
        <v>1997</v>
      </c>
      <c r="D240" s="265" t="s">
        <v>1997</v>
      </c>
      <c r="E240" s="265" t="s">
        <v>1998</v>
      </c>
      <c r="F240" s="277" t="s">
        <v>1999</v>
      </c>
      <c r="G240" s="265"/>
      <c r="H240" s="277" t="s">
        <v>5207</v>
      </c>
      <c r="I240" s="265"/>
      <c r="J240" s="271" t="s">
        <v>5240</v>
      </c>
      <c r="K240" s="266">
        <v>46069</v>
      </c>
      <c r="L240" s="272"/>
      <c r="M240" s="277" t="s">
        <v>4468</v>
      </c>
      <c r="N240" s="265">
        <v>81</v>
      </c>
      <c r="O240" s="273" t="s">
        <v>603</v>
      </c>
      <c r="P240" s="265"/>
      <c r="Q240" s="265"/>
      <c r="R240" s="265"/>
      <c r="S240" s="265"/>
      <c r="T240" s="265"/>
      <c r="U240" s="265"/>
      <c r="V240" s="265"/>
      <c r="W240" s="265"/>
      <c r="X240" s="265"/>
      <c r="Y240" s="265" t="s">
        <v>2420</v>
      </c>
      <c r="Z240" s="265" t="s">
        <v>654</v>
      </c>
      <c r="AA240" s="265" t="s">
        <v>654</v>
      </c>
      <c r="AB240" s="265" t="s">
        <v>654</v>
      </c>
      <c r="AC240" s="265" t="s">
        <v>654</v>
      </c>
      <c r="AD240" s="277" t="s">
        <v>2609</v>
      </c>
      <c r="AE240" s="265"/>
      <c r="AF240" s="265"/>
      <c r="AG240" s="265"/>
      <c r="AH240" s="265"/>
      <c r="AI240" s="265"/>
      <c r="AJ240" s="265"/>
    </row>
    <row r="241" spans="1:36" ht="14.25" customHeight="1" x14ac:dyDescent="0.25">
      <c r="A241" s="256">
        <v>45</v>
      </c>
      <c r="B241" s="265" t="s">
        <v>399</v>
      </c>
      <c r="C241" s="265" t="s">
        <v>1997</v>
      </c>
      <c r="D241" s="265" t="s">
        <v>1997</v>
      </c>
      <c r="E241" s="265" t="s">
        <v>1998</v>
      </c>
      <c r="F241" s="265" t="s">
        <v>2472</v>
      </c>
      <c r="G241" s="265"/>
      <c r="H241" s="277" t="s">
        <v>2810</v>
      </c>
      <c r="I241" s="277" t="s">
        <v>619</v>
      </c>
      <c r="J241" s="271" t="s">
        <v>5241</v>
      </c>
      <c r="K241" s="266">
        <v>46069</v>
      </c>
      <c r="L241" s="272"/>
      <c r="M241" s="277" t="s">
        <v>2710</v>
      </c>
      <c r="N241" s="265">
        <v>76</v>
      </c>
      <c r="O241" s="273" t="s">
        <v>603</v>
      </c>
      <c r="P241" s="277" t="s">
        <v>5242</v>
      </c>
      <c r="Q241" s="265"/>
      <c r="R241" s="265"/>
      <c r="S241" s="265"/>
      <c r="T241" s="265"/>
      <c r="U241" s="265"/>
      <c r="V241" s="265"/>
      <c r="W241" s="265"/>
      <c r="X241" s="265"/>
      <c r="Y241" s="265" t="s">
        <v>2420</v>
      </c>
      <c r="Z241" s="265" t="s">
        <v>654</v>
      </c>
      <c r="AA241" s="265" t="s">
        <v>654</v>
      </c>
      <c r="AB241" s="265" t="s">
        <v>654</v>
      </c>
      <c r="AC241" s="265" t="s">
        <v>654</v>
      </c>
      <c r="AD241" s="265" t="s">
        <v>2825</v>
      </c>
      <c r="AE241" s="265"/>
      <c r="AF241" s="265"/>
      <c r="AG241" s="265"/>
      <c r="AH241" s="265"/>
      <c r="AI241" s="265"/>
      <c r="AJ241" s="265"/>
    </row>
    <row r="242" spans="1:36" ht="14.25" customHeight="1" x14ac:dyDescent="0.25">
      <c r="A242" s="256">
        <v>46</v>
      </c>
      <c r="B242" s="265" t="s">
        <v>399</v>
      </c>
      <c r="C242" s="265" t="s">
        <v>1997</v>
      </c>
      <c r="D242" s="265" t="s">
        <v>1997</v>
      </c>
      <c r="E242" s="265" t="s">
        <v>1998</v>
      </c>
      <c r="F242" s="277" t="s">
        <v>2222</v>
      </c>
      <c r="G242" s="265"/>
      <c r="H242" s="277" t="s">
        <v>4392</v>
      </c>
      <c r="I242" s="265"/>
      <c r="J242" s="271" t="s">
        <v>5243</v>
      </c>
      <c r="K242" s="266">
        <v>46069</v>
      </c>
      <c r="L242" s="272"/>
      <c r="M242" s="277" t="s">
        <v>4775</v>
      </c>
      <c r="N242" s="265">
        <v>54</v>
      </c>
      <c r="O242" s="273" t="s">
        <v>603</v>
      </c>
      <c r="P242" s="277" t="s">
        <v>4497</v>
      </c>
      <c r="Q242" s="265"/>
      <c r="R242" s="265"/>
      <c r="S242" s="265"/>
      <c r="T242" s="265"/>
      <c r="U242" s="265"/>
      <c r="V242" s="265"/>
      <c r="W242" s="265"/>
      <c r="X242" s="265"/>
      <c r="Y242" s="265" t="s">
        <v>2420</v>
      </c>
      <c r="Z242" s="265" t="s">
        <v>654</v>
      </c>
      <c r="AA242" s="265" t="s">
        <v>654</v>
      </c>
      <c r="AB242" s="265" t="s">
        <v>654</v>
      </c>
      <c r="AC242" s="265" t="s">
        <v>654</v>
      </c>
      <c r="AD242" s="277" t="s">
        <v>5246</v>
      </c>
      <c r="AE242" s="265"/>
      <c r="AF242" s="265"/>
      <c r="AG242" s="265"/>
      <c r="AH242" s="265"/>
      <c r="AI242" s="265"/>
      <c r="AJ242" s="265"/>
    </row>
    <row r="243" spans="1:36" ht="14.25" customHeight="1" x14ac:dyDescent="0.25">
      <c r="A243" s="256">
        <v>47</v>
      </c>
      <c r="B243" s="267" t="s">
        <v>399</v>
      </c>
      <c r="C243" s="267" t="s">
        <v>1997</v>
      </c>
      <c r="D243" s="267" t="s">
        <v>1997</v>
      </c>
      <c r="E243" s="281" t="s">
        <v>2246</v>
      </c>
      <c r="F243" s="281" t="s">
        <v>2246</v>
      </c>
      <c r="G243" s="267"/>
      <c r="H243" s="281" t="s">
        <v>2898</v>
      </c>
      <c r="I243" s="267"/>
      <c r="J243" s="274" t="s">
        <v>5244</v>
      </c>
      <c r="K243" s="266">
        <v>46068</v>
      </c>
      <c r="L243" s="275"/>
      <c r="M243" s="281" t="s">
        <v>2765</v>
      </c>
      <c r="N243" s="267">
        <v>47</v>
      </c>
      <c r="O243" s="276" t="s">
        <v>603</v>
      </c>
      <c r="P243" s="267"/>
      <c r="Q243" s="267"/>
      <c r="R243" s="267"/>
      <c r="S243" s="267"/>
      <c r="T243" s="267"/>
      <c r="U243" s="267"/>
      <c r="V243" s="267"/>
      <c r="W243" s="267"/>
      <c r="X243" s="267"/>
      <c r="Y243" s="265" t="s">
        <v>2420</v>
      </c>
      <c r="Z243" s="265" t="s">
        <v>654</v>
      </c>
      <c r="AA243" s="265" t="s">
        <v>654</v>
      </c>
      <c r="AB243" s="265" t="s">
        <v>654</v>
      </c>
      <c r="AC243" s="265" t="s">
        <v>654</v>
      </c>
      <c r="AD243" s="281" t="s">
        <v>5245</v>
      </c>
      <c r="AE243" s="267"/>
      <c r="AF243" s="267"/>
      <c r="AG243" s="267"/>
      <c r="AH243" s="267"/>
      <c r="AI243" s="267"/>
      <c r="AJ243" s="267"/>
    </row>
    <row r="244" spans="1:36" ht="14.25" customHeight="1" x14ac:dyDescent="0.25">
      <c r="A244" s="256">
        <v>48</v>
      </c>
      <c r="B244" s="265" t="s">
        <v>399</v>
      </c>
      <c r="C244" s="265" t="s">
        <v>1997</v>
      </c>
      <c r="D244" s="265" t="s">
        <v>1997</v>
      </c>
      <c r="E244" s="265" t="s">
        <v>1998</v>
      </c>
      <c r="F244" s="265"/>
      <c r="G244" s="265"/>
      <c r="H244" s="265"/>
      <c r="I244" s="265"/>
      <c r="J244" s="271"/>
      <c r="K244" s="266"/>
      <c r="L244" s="272"/>
      <c r="M244" s="265"/>
      <c r="N244" s="265"/>
      <c r="O244" s="273"/>
      <c r="P244" s="265"/>
      <c r="Q244" s="265"/>
      <c r="R244" s="265"/>
      <c r="S244" s="265"/>
      <c r="T244" s="265"/>
      <c r="U244" s="265"/>
      <c r="V244" s="265"/>
      <c r="W244" s="265"/>
      <c r="X244" s="265"/>
      <c r="Y244" s="265" t="s">
        <v>2420</v>
      </c>
      <c r="Z244" s="265" t="s">
        <v>654</v>
      </c>
      <c r="AA244" s="265" t="s">
        <v>654</v>
      </c>
      <c r="AB244" s="265" t="s">
        <v>654</v>
      </c>
      <c r="AC244" s="265" t="s">
        <v>654</v>
      </c>
      <c r="AD244" s="265"/>
      <c r="AE244" s="265"/>
      <c r="AF244" s="265"/>
      <c r="AG244" s="265"/>
      <c r="AH244" s="265"/>
      <c r="AI244" s="265"/>
      <c r="AJ244" s="265"/>
    </row>
    <row r="245" spans="1:36" ht="14.25" customHeight="1" x14ac:dyDescent="0.25">
      <c r="A245" s="256">
        <v>49</v>
      </c>
      <c r="B245" s="265" t="s">
        <v>399</v>
      </c>
      <c r="C245" s="265" t="s">
        <v>1997</v>
      </c>
      <c r="D245" s="265" t="s">
        <v>1997</v>
      </c>
      <c r="E245" s="265" t="s">
        <v>1998</v>
      </c>
      <c r="F245" s="265"/>
      <c r="G245" s="265"/>
      <c r="H245" s="265"/>
      <c r="I245" s="265"/>
      <c r="J245" s="271"/>
      <c r="K245" s="266"/>
      <c r="L245" s="272"/>
      <c r="M245" s="265"/>
      <c r="N245" s="265"/>
      <c r="O245" s="273"/>
      <c r="P245" s="265"/>
      <c r="Q245" s="265"/>
      <c r="R245" s="265"/>
      <c r="S245" s="265"/>
      <c r="T245" s="265"/>
      <c r="U245" s="265"/>
      <c r="V245" s="265"/>
      <c r="W245" s="265"/>
      <c r="X245" s="265"/>
      <c r="Y245" s="265" t="s">
        <v>2420</v>
      </c>
      <c r="Z245" s="265" t="s">
        <v>654</v>
      </c>
      <c r="AA245" s="265" t="s">
        <v>654</v>
      </c>
      <c r="AB245" s="265" t="s">
        <v>654</v>
      </c>
      <c r="AC245" s="265" t="s">
        <v>654</v>
      </c>
      <c r="AD245" s="265"/>
      <c r="AE245" s="265"/>
      <c r="AF245" s="265"/>
      <c r="AG245" s="265"/>
      <c r="AH245" s="265"/>
      <c r="AI245" s="265"/>
      <c r="AJ245" s="265"/>
    </row>
    <row r="246" spans="1:36" ht="14.25" customHeight="1" x14ac:dyDescent="0.25">
      <c r="A246" s="256">
        <v>50</v>
      </c>
      <c r="B246" s="265" t="s">
        <v>399</v>
      </c>
      <c r="C246" s="265" t="s">
        <v>1997</v>
      </c>
      <c r="D246" s="265" t="s">
        <v>1997</v>
      </c>
      <c r="E246" s="265" t="s">
        <v>1998</v>
      </c>
      <c r="F246" s="265"/>
      <c r="G246" s="265"/>
      <c r="H246" s="265"/>
      <c r="I246" s="265"/>
      <c r="J246" s="271"/>
      <c r="K246" s="266"/>
      <c r="L246" s="272"/>
      <c r="M246" s="265"/>
      <c r="N246" s="265"/>
      <c r="O246" s="273"/>
      <c r="P246" s="265"/>
      <c r="Q246" s="265"/>
      <c r="R246" s="265"/>
      <c r="S246" s="265"/>
      <c r="T246" s="265"/>
      <c r="U246" s="265"/>
      <c r="V246" s="265"/>
      <c r="W246" s="265"/>
      <c r="X246" s="265"/>
      <c r="Y246" s="265" t="s">
        <v>2420</v>
      </c>
      <c r="Z246" s="265" t="s">
        <v>654</v>
      </c>
      <c r="AA246" s="265" t="s">
        <v>654</v>
      </c>
      <c r="AB246" s="265" t="s">
        <v>654</v>
      </c>
      <c r="AC246" s="265" t="s">
        <v>654</v>
      </c>
      <c r="AD246" s="265"/>
      <c r="AE246" s="265"/>
      <c r="AF246" s="265"/>
      <c r="AG246" s="265"/>
      <c r="AH246" s="265"/>
      <c r="AI246" s="265"/>
      <c r="AJ246" s="265"/>
    </row>
    <row r="247" spans="1:36" ht="14.25" customHeight="1" x14ac:dyDescent="0.25">
      <c r="A247" s="256"/>
      <c r="B247" s="265"/>
      <c r="C247" s="265"/>
      <c r="D247" s="265"/>
      <c r="E247" s="265"/>
      <c r="F247" s="265"/>
      <c r="G247" s="265"/>
      <c r="H247" s="265"/>
      <c r="I247" s="265"/>
      <c r="J247" s="271"/>
      <c r="K247" s="266"/>
      <c r="L247" s="272"/>
      <c r="M247" s="265"/>
      <c r="N247" s="265"/>
      <c r="O247" s="273"/>
      <c r="P247" s="265"/>
      <c r="Q247" s="265"/>
      <c r="R247" s="265"/>
      <c r="S247" s="265"/>
      <c r="T247" s="265"/>
      <c r="U247" s="265"/>
      <c r="V247" s="265"/>
      <c r="W247" s="265"/>
      <c r="X247" s="265"/>
      <c r="Y247" s="265" t="s">
        <v>2420</v>
      </c>
      <c r="Z247" s="265" t="s">
        <v>654</v>
      </c>
      <c r="AA247" s="265" t="s">
        <v>654</v>
      </c>
      <c r="AB247" s="265" t="s">
        <v>654</v>
      </c>
      <c r="AC247" s="265" t="s">
        <v>654</v>
      </c>
      <c r="AD247" s="265"/>
      <c r="AE247" s="265"/>
      <c r="AF247" s="265"/>
      <c r="AG247" s="265"/>
      <c r="AH247" s="265"/>
      <c r="AI247" s="265"/>
      <c r="AJ247" s="265"/>
    </row>
    <row r="248" spans="1:36" ht="14.25" customHeight="1" x14ac:dyDescent="0.25">
      <c r="A248" s="256"/>
      <c r="B248" s="265"/>
      <c r="C248" s="265"/>
      <c r="D248" s="265"/>
      <c r="E248" s="265"/>
      <c r="F248" s="265"/>
      <c r="G248" s="265"/>
      <c r="H248" s="265"/>
      <c r="I248" s="265"/>
      <c r="J248" s="271"/>
      <c r="K248" s="266"/>
      <c r="L248" s="272"/>
      <c r="M248" s="265"/>
      <c r="N248" s="265"/>
      <c r="O248" s="273"/>
      <c r="P248" s="265"/>
      <c r="Q248" s="265"/>
      <c r="R248" s="265"/>
      <c r="S248" s="265"/>
      <c r="T248" s="265"/>
      <c r="U248" s="265"/>
      <c r="V248" s="265"/>
      <c r="W248" s="265"/>
      <c r="X248" s="265"/>
      <c r="Y248" s="265" t="s">
        <v>2420</v>
      </c>
      <c r="Z248" s="265" t="s">
        <v>654</v>
      </c>
      <c r="AA248" s="265" t="s">
        <v>654</v>
      </c>
      <c r="AB248" s="265" t="s">
        <v>654</v>
      </c>
      <c r="AC248" s="265" t="s">
        <v>654</v>
      </c>
      <c r="AD248" s="265"/>
      <c r="AE248" s="265"/>
      <c r="AF248" s="265"/>
      <c r="AG248" s="265"/>
      <c r="AH248" s="265"/>
      <c r="AI248" s="265"/>
      <c r="AJ248" s="265"/>
    </row>
    <row r="249" spans="1:36" ht="14.25" customHeight="1" x14ac:dyDescent="0.25">
      <c r="A249" s="256"/>
      <c r="B249" s="265"/>
      <c r="C249" s="265"/>
      <c r="D249" s="265"/>
      <c r="E249" s="265"/>
      <c r="F249" s="265"/>
      <c r="G249" s="265"/>
      <c r="H249" s="265"/>
      <c r="I249" s="265"/>
      <c r="J249" s="271"/>
      <c r="K249" s="266"/>
      <c r="L249" s="272"/>
      <c r="M249" s="265"/>
      <c r="N249" s="265"/>
      <c r="O249" s="273"/>
      <c r="P249" s="265"/>
      <c r="Q249" s="265"/>
      <c r="R249" s="265"/>
      <c r="S249" s="265"/>
      <c r="T249" s="265"/>
      <c r="U249" s="265"/>
      <c r="V249" s="265"/>
      <c r="W249" s="265"/>
      <c r="X249" s="265"/>
      <c r="Y249" s="265" t="s">
        <v>2420</v>
      </c>
      <c r="Z249" s="265" t="s">
        <v>654</v>
      </c>
      <c r="AA249" s="265" t="s">
        <v>654</v>
      </c>
      <c r="AB249" s="265" t="s">
        <v>654</v>
      </c>
      <c r="AC249" s="265" t="s">
        <v>654</v>
      </c>
      <c r="AD249" s="265"/>
      <c r="AE249" s="265"/>
      <c r="AF249" s="265"/>
      <c r="AG249" s="265"/>
      <c r="AH249" s="265"/>
      <c r="AI249" s="265"/>
      <c r="AJ249" s="265"/>
    </row>
    <row r="250" spans="1:36" ht="14.25" customHeight="1" x14ac:dyDescent="0.25">
      <c r="A250" s="256"/>
      <c r="B250" s="265"/>
      <c r="C250" s="265"/>
      <c r="D250" s="265"/>
      <c r="E250" s="265"/>
      <c r="F250" s="265"/>
      <c r="G250" s="265"/>
      <c r="H250" s="265"/>
      <c r="I250" s="265"/>
      <c r="J250" s="271"/>
      <c r="K250" s="266"/>
      <c r="L250" s="272"/>
      <c r="M250" s="265"/>
      <c r="N250" s="265"/>
      <c r="O250" s="273"/>
      <c r="P250" s="265"/>
      <c r="Q250" s="265"/>
      <c r="R250" s="265"/>
      <c r="S250" s="265"/>
      <c r="T250" s="265"/>
      <c r="U250" s="265"/>
      <c r="V250" s="265"/>
      <c r="W250" s="265"/>
      <c r="X250" s="265"/>
      <c r="Y250" s="265" t="s">
        <v>2420</v>
      </c>
      <c r="Z250" s="265" t="s">
        <v>654</v>
      </c>
      <c r="AA250" s="265" t="s">
        <v>654</v>
      </c>
      <c r="AB250" s="265" t="s">
        <v>654</v>
      </c>
      <c r="AC250" s="265" t="s">
        <v>654</v>
      </c>
      <c r="AD250" s="265"/>
      <c r="AE250" s="265"/>
      <c r="AF250" s="265"/>
      <c r="AG250" s="265"/>
      <c r="AH250" s="265"/>
      <c r="AI250" s="265"/>
      <c r="AJ250" s="265"/>
    </row>
    <row r="251" spans="1:36" ht="14.25" customHeight="1" x14ac:dyDescent="0.25">
      <c r="A251" s="256"/>
      <c r="B251" s="265"/>
      <c r="C251" s="265"/>
      <c r="D251" s="265"/>
      <c r="E251" s="265"/>
      <c r="F251" s="265"/>
      <c r="G251" s="265"/>
      <c r="H251" s="265"/>
      <c r="I251" s="265"/>
      <c r="J251" s="271"/>
      <c r="K251" s="266"/>
      <c r="L251" s="272"/>
      <c r="M251" s="265"/>
      <c r="N251" s="265"/>
      <c r="O251" s="273"/>
      <c r="P251" s="265"/>
      <c r="Q251" s="265"/>
      <c r="R251" s="265"/>
      <c r="S251" s="265"/>
      <c r="T251" s="265"/>
      <c r="U251" s="265"/>
      <c r="V251" s="265"/>
      <c r="W251" s="265"/>
      <c r="X251" s="265"/>
      <c r="Y251" s="265" t="s">
        <v>2420</v>
      </c>
      <c r="Z251" s="265" t="s">
        <v>654</v>
      </c>
      <c r="AA251" s="265" t="s">
        <v>654</v>
      </c>
      <c r="AB251" s="265" t="s">
        <v>654</v>
      </c>
      <c r="AC251" s="265" t="s">
        <v>654</v>
      </c>
      <c r="AD251" s="265"/>
      <c r="AE251" s="265"/>
      <c r="AF251" s="265"/>
      <c r="AG251" s="265"/>
      <c r="AH251" s="265"/>
      <c r="AI251" s="265"/>
      <c r="AJ251" s="265"/>
    </row>
    <row r="252" spans="1:36" ht="14.25" customHeight="1" x14ac:dyDescent="0.25">
      <c r="A252" s="256"/>
      <c r="B252" s="265"/>
      <c r="C252" s="265"/>
      <c r="D252" s="265"/>
      <c r="E252" s="265"/>
      <c r="F252" s="265"/>
      <c r="G252" s="265"/>
      <c r="H252" s="265"/>
      <c r="I252" s="265"/>
      <c r="J252" s="271"/>
      <c r="K252" s="266"/>
      <c r="L252" s="272"/>
      <c r="M252" s="265"/>
      <c r="N252" s="265"/>
      <c r="O252" s="273"/>
      <c r="P252" s="265"/>
      <c r="Q252" s="265"/>
      <c r="R252" s="265"/>
      <c r="S252" s="265"/>
      <c r="T252" s="265"/>
      <c r="U252" s="265"/>
      <c r="V252" s="265"/>
      <c r="W252" s="265"/>
      <c r="X252" s="265"/>
      <c r="Y252" s="265" t="s">
        <v>2420</v>
      </c>
      <c r="Z252" s="265" t="s">
        <v>654</v>
      </c>
      <c r="AA252" s="265" t="s">
        <v>654</v>
      </c>
      <c r="AB252" s="265" t="s">
        <v>654</v>
      </c>
      <c r="AC252" s="265" t="s">
        <v>654</v>
      </c>
      <c r="AD252" s="265"/>
      <c r="AE252" s="265"/>
      <c r="AF252" s="265"/>
      <c r="AG252" s="265"/>
      <c r="AH252" s="265"/>
      <c r="AI252" s="265"/>
      <c r="AJ252" s="265"/>
    </row>
    <row r="253" spans="1:36" ht="14.25" customHeight="1" x14ac:dyDescent="0.25">
      <c r="A253" s="256"/>
      <c r="B253" s="265"/>
      <c r="C253" s="265"/>
      <c r="D253" s="265"/>
      <c r="E253" s="265"/>
      <c r="F253" s="265"/>
      <c r="G253" s="265"/>
      <c r="H253" s="265"/>
      <c r="I253" s="265"/>
      <c r="J253" s="271"/>
      <c r="K253" s="266"/>
      <c r="L253" s="272"/>
      <c r="M253" s="265"/>
      <c r="N253" s="265"/>
      <c r="O253" s="273"/>
      <c r="P253" s="265"/>
      <c r="Q253" s="265"/>
      <c r="R253" s="265"/>
      <c r="S253" s="265"/>
      <c r="T253" s="265"/>
      <c r="U253" s="265"/>
      <c r="V253" s="265"/>
      <c r="W253" s="265"/>
      <c r="X253" s="265"/>
      <c r="Y253" s="265"/>
      <c r="Z253" s="265"/>
      <c r="AA253" s="265"/>
      <c r="AB253" s="265"/>
      <c r="AC253" s="265"/>
      <c r="AD253" s="265"/>
      <c r="AE253" s="265"/>
      <c r="AF253" s="265"/>
      <c r="AG253" s="265"/>
      <c r="AH253" s="265"/>
      <c r="AI253" s="265"/>
      <c r="AJ253" s="265"/>
    </row>
    <row r="254" spans="1:36" ht="14.25" customHeight="1" x14ac:dyDescent="0.25">
      <c r="A254" s="256"/>
      <c r="B254" s="265"/>
      <c r="C254" s="265"/>
      <c r="D254" s="265"/>
      <c r="E254" s="265"/>
      <c r="F254" s="265"/>
      <c r="G254" s="265"/>
      <c r="H254" s="265"/>
      <c r="I254" s="265"/>
      <c r="J254" s="271"/>
      <c r="K254" s="266"/>
      <c r="L254" s="272"/>
      <c r="M254" s="265"/>
      <c r="N254" s="265"/>
      <c r="O254" s="273"/>
      <c r="P254" s="265"/>
      <c r="Q254" s="265"/>
      <c r="R254" s="265"/>
      <c r="S254" s="265"/>
      <c r="T254" s="265"/>
      <c r="U254" s="265"/>
      <c r="V254" s="265"/>
      <c r="W254" s="265"/>
      <c r="X254" s="265"/>
      <c r="Y254" s="265"/>
      <c r="Z254" s="265"/>
      <c r="AA254" s="265"/>
      <c r="AB254" s="265"/>
      <c r="AC254" s="265"/>
      <c r="AD254" s="265"/>
      <c r="AE254" s="265"/>
      <c r="AF254" s="265"/>
      <c r="AG254" s="265"/>
      <c r="AH254" s="265"/>
      <c r="AI254" s="265"/>
      <c r="AJ254" s="265"/>
    </row>
    <row r="255" spans="1:36" ht="14.25" customHeight="1" x14ac:dyDescent="0.25">
      <c r="A255" s="256"/>
      <c r="B255" s="265"/>
      <c r="C255" s="265"/>
      <c r="D255" s="265"/>
      <c r="E255" s="265"/>
      <c r="F255" s="265"/>
      <c r="G255" s="265"/>
      <c r="H255" s="265"/>
      <c r="I255" s="265"/>
      <c r="J255" s="271"/>
      <c r="K255" s="266"/>
      <c r="L255" s="272"/>
      <c r="M255" s="265"/>
      <c r="N255" s="265"/>
      <c r="O255" s="273"/>
      <c r="P255" s="265"/>
      <c r="Q255" s="265"/>
      <c r="R255" s="265"/>
      <c r="S255" s="265"/>
      <c r="T255" s="265"/>
      <c r="U255" s="265"/>
      <c r="V255" s="265"/>
      <c r="W255" s="265"/>
      <c r="X255" s="265"/>
      <c r="Y255" s="265"/>
      <c r="Z255" s="265"/>
      <c r="AA255" s="265"/>
      <c r="AB255" s="265"/>
      <c r="AC255" s="265"/>
      <c r="AD255" s="265"/>
      <c r="AE255" s="265"/>
      <c r="AF255" s="265"/>
      <c r="AG255" s="265"/>
      <c r="AH255" s="265"/>
      <c r="AI255" s="265"/>
      <c r="AJ255" s="265"/>
    </row>
    <row r="256" spans="1:36" ht="14.25" customHeight="1" x14ac:dyDescent="0.25">
      <c r="A256" s="256"/>
      <c r="B256" s="265"/>
      <c r="C256" s="265"/>
      <c r="D256" s="265"/>
      <c r="E256" s="265"/>
      <c r="F256" s="265"/>
      <c r="G256" s="265"/>
      <c r="H256" s="265"/>
      <c r="I256" s="265"/>
      <c r="J256" s="271"/>
      <c r="K256" s="266"/>
      <c r="L256" s="272"/>
      <c r="M256" s="265"/>
      <c r="N256" s="265"/>
      <c r="O256" s="273"/>
      <c r="P256" s="265"/>
      <c r="Q256" s="265"/>
      <c r="R256" s="265"/>
      <c r="S256" s="265"/>
      <c r="T256" s="265"/>
      <c r="U256" s="265"/>
      <c r="V256" s="265"/>
      <c r="W256" s="265"/>
      <c r="X256" s="265"/>
      <c r="Y256" s="265"/>
      <c r="Z256" s="265"/>
      <c r="AA256" s="265"/>
      <c r="AB256" s="265"/>
      <c r="AC256" s="265"/>
      <c r="AD256" s="265"/>
      <c r="AE256" s="265"/>
      <c r="AF256" s="265"/>
      <c r="AG256" s="265"/>
      <c r="AH256" s="265"/>
      <c r="AI256" s="265"/>
      <c r="AJ256" s="265"/>
    </row>
    <row r="257" spans="1:36" ht="14.25" customHeight="1" x14ac:dyDescent="0.25">
      <c r="A257" s="256"/>
      <c r="B257" s="265"/>
      <c r="C257" s="265"/>
      <c r="D257" s="265"/>
      <c r="E257" s="265"/>
      <c r="F257" s="265"/>
      <c r="G257" s="265"/>
      <c r="H257" s="265"/>
      <c r="I257" s="265"/>
      <c r="J257" s="271"/>
      <c r="K257" s="266"/>
      <c r="L257" s="272"/>
      <c r="M257" s="265"/>
      <c r="N257" s="265"/>
      <c r="O257" s="273"/>
      <c r="P257" s="265"/>
      <c r="Q257" s="265"/>
      <c r="R257" s="265"/>
      <c r="S257" s="265"/>
      <c r="T257" s="265"/>
      <c r="U257" s="265"/>
      <c r="V257" s="265"/>
      <c r="W257" s="265"/>
      <c r="X257" s="265"/>
      <c r="Y257" s="265"/>
      <c r="Z257" s="265"/>
      <c r="AA257" s="265"/>
      <c r="AB257" s="265"/>
      <c r="AC257" s="265"/>
      <c r="AD257" s="265"/>
      <c r="AE257" s="265"/>
      <c r="AF257" s="265"/>
      <c r="AG257" s="265"/>
      <c r="AH257" s="265"/>
      <c r="AI257" s="265"/>
      <c r="AJ257" s="265"/>
    </row>
    <row r="258" spans="1:36" ht="14.25" customHeight="1" x14ac:dyDescent="0.25">
      <c r="A258" s="256"/>
      <c r="B258" s="265"/>
      <c r="C258" s="265"/>
      <c r="D258" s="265"/>
      <c r="E258" s="265"/>
      <c r="F258" s="265"/>
      <c r="G258" s="265"/>
      <c r="H258" s="265"/>
      <c r="I258" s="265"/>
      <c r="J258" s="271"/>
      <c r="K258" s="266"/>
      <c r="L258" s="272"/>
      <c r="M258" s="265"/>
      <c r="N258" s="265"/>
      <c r="O258" s="273"/>
      <c r="P258" s="265"/>
      <c r="Q258" s="265"/>
      <c r="R258" s="265"/>
      <c r="S258" s="265"/>
      <c r="T258" s="265"/>
      <c r="U258" s="265"/>
      <c r="V258" s="265"/>
      <c r="W258" s="265"/>
      <c r="X258" s="265"/>
      <c r="Y258" s="265"/>
      <c r="Z258" s="265"/>
      <c r="AA258" s="265"/>
      <c r="AB258" s="265"/>
      <c r="AC258" s="265"/>
      <c r="AD258" s="265"/>
      <c r="AE258" s="265"/>
      <c r="AF258" s="265"/>
      <c r="AG258" s="265"/>
      <c r="AH258" s="265"/>
      <c r="AI258" s="265"/>
      <c r="AJ258" s="265"/>
    </row>
    <row r="259" spans="1:36" ht="14.25" customHeight="1" x14ac:dyDescent="0.25">
      <c r="A259" s="256"/>
      <c r="B259" s="265"/>
      <c r="C259" s="265"/>
      <c r="D259" s="265"/>
      <c r="E259" s="265"/>
      <c r="F259" s="265"/>
      <c r="G259" s="265"/>
      <c r="H259" s="265"/>
      <c r="I259" s="265"/>
      <c r="J259" s="271"/>
      <c r="K259" s="266"/>
      <c r="L259" s="272"/>
      <c r="M259" s="265"/>
      <c r="N259" s="265"/>
      <c r="O259" s="273"/>
      <c r="P259" s="265"/>
      <c r="Q259" s="265"/>
      <c r="R259" s="265"/>
      <c r="S259" s="265"/>
      <c r="T259" s="265"/>
      <c r="U259" s="265"/>
      <c r="V259" s="265"/>
      <c r="W259" s="265"/>
      <c r="X259" s="265"/>
      <c r="Y259" s="265"/>
      <c r="Z259" s="265"/>
      <c r="AA259" s="265"/>
      <c r="AB259" s="265"/>
      <c r="AC259" s="265"/>
      <c r="AD259" s="265"/>
      <c r="AE259" s="265"/>
      <c r="AF259" s="265"/>
      <c r="AG259" s="265"/>
      <c r="AH259" s="265"/>
      <c r="AI259" s="265"/>
      <c r="AJ259" s="265"/>
    </row>
    <row r="260" spans="1:36" ht="14.25" customHeight="1" x14ac:dyDescent="0.25">
      <c r="A260" s="256"/>
      <c r="B260" s="265"/>
      <c r="C260" s="265"/>
      <c r="D260" s="265"/>
      <c r="E260" s="265"/>
      <c r="F260" s="265"/>
      <c r="G260" s="265"/>
      <c r="H260" s="265"/>
      <c r="I260" s="265"/>
      <c r="J260" s="271"/>
      <c r="K260" s="266"/>
      <c r="L260" s="272"/>
      <c r="M260" s="265"/>
      <c r="N260" s="265"/>
      <c r="O260" s="273"/>
      <c r="P260" s="265"/>
      <c r="Q260" s="265"/>
      <c r="R260" s="265"/>
      <c r="S260" s="265"/>
      <c r="T260" s="265"/>
      <c r="U260" s="265"/>
      <c r="V260" s="265"/>
      <c r="W260" s="265"/>
      <c r="X260" s="265"/>
      <c r="Y260" s="265"/>
      <c r="Z260" s="265"/>
      <c r="AA260" s="265"/>
      <c r="AB260" s="265"/>
      <c r="AC260" s="265"/>
      <c r="AD260" s="265"/>
      <c r="AE260" s="265"/>
      <c r="AF260" s="265"/>
      <c r="AG260" s="265"/>
      <c r="AH260" s="265"/>
      <c r="AI260" s="265"/>
      <c r="AJ260" s="265"/>
    </row>
    <row r="261" spans="1:36" ht="14.25" customHeight="1" x14ac:dyDescent="0.25">
      <c r="A261" s="256"/>
      <c r="B261" s="265"/>
      <c r="C261" s="265"/>
      <c r="D261" s="265"/>
      <c r="E261" s="265"/>
      <c r="F261" s="265"/>
      <c r="G261" s="265"/>
      <c r="H261" s="265"/>
      <c r="I261" s="265"/>
      <c r="J261" s="271"/>
      <c r="K261" s="266"/>
      <c r="L261" s="272"/>
      <c r="M261" s="265"/>
      <c r="N261" s="265"/>
      <c r="O261" s="273"/>
      <c r="P261" s="265"/>
      <c r="Q261" s="265"/>
      <c r="R261" s="265"/>
      <c r="S261" s="265"/>
      <c r="T261" s="265"/>
      <c r="U261" s="265"/>
      <c r="V261" s="265"/>
      <c r="W261" s="265"/>
      <c r="X261" s="265"/>
      <c r="Y261" s="265"/>
      <c r="Z261" s="265"/>
      <c r="AA261" s="265"/>
      <c r="AB261" s="265"/>
      <c r="AC261" s="265"/>
      <c r="AD261" s="265"/>
      <c r="AE261" s="265"/>
      <c r="AF261" s="265"/>
      <c r="AG261" s="265"/>
      <c r="AH261" s="265"/>
      <c r="AI261" s="265"/>
      <c r="AJ261" s="265"/>
    </row>
    <row r="262" spans="1:36" ht="14.25" customHeight="1" x14ac:dyDescent="0.25">
      <c r="A262" s="256"/>
      <c r="B262" s="265"/>
      <c r="C262" s="265"/>
      <c r="D262" s="265"/>
      <c r="E262" s="265"/>
      <c r="F262" s="265"/>
      <c r="G262" s="265"/>
      <c r="H262" s="265"/>
      <c r="I262" s="265"/>
      <c r="J262" s="271"/>
      <c r="K262" s="266"/>
      <c r="L262" s="272"/>
      <c r="M262" s="265"/>
      <c r="N262" s="265"/>
      <c r="O262" s="273"/>
      <c r="P262" s="265"/>
      <c r="Q262" s="265"/>
      <c r="R262" s="265"/>
      <c r="S262" s="265"/>
      <c r="T262" s="265"/>
      <c r="U262" s="265"/>
      <c r="V262" s="265"/>
      <c r="W262" s="265"/>
      <c r="X262" s="265"/>
      <c r="Y262" s="265"/>
      <c r="Z262" s="265"/>
      <c r="AA262" s="265"/>
      <c r="AB262" s="265"/>
      <c r="AC262" s="265"/>
      <c r="AD262" s="265"/>
      <c r="AE262" s="265"/>
      <c r="AF262" s="265"/>
      <c r="AG262" s="265"/>
      <c r="AH262" s="265"/>
      <c r="AI262" s="265"/>
      <c r="AJ262" s="265"/>
    </row>
    <row r="263" spans="1:36" ht="14.25" customHeight="1" x14ac:dyDescent="0.25">
      <c r="A263" s="256"/>
      <c r="B263" s="265"/>
      <c r="C263" s="265"/>
      <c r="D263" s="265"/>
      <c r="E263" s="265"/>
      <c r="F263" s="265"/>
      <c r="G263" s="265"/>
      <c r="H263" s="265"/>
      <c r="I263" s="265"/>
      <c r="J263" s="271"/>
      <c r="K263" s="266"/>
      <c r="L263" s="272"/>
      <c r="M263" s="265"/>
      <c r="N263" s="265"/>
      <c r="O263" s="273"/>
      <c r="P263" s="265"/>
      <c r="Q263" s="265"/>
      <c r="R263" s="265"/>
      <c r="S263" s="265"/>
      <c r="T263" s="265"/>
      <c r="U263" s="265"/>
      <c r="V263" s="265"/>
      <c r="W263" s="265"/>
      <c r="X263" s="265"/>
      <c r="Y263" s="265"/>
      <c r="Z263" s="265"/>
      <c r="AA263" s="265"/>
      <c r="AB263" s="265"/>
      <c r="AC263" s="265"/>
      <c r="AD263" s="265"/>
      <c r="AE263" s="265"/>
      <c r="AF263" s="265"/>
      <c r="AG263" s="265"/>
      <c r="AH263" s="265"/>
      <c r="AI263" s="265"/>
      <c r="AJ263" s="265"/>
    </row>
    <row r="264" spans="1:36" ht="14.25" customHeight="1" x14ac:dyDescent="0.25">
      <c r="A264" s="256"/>
      <c r="B264" s="265"/>
      <c r="C264" s="265"/>
      <c r="D264" s="265"/>
      <c r="E264" s="265"/>
      <c r="F264" s="265"/>
      <c r="G264" s="265"/>
      <c r="H264" s="265"/>
      <c r="I264" s="265"/>
      <c r="J264" s="271"/>
      <c r="K264" s="266"/>
      <c r="L264" s="272"/>
      <c r="M264" s="265"/>
      <c r="N264" s="265"/>
      <c r="O264" s="273"/>
      <c r="P264" s="265"/>
      <c r="Q264" s="265"/>
      <c r="R264" s="265"/>
      <c r="S264" s="265"/>
      <c r="T264" s="265"/>
      <c r="U264" s="265"/>
      <c r="V264" s="265"/>
      <c r="W264" s="265"/>
      <c r="X264" s="265"/>
      <c r="Y264" s="265"/>
      <c r="Z264" s="265"/>
      <c r="AA264" s="265"/>
      <c r="AB264" s="265"/>
      <c r="AC264" s="265"/>
      <c r="AD264" s="265"/>
      <c r="AE264" s="265"/>
      <c r="AF264" s="265"/>
      <c r="AG264" s="265"/>
      <c r="AH264" s="265"/>
      <c r="AI264" s="265"/>
      <c r="AJ264" s="265"/>
    </row>
    <row r="265" spans="1:36" ht="14.25" customHeight="1" x14ac:dyDescent="0.25">
      <c r="A265" s="256"/>
      <c r="B265" s="265"/>
      <c r="C265" s="265"/>
      <c r="D265" s="265"/>
      <c r="E265" s="265"/>
      <c r="F265" s="265"/>
      <c r="G265" s="265"/>
      <c r="H265" s="265"/>
      <c r="I265" s="265"/>
      <c r="J265" s="271"/>
      <c r="K265" s="266"/>
      <c r="L265" s="272"/>
      <c r="M265" s="265"/>
      <c r="N265" s="265"/>
      <c r="O265" s="273"/>
      <c r="P265" s="265"/>
      <c r="Q265" s="265"/>
      <c r="R265" s="265"/>
      <c r="S265" s="265"/>
      <c r="T265" s="265"/>
      <c r="U265" s="265"/>
      <c r="V265" s="265"/>
      <c r="W265" s="265"/>
      <c r="X265" s="265"/>
      <c r="Y265" s="265"/>
      <c r="Z265" s="265"/>
      <c r="AA265" s="265"/>
      <c r="AB265" s="265"/>
      <c r="AC265" s="265"/>
      <c r="AD265" s="265"/>
      <c r="AE265" s="265"/>
      <c r="AF265" s="265"/>
      <c r="AG265" s="265"/>
      <c r="AH265" s="265"/>
      <c r="AI265" s="265"/>
      <c r="AJ265" s="265"/>
    </row>
    <row r="266" spans="1:36" ht="14.25" customHeight="1" x14ac:dyDescent="0.25">
      <c r="A266" s="256"/>
      <c r="B266" s="265"/>
      <c r="C266" s="265"/>
      <c r="D266" s="265"/>
      <c r="E266" s="265"/>
      <c r="F266" s="265"/>
      <c r="G266" s="265"/>
      <c r="H266" s="265"/>
      <c r="I266" s="265"/>
      <c r="J266" s="271"/>
      <c r="K266" s="266"/>
      <c r="L266" s="272"/>
      <c r="M266" s="265"/>
      <c r="N266" s="265"/>
      <c r="O266" s="273"/>
      <c r="P266" s="265"/>
      <c r="Q266" s="265"/>
      <c r="R266" s="265"/>
      <c r="S266" s="265"/>
      <c r="T266" s="265"/>
      <c r="U266" s="265"/>
      <c r="V266" s="265"/>
      <c r="W266" s="265"/>
      <c r="X266" s="265"/>
      <c r="Y266" s="265"/>
      <c r="Z266" s="265"/>
      <c r="AA266" s="265"/>
      <c r="AB266" s="265"/>
      <c r="AC266" s="265"/>
      <c r="AD266" s="265"/>
      <c r="AE266" s="265"/>
      <c r="AF266" s="265"/>
      <c r="AG266" s="265"/>
      <c r="AH266" s="265"/>
      <c r="AI266" s="265"/>
      <c r="AJ266" s="265"/>
    </row>
    <row r="267" spans="1:36" ht="14.25" customHeight="1" x14ac:dyDescent="0.25">
      <c r="A267" s="256"/>
      <c r="B267" s="265"/>
      <c r="C267" s="265"/>
      <c r="D267" s="265"/>
      <c r="E267" s="265"/>
      <c r="F267" s="265"/>
      <c r="G267" s="265"/>
      <c r="H267" s="265"/>
      <c r="I267" s="265"/>
      <c r="J267" s="271"/>
      <c r="K267" s="266"/>
      <c r="L267" s="272"/>
      <c r="M267" s="265"/>
      <c r="N267" s="265"/>
      <c r="O267" s="273"/>
      <c r="P267" s="265"/>
      <c r="Q267" s="265"/>
      <c r="R267" s="265"/>
      <c r="S267" s="265"/>
      <c r="T267" s="265"/>
      <c r="U267" s="265"/>
      <c r="V267" s="265"/>
      <c r="W267" s="265"/>
      <c r="X267" s="265"/>
      <c r="Y267" s="265"/>
      <c r="Z267" s="265"/>
      <c r="AA267" s="265"/>
      <c r="AB267" s="265"/>
      <c r="AC267" s="265"/>
      <c r="AD267" s="265"/>
      <c r="AE267" s="265"/>
      <c r="AF267" s="265"/>
      <c r="AG267" s="265"/>
      <c r="AH267" s="265"/>
      <c r="AI267" s="265"/>
      <c r="AJ267" s="265"/>
    </row>
    <row r="268" spans="1:36" ht="14.25" customHeight="1" x14ac:dyDescent="0.25">
      <c r="A268" s="256"/>
      <c r="B268" s="265"/>
      <c r="C268" s="265"/>
      <c r="D268" s="265"/>
      <c r="E268" s="265"/>
      <c r="F268" s="265"/>
      <c r="G268" s="265"/>
      <c r="H268" s="265"/>
      <c r="I268" s="265"/>
      <c r="J268" s="271"/>
      <c r="K268" s="266"/>
      <c r="L268" s="272"/>
      <c r="M268" s="265"/>
      <c r="N268" s="265"/>
      <c r="O268" s="273"/>
      <c r="P268" s="265"/>
      <c r="Q268" s="265"/>
      <c r="R268" s="265"/>
      <c r="S268" s="265"/>
      <c r="T268" s="265"/>
      <c r="U268" s="265"/>
      <c r="V268" s="265"/>
      <c r="W268" s="265"/>
      <c r="X268" s="265"/>
      <c r="Y268" s="265"/>
      <c r="Z268" s="265"/>
      <c r="AA268" s="265"/>
      <c r="AB268" s="265"/>
      <c r="AC268" s="265"/>
      <c r="AD268" s="265"/>
      <c r="AE268" s="265"/>
      <c r="AF268" s="265"/>
      <c r="AG268" s="265"/>
      <c r="AH268" s="265"/>
      <c r="AI268" s="265"/>
      <c r="AJ268" s="265"/>
    </row>
    <row r="269" spans="1:36" ht="14.25" customHeight="1" x14ac:dyDescent="0.25">
      <c r="A269" s="256"/>
      <c r="B269" s="265"/>
      <c r="C269" s="265"/>
      <c r="D269" s="265"/>
      <c r="E269" s="265"/>
      <c r="F269" s="265"/>
      <c r="G269" s="265"/>
      <c r="H269" s="265"/>
      <c r="I269" s="265"/>
      <c r="J269" s="271"/>
      <c r="K269" s="266"/>
      <c r="L269" s="272"/>
      <c r="M269" s="265"/>
      <c r="N269" s="265"/>
      <c r="O269" s="273"/>
      <c r="P269" s="265"/>
      <c r="Q269" s="265"/>
      <c r="R269" s="265"/>
      <c r="S269" s="265"/>
      <c r="T269" s="265"/>
      <c r="U269" s="265"/>
      <c r="V269" s="265"/>
      <c r="W269" s="265"/>
      <c r="X269" s="265"/>
      <c r="Y269" s="265"/>
      <c r="Z269" s="265"/>
      <c r="AA269" s="265"/>
      <c r="AB269" s="265"/>
      <c r="AC269" s="265"/>
      <c r="AD269" s="265"/>
      <c r="AE269" s="265"/>
      <c r="AF269" s="265"/>
      <c r="AG269" s="265"/>
      <c r="AH269" s="265"/>
      <c r="AI269" s="265"/>
      <c r="AJ269" s="265"/>
    </row>
    <row r="270" spans="1:36" ht="14.25" customHeight="1" x14ac:dyDescent="0.25">
      <c r="A270" s="256"/>
      <c r="B270" s="265"/>
      <c r="C270" s="265"/>
      <c r="D270" s="265"/>
      <c r="E270" s="265"/>
      <c r="F270" s="265"/>
      <c r="G270" s="265"/>
      <c r="H270" s="265"/>
      <c r="I270" s="265"/>
      <c r="J270" s="271"/>
      <c r="K270" s="266"/>
      <c r="L270" s="272"/>
      <c r="M270" s="265"/>
      <c r="N270" s="265"/>
      <c r="O270" s="273"/>
      <c r="P270" s="265"/>
      <c r="Q270" s="265"/>
      <c r="R270" s="265"/>
      <c r="S270" s="265"/>
      <c r="T270" s="265"/>
      <c r="U270" s="265"/>
      <c r="V270" s="265"/>
      <c r="W270" s="265"/>
      <c r="X270" s="265"/>
      <c r="Y270" s="265"/>
      <c r="Z270" s="265"/>
      <c r="AA270" s="265"/>
      <c r="AB270" s="265"/>
      <c r="AC270" s="265"/>
      <c r="AD270" s="265"/>
      <c r="AE270" s="265"/>
      <c r="AF270" s="265"/>
      <c r="AG270" s="265"/>
      <c r="AH270" s="265"/>
      <c r="AI270" s="265"/>
      <c r="AJ270" s="265"/>
    </row>
    <row r="271" spans="1:36" ht="14.25" customHeight="1" x14ac:dyDescent="0.25">
      <c r="A271" s="256"/>
      <c r="B271" s="265"/>
      <c r="C271" s="265"/>
      <c r="D271" s="265"/>
      <c r="E271" s="265"/>
      <c r="F271" s="265"/>
      <c r="G271" s="265"/>
      <c r="H271" s="265"/>
      <c r="I271" s="265"/>
      <c r="J271" s="271"/>
      <c r="K271" s="266"/>
      <c r="L271" s="272"/>
      <c r="M271" s="265"/>
      <c r="N271" s="265"/>
      <c r="O271" s="273"/>
      <c r="P271" s="265"/>
      <c r="Q271" s="265"/>
      <c r="R271" s="265"/>
      <c r="S271" s="265"/>
      <c r="T271" s="265"/>
      <c r="U271" s="265"/>
      <c r="V271" s="265"/>
      <c r="W271" s="265"/>
      <c r="X271" s="265"/>
      <c r="Y271" s="265"/>
      <c r="Z271" s="265"/>
      <c r="AA271" s="265"/>
      <c r="AB271" s="265"/>
      <c r="AC271" s="265"/>
      <c r="AD271" s="265"/>
      <c r="AE271" s="265"/>
      <c r="AF271" s="265"/>
      <c r="AG271" s="265"/>
      <c r="AH271" s="265"/>
      <c r="AI271" s="265"/>
      <c r="AJ271" s="265"/>
    </row>
    <row r="272" spans="1:36" ht="14.25" customHeight="1" x14ac:dyDescent="0.25">
      <c r="A272" s="256"/>
      <c r="B272" s="265"/>
      <c r="C272" s="265"/>
      <c r="D272" s="265"/>
      <c r="E272" s="265"/>
      <c r="F272" s="265"/>
      <c r="G272" s="265"/>
      <c r="H272" s="265"/>
      <c r="I272" s="265"/>
      <c r="J272" s="271"/>
      <c r="K272" s="266"/>
      <c r="L272" s="272"/>
      <c r="M272" s="265"/>
      <c r="N272" s="265"/>
      <c r="O272" s="273"/>
      <c r="P272" s="265"/>
      <c r="Q272" s="265"/>
      <c r="R272" s="265"/>
      <c r="S272" s="265"/>
      <c r="T272" s="265"/>
      <c r="U272" s="265"/>
      <c r="V272" s="265"/>
      <c r="W272" s="265"/>
      <c r="X272" s="265"/>
      <c r="Y272" s="265"/>
      <c r="Z272" s="265"/>
      <c r="AA272" s="265"/>
      <c r="AB272" s="265"/>
      <c r="AC272" s="265"/>
      <c r="AD272" s="265"/>
      <c r="AE272" s="265"/>
      <c r="AF272" s="265"/>
      <c r="AG272" s="265"/>
      <c r="AH272" s="265"/>
      <c r="AI272" s="265"/>
      <c r="AJ272" s="265"/>
    </row>
    <row r="273" spans="1:36" ht="14.25" customHeight="1" x14ac:dyDescent="0.25">
      <c r="A273" s="256"/>
      <c r="B273" s="265"/>
      <c r="C273" s="265"/>
      <c r="D273" s="265"/>
      <c r="E273" s="265"/>
      <c r="F273" s="265"/>
      <c r="G273" s="265"/>
      <c r="H273" s="265"/>
      <c r="I273" s="265"/>
      <c r="J273" s="271"/>
      <c r="K273" s="266"/>
      <c r="L273" s="272"/>
      <c r="M273" s="265"/>
      <c r="N273" s="265"/>
      <c r="O273" s="273"/>
      <c r="P273" s="265"/>
      <c r="Q273" s="265"/>
      <c r="R273" s="265"/>
      <c r="S273" s="265"/>
      <c r="T273" s="265"/>
      <c r="U273" s="265"/>
      <c r="V273" s="265"/>
      <c r="W273" s="265"/>
      <c r="X273" s="265"/>
      <c r="Y273" s="265"/>
      <c r="Z273" s="265"/>
      <c r="AA273" s="265"/>
      <c r="AB273" s="265"/>
      <c r="AC273" s="265"/>
      <c r="AD273" s="265"/>
      <c r="AE273" s="265"/>
      <c r="AF273" s="265"/>
      <c r="AG273" s="265"/>
      <c r="AH273" s="265"/>
      <c r="AI273" s="265"/>
      <c r="AJ273" s="265"/>
    </row>
    <row r="274" spans="1:36" ht="14.25" customHeight="1" x14ac:dyDescent="0.25">
      <c r="A274" s="256"/>
      <c r="B274" s="265"/>
      <c r="C274" s="265"/>
      <c r="D274" s="265"/>
      <c r="E274" s="265"/>
      <c r="F274" s="265"/>
      <c r="G274" s="265"/>
      <c r="H274" s="265"/>
      <c r="I274" s="265"/>
      <c r="J274" s="271"/>
      <c r="K274" s="266"/>
      <c r="L274" s="272"/>
      <c r="M274" s="265"/>
      <c r="N274" s="265"/>
      <c r="O274" s="273"/>
      <c r="P274" s="265"/>
      <c r="Q274" s="265"/>
      <c r="R274" s="265"/>
      <c r="S274" s="265"/>
      <c r="T274" s="265"/>
      <c r="U274" s="265"/>
      <c r="V274" s="265"/>
      <c r="W274" s="265"/>
      <c r="X274" s="265"/>
      <c r="Y274" s="265"/>
      <c r="Z274" s="265"/>
      <c r="AA274" s="265"/>
      <c r="AB274" s="265"/>
      <c r="AC274" s="265"/>
      <c r="AD274" s="265"/>
      <c r="AE274" s="265"/>
      <c r="AF274" s="265"/>
      <c r="AG274" s="265"/>
      <c r="AH274" s="265"/>
      <c r="AI274" s="265"/>
      <c r="AJ274" s="265"/>
    </row>
    <row r="275" spans="1:36" ht="14.25" customHeight="1" x14ac:dyDescent="0.25">
      <c r="A275" s="256"/>
      <c r="B275" s="265"/>
      <c r="C275" s="265"/>
      <c r="D275" s="265"/>
      <c r="E275" s="265"/>
      <c r="F275" s="265"/>
      <c r="G275" s="265"/>
      <c r="H275" s="265"/>
      <c r="I275" s="265"/>
      <c r="J275" s="271"/>
      <c r="K275" s="266"/>
      <c r="L275" s="272"/>
      <c r="M275" s="265"/>
      <c r="N275" s="265"/>
      <c r="O275" s="273"/>
      <c r="P275" s="265"/>
      <c r="Q275" s="265"/>
      <c r="R275" s="265"/>
      <c r="S275" s="265"/>
      <c r="T275" s="265"/>
      <c r="U275" s="265"/>
      <c r="V275" s="265"/>
      <c r="W275" s="265"/>
      <c r="X275" s="265"/>
      <c r="Y275" s="265"/>
      <c r="Z275" s="265"/>
      <c r="AA275" s="265"/>
      <c r="AB275" s="265"/>
      <c r="AC275" s="265"/>
      <c r="AD275" s="265"/>
      <c r="AE275" s="265"/>
      <c r="AF275" s="265"/>
      <c r="AG275" s="265"/>
      <c r="AH275" s="265"/>
      <c r="AI275" s="265"/>
      <c r="AJ275" s="265"/>
    </row>
    <row r="276" spans="1:36" ht="14.25" customHeight="1" x14ac:dyDescent="0.25">
      <c r="A276" s="256"/>
      <c r="B276" s="265"/>
      <c r="C276" s="265"/>
      <c r="D276" s="265"/>
      <c r="E276" s="265"/>
      <c r="F276" s="265"/>
      <c r="G276" s="265"/>
      <c r="H276" s="265"/>
      <c r="I276" s="265"/>
      <c r="J276" s="271"/>
      <c r="K276" s="266"/>
      <c r="L276" s="272"/>
      <c r="M276" s="265"/>
      <c r="N276" s="265"/>
      <c r="O276" s="273"/>
      <c r="P276" s="265"/>
      <c r="Q276" s="265"/>
      <c r="R276" s="265"/>
      <c r="S276" s="265"/>
      <c r="T276" s="265"/>
      <c r="U276" s="265"/>
      <c r="V276" s="265"/>
      <c r="W276" s="265"/>
      <c r="X276" s="265"/>
      <c r="Y276" s="265"/>
      <c r="Z276" s="265"/>
      <c r="AA276" s="265"/>
      <c r="AB276" s="265"/>
      <c r="AC276" s="265"/>
      <c r="AD276" s="265"/>
      <c r="AE276" s="265"/>
      <c r="AF276" s="265"/>
      <c r="AG276" s="265"/>
      <c r="AH276" s="265"/>
      <c r="AI276" s="265"/>
      <c r="AJ276" s="265"/>
    </row>
    <row r="277" spans="1:36" ht="14.25" customHeight="1" x14ac:dyDescent="0.25">
      <c r="A277" s="256"/>
      <c r="B277" s="265"/>
      <c r="C277" s="265"/>
      <c r="D277" s="265"/>
      <c r="E277" s="265"/>
      <c r="F277" s="265"/>
      <c r="G277" s="265"/>
      <c r="H277" s="265"/>
      <c r="I277" s="265"/>
      <c r="J277" s="271"/>
      <c r="K277" s="266"/>
      <c r="L277" s="272"/>
      <c r="M277" s="265"/>
      <c r="N277" s="265"/>
      <c r="O277" s="273"/>
      <c r="P277" s="265"/>
      <c r="Q277" s="265"/>
      <c r="R277" s="265"/>
      <c r="S277" s="265"/>
      <c r="T277" s="265"/>
      <c r="U277" s="265"/>
      <c r="V277" s="265"/>
      <c r="W277" s="265"/>
      <c r="X277" s="265"/>
      <c r="Y277" s="265"/>
      <c r="Z277" s="265"/>
      <c r="AA277" s="265"/>
      <c r="AB277" s="265"/>
      <c r="AC277" s="265"/>
      <c r="AD277" s="265"/>
      <c r="AE277" s="265"/>
      <c r="AF277" s="265"/>
      <c r="AG277" s="265"/>
      <c r="AH277" s="265"/>
      <c r="AI277" s="265"/>
      <c r="AJ277" s="265"/>
    </row>
    <row r="278" spans="1:36" ht="14.25" customHeight="1" x14ac:dyDescent="0.25">
      <c r="A278" s="256"/>
      <c r="B278" s="265"/>
      <c r="C278" s="265"/>
      <c r="D278" s="265"/>
      <c r="E278" s="265"/>
      <c r="F278" s="265"/>
      <c r="G278" s="265"/>
      <c r="H278" s="265"/>
      <c r="I278" s="265"/>
      <c r="J278" s="271"/>
      <c r="K278" s="266"/>
      <c r="L278" s="272"/>
      <c r="M278" s="265"/>
      <c r="N278" s="265"/>
      <c r="O278" s="273"/>
      <c r="P278" s="265"/>
      <c r="Q278" s="265"/>
      <c r="R278" s="265"/>
      <c r="S278" s="265"/>
      <c r="T278" s="265"/>
      <c r="U278" s="265"/>
      <c r="V278" s="265"/>
      <c r="W278" s="265"/>
      <c r="X278" s="265"/>
      <c r="Y278" s="265"/>
      <c r="Z278" s="265"/>
      <c r="AA278" s="265"/>
      <c r="AB278" s="265"/>
      <c r="AC278" s="265"/>
      <c r="AD278" s="265"/>
      <c r="AE278" s="265"/>
      <c r="AF278" s="265"/>
      <c r="AG278" s="265"/>
      <c r="AH278" s="265"/>
      <c r="AI278" s="265"/>
      <c r="AJ278" s="265"/>
    </row>
    <row r="279" spans="1:36" ht="14.25" customHeight="1" x14ac:dyDescent="0.25">
      <c r="A279" s="256"/>
      <c r="B279" s="265"/>
      <c r="C279" s="265"/>
      <c r="D279" s="265"/>
      <c r="E279" s="265"/>
      <c r="F279" s="265"/>
      <c r="G279" s="265"/>
      <c r="H279" s="265"/>
      <c r="I279" s="265"/>
      <c r="J279" s="271"/>
      <c r="K279" s="266"/>
      <c r="L279" s="272"/>
      <c r="M279" s="265"/>
      <c r="N279" s="265"/>
      <c r="O279" s="273"/>
      <c r="P279" s="265"/>
      <c r="Q279" s="265"/>
      <c r="R279" s="265"/>
      <c r="S279" s="265"/>
      <c r="T279" s="265"/>
      <c r="U279" s="265"/>
      <c r="V279" s="265"/>
      <c r="W279" s="265"/>
      <c r="X279" s="265"/>
      <c r="Y279" s="265"/>
      <c r="Z279" s="265"/>
      <c r="AA279" s="265"/>
      <c r="AB279" s="265"/>
      <c r="AC279" s="265"/>
      <c r="AD279" s="265"/>
      <c r="AE279" s="265"/>
      <c r="AF279" s="265"/>
      <c r="AG279" s="265"/>
      <c r="AH279" s="265"/>
      <c r="AI279" s="265"/>
      <c r="AJ279" s="265"/>
    </row>
    <row r="280" spans="1:36" ht="14.25" customHeight="1" x14ac:dyDescent="0.25">
      <c r="A280" s="256"/>
      <c r="B280" s="265"/>
      <c r="C280" s="265"/>
      <c r="D280" s="265"/>
      <c r="E280" s="265"/>
      <c r="F280" s="265"/>
      <c r="G280" s="265"/>
      <c r="H280" s="265"/>
      <c r="I280" s="265"/>
      <c r="J280" s="271"/>
      <c r="K280" s="266"/>
      <c r="L280" s="272"/>
      <c r="M280" s="265"/>
      <c r="N280" s="265"/>
      <c r="O280" s="273"/>
      <c r="P280" s="265"/>
      <c r="Q280" s="265"/>
      <c r="R280" s="265"/>
      <c r="S280" s="265"/>
      <c r="T280" s="265"/>
      <c r="U280" s="265"/>
      <c r="V280" s="265"/>
      <c r="W280" s="265"/>
      <c r="X280" s="265"/>
      <c r="Y280" s="265"/>
      <c r="Z280" s="265"/>
      <c r="AA280" s="265"/>
      <c r="AB280" s="265"/>
      <c r="AC280" s="265"/>
      <c r="AD280" s="265"/>
      <c r="AE280" s="265"/>
      <c r="AF280" s="265"/>
      <c r="AG280" s="265"/>
      <c r="AH280" s="265"/>
      <c r="AI280" s="265"/>
      <c r="AJ280" s="265"/>
    </row>
    <row r="281" spans="1:36" ht="14.25" customHeight="1" x14ac:dyDescent="0.25">
      <c r="A281" s="256"/>
      <c r="B281" s="267"/>
      <c r="C281" s="267"/>
      <c r="D281" s="267"/>
      <c r="E281" s="267"/>
      <c r="F281" s="267"/>
      <c r="G281" s="267"/>
      <c r="H281" s="267"/>
      <c r="I281" s="267"/>
      <c r="J281" s="274"/>
      <c r="K281" s="268"/>
      <c r="L281" s="275"/>
      <c r="M281" s="267"/>
      <c r="N281" s="267"/>
      <c r="O281" s="276"/>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row>
    <row r="282" spans="1:36" ht="14.25" customHeight="1" x14ac:dyDescent="0.25">
      <c r="A282" s="256"/>
      <c r="B282" s="256"/>
      <c r="C282" s="256"/>
      <c r="D282" s="256"/>
      <c r="E282" s="256"/>
      <c r="F282" s="256"/>
      <c r="G282" s="256"/>
      <c r="H282" s="256"/>
      <c r="I282" s="256"/>
      <c r="J282" s="261"/>
      <c r="K282" s="257"/>
      <c r="L282" s="258"/>
      <c r="M282" s="256"/>
      <c r="N282" s="256"/>
      <c r="O282" s="259"/>
      <c r="P282" s="256"/>
      <c r="Q282" s="256"/>
      <c r="R282" s="256"/>
      <c r="S282" s="256"/>
      <c r="T282" s="256"/>
      <c r="U282" s="256"/>
      <c r="V282" s="256"/>
      <c r="W282" s="256"/>
      <c r="X282" s="256"/>
      <c r="Y282" s="256"/>
      <c r="Z282" s="256"/>
      <c r="AA282" s="256"/>
      <c r="AB282" s="256"/>
      <c r="AC282" s="256"/>
      <c r="AD282" s="256"/>
      <c r="AE282" s="256"/>
      <c r="AF282" s="256"/>
      <c r="AG282" s="256"/>
      <c r="AH282" s="256"/>
      <c r="AI282" s="256"/>
      <c r="AJ282" s="256"/>
    </row>
    <row r="283" spans="1:36" ht="14.25" customHeight="1" x14ac:dyDescent="0.25">
      <c r="A283" s="256"/>
      <c r="B283" s="256"/>
      <c r="C283" s="256"/>
      <c r="D283" s="256"/>
      <c r="E283" s="256"/>
      <c r="F283" s="256"/>
      <c r="G283" s="256"/>
      <c r="H283" s="256"/>
      <c r="I283" s="256"/>
      <c r="J283" s="261"/>
      <c r="K283" s="257"/>
      <c r="L283" s="258"/>
      <c r="M283" s="256"/>
      <c r="N283" s="256"/>
      <c r="O283" s="259"/>
      <c r="P283" s="256"/>
      <c r="Q283" s="256"/>
      <c r="R283" s="256"/>
      <c r="S283" s="256"/>
      <c r="T283" s="256"/>
      <c r="U283" s="256"/>
      <c r="V283" s="256"/>
      <c r="W283" s="256"/>
      <c r="X283" s="256"/>
      <c r="Y283" s="256"/>
      <c r="Z283" s="256"/>
      <c r="AA283" s="256"/>
      <c r="AB283" s="256"/>
      <c r="AC283" s="256"/>
      <c r="AD283" s="256"/>
      <c r="AE283" s="256"/>
      <c r="AF283" s="256"/>
      <c r="AG283" s="256"/>
      <c r="AH283" s="256"/>
      <c r="AI283" s="256"/>
      <c r="AJ283" s="256"/>
    </row>
    <row r="284" spans="1:36" ht="14.25" customHeight="1" x14ac:dyDescent="0.25">
      <c r="A284" s="256"/>
      <c r="B284" s="256"/>
      <c r="C284" s="256"/>
      <c r="D284" s="256"/>
      <c r="E284" s="256"/>
      <c r="F284" s="256"/>
      <c r="G284" s="256"/>
      <c r="H284" s="256"/>
      <c r="I284" s="256"/>
      <c r="J284" s="261"/>
      <c r="K284" s="257"/>
      <c r="L284" s="258"/>
      <c r="M284" s="256"/>
      <c r="N284" s="256"/>
      <c r="O284" s="259"/>
      <c r="P284" s="256"/>
      <c r="Q284" s="256"/>
      <c r="R284" s="256"/>
      <c r="S284" s="256"/>
      <c r="T284" s="256"/>
      <c r="U284" s="256"/>
      <c r="V284" s="256"/>
      <c r="W284" s="256"/>
      <c r="X284" s="256"/>
      <c r="Y284" s="256"/>
      <c r="Z284" s="256"/>
      <c r="AA284" s="256"/>
      <c r="AB284" s="256"/>
      <c r="AC284" s="256"/>
      <c r="AD284" s="256"/>
      <c r="AE284" s="256"/>
      <c r="AF284" s="256"/>
      <c r="AG284" s="256"/>
      <c r="AH284" s="256"/>
      <c r="AI284" s="256"/>
      <c r="AJ284" s="256"/>
    </row>
    <row r="285" spans="1:36" ht="14.25" customHeight="1" x14ac:dyDescent="0.25">
      <c r="A285" s="256"/>
      <c r="B285" s="256"/>
      <c r="C285" s="256"/>
      <c r="D285" s="256"/>
      <c r="E285" s="256"/>
      <c r="F285" s="256"/>
      <c r="G285" s="256"/>
      <c r="H285" s="256"/>
      <c r="I285" s="256"/>
      <c r="J285" s="261"/>
      <c r="K285" s="257"/>
      <c r="L285" s="258"/>
      <c r="M285" s="256"/>
      <c r="N285" s="256"/>
      <c r="O285" s="259"/>
      <c r="P285" s="256"/>
      <c r="Q285" s="256"/>
      <c r="R285" s="256"/>
      <c r="S285" s="256"/>
      <c r="T285" s="256"/>
      <c r="U285" s="256"/>
      <c r="V285" s="256"/>
      <c r="W285" s="256"/>
      <c r="X285" s="256"/>
      <c r="Y285" s="256"/>
      <c r="Z285" s="256"/>
      <c r="AA285" s="256"/>
      <c r="AB285" s="256"/>
      <c r="AC285" s="256"/>
      <c r="AD285" s="256"/>
      <c r="AE285" s="256"/>
      <c r="AF285" s="256"/>
      <c r="AG285" s="256"/>
      <c r="AH285" s="256"/>
      <c r="AI285" s="256"/>
      <c r="AJ285" s="256"/>
    </row>
    <row r="286" spans="1:36" ht="14.25" customHeight="1" x14ac:dyDescent="0.25">
      <c r="A286" s="256"/>
      <c r="B286" s="256"/>
      <c r="C286" s="256"/>
      <c r="D286" s="256"/>
      <c r="E286" s="256"/>
      <c r="F286" s="256"/>
      <c r="G286" s="256"/>
      <c r="H286" s="256"/>
      <c r="I286" s="256"/>
      <c r="J286" s="261"/>
      <c r="K286" s="257"/>
      <c r="L286" s="258"/>
      <c r="M286" s="256"/>
      <c r="N286" s="256"/>
      <c r="O286" s="259"/>
      <c r="P286" s="256"/>
      <c r="Q286" s="256"/>
      <c r="R286" s="256"/>
      <c r="S286" s="256"/>
      <c r="T286" s="256"/>
      <c r="U286" s="256"/>
      <c r="V286" s="256"/>
      <c r="W286" s="256"/>
      <c r="X286" s="256"/>
      <c r="Y286" s="256"/>
      <c r="Z286" s="256"/>
      <c r="AA286" s="256"/>
      <c r="AB286" s="256"/>
      <c r="AC286" s="256"/>
      <c r="AD286" s="256"/>
      <c r="AE286" s="256"/>
      <c r="AF286" s="256"/>
      <c r="AG286" s="256"/>
      <c r="AH286" s="256"/>
      <c r="AI286" s="256"/>
      <c r="AJ286" s="256"/>
    </row>
    <row r="287" spans="1:36" ht="14.25" customHeight="1" x14ac:dyDescent="0.25">
      <c r="A287" s="256"/>
      <c r="B287" s="256"/>
      <c r="C287" s="256"/>
      <c r="D287" s="256"/>
      <c r="E287" s="256"/>
      <c r="F287" s="256"/>
      <c r="G287" s="256"/>
      <c r="H287" s="256"/>
      <c r="I287" s="256"/>
      <c r="J287" s="261"/>
      <c r="K287" s="257"/>
      <c r="L287" s="258"/>
      <c r="M287" s="256"/>
      <c r="N287" s="256"/>
      <c r="O287" s="259"/>
      <c r="P287" s="256"/>
      <c r="Q287" s="256"/>
      <c r="R287" s="256"/>
      <c r="S287" s="256"/>
      <c r="T287" s="256"/>
      <c r="U287" s="256"/>
      <c r="V287" s="256"/>
      <c r="W287" s="256"/>
      <c r="X287" s="256"/>
      <c r="Y287" s="256"/>
      <c r="Z287" s="256"/>
      <c r="AA287" s="256"/>
      <c r="AB287" s="256"/>
      <c r="AC287" s="256"/>
      <c r="AD287" s="256"/>
      <c r="AE287" s="256"/>
      <c r="AF287" s="256"/>
      <c r="AG287" s="256"/>
      <c r="AH287" s="256"/>
      <c r="AI287" s="256"/>
      <c r="AJ287" s="256"/>
    </row>
    <row r="288" spans="1:36" ht="14.25" customHeight="1" x14ac:dyDescent="0.25">
      <c r="A288" s="256"/>
      <c r="B288" s="256"/>
      <c r="C288" s="256"/>
      <c r="D288" s="256"/>
      <c r="E288" s="256"/>
      <c r="F288" s="256"/>
      <c r="G288" s="256"/>
      <c r="H288" s="256"/>
      <c r="I288" s="256"/>
      <c r="J288" s="261"/>
      <c r="K288" s="257"/>
      <c r="L288" s="258"/>
      <c r="M288" s="256"/>
      <c r="N288" s="256"/>
      <c r="O288" s="259"/>
      <c r="P288" s="256"/>
      <c r="Q288" s="256"/>
      <c r="R288" s="256"/>
      <c r="S288" s="256"/>
      <c r="T288" s="256"/>
      <c r="U288" s="256"/>
      <c r="V288" s="256"/>
      <c r="W288" s="256"/>
      <c r="X288" s="256"/>
      <c r="Y288" s="256"/>
      <c r="Z288" s="256"/>
      <c r="AA288" s="256"/>
      <c r="AB288" s="256"/>
      <c r="AC288" s="256"/>
      <c r="AD288" s="256"/>
      <c r="AE288" s="256"/>
      <c r="AF288" s="256"/>
      <c r="AG288" s="256"/>
      <c r="AH288" s="256"/>
      <c r="AI288" s="256"/>
      <c r="AJ288" s="256"/>
    </row>
    <row r="289" spans="1:36" ht="14.25" customHeight="1" x14ac:dyDescent="0.25">
      <c r="A289" s="256"/>
      <c r="B289" s="256"/>
      <c r="C289" s="256"/>
      <c r="D289" s="256"/>
      <c r="E289" s="256"/>
      <c r="F289" s="256"/>
      <c r="G289" s="256"/>
      <c r="H289" s="256"/>
      <c r="I289" s="256"/>
      <c r="J289" s="261"/>
      <c r="K289" s="257"/>
      <c r="L289" s="258"/>
      <c r="M289" s="256"/>
      <c r="N289" s="256"/>
      <c r="O289" s="259"/>
      <c r="P289" s="256"/>
      <c r="Q289" s="256"/>
      <c r="R289" s="256"/>
      <c r="S289" s="256"/>
      <c r="T289" s="256"/>
      <c r="U289" s="256"/>
      <c r="V289" s="256"/>
      <c r="W289" s="256"/>
      <c r="X289" s="256"/>
      <c r="Y289" s="256"/>
      <c r="Z289" s="256"/>
      <c r="AA289" s="256"/>
      <c r="AB289" s="256"/>
      <c r="AC289" s="256"/>
      <c r="AD289" s="256"/>
      <c r="AE289" s="256"/>
      <c r="AF289" s="256"/>
      <c r="AG289" s="256"/>
      <c r="AH289" s="256"/>
      <c r="AI289" s="256"/>
      <c r="AJ289" s="256"/>
    </row>
    <row r="290" spans="1:36" ht="14.25" customHeight="1" x14ac:dyDescent="0.25">
      <c r="A290" s="256"/>
      <c r="B290" s="256"/>
      <c r="C290" s="256"/>
      <c r="D290" s="256"/>
      <c r="E290" s="256"/>
      <c r="F290" s="256"/>
      <c r="G290" s="256"/>
      <c r="H290" s="256"/>
      <c r="I290" s="256"/>
      <c r="J290" s="261"/>
      <c r="K290" s="257"/>
      <c r="L290" s="258"/>
      <c r="M290" s="256"/>
      <c r="N290" s="256"/>
      <c r="O290" s="259"/>
      <c r="P290" s="256"/>
      <c r="Q290" s="256"/>
      <c r="R290" s="256"/>
      <c r="S290" s="256"/>
      <c r="T290" s="256"/>
      <c r="U290" s="256"/>
      <c r="V290" s="256"/>
      <c r="W290" s="256"/>
      <c r="X290" s="256"/>
      <c r="Y290" s="256"/>
      <c r="Z290" s="256"/>
      <c r="AA290" s="256"/>
      <c r="AB290" s="256"/>
      <c r="AC290" s="256"/>
      <c r="AD290" s="256"/>
      <c r="AE290" s="256"/>
      <c r="AF290" s="256"/>
      <c r="AG290" s="256"/>
      <c r="AH290" s="256"/>
      <c r="AI290" s="256"/>
      <c r="AJ290" s="256"/>
    </row>
    <row r="291" spans="1:36" ht="14.25" customHeight="1" x14ac:dyDescent="0.25">
      <c r="A291" s="256"/>
      <c r="B291" s="256"/>
      <c r="C291" s="256"/>
      <c r="D291" s="256"/>
      <c r="E291" s="256"/>
      <c r="F291" s="256"/>
      <c r="G291" s="256"/>
      <c r="H291" s="256"/>
      <c r="I291" s="256"/>
      <c r="J291" s="261"/>
      <c r="K291" s="257"/>
      <c r="L291" s="258"/>
      <c r="M291" s="256"/>
      <c r="N291" s="256"/>
      <c r="O291" s="259"/>
      <c r="P291" s="256"/>
      <c r="Q291" s="256"/>
      <c r="R291" s="256"/>
      <c r="S291" s="256"/>
      <c r="T291" s="256"/>
      <c r="U291" s="256"/>
      <c r="V291" s="256"/>
      <c r="W291" s="256"/>
      <c r="X291" s="256"/>
      <c r="Y291" s="256"/>
      <c r="Z291" s="256"/>
      <c r="AA291" s="256"/>
      <c r="AB291" s="256"/>
      <c r="AC291" s="256"/>
      <c r="AD291" s="256"/>
      <c r="AE291" s="256"/>
      <c r="AF291" s="256"/>
      <c r="AG291" s="256"/>
      <c r="AH291" s="256"/>
      <c r="AI291" s="256"/>
      <c r="AJ291" s="256"/>
    </row>
    <row r="292" spans="1:36" ht="14.25" customHeight="1" x14ac:dyDescent="0.25">
      <c r="A292" s="256"/>
      <c r="B292" s="256"/>
      <c r="C292" s="256"/>
      <c r="D292" s="256"/>
      <c r="E292" s="256"/>
      <c r="F292" s="256"/>
      <c r="G292" s="256"/>
      <c r="H292" s="256"/>
      <c r="I292" s="256"/>
      <c r="J292" s="261"/>
      <c r="K292" s="257"/>
      <c r="L292" s="258"/>
      <c r="M292" s="256"/>
      <c r="N292" s="256"/>
      <c r="O292" s="259"/>
      <c r="P292" s="256"/>
      <c r="Q292" s="256"/>
      <c r="R292" s="256"/>
      <c r="S292" s="256"/>
      <c r="T292" s="256"/>
      <c r="U292" s="256"/>
      <c r="V292" s="256"/>
      <c r="W292" s="256"/>
      <c r="X292" s="256"/>
      <c r="Y292" s="256"/>
      <c r="Z292" s="256"/>
      <c r="AA292" s="256"/>
      <c r="AB292" s="256"/>
      <c r="AC292" s="256"/>
      <c r="AD292" s="256"/>
      <c r="AE292" s="256"/>
      <c r="AF292" s="256"/>
      <c r="AG292" s="256"/>
      <c r="AH292" s="256"/>
      <c r="AI292" s="256"/>
      <c r="AJ292" s="256"/>
    </row>
    <row r="293" spans="1:36" ht="14.25" customHeight="1" x14ac:dyDescent="0.25">
      <c r="A293" s="256"/>
      <c r="B293" s="256"/>
      <c r="C293" s="256"/>
      <c r="D293" s="256"/>
      <c r="E293" s="256"/>
      <c r="F293" s="256"/>
      <c r="G293" s="256"/>
      <c r="H293" s="256"/>
      <c r="I293" s="256"/>
      <c r="J293" s="261"/>
      <c r="K293" s="257"/>
      <c r="L293" s="258"/>
      <c r="M293" s="256"/>
      <c r="N293" s="256"/>
      <c r="O293" s="259"/>
      <c r="P293" s="256"/>
      <c r="Q293" s="256"/>
      <c r="R293" s="256"/>
      <c r="S293" s="256"/>
      <c r="T293" s="256"/>
      <c r="U293" s="256"/>
      <c r="V293" s="256"/>
      <c r="W293" s="256"/>
      <c r="X293" s="256"/>
      <c r="Y293" s="256"/>
      <c r="Z293" s="256"/>
      <c r="AA293" s="256"/>
      <c r="AB293" s="256"/>
      <c r="AC293" s="256"/>
      <c r="AD293" s="256"/>
      <c r="AE293" s="256"/>
      <c r="AF293" s="256"/>
      <c r="AG293" s="256"/>
      <c r="AH293" s="256"/>
      <c r="AI293" s="256"/>
      <c r="AJ293" s="256"/>
    </row>
    <row r="294" spans="1:36" ht="14.25" customHeight="1" x14ac:dyDescent="0.25">
      <c r="J294" s="262"/>
      <c r="K294" s="263"/>
      <c r="L294" s="263"/>
      <c r="O294" s="264"/>
    </row>
    <row r="295" spans="1:36" ht="14.25" customHeight="1" x14ac:dyDescent="0.25">
      <c r="J295" s="262"/>
      <c r="K295" s="263"/>
      <c r="L295" s="263"/>
      <c r="O295" s="264"/>
    </row>
    <row r="296" spans="1:36" ht="14.25" customHeight="1" x14ac:dyDescent="0.25">
      <c r="J296" s="262"/>
      <c r="K296" s="263"/>
      <c r="L296" s="263"/>
      <c r="O296" s="264"/>
    </row>
    <row r="297" spans="1:36" ht="14.25" customHeight="1" x14ac:dyDescent="0.25">
      <c r="J297" s="262"/>
      <c r="K297" s="263"/>
      <c r="L297" s="263"/>
      <c r="O297" s="264"/>
    </row>
    <row r="298" spans="1:36" ht="14.25" customHeight="1" x14ac:dyDescent="0.25">
      <c r="J298" s="262"/>
      <c r="K298" s="263"/>
      <c r="L298" s="263"/>
      <c r="O298" s="264"/>
    </row>
    <row r="299" spans="1:36" ht="14.25" customHeight="1" x14ac:dyDescent="0.25">
      <c r="J299" s="262"/>
      <c r="K299" s="263"/>
      <c r="L299" s="263"/>
      <c r="O299" s="264"/>
    </row>
    <row r="300" spans="1:36" ht="14.25" customHeight="1" x14ac:dyDescent="0.25">
      <c r="J300" s="262"/>
      <c r="K300" s="263"/>
      <c r="L300" s="263"/>
      <c r="O300" s="264"/>
    </row>
    <row r="301" spans="1:36" ht="14.25" customHeight="1" x14ac:dyDescent="0.25">
      <c r="J301" s="262"/>
      <c r="K301" s="263"/>
      <c r="L301" s="263"/>
      <c r="O301" s="264"/>
    </row>
    <row r="302" spans="1:36" ht="14.25" customHeight="1" x14ac:dyDescent="0.25">
      <c r="J302" s="262"/>
      <c r="K302" s="263"/>
      <c r="L302" s="263"/>
      <c r="O302" s="264"/>
    </row>
    <row r="303" spans="1:36" ht="14.25" customHeight="1" x14ac:dyDescent="0.25">
      <c r="J303" s="262"/>
      <c r="K303" s="263"/>
      <c r="L303" s="263"/>
      <c r="O303" s="264"/>
    </row>
    <row r="304" spans="1:36" ht="14.25" customHeight="1" x14ac:dyDescent="0.25">
      <c r="J304" s="262"/>
      <c r="K304" s="263"/>
      <c r="L304" s="263"/>
      <c r="O304" s="264"/>
    </row>
    <row r="305" spans="10:15" ht="14.25" customHeight="1" x14ac:dyDescent="0.25">
      <c r="J305" s="262"/>
      <c r="K305" s="263"/>
      <c r="L305" s="263"/>
      <c r="O305" s="264"/>
    </row>
    <row r="306" spans="10:15" ht="14.25" customHeight="1" x14ac:dyDescent="0.25">
      <c r="J306" s="262"/>
      <c r="K306" s="263"/>
      <c r="L306" s="263"/>
      <c r="O306" s="264"/>
    </row>
    <row r="307" spans="10:15" ht="14.25" customHeight="1" x14ac:dyDescent="0.25">
      <c r="J307" s="262"/>
      <c r="K307" s="263"/>
      <c r="L307" s="263"/>
      <c r="O307" s="264"/>
    </row>
    <row r="308" spans="10:15" ht="14.25" customHeight="1" x14ac:dyDescent="0.25">
      <c r="J308" s="262"/>
      <c r="K308" s="263"/>
      <c r="L308" s="263"/>
      <c r="O308" s="264"/>
    </row>
    <row r="309" spans="10:15" ht="14.25" customHeight="1" x14ac:dyDescent="0.25">
      <c r="J309" s="262"/>
      <c r="K309" s="263"/>
      <c r="L309" s="263"/>
      <c r="O309" s="264"/>
    </row>
    <row r="310" spans="10:15" ht="14.25" customHeight="1" x14ac:dyDescent="0.25">
      <c r="J310" s="262"/>
      <c r="K310" s="263"/>
      <c r="L310" s="263"/>
      <c r="O310" s="264"/>
    </row>
    <row r="311" spans="10:15" ht="14.25" customHeight="1" x14ac:dyDescent="0.25">
      <c r="J311" s="262"/>
      <c r="K311" s="263"/>
      <c r="L311" s="263"/>
      <c r="O311" s="264"/>
    </row>
    <row r="312" spans="10:15" ht="14.25" customHeight="1" x14ac:dyDescent="0.25">
      <c r="J312" s="262"/>
      <c r="K312" s="263"/>
      <c r="L312" s="263"/>
      <c r="O312" s="264"/>
    </row>
    <row r="313" spans="10:15" ht="14.25" customHeight="1" x14ac:dyDescent="0.25">
      <c r="J313" s="262"/>
      <c r="K313" s="263"/>
      <c r="L313" s="263"/>
      <c r="O313" s="264"/>
    </row>
    <row r="314" spans="10:15" ht="14.25" customHeight="1" x14ac:dyDescent="0.25">
      <c r="J314" s="262"/>
      <c r="K314" s="263"/>
      <c r="L314" s="263"/>
      <c r="O314" s="264"/>
    </row>
    <row r="315" spans="10:15" ht="14.25" customHeight="1" x14ac:dyDescent="0.25">
      <c r="J315" s="262"/>
      <c r="K315" s="263"/>
      <c r="L315" s="263"/>
      <c r="O315" s="264"/>
    </row>
    <row r="316" spans="10:15" ht="14.25" customHeight="1" x14ac:dyDescent="0.25">
      <c r="J316" s="262"/>
      <c r="K316" s="263"/>
      <c r="L316" s="263"/>
      <c r="O316" s="264"/>
    </row>
    <row r="317" spans="10:15" ht="14.25" customHeight="1" x14ac:dyDescent="0.25">
      <c r="J317" s="262"/>
      <c r="K317" s="263"/>
      <c r="L317" s="263"/>
      <c r="O317" s="264"/>
    </row>
    <row r="318" spans="10:15" ht="14.25" customHeight="1" x14ac:dyDescent="0.25">
      <c r="J318" s="262"/>
      <c r="K318" s="263"/>
      <c r="L318" s="263"/>
      <c r="O318" s="264"/>
    </row>
    <row r="319" spans="10:15" ht="14.25" customHeight="1" x14ac:dyDescent="0.25">
      <c r="J319" s="262"/>
      <c r="K319" s="263"/>
      <c r="L319" s="263"/>
      <c r="O319" s="264"/>
    </row>
    <row r="320" spans="10:15" ht="14.25" customHeight="1" x14ac:dyDescent="0.25">
      <c r="J320" s="262"/>
      <c r="K320" s="263"/>
      <c r="L320" s="263"/>
      <c r="O320" s="264"/>
    </row>
    <row r="321" spans="10:15" ht="14.25" customHeight="1" x14ac:dyDescent="0.25">
      <c r="J321" s="262"/>
      <c r="K321" s="263"/>
      <c r="L321" s="263"/>
      <c r="O321" s="264"/>
    </row>
    <row r="322" spans="10:15" ht="14.25" customHeight="1" x14ac:dyDescent="0.25">
      <c r="J322" s="262"/>
      <c r="K322" s="263"/>
      <c r="L322" s="263"/>
      <c r="O322" s="264"/>
    </row>
    <row r="323" spans="10:15" ht="14.25" customHeight="1" x14ac:dyDescent="0.25">
      <c r="J323" s="262"/>
      <c r="K323" s="263"/>
      <c r="L323" s="263"/>
      <c r="O323" s="264"/>
    </row>
    <row r="324" spans="10:15" ht="14.25" customHeight="1" x14ac:dyDescent="0.25">
      <c r="J324" s="262"/>
      <c r="K324" s="263"/>
      <c r="L324" s="263"/>
      <c r="O324" s="264"/>
    </row>
    <row r="325" spans="10:15" ht="14.25" customHeight="1" x14ac:dyDescent="0.25">
      <c r="J325" s="262"/>
      <c r="K325" s="263"/>
      <c r="L325" s="263"/>
      <c r="O325" s="264"/>
    </row>
    <row r="326" spans="10:15" ht="14.25" customHeight="1" x14ac:dyDescent="0.25">
      <c r="J326" s="262"/>
      <c r="K326" s="263"/>
      <c r="L326" s="263"/>
      <c r="O326" s="264"/>
    </row>
    <row r="327" spans="10:15" ht="14.25" customHeight="1" x14ac:dyDescent="0.25">
      <c r="J327" s="262"/>
      <c r="K327" s="263"/>
      <c r="L327" s="263"/>
      <c r="O327" s="264"/>
    </row>
    <row r="328" spans="10:15" ht="14.25" customHeight="1" x14ac:dyDescent="0.25">
      <c r="J328" s="262"/>
      <c r="K328" s="263"/>
      <c r="L328" s="263"/>
      <c r="O328" s="264"/>
    </row>
    <row r="329" spans="10:15" ht="14.25" customHeight="1" x14ac:dyDescent="0.25">
      <c r="J329" s="262"/>
      <c r="K329" s="263"/>
      <c r="L329" s="263"/>
      <c r="O329" s="264"/>
    </row>
    <row r="330" spans="10:15" ht="14.25" customHeight="1" x14ac:dyDescent="0.25">
      <c r="J330" s="262"/>
      <c r="K330" s="263"/>
      <c r="L330" s="263"/>
      <c r="O330" s="264"/>
    </row>
    <row r="331" spans="10:15" ht="14.25" customHeight="1" x14ac:dyDescent="0.25">
      <c r="J331" s="262"/>
      <c r="K331" s="263"/>
      <c r="L331" s="263"/>
      <c r="O331" s="264"/>
    </row>
    <row r="332" spans="10:15" ht="14.25" customHeight="1" x14ac:dyDescent="0.25">
      <c r="J332" s="262"/>
      <c r="K332" s="263"/>
      <c r="L332" s="263"/>
      <c r="O332" s="264"/>
    </row>
    <row r="333" spans="10:15" ht="14.25" customHeight="1" x14ac:dyDescent="0.25">
      <c r="J333" s="262"/>
      <c r="K333" s="263"/>
      <c r="L333" s="263"/>
      <c r="O333" s="264"/>
    </row>
    <row r="334" spans="10:15" ht="14.25" customHeight="1" x14ac:dyDescent="0.25">
      <c r="J334" s="262"/>
      <c r="K334" s="263"/>
      <c r="L334" s="263"/>
      <c r="O334" s="264"/>
    </row>
    <row r="335" spans="10:15" ht="14.25" customHeight="1" x14ac:dyDescent="0.25">
      <c r="J335" s="262"/>
      <c r="K335" s="263"/>
      <c r="L335" s="263"/>
      <c r="O335" s="264"/>
    </row>
    <row r="336" spans="10:15" ht="14.25" customHeight="1" x14ac:dyDescent="0.25">
      <c r="J336" s="262"/>
      <c r="K336" s="263"/>
      <c r="L336" s="263"/>
      <c r="O336" s="264"/>
    </row>
    <row r="337" spans="10:15" ht="14.25" customHeight="1" x14ac:dyDescent="0.25">
      <c r="J337" s="262"/>
      <c r="K337" s="263"/>
      <c r="L337" s="263"/>
      <c r="O337" s="264"/>
    </row>
    <row r="338" spans="10:15" ht="14.25" customHeight="1" x14ac:dyDescent="0.25">
      <c r="J338" s="262"/>
      <c r="K338" s="263"/>
      <c r="L338" s="263"/>
      <c r="O338" s="264"/>
    </row>
    <row r="339" spans="10:15" ht="14.25" customHeight="1" x14ac:dyDescent="0.25">
      <c r="J339" s="262"/>
      <c r="K339" s="263"/>
      <c r="L339" s="263"/>
      <c r="O339" s="264"/>
    </row>
    <row r="340" spans="10:15" ht="14.25" customHeight="1" x14ac:dyDescent="0.25">
      <c r="J340" s="262"/>
      <c r="K340" s="263"/>
      <c r="L340" s="263"/>
      <c r="O340" s="264"/>
    </row>
    <row r="341" spans="10:15" ht="14.25" customHeight="1" x14ac:dyDescent="0.25">
      <c r="J341" s="262"/>
      <c r="K341" s="263"/>
      <c r="L341" s="263"/>
      <c r="O341" s="264"/>
    </row>
    <row r="342" spans="10:15" ht="14.25" customHeight="1" x14ac:dyDescent="0.25">
      <c r="J342" s="262"/>
      <c r="K342" s="263"/>
      <c r="L342" s="263"/>
      <c r="O342" s="264"/>
    </row>
    <row r="343" spans="10:15" ht="14.25" customHeight="1" x14ac:dyDescent="0.25">
      <c r="J343" s="262"/>
      <c r="K343" s="263"/>
      <c r="L343" s="263"/>
      <c r="O343" s="264"/>
    </row>
    <row r="344" spans="10:15" ht="14.25" customHeight="1" x14ac:dyDescent="0.25">
      <c r="J344" s="262"/>
      <c r="K344" s="263"/>
      <c r="L344" s="263"/>
      <c r="O344" s="264"/>
    </row>
    <row r="345" spans="10:15" ht="14.25" customHeight="1" x14ac:dyDescent="0.25">
      <c r="J345" s="262"/>
      <c r="K345" s="263"/>
      <c r="L345" s="263"/>
      <c r="O345" s="264"/>
    </row>
    <row r="346" spans="10:15" ht="14.25" customHeight="1" x14ac:dyDescent="0.25">
      <c r="J346" s="262"/>
      <c r="K346" s="263"/>
      <c r="L346" s="263"/>
      <c r="O346" s="264"/>
    </row>
    <row r="347" spans="10:15" ht="14.25" customHeight="1" x14ac:dyDescent="0.25">
      <c r="J347" s="262"/>
      <c r="K347" s="263"/>
      <c r="L347" s="263"/>
      <c r="O347" s="264"/>
    </row>
    <row r="348" spans="10:15" ht="14.25" customHeight="1" x14ac:dyDescent="0.25">
      <c r="J348" s="262"/>
      <c r="K348" s="263"/>
      <c r="L348" s="263"/>
      <c r="O348" s="264"/>
    </row>
    <row r="349" spans="10:15" ht="14.25" customHeight="1" x14ac:dyDescent="0.25">
      <c r="J349" s="262"/>
      <c r="K349" s="263"/>
      <c r="L349" s="263"/>
      <c r="O349" s="264"/>
    </row>
    <row r="350" spans="10:15" ht="14.25" customHeight="1" x14ac:dyDescent="0.25">
      <c r="J350" s="262"/>
      <c r="K350" s="263"/>
      <c r="L350" s="263"/>
      <c r="O350" s="264"/>
    </row>
    <row r="351" spans="10:15" ht="14.25" customHeight="1" x14ac:dyDescent="0.25">
      <c r="J351" s="262"/>
      <c r="K351" s="263"/>
      <c r="L351" s="263"/>
      <c r="O351" s="264"/>
    </row>
    <row r="352" spans="10:15" ht="14.25" customHeight="1" x14ac:dyDescent="0.25">
      <c r="J352" s="262"/>
      <c r="K352" s="263"/>
      <c r="L352" s="263"/>
      <c r="O352" s="264"/>
    </row>
    <row r="353" spans="10:15" ht="14.25" customHeight="1" x14ac:dyDescent="0.25">
      <c r="J353" s="262"/>
      <c r="K353" s="263"/>
      <c r="L353" s="263"/>
      <c r="O353" s="264"/>
    </row>
    <row r="354" spans="10:15" ht="14.25" customHeight="1" x14ac:dyDescent="0.25">
      <c r="J354" s="262"/>
      <c r="K354" s="263"/>
      <c r="L354" s="263"/>
      <c r="O354" s="264"/>
    </row>
    <row r="355" spans="10:15" ht="14.25" customHeight="1" x14ac:dyDescent="0.25">
      <c r="J355" s="262"/>
      <c r="K355" s="263"/>
      <c r="L355" s="263"/>
      <c r="O355" s="264"/>
    </row>
    <row r="356" spans="10:15" ht="14.25" customHeight="1" x14ac:dyDescent="0.25">
      <c r="J356" s="262"/>
      <c r="K356" s="263"/>
      <c r="L356" s="263"/>
      <c r="O356" s="264"/>
    </row>
    <row r="357" spans="10:15" ht="14.25" customHeight="1" x14ac:dyDescent="0.25">
      <c r="J357" s="262"/>
      <c r="K357" s="263"/>
      <c r="L357" s="263"/>
      <c r="O357" s="264"/>
    </row>
    <row r="358" spans="10:15" ht="14.25" customHeight="1" x14ac:dyDescent="0.25">
      <c r="J358" s="262"/>
      <c r="K358" s="263"/>
      <c r="L358" s="263"/>
      <c r="O358" s="264"/>
    </row>
    <row r="359" spans="10:15" ht="14.25" customHeight="1" x14ac:dyDescent="0.25">
      <c r="J359" s="262"/>
      <c r="K359" s="263"/>
      <c r="L359" s="263"/>
      <c r="O359" s="264"/>
    </row>
    <row r="360" spans="10:15" ht="14.25" customHeight="1" x14ac:dyDescent="0.25">
      <c r="J360" s="262"/>
      <c r="K360" s="263"/>
      <c r="L360" s="263"/>
      <c r="O360" s="264"/>
    </row>
    <row r="361" spans="10:15" ht="14.25" customHeight="1" x14ac:dyDescent="0.25">
      <c r="J361" s="262"/>
      <c r="K361" s="263"/>
      <c r="L361" s="263"/>
      <c r="O361" s="264"/>
    </row>
    <row r="362" spans="10:15" ht="14.25" customHeight="1" x14ac:dyDescent="0.25">
      <c r="J362" s="262"/>
      <c r="K362" s="263"/>
      <c r="L362" s="263"/>
      <c r="O362" s="264"/>
    </row>
    <row r="363" spans="10:15" ht="14.25" customHeight="1" x14ac:dyDescent="0.25">
      <c r="J363" s="262"/>
      <c r="K363" s="263"/>
      <c r="L363" s="263"/>
      <c r="O363" s="264"/>
    </row>
    <row r="364" spans="10:15" ht="14.25" customHeight="1" x14ac:dyDescent="0.25">
      <c r="J364" s="262"/>
      <c r="K364" s="263"/>
      <c r="L364" s="263"/>
      <c r="O364" s="264"/>
    </row>
    <row r="365" spans="10:15" ht="14.25" customHeight="1" x14ac:dyDescent="0.25">
      <c r="J365" s="262"/>
      <c r="K365" s="263"/>
      <c r="L365" s="263"/>
      <c r="O365" s="264"/>
    </row>
    <row r="366" spans="10:15" ht="14.25" customHeight="1" x14ac:dyDescent="0.25">
      <c r="J366" s="262"/>
      <c r="K366" s="263"/>
      <c r="L366" s="263"/>
      <c r="O366" s="264"/>
    </row>
    <row r="367" spans="10:15" ht="14.25" customHeight="1" x14ac:dyDescent="0.25">
      <c r="J367" s="262"/>
      <c r="K367" s="263"/>
      <c r="L367" s="263"/>
      <c r="O367" s="264"/>
    </row>
    <row r="368" spans="10:15" ht="14.25" customHeight="1" x14ac:dyDescent="0.25">
      <c r="J368" s="262"/>
      <c r="K368" s="263"/>
      <c r="L368" s="263"/>
      <c r="O368" s="264"/>
    </row>
    <row r="369" spans="10:15" ht="14.25" customHeight="1" x14ac:dyDescent="0.25">
      <c r="J369" s="262"/>
      <c r="K369" s="263"/>
      <c r="L369" s="263"/>
      <c r="O369" s="264"/>
    </row>
    <row r="370" spans="10:15" ht="14.25" customHeight="1" x14ac:dyDescent="0.25">
      <c r="J370" s="262"/>
      <c r="K370" s="263"/>
      <c r="L370" s="263"/>
      <c r="O370" s="264"/>
    </row>
    <row r="371" spans="10:15" ht="14.25" customHeight="1" x14ac:dyDescent="0.25">
      <c r="J371" s="262"/>
      <c r="K371" s="263"/>
      <c r="L371" s="263"/>
      <c r="O371" s="264"/>
    </row>
    <row r="372" spans="10:15" ht="14.25" customHeight="1" x14ac:dyDescent="0.25">
      <c r="J372" s="262"/>
      <c r="K372" s="263"/>
      <c r="L372" s="263"/>
      <c r="O372" s="264"/>
    </row>
    <row r="373" spans="10:15" ht="14.25" customHeight="1" x14ac:dyDescent="0.25">
      <c r="J373" s="262"/>
      <c r="K373" s="263"/>
      <c r="L373" s="263"/>
      <c r="O373" s="264"/>
    </row>
    <row r="374" spans="10:15" ht="14.25" customHeight="1" x14ac:dyDescent="0.25">
      <c r="J374" s="262"/>
      <c r="K374" s="263"/>
      <c r="L374" s="263"/>
      <c r="O374" s="264"/>
    </row>
    <row r="375" spans="10:15" ht="14.25" customHeight="1" x14ac:dyDescent="0.25">
      <c r="J375" s="262"/>
      <c r="K375" s="263"/>
      <c r="L375" s="263"/>
      <c r="O375" s="264"/>
    </row>
    <row r="376" spans="10:15" ht="14.25" customHeight="1" x14ac:dyDescent="0.25">
      <c r="J376" s="262"/>
      <c r="K376" s="263"/>
      <c r="L376" s="263"/>
      <c r="O376" s="264"/>
    </row>
    <row r="377" spans="10:15" ht="14.25" customHeight="1" x14ac:dyDescent="0.25">
      <c r="J377" s="262"/>
      <c r="K377" s="263"/>
      <c r="L377" s="263"/>
      <c r="O377" s="264"/>
    </row>
    <row r="378" spans="10:15" ht="14.25" customHeight="1" x14ac:dyDescent="0.25">
      <c r="J378" s="262"/>
      <c r="K378" s="263"/>
      <c r="L378" s="263"/>
      <c r="O378" s="264"/>
    </row>
    <row r="379" spans="10:15" ht="14.25" customHeight="1" x14ac:dyDescent="0.25">
      <c r="J379" s="262"/>
      <c r="K379" s="263"/>
      <c r="L379" s="263"/>
      <c r="O379" s="264"/>
    </row>
    <row r="380" spans="10:15" ht="14.25" customHeight="1" x14ac:dyDescent="0.25">
      <c r="J380" s="262"/>
      <c r="K380" s="263"/>
      <c r="L380" s="263"/>
      <c r="O380" s="264"/>
    </row>
    <row r="381" spans="10:15" ht="14.25" customHeight="1" x14ac:dyDescent="0.25">
      <c r="J381" s="262"/>
      <c r="K381" s="263"/>
      <c r="L381" s="263"/>
      <c r="O381" s="264"/>
    </row>
    <row r="382" spans="10:15" ht="14.25" customHeight="1" x14ac:dyDescent="0.25">
      <c r="J382" s="262"/>
      <c r="K382" s="263"/>
      <c r="L382" s="263"/>
      <c r="O382" s="264"/>
    </row>
    <row r="383" spans="10:15" ht="14.25" customHeight="1" x14ac:dyDescent="0.25">
      <c r="J383" s="262"/>
      <c r="K383" s="263"/>
      <c r="L383" s="263"/>
      <c r="O383" s="264"/>
    </row>
    <row r="384" spans="10:15" ht="14.25" customHeight="1" x14ac:dyDescent="0.25">
      <c r="J384" s="262"/>
      <c r="K384" s="263"/>
      <c r="L384" s="263"/>
      <c r="O384" s="264"/>
    </row>
    <row r="385" spans="10:15" ht="14.25" customHeight="1" x14ac:dyDescent="0.25">
      <c r="J385" s="262"/>
      <c r="K385" s="263"/>
      <c r="L385" s="263"/>
      <c r="O385" s="264"/>
    </row>
    <row r="386" spans="10:15" ht="14.25" customHeight="1" x14ac:dyDescent="0.25">
      <c r="J386" s="262"/>
      <c r="K386" s="263"/>
      <c r="L386" s="263"/>
      <c r="O386" s="264"/>
    </row>
    <row r="387" spans="10:15" ht="14.25" customHeight="1" x14ac:dyDescent="0.25">
      <c r="J387" s="262"/>
      <c r="K387" s="263"/>
      <c r="L387" s="263"/>
      <c r="O387" s="264"/>
    </row>
    <row r="388" spans="10:15" ht="14.25" customHeight="1" x14ac:dyDescent="0.25">
      <c r="J388" s="262"/>
      <c r="K388" s="263"/>
      <c r="L388" s="263"/>
      <c r="O388" s="264"/>
    </row>
    <row r="389" spans="10:15" ht="14.25" customHeight="1" x14ac:dyDescent="0.25">
      <c r="J389" s="262"/>
      <c r="K389" s="263"/>
      <c r="L389" s="263"/>
      <c r="O389" s="264"/>
    </row>
    <row r="390" spans="10:15" ht="14.25" customHeight="1" x14ac:dyDescent="0.25">
      <c r="J390" s="262"/>
      <c r="K390" s="263"/>
      <c r="L390" s="263"/>
      <c r="O390" s="264"/>
    </row>
    <row r="391" spans="10:15" ht="14.25" customHeight="1" x14ac:dyDescent="0.25">
      <c r="J391" s="262"/>
      <c r="K391" s="263"/>
      <c r="L391" s="263"/>
      <c r="O391" s="264"/>
    </row>
    <row r="392" spans="10:15" ht="14.25" customHeight="1" x14ac:dyDescent="0.25">
      <c r="J392" s="262"/>
      <c r="K392" s="263"/>
      <c r="L392" s="263"/>
      <c r="O392" s="264"/>
    </row>
    <row r="393" spans="10:15" ht="14.25" customHeight="1" x14ac:dyDescent="0.25">
      <c r="J393" s="262"/>
      <c r="K393" s="263"/>
      <c r="L393" s="263"/>
      <c r="O393" s="264"/>
    </row>
    <row r="394" spans="10:15" ht="14.25" customHeight="1" x14ac:dyDescent="0.25">
      <c r="J394" s="262"/>
      <c r="K394" s="263"/>
      <c r="L394" s="263"/>
      <c r="O394" s="264"/>
    </row>
    <row r="395" spans="10:15" ht="14.25" customHeight="1" x14ac:dyDescent="0.25">
      <c r="J395" s="262"/>
      <c r="K395" s="263"/>
      <c r="L395" s="263"/>
      <c r="O395" s="264"/>
    </row>
    <row r="396" spans="10:15" ht="14.25" customHeight="1" x14ac:dyDescent="0.25">
      <c r="J396" s="262"/>
      <c r="K396" s="263"/>
      <c r="L396" s="263"/>
      <c r="O396" s="264"/>
    </row>
    <row r="397" spans="10:15" ht="14.25" customHeight="1" x14ac:dyDescent="0.25">
      <c r="J397" s="262"/>
      <c r="K397" s="263"/>
      <c r="L397" s="263"/>
      <c r="O397" s="264"/>
    </row>
    <row r="398" spans="10:15" ht="14.25" customHeight="1" x14ac:dyDescent="0.25">
      <c r="J398" s="262"/>
      <c r="K398" s="263"/>
      <c r="L398" s="263"/>
      <c r="O398" s="264"/>
    </row>
    <row r="399" spans="10:15" ht="14.25" customHeight="1" x14ac:dyDescent="0.25">
      <c r="J399" s="262"/>
      <c r="K399" s="263"/>
      <c r="L399" s="263"/>
      <c r="O399" s="264"/>
    </row>
    <row r="400" spans="10:15" ht="14.25" customHeight="1" x14ac:dyDescent="0.25">
      <c r="J400" s="262"/>
      <c r="K400" s="263"/>
      <c r="L400" s="263"/>
      <c r="O400" s="264"/>
    </row>
    <row r="401" spans="10:15" ht="14.25" customHeight="1" x14ac:dyDescent="0.25">
      <c r="J401" s="262"/>
      <c r="K401" s="263"/>
      <c r="L401" s="263"/>
      <c r="O401" s="264"/>
    </row>
    <row r="402" spans="10:15" ht="14.25" customHeight="1" x14ac:dyDescent="0.25">
      <c r="J402" s="262"/>
      <c r="K402" s="263"/>
      <c r="L402" s="263"/>
      <c r="O402" s="264"/>
    </row>
    <row r="403" spans="10:15" ht="14.25" customHeight="1" x14ac:dyDescent="0.25">
      <c r="J403" s="262"/>
      <c r="K403" s="263"/>
      <c r="L403" s="263"/>
      <c r="O403" s="264"/>
    </row>
    <row r="404" spans="10:15" ht="14.25" customHeight="1" x14ac:dyDescent="0.25">
      <c r="J404" s="262"/>
      <c r="K404" s="263"/>
      <c r="L404" s="263"/>
      <c r="O404" s="264"/>
    </row>
    <row r="405" spans="10:15" ht="14.25" customHeight="1" x14ac:dyDescent="0.25">
      <c r="J405" s="262"/>
      <c r="K405" s="263"/>
      <c r="L405" s="263"/>
      <c r="O405" s="264"/>
    </row>
    <row r="406" spans="10:15" ht="14.25" customHeight="1" x14ac:dyDescent="0.25">
      <c r="J406" s="262"/>
      <c r="K406" s="263"/>
      <c r="L406" s="263"/>
      <c r="O406" s="264"/>
    </row>
    <row r="407" spans="10:15" ht="14.25" customHeight="1" x14ac:dyDescent="0.25">
      <c r="J407" s="262"/>
      <c r="K407" s="263"/>
      <c r="L407" s="263"/>
      <c r="O407" s="264"/>
    </row>
    <row r="408" spans="10:15" ht="14.25" customHeight="1" x14ac:dyDescent="0.25">
      <c r="J408" s="262"/>
      <c r="K408" s="263"/>
      <c r="L408" s="263"/>
      <c r="O408" s="264"/>
    </row>
    <row r="409" spans="10:15" ht="14.25" customHeight="1" x14ac:dyDescent="0.25">
      <c r="J409" s="262"/>
      <c r="K409" s="263"/>
      <c r="L409" s="263"/>
      <c r="O409" s="264"/>
    </row>
    <row r="410" spans="10:15" ht="14.25" customHeight="1" x14ac:dyDescent="0.25">
      <c r="J410" s="262"/>
      <c r="K410" s="263"/>
      <c r="L410" s="263"/>
      <c r="O410" s="264"/>
    </row>
    <row r="411" spans="10:15" ht="14.25" customHeight="1" x14ac:dyDescent="0.25">
      <c r="J411" s="262"/>
      <c r="K411" s="263"/>
      <c r="L411" s="263"/>
      <c r="O411" s="264"/>
    </row>
    <row r="412" spans="10:15" ht="14.25" customHeight="1" x14ac:dyDescent="0.25">
      <c r="J412" s="262"/>
      <c r="K412" s="263"/>
      <c r="L412" s="263"/>
      <c r="O412" s="264"/>
    </row>
    <row r="413" spans="10:15" ht="14.25" customHeight="1" x14ac:dyDescent="0.25">
      <c r="J413" s="262"/>
      <c r="K413" s="263"/>
      <c r="L413" s="263"/>
      <c r="O413" s="264"/>
    </row>
    <row r="414" spans="10:15" ht="14.25" customHeight="1" x14ac:dyDescent="0.25">
      <c r="J414" s="262"/>
      <c r="K414" s="263"/>
      <c r="L414" s="263"/>
      <c r="O414" s="264"/>
    </row>
    <row r="415" spans="10:15" ht="14.25" customHeight="1" x14ac:dyDescent="0.25">
      <c r="J415" s="262"/>
      <c r="K415" s="263"/>
      <c r="L415" s="263"/>
      <c r="O415" s="264"/>
    </row>
    <row r="416" spans="10:15" ht="14.25" customHeight="1" x14ac:dyDescent="0.25">
      <c r="J416" s="262"/>
      <c r="K416" s="263"/>
      <c r="L416" s="263"/>
      <c r="O416" s="264"/>
    </row>
    <row r="417" spans="10:15" ht="14.25" customHeight="1" x14ac:dyDescent="0.25">
      <c r="J417" s="262"/>
      <c r="K417" s="263"/>
      <c r="L417" s="263"/>
      <c r="O417" s="264"/>
    </row>
    <row r="418" spans="10:15" ht="14.25" customHeight="1" x14ac:dyDescent="0.25">
      <c r="J418" s="262"/>
      <c r="K418" s="263"/>
      <c r="L418" s="263"/>
      <c r="O418" s="264"/>
    </row>
    <row r="419" spans="10:15" ht="14.25" customHeight="1" x14ac:dyDescent="0.25">
      <c r="J419" s="262"/>
      <c r="K419" s="263"/>
      <c r="L419" s="263"/>
      <c r="O419" s="264"/>
    </row>
    <row r="420" spans="10:15" ht="14.25" customHeight="1" x14ac:dyDescent="0.25">
      <c r="J420" s="262"/>
      <c r="K420" s="263"/>
      <c r="L420" s="263"/>
      <c r="O420" s="264"/>
    </row>
    <row r="421" spans="10:15" ht="14.25" customHeight="1" x14ac:dyDescent="0.25">
      <c r="J421" s="262"/>
      <c r="K421" s="263"/>
      <c r="L421" s="263"/>
      <c r="O421" s="264"/>
    </row>
    <row r="422" spans="10:15" ht="14.25" customHeight="1" x14ac:dyDescent="0.25">
      <c r="J422" s="262"/>
      <c r="K422" s="263"/>
      <c r="L422" s="263"/>
      <c r="O422" s="264"/>
    </row>
    <row r="423" spans="10:15" ht="14.25" customHeight="1" x14ac:dyDescent="0.25">
      <c r="J423" s="262"/>
      <c r="K423" s="263"/>
      <c r="L423" s="263"/>
      <c r="O423" s="264"/>
    </row>
    <row r="424" spans="10:15" ht="14.25" customHeight="1" x14ac:dyDescent="0.25">
      <c r="J424" s="262"/>
      <c r="K424" s="263"/>
      <c r="L424" s="263"/>
      <c r="O424" s="264"/>
    </row>
    <row r="425" spans="10:15" ht="14.25" customHeight="1" x14ac:dyDescent="0.25">
      <c r="J425" s="262"/>
      <c r="K425" s="263"/>
      <c r="L425" s="263"/>
      <c r="O425" s="264"/>
    </row>
    <row r="426" spans="10:15" ht="14.25" customHeight="1" x14ac:dyDescent="0.25">
      <c r="J426" s="262"/>
      <c r="K426" s="263"/>
      <c r="L426" s="263"/>
      <c r="O426" s="264"/>
    </row>
    <row r="427" spans="10:15" ht="14.25" customHeight="1" x14ac:dyDescent="0.25">
      <c r="J427" s="262"/>
      <c r="K427" s="263"/>
      <c r="L427" s="263"/>
      <c r="O427" s="264"/>
    </row>
    <row r="428" spans="10:15" ht="14.25" customHeight="1" x14ac:dyDescent="0.25">
      <c r="J428" s="262"/>
      <c r="K428" s="263"/>
      <c r="L428" s="263"/>
      <c r="O428" s="264"/>
    </row>
    <row r="429" spans="10:15" ht="14.25" customHeight="1" x14ac:dyDescent="0.25">
      <c r="J429" s="262"/>
      <c r="K429" s="263"/>
      <c r="L429" s="263"/>
      <c r="O429" s="264"/>
    </row>
    <row r="430" spans="10:15" ht="14.25" customHeight="1" x14ac:dyDescent="0.25">
      <c r="J430" s="262"/>
      <c r="K430" s="263"/>
      <c r="L430" s="263"/>
      <c r="O430" s="264"/>
    </row>
    <row r="431" spans="10:15" ht="14.25" customHeight="1" x14ac:dyDescent="0.25">
      <c r="J431" s="262"/>
      <c r="K431" s="263"/>
      <c r="L431" s="263"/>
      <c r="O431" s="264"/>
    </row>
    <row r="432" spans="10:15" ht="14.25" customHeight="1" x14ac:dyDescent="0.25">
      <c r="J432" s="262"/>
      <c r="K432" s="263"/>
      <c r="L432" s="263"/>
      <c r="O432" s="264"/>
    </row>
    <row r="433" spans="10:15" ht="14.25" customHeight="1" x14ac:dyDescent="0.25">
      <c r="J433" s="262"/>
      <c r="K433" s="263"/>
      <c r="L433" s="263"/>
      <c r="O433" s="264"/>
    </row>
    <row r="434" spans="10:15" ht="14.25" customHeight="1" x14ac:dyDescent="0.25">
      <c r="J434" s="262"/>
      <c r="K434" s="263"/>
      <c r="L434" s="263"/>
      <c r="O434" s="264"/>
    </row>
    <row r="435" spans="10:15" ht="14.25" customHeight="1" x14ac:dyDescent="0.25">
      <c r="J435" s="262"/>
      <c r="K435" s="263"/>
      <c r="L435" s="263"/>
      <c r="O435" s="264"/>
    </row>
    <row r="436" spans="10:15" ht="14.25" customHeight="1" x14ac:dyDescent="0.25">
      <c r="J436" s="262"/>
      <c r="K436" s="263"/>
      <c r="L436" s="263"/>
      <c r="O436" s="264"/>
    </row>
    <row r="437" spans="10:15" ht="14.25" customHeight="1" x14ac:dyDescent="0.25">
      <c r="J437" s="262"/>
      <c r="K437" s="263"/>
      <c r="L437" s="263"/>
      <c r="O437" s="264"/>
    </row>
    <row r="438" spans="10:15" ht="14.25" customHeight="1" x14ac:dyDescent="0.25">
      <c r="J438" s="262"/>
      <c r="K438" s="263"/>
      <c r="L438" s="263"/>
      <c r="O438" s="264"/>
    </row>
    <row r="439" spans="10:15" ht="14.25" customHeight="1" x14ac:dyDescent="0.25">
      <c r="J439" s="262"/>
      <c r="K439" s="263"/>
      <c r="L439" s="263"/>
      <c r="O439" s="264"/>
    </row>
    <row r="440" spans="10:15" ht="14.25" customHeight="1" x14ac:dyDescent="0.25">
      <c r="J440" s="262"/>
      <c r="K440" s="263"/>
      <c r="L440" s="263"/>
      <c r="O440" s="264"/>
    </row>
    <row r="441" spans="10:15" ht="14.25" customHeight="1" x14ac:dyDescent="0.25">
      <c r="J441" s="262"/>
      <c r="K441" s="263"/>
      <c r="L441" s="263"/>
      <c r="O441" s="264"/>
    </row>
    <row r="442" spans="10:15" ht="14.25" customHeight="1" x14ac:dyDescent="0.25">
      <c r="J442" s="262"/>
      <c r="K442" s="263"/>
      <c r="L442" s="263"/>
      <c r="O442" s="264"/>
    </row>
    <row r="443" spans="10:15" ht="14.25" customHeight="1" x14ac:dyDescent="0.25">
      <c r="J443" s="262"/>
      <c r="K443" s="263"/>
      <c r="L443" s="263"/>
      <c r="O443" s="264"/>
    </row>
    <row r="444" spans="10:15" ht="14.25" customHeight="1" x14ac:dyDescent="0.25">
      <c r="J444" s="262"/>
      <c r="K444" s="263"/>
      <c r="L444" s="263"/>
      <c r="O444" s="264"/>
    </row>
    <row r="445" spans="10:15" ht="14.25" customHeight="1" x14ac:dyDescent="0.25">
      <c r="J445" s="262"/>
      <c r="K445" s="263"/>
      <c r="L445" s="263"/>
      <c r="O445" s="264"/>
    </row>
    <row r="446" spans="10:15" ht="14.25" customHeight="1" x14ac:dyDescent="0.25">
      <c r="J446" s="262"/>
      <c r="K446" s="263"/>
      <c r="L446" s="263"/>
      <c r="O446" s="264"/>
    </row>
    <row r="447" spans="10:15" ht="14.25" customHeight="1" x14ac:dyDescent="0.25">
      <c r="J447" s="262"/>
      <c r="K447" s="263"/>
      <c r="L447" s="263"/>
      <c r="O447" s="264"/>
    </row>
    <row r="448" spans="10:15" ht="14.25" customHeight="1" x14ac:dyDescent="0.25">
      <c r="J448" s="262"/>
      <c r="K448" s="263"/>
      <c r="L448" s="263"/>
      <c r="O448" s="264"/>
    </row>
    <row r="449" spans="10:15" ht="14.25" customHeight="1" x14ac:dyDescent="0.25">
      <c r="J449" s="262"/>
      <c r="K449" s="263"/>
      <c r="L449" s="263"/>
      <c r="O449" s="264"/>
    </row>
    <row r="450" spans="10:15" ht="14.25" customHeight="1" x14ac:dyDescent="0.25">
      <c r="J450" s="262"/>
      <c r="K450" s="263"/>
      <c r="L450" s="263"/>
      <c r="O450" s="264"/>
    </row>
    <row r="451" spans="10:15" ht="14.25" customHeight="1" x14ac:dyDescent="0.25">
      <c r="J451" s="262"/>
      <c r="K451" s="263"/>
      <c r="L451" s="263"/>
      <c r="O451" s="264"/>
    </row>
    <row r="452" spans="10:15" ht="14.25" customHeight="1" x14ac:dyDescent="0.25">
      <c r="J452" s="262"/>
      <c r="K452" s="263"/>
      <c r="L452" s="263"/>
      <c r="O452" s="264"/>
    </row>
    <row r="453" spans="10:15" ht="14.25" customHeight="1" x14ac:dyDescent="0.25">
      <c r="J453" s="262"/>
      <c r="K453" s="263"/>
      <c r="L453" s="263"/>
      <c r="O453" s="264"/>
    </row>
    <row r="454" spans="10:15" ht="14.25" customHeight="1" x14ac:dyDescent="0.25">
      <c r="J454" s="262"/>
      <c r="K454" s="263"/>
      <c r="L454" s="263"/>
      <c r="O454" s="264"/>
    </row>
    <row r="455" spans="10:15" ht="14.25" customHeight="1" x14ac:dyDescent="0.25">
      <c r="J455" s="262"/>
      <c r="K455" s="263"/>
      <c r="L455" s="263"/>
      <c r="O455" s="264"/>
    </row>
    <row r="456" spans="10:15" ht="14.25" customHeight="1" x14ac:dyDescent="0.25">
      <c r="J456" s="262"/>
      <c r="K456" s="263"/>
      <c r="L456" s="263"/>
      <c r="O456" s="264"/>
    </row>
    <row r="457" spans="10:15" ht="14.25" customHeight="1" x14ac:dyDescent="0.25">
      <c r="J457" s="262"/>
      <c r="K457" s="263"/>
      <c r="L457" s="263"/>
      <c r="O457" s="264"/>
    </row>
    <row r="458" spans="10:15" ht="14.25" customHeight="1" x14ac:dyDescent="0.25">
      <c r="J458" s="262"/>
      <c r="K458" s="263"/>
      <c r="L458" s="263"/>
      <c r="O458" s="264"/>
    </row>
    <row r="459" spans="10:15" ht="14.25" customHeight="1" x14ac:dyDescent="0.25">
      <c r="J459" s="262"/>
      <c r="K459" s="263"/>
      <c r="L459" s="263"/>
      <c r="O459" s="264"/>
    </row>
    <row r="460" spans="10:15" ht="14.25" customHeight="1" x14ac:dyDescent="0.25">
      <c r="J460" s="262"/>
      <c r="K460" s="263"/>
      <c r="L460" s="263"/>
      <c r="O460" s="264"/>
    </row>
    <row r="461" spans="10:15" ht="14.25" customHeight="1" x14ac:dyDescent="0.25">
      <c r="J461" s="262"/>
      <c r="K461" s="263"/>
      <c r="L461" s="263"/>
      <c r="O461" s="264"/>
    </row>
    <row r="462" spans="10:15" ht="14.25" customHeight="1" x14ac:dyDescent="0.25">
      <c r="J462" s="262"/>
      <c r="K462" s="263"/>
      <c r="L462" s="263"/>
      <c r="O462" s="264"/>
    </row>
    <row r="463" spans="10:15" ht="14.25" customHeight="1" x14ac:dyDescent="0.25">
      <c r="J463" s="262"/>
      <c r="K463" s="263"/>
      <c r="L463" s="263"/>
      <c r="O463" s="264"/>
    </row>
    <row r="464" spans="10:15" ht="14.25" customHeight="1" x14ac:dyDescent="0.25">
      <c r="J464" s="262"/>
      <c r="K464" s="263"/>
      <c r="L464" s="263"/>
      <c r="O464" s="264"/>
    </row>
    <row r="465" spans="10:15" ht="14.25" customHeight="1" x14ac:dyDescent="0.25">
      <c r="J465" s="262"/>
      <c r="K465" s="263"/>
      <c r="L465" s="263"/>
      <c r="O465" s="264"/>
    </row>
    <row r="466" spans="10:15" ht="14.25" customHeight="1" x14ac:dyDescent="0.25">
      <c r="J466" s="262"/>
      <c r="K466" s="263"/>
      <c r="L466" s="263"/>
      <c r="O466" s="264"/>
    </row>
    <row r="467" spans="10:15" ht="14.25" customHeight="1" x14ac:dyDescent="0.25">
      <c r="J467" s="262"/>
      <c r="K467" s="263"/>
      <c r="L467" s="263"/>
      <c r="O467" s="264"/>
    </row>
    <row r="468" spans="10:15" ht="14.25" customHeight="1" x14ac:dyDescent="0.25">
      <c r="J468" s="262"/>
      <c r="K468" s="263"/>
      <c r="L468" s="263"/>
      <c r="O468" s="264"/>
    </row>
    <row r="469" spans="10:15" ht="14.25" customHeight="1" x14ac:dyDescent="0.25">
      <c r="J469" s="262"/>
      <c r="K469" s="263"/>
      <c r="L469" s="263"/>
      <c r="O469" s="264"/>
    </row>
    <row r="470" spans="10:15" ht="14.25" customHeight="1" x14ac:dyDescent="0.25">
      <c r="J470" s="262"/>
      <c r="K470" s="263"/>
      <c r="L470" s="263"/>
      <c r="O470" s="264"/>
    </row>
    <row r="471" spans="10:15" ht="14.25" customHeight="1" x14ac:dyDescent="0.25">
      <c r="J471" s="262"/>
      <c r="K471" s="263"/>
      <c r="L471" s="263"/>
      <c r="O471" s="264"/>
    </row>
    <row r="472" spans="10:15" ht="14.25" customHeight="1" x14ac:dyDescent="0.25">
      <c r="J472" s="262"/>
      <c r="K472" s="263"/>
      <c r="L472" s="263"/>
      <c r="O472" s="264"/>
    </row>
    <row r="473" spans="10:15" ht="14.25" customHeight="1" x14ac:dyDescent="0.25">
      <c r="J473" s="262"/>
      <c r="K473" s="263"/>
      <c r="L473" s="263"/>
      <c r="O473" s="264"/>
    </row>
    <row r="474" spans="10:15" ht="14.25" customHeight="1" x14ac:dyDescent="0.25">
      <c r="J474" s="262"/>
      <c r="K474" s="263"/>
      <c r="L474" s="263"/>
      <c r="O474" s="264"/>
    </row>
    <row r="475" spans="10:15" ht="14.25" customHeight="1" x14ac:dyDescent="0.25">
      <c r="J475" s="262"/>
      <c r="K475" s="263"/>
      <c r="L475" s="263"/>
      <c r="O475" s="264"/>
    </row>
    <row r="476" spans="10:15" ht="14.25" customHeight="1" x14ac:dyDescent="0.25">
      <c r="J476" s="262"/>
      <c r="K476" s="263"/>
      <c r="L476" s="263"/>
      <c r="O476" s="264"/>
    </row>
    <row r="477" spans="10:15" ht="14.25" customHeight="1" x14ac:dyDescent="0.25">
      <c r="J477" s="262"/>
      <c r="K477" s="263"/>
      <c r="L477" s="263"/>
      <c r="O477" s="264"/>
    </row>
    <row r="478" spans="10:15" ht="14.25" customHeight="1" x14ac:dyDescent="0.25">
      <c r="J478" s="262"/>
      <c r="K478" s="263"/>
      <c r="L478" s="263"/>
      <c r="O478" s="264"/>
    </row>
    <row r="479" spans="10:15" ht="14.25" customHeight="1" x14ac:dyDescent="0.25">
      <c r="J479" s="262"/>
      <c r="K479" s="263"/>
      <c r="L479" s="263"/>
      <c r="O479" s="264"/>
    </row>
    <row r="480" spans="10:15" ht="14.25" customHeight="1" x14ac:dyDescent="0.25">
      <c r="J480" s="262"/>
      <c r="K480" s="263"/>
      <c r="L480" s="263"/>
      <c r="O480" s="264"/>
    </row>
    <row r="481" spans="10:15" ht="14.25" customHeight="1" x14ac:dyDescent="0.25">
      <c r="J481" s="262"/>
      <c r="K481" s="263"/>
      <c r="L481" s="263"/>
      <c r="O481" s="264"/>
    </row>
    <row r="482" spans="10:15" ht="14.25" customHeight="1" x14ac:dyDescent="0.25">
      <c r="J482" s="262"/>
      <c r="K482" s="263"/>
      <c r="L482" s="263"/>
      <c r="O482" s="264"/>
    </row>
    <row r="483" spans="10:15" ht="14.25" customHeight="1" x14ac:dyDescent="0.25">
      <c r="J483" s="262"/>
      <c r="K483" s="263"/>
      <c r="L483" s="263"/>
      <c r="O483" s="264"/>
    </row>
    <row r="484" spans="10:15" ht="14.25" customHeight="1" x14ac:dyDescent="0.25">
      <c r="J484" s="262"/>
      <c r="K484" s="263"/>
      <c r="L484" s="263"/>
      <c r="O484" s="264"/>
    </row>
    <row r="485" spans="10:15" ht="14.25" customHeight="1" x14ac:dyDescent="0.25">
      <c r="J485" s="262"/>
      <c r="K485" s="263"/>
      <c r="L485" s="263"/>
      <c r="O485" s="264"/>
    </row>
    <row r="486" spans="10:15" ht="14.25" customHeight="1" x14ac:dyDescent="0.25">
      <c r="J486" s="262"/>
      <c r="K486" s="263"/>
      <c r="L486" s="263"/>
      <c r="O486" s="264"/>
    </row>
    <row r="487" spans="10:15" ht="14.25" customHeight="1" x14ac:dyDescent="0.25">
      <c r="J487" s="262"/>
      <c r="K487" s="263"/>
      <c r="L487" s="263"/>
      <c r="O487" s="264"/>
    </row>
    <row r="488" spans="10:15" ht="14.25" customHeight="1" x14ac:dyDescent="0.25">
      <c r="J488" s="262"/>
      <c r="K488" s="263"/>
      <c r="L488" s="263"/>
      <c r="O488" s="264"/>
    </row>
    <row r="489" spans="10:15" ht="14.25" customHeight="1" x14ac:dyDescent="0.25">
      <c r="J489" s="262"/>
      <c r="K489" s="263"/>
      <c r="L489" s="263"/>
      <c r="O489" s="264"/>
    </row>
    <row r="490" spans="10:15" ht="14.25" customHeight="1" x14ac:dyDescent="0.25">
      <c r="J490" s="262"/>
      <c r="K490" s="263"/>
      <c r="L490" s="263"/>
      <c r="O490" s="264"/>
    </row>
    <row r="491" spans="10:15" ht="14.25" customHeight="1" x14ac:dyDescent="0.25">
      <c r="J491" s="262"/>
      <c r="K491" s="263"/>
      <c r="L491" s="263"/>
      <c r="O491" s="264"/>
    </row>
    <row r="492" spans="10:15" ht="14.25" customHeight="1" x14ac:dyDescent="0.25">
      <c r="J492" s="262"/>
      <c r="K492" s="263"/>
      <c r="L492" s="263"/>
      <c r="O492" s="264"/>
    </row>
    <row r="493" spans="10:15" ht="14.25" customHeight="1" x14ac:dyDescent="0.25">
      <c r="J493" s="262"/>
      <c r="K493" s="263"/>
      <c r="L493" s="263"/>
      <c r="O493" s="264"/>
    </row>
    <row r="494" spans="10:15" ht="14.25" customHeight="1" x14ac:dyDescent="0.25">
      <c r="J494" s="262"/>
      <c r="K494" s="263"/>
      <c r="L494" s="263"/>
      <c r="O494" s="264"/>
    </row>
    <row r="495" spans="10:15" ht="14.25" customHeight="1" x14ac:dyDescent="0.25">
      <c r="J495" s="262"/>
      <c r="K495" s="263"/>
      <c r="L495" s="263"/>
      <c r="O495" s="264"/>
    </row>
    <row r="496" spans="10:15" ht="14.25" customHeight="1" x14ac:dyDescent="0.25">
      <c r="J496" s="262"/>
      <c r="K496" s="263"/>
      <c r="L496" s="263"/>
      <c r="O496" s="264"/>
    </row>
    <row r="497" spans="10:15" ht="14.25" customHeight="1" x14ac:dyDescent="0.25">
      <c r="J497" s="262"/>
      <c r="K497" s="263"/>
      <c r="L497" s="263"/>
      <c r="O497" s="264"/>
    </row>
    <row r="498" spans="10:15" ht="14.25" customHeight="1" x14ac:dyDescent="0.25">
      <c r="J498" s="262"/>
      <c r="K498" s="263"/>
      <c r="L498" s="263"/>
      <c r="O498" s="264"/>
    </row>
    <row r="499" spans="10:15" ht="14.25" customHeight="1" x14ac:dyDescent="0.25">
      <c r="J499" s="262"/>
      <c r="K499" s="263"/>
      <c r="L499" s="263"/>
      <c r="O499" s="264"/>
    </row>
    <row r="500" spans="10:15" ht="14.25" customHeight="1" x14ac:dyDescent="0.25">
      <c r="J500" s="262"/>
      <c r="K500" s="263"/>
      <c r="L500" s="263"/>
      <c r="O500" s="264"/>
    </row>
    <row r="501" spans="10:15" ht="14.25" customHeight="1" x14ac:dyDescent="0.25">
      <c r="J501" s="262"/>
      <c r="K501" s="263"/>
      <c r="L501" s="263"/>
      <c r="O501" s="264"/>
    </row>
    <row r="502" spans="10:15" ht="14.25" customHeight="1" x14ac:dyDescent="0.25">
      <c r="J502" s="262"/>
      <c r="K502" s="263"/>
      <c r="L502" s="263"/>
      <c r="O502" s="264"/>
    </row>
    <row r="503" spans="10:15" ht="14.25" customHeight="1" x14ac:dyDescent="0.25">
      <c r="J503" s="262"/>
      <c r="K503" s="263"/>
      <c r="L503" s="263"/>
      <c r="O503" s="264"/>
    </row>
    <row r="504" spans="10:15" ht="14.25" customHeight="1" x14ac:dyDescent="0.25">
      <c r="J504" s="262"/>
      <c r="K504" s="263"/>
      <c r="L504" s="263"/>
      <c r="O504" s="264"/>
    </row>
    <row r="505" spans="10:15" ht="14.25" customHeight="1" x14ac:dyDescent="0.25">
      <c r="J505" s="262"/>
      <c r="K505" s="263"/>
      <c r="L505" s="263"/>
      <c r="O505" s="264"/>
    </row>
    <row r="506" spans="10:15" ht="14.25" customHeight="1" x14ac:dyDescent="0.25">
      <c r="J506" s="262"/>
      <c r="K506" s="263"/>
      <c r="L506" s="263"/>
      <c r="O506" s="264"/>
    </row>
    <row r="507" spans="10:15" ht="14.25" customHeight="1" x14ac:dyDescent="0.25">
      <c r="J507" s="262"/>
      <c r="K507" s="263"/>
      <c r="L507" s="263"/>
      <c r="O507" s="264"/>
    </row>
    <row r="508" spans="10:15" ht="14.25" customHeight="1" x14ac:dyDescent="0.25">
      <c r="J508" s="262"/>
      <c r="K508" s="263"/>
      <c r="L508" s="263"/>
      <c r="O508" s="264"/>
    </row>
    <row r="509" spans="10:15" ht="14.25" customHeight="1" x14ac:dyDescent="0.25">
      <c r="J509" s="262"/>
      <c r="K509" s="263"/>
      <c r="L509" s="263"/>
      <c r="O509" s="264"/>
    </row>
    <row r="510" spans="10:15" ht="14.25" customHeight="1" x14ac:dyDescent="0.25">
      <c r="J510" s="262"/>
      <c r="K510" s="263"/>
      <c r="L510" s="263"/>
      <c r="O510" s="264"/>
    </row>
    <row r="511" spans="10:15" ht="14.25" customHeight="1" x14ac:dyDescent="0.25">
      <c r="J511" s="262"/>
      <c r="K511" s="263"/>
      <c r="L511" s="263"/>
      <c r="O511" s="264"/>
    </row>
    <row r="512" spans="10:15" ht="14.25" customHeight="1" x14ac:dyDescent="0.25">
      <c r="J512" s="262"/>
      <c r="K512" s="263"/>
      <c r="L512" s="263"/>
      <c r="O512" s="264"/>
    </row>
    <row r="513" spans="10:15" ht="14.25" customHeight="1" x14ac:dyDescent="0.25">
      <c r="J513" s="262"/>
      <c r="K513" s="263"/>
      <c r="L513" s="263"/>
      <c r="O513" s="264"/>
    </row>
    <row r="514" spans="10:15" ht="14.25" customHeight="1" x14ac:dyDescent="0.25">
      <c r="J514" s="262"/>
      <c r="K514" s="263"/>
      <c r="L514" s="263"/>
      <c r="O514" s="264"/>
    </row>
    <row r="515" spans="10:15" ht="14.25" customHeight="1" x14ac:dyDescent="0.25">
      <c r="J515" s="262"/>
      <c r="K515" s="263"/>
      <c r="L515" s="263"/>
      <c r="O515" s="264"/>
    </row>
    <row r="516" spans="10:15" ht="14.25" customHeight="1" x14ac:dyDescent="0.25">
      <c r="J516" s="262"/>
      <c r="K516" s="263"/>
      <c r="L516" s="263"/>
      <c r="O516" s="264"/>
    </row>
    <row r="517" spans="10:15" ht="14.25" customHeight="1" x14ac:dyDescent="0.25">
      <c r="J517" s="262"/>
      <c r="K517" s="263"/>
      <c r="L517" s="263"/>
      <c r="O517" s="264"/>
    </row>
    <row r="518" spans="10:15" ht="14.25" customHeight="1" x14ac:dyDescent="0.25">
      <c r="J518" s="262"/>
      <c r="K518" s="263"/>
      <c r="L518" s="263"/>
      <c r="O518" s="264"/>
    </row>
    <row r="519" spans="10:15" ht="14.25" customHeight="1" x14ac:dyDescent="0.25">
      <c r="J519" s="262"/>
      <c r="K519" s="263"/>
      <c r="L519" s="263"/>
      <c r="O519" s="264"/>
    </row>
    <row r="520" spans="10:15" ht="14.25" customHeight="1" x14ac:dyDescent="0.25">
      <c r="J520" s="262"/>
      <c r="K520" s="263"/>
      <c r="L520" s="263"/>
      <c r="O520" s="264"/>
    </row>
    <row r="521" spans="10:15" ht="14.25" customHeight="1" x14ac:dyDescent="0.25">
      <c r="J521" s="262"/>
      <c r="K521" s="263"/>
      <c r="L521" s="263"/>
      <c r="O521" s="264"/>
    </row>
    <row r="522" spans="10:15" ht="14.25" customHeight="1" x14ac:dyDescent="0.25">
      <c r="J522" s="262"/>
      <c r="K522" s="263"/>
      <c r="L522" s="263"/>
      <c r="O522" s="264"/>
    </row>
    <row r="523" spans="10:15" ht="14.25" customHeight="1" x14ac:dyDescent="0.25">
      <c r="J523" s="262"/>
      <c r="K523" s="263"/>
      <c r="L523" s="263"/>
      <c r="O523" s="264"/>
    </row>
    <row r="524" spans="10:15" ht="14.25" customHeight="1" x14ac:dyDescent="0.25">
      <c r="J524" s="262"/>
      <c r="K524" s="263"/>
      <c r="L524" s="263"/>
      <c r="O524" s="264"/>
    </row>
    <row r="525" spans="10:15" ht="14.25" customHeight="1" x14ac:dyDescent="0.25">
      <c r="J525" s="262"/>
      <c r="K525" s="263"/>
      <c r="L525" s="263"/>
      <c r="O525" s="264"/>
    </row>
    <row r="526" spans="10:15" ht="14.25" customHeight="1" x14ac:dyDescent="0.25">
      <c r="J526" s="262"/>
      <c r="K526" s="263"/>
      <c r="L526" s="263"/>
      <c r="O526" s="264"/>
    </row>
    <row r="527" spans="10:15" ht="14.25" customHeight="1" x14ac:dyDescent="0.25">
      <c r="J527" s="262"/>
      <c r="K527" s="263"/>
      <c r="L527" s="263"/>
      <c r="O527" s="264"/>
    </row>
    <row r="528" spans="10:15" ht="14.25" customHeight="1" x14ac:dyDescent="0.25">
      <c r="J528" s="262"/>
      <c r="K528" s="263"/>
      <c r="L528" s="263"/>
      <c r="O528" s="264"/>
    </row>
    <row r="529" spans="10:15" ht="14.25" customHeight="1" x14ac:dyDescent="0.25">
      <c r="J529" s="262"/>
      <c r="K529" s="263"/>
      <c r="L529" s="263"/>
      <c r="O529" s="264"/>
    </row>
    <row r="530" spans="10:15" ht="14.25" customHeight="1" x14ac:dyDescent="0.25">
      <c r="J530" s="262"/>
      <c r="K530" s="263"/>
      <c r="L530" s="263"/>
      <c r="O530" s="264"/>
    </row>
    <row r="531" spans="10:15" ht="14.25" customHeight="1" x14ac:dyDescent="0.25">
      <c r="J531" s="262"/>
      <c r="K531" s="263"/>
      <c r="L531" s="263"/>
      <c r="O531" s="264"/>
    </row>
    <row r="532" spans="10:15" ht="14.25" customHeight="1" x14ac:dyDescent="0.25">
      <c r="J532" s="262"/>
      <c r="K532" s="263"/>
      <c r="L532" s="263"/>
      <c r="O532" s="264"/>
    </row>
    <row r="533" spans="10:15" ht="14.25" customHeight="1" x14ac:dyDescent="0.25">
      <c r="J533" s="262"/>
      <c r="K533" s="263"/>
      <c r="L533" s="263"/>
      <c r="O533" s="264"/>
    </row>
    <row r="534" spans="10:15" ht="14.25" customHeight="1" x14ac:dyDescent="0.25">
      <c r="J534" s="262"/>
      <c r="K534" s="263"/>
      <c r="L534" s="263"/>
      <c r="O534" s="264"/>
    </row>
    <row r="535" spans="10:15" ht="14.25" customHeight="1" x14ac:dyDescent="0.25">
      <c r="J535" s="262"/>
      <c r="K535" s="263"/>
      <c r="L535" s="263"/>
      <c r="O535" s="264"/>
    </row>
    <row r="536" spans="10:15" ht="14.25" customHeight="1" x14ac:dyDescent="0.25">
      <c r="J536" s="262"/>
      <c r="K536" s="263"/>
      <c r="L536" s="263"/>
      <c r="O536" s="264"/>
    </row>
    <row r="537" spans="10:15" ht="14.25" customHeight="1" x14ac:dyDescent="0.25">
      <c r="J537" s="262"/>
      <c r="K537" s="263"/>
      <c r="L537" s="263"/>
      <c r="O537" s="264"/>
    </row>
    <row r="538" spans="10:15" ht="14.25" customHeight="1" x14ac:dyDescent="0.25">
      <c r="J538" s="262"/>
      <c r="K538" s="263"/>
      <c r="L538" s="263"/>
      <c r="O538" s="264"/>
    </row>
    <row r="539" spans="10:15" ht="14.25" customHeight="1" x14ac:dyDescent="0.25">
      <c r="J539" s="262"/>
      <c r="K539" s="263"/>
      <c r="L539" s="263"/>
      <c r="O539" s="264"/>
    </row>
    <row r="540" spans="10:15" ht="14.25" customHeight="1" x14ac:dyDescent="0.25">
      <c r="J540" s="262"/>
      <c r="K540" s="263"/>
      <c r="L540" s="263"/>
      <c r="O540" s="264"/>
    </row>
    <row r="541" spans="10:15" ht="14.25" customHeight="1" x14ac:dyDescent="0.25">
      <c r="J541" s="262"/>
      <c r="K541" s="263"/>
      <c r="L541" s="263"/>
      <c r="O541" s="264"/>
    </row>
    <row r="542" spans="10:15" ht="14.25" customHeight="1" x14ac:dyDescent="0.25">
      <c r="J542" s="262"/>
      <c r="K542" s="263"/>
      <c r="L542" s="263"/>
      <c r="O542" s="264"/>
    </row>
    <row r="543" spans="10:15" ht="14.25" customHeight="1" x14ac:dyDescent="0.25">
      <c r="J543" s="262"/>
      <c r="K543" s="263"/>
      <c r="L543" s="263"/>
      <c r="O543" s="264"/>
    </row>
    <row r="544" spans="10:15" ht="14.25" customHeight="1" x14ac:dyDescent="0.25">
      <c r="J544" s="262"/>
      <c r="K544" s="263"/>
      <c r="L544" s="263"/>
      <c r="O544" s="264"/>
    </row>
    <row r="545" spans="10:15" ht="14.25" customHeight="1" x14ac:dyDescent="0.25">
      <c r="J545" s="262"/>
      <c r="K545" s="263"/>
      <c r="L545" s="263"/>
      <c r="O545" s="264"/>
    </row>
    <row r="546" spans="10:15" ht="14.25" customHeight="1" x14ac:dyDescent="0.25">
      <c r="J546" s="262"/>
      <c r="K546" s="263"/>
      <c r="L546" s="263"/>
      <c r="O546" s="264"/>
    </row>
    <row r="547" spans="10:15" ht="14.25" customHeight="1" x14ac:dyDescent="0.25">
      <c r="J547" s="262"/>
      <c r="K547" s="263"/>
      <c r="L547" s="263"/>
      <c r="O547" s="264"/>
    </row>
    <row r="548" spans="10:15" ht="14.25" customHeight="1" x14ac:dyDescent="0.25">
      <c r="J548" s="262"/>
      <c r="K548" s="263"/>
      <c r="L548" s="263"/>
      <c r="O548" s="264"/>
    </row>
    <row r="549" spans="10:15" ht="14.25" customHeight="1" x14ac:dyDescent="0.25">
      <c r="J549" s="262"/>
      <c r="K549" s="263"/>
      <c r="L549" s="263"/>
      <c r="O549" s="264"/>
    </row>
    <row r="550" spans="10:15" ht="14.25" customHeight="1" x14ac:dyDescent="0.25">
      <c r="J550" s="262"/>
      <c r="K550" s="263"/>
      <c r="L550" s="263"/>
      <c r="O550" s="264"/>
    </row>
    <row r="551" spans="10:15" ht="14.25" customHeight="1" x14ac:dyDescent="0.25">
      <c r="J551" s="262"/>
      <c r="K551" s="263"/>
      <c r="L551" s="263"/>
      <c r="O551" s="264"/>
    </row>
    <row r="552" spans="10:15" ht="14.25" customHeight="1" x14ac:dyDescent="0.25">
      <c r="J552" s="262"/>
      <c r="K552" s="263"/>
      <c r="L552" s="263"/>
      <c r="O552" s="264"/>
    </row>
    <row r="553" spans="10:15" ht="14.25" customHeight="1" x14ac:dyDescent="0.25">
      <c r="J553" s="262"/>
      <c r="K553" s="263"/>
      <c r="L553" s="263"/>
      <c r="O553" s="264"/>
    </row>
    <row r="554" spans="10:15" ht="14.25" customHeight="1" x14ac:dyDescent="0.25">
      <c r="J554" s="262"/>
      <c r="K554" s="263"/>
      <c r="L554" s="263"/>
      <c r="O554" s="264"/>
    </row>
    <row r="555" spans="10:15" ht="14.25" customHeight="1" x14ac:dyDescent="0.25">
      <c r="J555" s="262"/>
      <c r="K555" s="263"/>
      <c r="L555" s="263"/>
      <c r="O555" s="264"/>
    </row>
    <row r="556" spans="10:15" ht="14.25" customHeight="1" x14ac:dyDescent="0.25">
      <c r="J556" s="262"/>
      <c r="K556" s="263"/>
      <c r="L556" s="263"/>
      <c r="O556" s="264"/>
    </row>
    <row r="557" spans="10:15" ht="14.25" customHeight="1" x14ac:dyDescent="0.25">
      <c r="J557" s="262"/>
      <c r="K557" s="263"/>
      <c r="L557" s="263"/>
      <c r="O557" s="264"/>
    </row>
    <row r="558" spans="10:15" ht="14.25" customHeight="1" x14ac:dyDescent="0.25">
      <c r="J558" s="262"/>
      <c r="K558" s="263"/>
      <c r="L558" s="263"/>
      <c r="O558" s="264"/>
    </row>
    <row r="559" spans="10:15" ht="14.25" customHeight="1" x14ac:dyDescent="0.25">
      <c r="J559" s="262"/>
      <c r="K559" s="263"/>
      <c r="L559" s="263"/>
      <c r="O559" s="264"/>
    </row>
    <row r="560" spans="10:15" ht="14.25" customHeight="1" x14ac:dyDescent="0.25">
      <c r="J560" s="262"/>
      <c r="K560" s="263"/>
      <c r="L560" s="263"/>
      <c r="O560" s="264"/>
    </row>
    <row r="561" spans="10:15" ht="14.25" customHeight="1" x14ac:dyDescent="0.25">
      <c r="J561" s="262"/>
      <c r="K561" s="263"/>
      <c r="L561" s="263"/>
      <c r="O561" s="264"/>
    </row>
    <row r="562" spans="10:15" ht="14.25" customHeight="1" x14ac:dyDescent="0.25">
      <c r="J562" s="262"/>
      <c r="K562" s="263"/>
      <c r="L562" s="263"/>
      <c r="O562" s="264"/>
    </row>
    <row r="563" spans="10:15" ht="14.25" customHeight="1" x14ac:dyDescent="0.25">
      <c r="J563" s="262"/>
      <c r="K563" s="263"/>
      <c r="L563" s="263"/>
      <c r="O563" s="264"/>
    </row>
    <row r="564" spans="10:15" ht="14.25" customHeight="1" x14ac:dyDescent="0.25">
      <c r="J564" s="262"/>
      <c r="K564" s="263"/>
      <c r="L564" s="263"/>
      <c r="O564" s="264"/>
    </row>
    <row r="565" spans="10:15" ht="14.25" customHeight="1" x14ac:dyDescent="0.25">
      <c r="J565" s="262"/>
      <c r="K565" s="263"/>
      <c r="L565" s="263"/>
      <c r="O565" s="264"/>
    </row>
    <row r="566" spans="10:15" ht="14.25" customHeight="1" x14ac:dyDescent="0.25">
      <c r="J566" s="262"/>
      <c r="K566" s="263"/>
      <c r="L566" s="263"/>
      <c r="O566" s="264"/>
    </row>
    <row r="567" spans="10:15" ht="14.25" customHeight="1" x14ac:dyDescent="0.25">
      <c r="J567" s="262"/>
      <c r="K567" s="263"/>
      <c r="L567" s="263"/>
      <c r="O567" s="264"/>
    </row>
    <row r="568" spans="10:15" ht="14.25" customHeight="1" x14ac:dyDescent="0.25">
      <c r="J568" s="262"/>
      <c r="K568" s="263"/>
      <c r="L568" s="263"/>
      <c r="O568" s="264"/>
    </row>
    <row r="569" spans="10:15" ht="14.25" customHeight="1" x14ac:dyDescent="0.25">
      <c r="J569" s="262"/>
      <c r="K569" s="263"/>
      <c r="L569" s="263"/>
      <c r="O569" s="264"/>
    </row>
    <row r="570" spans="10:15" ht="14.25" customHeight="1" x14ac:dyDescent="0.25">
      <c r="J570" s="262"/>
      <c r="K570" s="263"/>
      <c r="L570" s="263"/>
      <c r="O570" s="264"/>
    </row>
    <row r="571" spans="10:15" ht="14.25" customHeight="1" x14ac:dyDescent="0.25">
      <c r="J571" s="262"/>
      <c r="K571" s="263"/>
      <c r="L571" s="263"/>
      <c r="O571" s="264"/>
    </row>
    <row r="572" spans="10:15" ht="14.25" customHeight="1" x14ac:dyDescent="0.25">
      <c r="J572" s="262"/>
      <c r="K572" s="263"/>
      <c r="L572" s="263"/>
      <c r="O572" s="264"/>
    </row>
    <row r="573" spans="10:15" ht="14.25" customHeight="1" x14ac:dyDescent="0.25">
      <c r="J573" s="262"/>
      <c r="K573" s="263"/>
      <c r="L573" s="263"/>
      <c r="O573" s="264"/>
    </row>
    <row r="574" spans="10:15" ht="14.25" customHeight="1" x14ac:dyDescent="0.25">
      <c r="J574" s="262"/>
      <c r="K574" s="263"/>
      <c r="L574" s="263"/>
      <c r="O574" s="264"/>
    </row>
    <row r="575" spans="10:15" ht="14.25" customHeight="1" x14ac:dyDescent="0.25">
      <c r="J575" s="262"/>
      <c r="K575" s="263"/>
      <c r="L575" s="263"/>
      <c r="O575" s="264"/>
    </row>
    <row r="576" spans="10:15" ht="14.25" customHeight="1" x14ac:dyDescent="0.25">
      <c r="J576" s="262"/>
      <c r="K576" s="263"/>
      <c r="L576" s="263"/>
      <c r="O576" s="264"/>
    </row>
    <row r="577" spans="10:15" ht="14.25" customHeight="1" x14ac:dyDescent="0.25">
      <c r="J577" s="262"/>
      <c r="K577" s="263"/>
      <c r="L577" s="263"/>
      <c r="O577" s="264"/>
    </row>
    <row r="578" spans="10:15" ht="14.25" customHeight="1" x14ac:dyDescent="0.25">
      <c r="J578" s="262"/>
      <c r="K578" s="263"/>
      <c r="L578" s="263"/>
      <c r="O578" s="264"/>
    </row>
    <row r="579" spans="10:15" ht="14.25" customHeight="1" x14ac:dyDescent="0.25">
      <c r="J579" s="262"/>
      <c r="K579" s="263"/>
      <c r="L579" s="263"/>
      <c r="O579" s="264"/>
    </row>
    <row r="580" spans="10:15" ht="14.25" customHeight="1" x14ac:dyDescent="0.25">
      <c r="J580" s="262"/>
      <c r="K580" s="263"/>
      <c r="L580" s="263"/>
      <c r="O580" s="264"/>
    </row>
    <row r="581" spans="10:15" ht="14.25" customHeight="1" x14ac:dyDescent="0.25">
      <c r="J581" s="262"/>
      <c r="K581" s="263"/>
      <c r="L581" s="263"/>
      <c r="O581" s="264"/>
    </row>
    <row r="582" spans="10:15" ht="14.25" customHeight="1" x14ac:dyDescent="0.25">
      <c r="J582" s="262"/>
      <c r="K582" s="263"/>
      <c r="L582" s="263"/>
      <c r="O582" s="264"/>
    </row>
    <row r="583" spans="10:15" ht="14.25" customHeight="1" x14ac:dyDescent="0.25">
      <c r="J583" s="262"/>
      <c r="K583" s="263"/>
      <c r="L583" s="263"/>
      <c r="O583" s="264"/>
    </row>
    <row r="584" spans="10:15" ht="14.25" customHeight="1" x14ac:dyDescent="0.25">
      <c r="J584" s="262"/>
      <c r="K584" s="263"/>
      <c r="L584" s="263"/>
      <c r="O584" s="264"/>
    </row>
    <row r="585" spans="10:15" ht="14.25" customHeight="1" x14ac:dyDescent="0.25">
      <c r="J585" s="262"/>
      <c r="K585" s="263"/>
      <c r="L585" s="263"/>
      <c r="O585" s="264"/>
    </row>
    <row r="586" spans="10:15" ht="14.25" customHeight="1" x14ac:dyDescent="0.25">
      <c r="J586" s="262"/>
      <c r="K586" s="263"/>
      <c r="L586" s="263"/>
      <c r="O586" s="264"/>
    </row>
    <row r="587" spans="10:15" ht="14.25" customHeight="1" x14ac:dyDescent="0.25">
      <c r="J587" s="262"/>
      <c r="K587" s="263"/>
      <c r="L587" s="263"/>
      <c r="O587" s="264"/>
    </row>
    <row r="588" spans="10:15" ht="14.25" customHeight="1" x14ac:dyDescent="0.25">
      <c r="J588" s="262"/>
      <c r="K588" s="263"/>
      <c r="L588" s="263"/>
      <c r="O588" s="264"/>
    </row>
    <row r="589" spans="10:15" ht="14.25" customHeight="1" x14ac:dyDescent="0.25">
      <c r="J589" s="262"/>
      <c r="K589" s="263"/>
      <c r="L589" s="263"/>
      <c r="O589" s="264"/>
    </row>
    <row r="590" spans="10:15" ht="14.25" customHeight="1" x14ac:dyDescent="0.25">
      <c r="J590" s="262"/>
      <c r="K590" s="263"/>
      <c r="L590" s="263"/>
      <c r="O590" s="264"/>
    </row>
    <row r="591" spans="10:15" ht="14.25" customHeight="1" x14ac:dyDescent="0.25">
      <c r="J591" s="262"/>
      <c r="K591" s="263"/>
      <c r="L591" s="263"/>
      <c r="O591" s="264"/>
    </row>
    <row r="592" spans="10:15" ht="14.25" customHeight="1" x14ac:dyDescent="0.25">
      <c r="J592" s="262"/>
      <c r="K592" s="263"/>
      <c r="L592" s="263"/>
      <c r="O592" s="264"/>
    </row>
    <row r="593" spans="10:15" ht="14.25" customHeight="1" x14ac:dyDescent="0.25">
      <c r="J593" s="262"/>
      <c r="K593" s="263"/>
      <c r="L593" s="263"/>
      <c r="O593" s="264"/>
    </row>
    <row r="594" spans="10:15" ht="14.25" customHeight="1" x14ac:dyDescent="0.25">
      <c r="J594" s="262"/>
      <c r="K594" s="263"/>
      <c r="L594" s="263"/>
      <c r="O594" s="264"/>
    </row>
    <row r="595" spans="10:15" ht="14.25" customHeight="1" x14ac:dyDescent="0.25">
      <c r="J595" s="262"/>
      <c r="K595" s="263"/>
      <c r="L595" s="263"/>
      <c r="O595" s="264"/>
    </row>
    <row r="596" spans="10:15" ht="14.25" customHeight="1" x14ac:dyDescent="0.25">
      <c r="J596" s="262"/>
      <c r="K596" s="263"/>
      <c r="L596" s="263"/>
      <c r="O596" s="264"/>
    </row>
    <row r="597" spans="10:15" ht="14.25" customHeight="1" x14ac:dyDescent="0.25">
      <c r="J597" s="262"/>
      <c r="K597" s="263"/>
      <c r="L597" s="263"/>
      <c r="O597" s="264"/>
    </row>
    <row r="598" spans="10:15" ht="14.25" customHeight="1" x14ac:dyDescent="0.25">
      <c r="J598" s="262"/>
      <c r="K598" s="263"/>
      <c r="L598" s="263"/>
      <c r="O598" s="264"/>
    </row>
    <row r="599" spans="10:15" ht="14.25" customHeight="1" x14ac:dyDescent="0.25">
      <c r="J599" s="262"/>
      <c r="K599" s="263"/>
      <c r="L599" s="263"/>
      <c r="O599" s="264"/>
    </row>
    <row r="600" spans="10:15" ht="14.25" customHeight="1" x14ac:dyDescent="0.25">
      <c r="J600" s="262"/>
      <c r="K600" s="263"/>
      <c r="L600" s="263"/>
      <c r="O600" s="264"/>
    </row>
    <row r="601" spans="10:15" ht="14.25" customHeight="1" x14ac:dyDescent="0.25">
      <c r="J601" s="262"/>
      <c r="K601" s="263"/>
      <c r="L601" s="263"/>
      <c r="O601" s="264"/>
    </row>
    <row r="602" spans="10:15" ht="14.25" customHeight="1" x14ac:dyDescent="0.25">
      <c r="J602" s="262"/>
      <c r="K602" s="263"/>
      <c r="L602" s="263"/>
      <c r="O602" s="264"/>
    </row>
    <row r="603" spans="10:15" ht="14.25" customHeight="1" x14ac:dyDescent="0.25">
      <c r="J603" s="262"/>
      <c r="K603" s="263"/>
      <c r="L603" s="263"/>
      <c r="O603" s="264"/>
    </row>
    <row r="604" spans="10:15" ht="14.25" customHeight="1" x14ac:dyDescent="0.25">
      <c r="J604" s="262"/>
      <c r="K604" s="263"/>
      <c r="L604" s="263"/>
      <c r="O604" s="264"/>
    </row>
    <row r="605" spans="10:15" ht="14.25" customHeight="1" x14ac:dyDescent="0.25">
      <c r="J605" s="262"/>
      <c r="K605" s="263"/>
      <c r="L605" s="263"/>
      <c r="O605" s="264"/>
    </row>
    <row r="606" spans="10:15" ht="14.25" customHeight="1" x14ac:dyDescent="0.25">
      <c r="J606" s="262"/>
      <c r="K606" s="263"/>
      <c r="L606" s="263"/>
      <c r="O606" s="264"/>
    </row>
    <row r="607" spans="10:15" ht="14.25" customHeight="1" x14ac:dyDescent="0.25">
      <c r="J607" s="262"/>
      <c r="K607" s="263"/>
      <c r="L607" s="263"/>
      <c r="O607" s="264"/>
    </row>
    <row r="608" spans="10:15" ht="14.25" customHeight="1" x14ac:dyDescent="0.25">
      <c r="J608" s="262"/>
      <c r="K608" s="263"/>
      <c r="L608" s="263"/>
      <c r="O608" s="264"/>
    </row>
    <row r="609" spans="10:15" ht="14.25" customHeight="1" x14ac:dyDescent="0.25">
      <c r="J609" s="262"/>
      <c r="K609" s="263"/>
      <c r="L609" s="263"/>
      <c r="O609" s="264"/>
    </row>
    <row r="610" spans="10:15" ht="14.25" customHeight="1" x14ac:dyDescent="0.25">
      <c r="J610" s="262"/>
      <c r="K610" s="263"/>
      <c r="L610" s="263"/>
      <c r="O610" s="264"/>
    </row>
    <row r="611" spans="10:15" ht="14.25" customHeight="1" x14ac:dyDescent="0.25">
      <c r="J611" s="262"/>
      <c r="K611" s="263"/>
      <c r="L611" s="263"/>
      <c r="O611" s="264"/>
    </row>
    <row r="612" spans="10:15" ht="14.25" customHeight="1" x14ac:dyDescent="0.25">
      <c r="J612" s="262"/>
      <c r="K612" s="263"/>
      <c r="L612" s="263"/>
      <c r="O612" s="264"/>
    </row>
    <row r="613" spans="10:15" ht="14.25" customHeight="1" x14ac:dyDescent="0.25">
      <c r="J613" s="262"/>
      <c r="K613" s="263"/>
      <c r="L613" s="263"/>
      <c r="O613" s="264"/>
    </row>
    <row r="614" spans="10:15" ht="14.25" customHeight="1" x14ac:dyDescent="0.25">
      <c r="J614" s="262"/>
      <c r="K614" s="263"/>
      <c r="L614" s="263"/>
      <c r="O614" s="264"/>
    </row>
    <row r="615" spans="10:15" ht="14.25" customHeight="1" x14ac:dyDescent="0.25">
      <c r="J615" s="262"/>
      <c r="K615" s="263"/>
      <c r="L615" s="263"/>
      <c r="O615" s="264"/>
    </row>
    <row r="616" spans="10:15" ht="14.25" customHeight="1" x14ac:dyDescent="0.25">
      <c r="J616" s="262"/>
      <c r="K616" s="263"/>
      <c r="L616" s="263"/>
      <c r="O616" s="264"/>
    </row>
    <row r="617" spans="10:15" ht="14.25" customHeight="1" x14ac:dyDescent="0.25">
      <c r="J617" s="262"/>
      <c r="K617" s="263"/>
      <c r="L617" s="263"/>
      <c r="O617" s="264"/>
    </row>
    <row r="618" spans="10:15" ht="14.25" customHeight="1" x14ac:dyDescent="0.25">
      <c r="J618" s="262"/>
      <c r="K618" s="263"/>
      <c r="L618" s="263"/>
      <c r="O618" s="264"/>
    </row>
    <row r="619" spans="10:15" ht="14.25" customHeight="1" x14ac:dyDescent="0.25">
      <c r="J619" s="262"/>
      <c r="K619" s="263"/>
      <c r="L619" s="263"/>
      <c r="O619" s="264"/>
    </row>
    <row r="620" spans="10:15" ht="14.25" customHeight="1" x14ac:dyDescent="0.25">
      <c r="J620" s="262"/>
      <c r="K620" s="263"/>
      <c r="L620" s="263"/>
      <c r="O620" s="264"/>
    </row>
    <row r="621" spans="10:15" ht="14.25" customHeight="1" x14ac:dyDescent="0.25">
      <c r="J621" s="262"/>
      <c r="K621" s="263"/>
      <c r="L621" s="263"/>
      <c r="O621" s="264"/>
    </row>
    <row r="622" spans="10:15" ht="14.25" customHeight="1" x14ac:dyDescent="0.25">
      <c r="J622" s="262"/>
      <c r="K622" s="263"/>
      <c r="L622" s="263"/>
      <c r="O622" s="264"/>
    </row>
    <row r="623" spans="10:15" ht="14.25" customHeight="1" x14ac:dyDescent="0.25">
      <c r="J623" s="262"/>
      <c r="K623" s="263"/>
      <c r="L623" s="263"/>
      <c r="O623" s="264"/>
    </row>
    <row r="624" spans="10:15" ht="14.25" customHeight="1" x14ac:dyDescent="0.25">
      <c r="J624" s="262"/>
      <c r="K624" s="263"/>
      <c r="L624" s="263"/>
      <c r="O624" s="264"/>
    </row>
    <row r="625" spans="10:15" ht="14.25" customHeight="1" x14ac:dyDescent="0.25">
      <c r="J625" s="262"/>
      <c r="K625" s="263"/>
      <c r="L625" s="263"/>
      <c r="O625" s="264"/>
    </row>
    <row r="626" spans="10:15" ht="14.25" customHeight="1" x14ac:dyDescent="0.25">
      <c r="J626" s="262"/>
      <c r="K626" s="263"/>
      <c r="L626" s="263"/>
      <c r="O626" s="264"/>
    </row>
    <row r="627" spans="10:15" ht="14.25" customHeight="1" x14ac:dyDescent="0.25">
      <c r="J627" s="262"/>
      <c r="K627" s="263"/>
      <c r="L627" s="263"/>
      <c r="O627" s="264"/>
    </row>
    <row r="628" spans="10:15" ht="14.25" customHeight="1" x14ac:dyDescent="0.25">
      <c r="J628" s="262"/>
      <c r="K628" s="263"/>
      <c r="L628" s="263"/>
      <c r="O628" s="264"/>
    </row>
    <row r="629" spans="10:15" ht="14.25" customHeight="1" x14ac:dyDescent="0.25">
      <c r="J629" s="262"/>
      <c r="K629" s="263"/>
      <c r="L629" s="263"/>
      <c r="O629" s="264"/>
    </row>
    <row r="630" spans="10:15" ht="14.25" customHeight="1" x14ac:dyDescent="0.25">
      <c r="J630" s="262"/>
      <c r="K630" s="263"/>
      <c r="L630" s="263"/>
      <c r="O630" s="264"/>
    </row>
    <row r="631" spans="10:15" ht="14.25" customHeight="1" x14ac:dyDescent="0.25">
      <c r="J631" s="262"/>
      <c r="K631" s="263"/>
      <c r="L631" s="263"/>
      <c r="O631" s="264"/>
    </row>
    <row r="632" spans="10:15" ht="14.25" customHeight="1" x14ac:dyDescent="0.25">
      <c r="J632" s="262"/>
      <c r="K632" s="263"/>
      <c r="L632" s="263"/>
      <c r="O632" s="264"/>
    </row>
    <row r="633" spans="10:15" ht="14.25" customHeight="1" x14ac:dyDescent="0.25">
      <c r="J633" s="262"/>
      <c r="K633" s="263"/>
      <c r="L633" s="263"/>
      <c r="O633" s="264"/>
    </row>
    <row r="634" spans="10:15" ht="14.25" customHeight="1" x14ac:dyDescent="0.25">
      <c r="J634" s="262"/>
      <c r="K634" s="263"/>
      <c r="L634" s="263"/>
      <c r="O634" s="264"/>
    </row>
    <row r="635" spans="10:15" ht="14.25" customHeight="1" x14ac:dyDescent="0.25">
      <c r="J635" s="262"/>
      <c r="K635" s="263"/>
      <c r="L635" s="263"/>
      <c r="O635" s="264"/>
    </row>
    <row r="636" spans="10:15" ht="14.25" customHeight="1" x14ac:dyDescent="0.25">
      <c r="J636" s="262"/>
      <c r="K636" s="263"/>
      <c r="L636" s="263"/>
      <c r="O636" s="264"/>
    </row>
    <row r="637" spans="10:15" ht="14.25" customHeight="1" x14ac:dyDescent="0.25">
      <c r="J637" s="262"/>
      <c r="K637" s="263"/>
      <c r="L637" s="263"/>
      <c r="O637" s="264"/>
    </row>
    <row r="638" spans="10:15" ht="14.25" customHeight="1" x14ac:dyDescent="0.25">
      <c r="J638" s="262"/>
      <c r="K638" s="263"/>
      <c r="L638" s="263"/>
      <c r="O638" s="264"/>
    </row>
    <row r="639" spans="10:15" ht="14.25" customHeight="1" x14ac:dyDescent="0.25">
      <c r="J639" s="262"/>
      <c r="K639" s="263"/>
      <c r="L639" s="263"/>
      <c r="O639" s="264"/>
    </row>
    <row r="640" spans="10:15" ht="14.25" customHeight="1" x14ac:dyDescent="0.25">
      <c r="J640" s="262"/>
      <c r="K640" s="263"/>
      <c r="L640" s="263"/>
      <c r="O640" s="264"/>
    </row>
    <row r="641" spans="10:15" ht="14.25" customHeight="1" x14ac:dyDescent="0.25">
      <c r="J641" s="262"/>
      <c r="K641" s="263"/>
      <c r="L641" s="263"/>
      <c r="O641" s="264"/>
    </row>
    <row r="642" spans="10:15" ht="14.25" customHeight="1" x14ac:dyDescent="0.25">
      <c r="J642" s="262"/>
      <c r="K642" s="263"/>
      <c r="L642" s="263"/>
      <c r="O642" s="264"/>
    </row>
    <row r="643" spans="10:15" ht="14.25" customHeight="1" x14ac:dyDescent="0.25">
      <c r="J643" s="262"/>
      <c r="K643" s="263"/>
      <c r="L643" s="263"/>
      <c r="O643" s="264"/>
    </row>
    <row r="644" spans="10:15" ht="14.25" customHeight="1" x14ac:dyDescent="0.25">
      <c r="J644" s="262"/>
      <c r="K644" s="263"/>
      <c r="L644" s="263"/>
      <c r="O644" s="264"/>
    </row>
    <row r="645" spans="10:15" ht="14.25" customHeight="1" x14ac:dyDescent="0.25">
      <c r="J645" s="262"/>
      <c r="K645" s="263"/>
      <c r="L645" s="263"/>
      <c r="O645" s="264"/>
    </row>
    <row r="646" spans="10:15" ht="14.25" customHeight="1" x14ac:dyDescent="0.25">
      <c r="J646" s="262"/>
      <c r="K646" s="263"/>
      <c r="L646" s="263"/>
      <c r="O646" s="264"/>
    </row>
    <row r="647" spans="10:15" ht="14.25" customHeight="1" x14ac:dyDescent="0.25">
      <c r="J647" s="262"/>
      <c r="K647" s="263"/>
      <c r="L647" s="263"/>
      <c r="O647" s="264"/>
    </row>
    <row r="648" spans="10:15" ht="14.25" customHeight="1" x14ac:dyDescent="0.25">
      <c r="J648" s="262"/>
      <c r="K648" s="263"/>
      <c r="L648" s="263"/>
      <c r="O648" s="264"/>
    </row>
    <row r="649" spans="10:15" ht="14.25" customHeight="1" x14ac:dyDescent="0.25">
      <c r="J649" s="262"/>
      <c r="K649" s="263"/>
      <c r="L649" s="263"/>
      <c r="O649" s="264"/>
    </row>
    <row r="650" spans="10:15" ht="14.25" customHeight="1" x14ac:dyDescent="0.25">
      <c r="J650" s="262"/>
      <c r="K650" s="263"/>
      <c r="L650" s="263"/>
      <c r="O650" s="264"/>
    </row>
    <row r="651" spans="10:15" ht="14.25" customHeight="1" x14ac:dyDescent="0.25">
      <c r="J651" s="262"/>
      <c r="K651" s="263"/>
      <c r="L651" s="263"/>
      <c r="O651" s="264"/>
    </row>
    <row r="652" spans="10:15" ht="14.25" customHeight="1" x14ac:dyDescent="0.25">
      <c r="J652" s="262"/>
      <c r="K652" s="263"/>
      <c r="L652" s="263"/>
      <c r="O652" s="264"/>
    </row>
    <row r="653" spans="10:15" ht="14.25" customHeight="1" x14ac:dyDescent="0.25">
      <c r="J653" s="262"/>
      <c r="K653" s="263"/>
      <c r="L653" s="263"/>
      <c r="O653" s="264"/>
    </row>
    <row r="654" spans="10:15" ht="14.25" customHeight="1" x14ac:dyDescent="0.25">
      <c r="J654" s="262"/>
      <c r="K654" s="263"/>
      <c r="L654" s="263"/>
      <c r="O654" s="264"/>
    </row>
    <row r="655" spans="10:15" ht="14.25" customHeight="1" x14ac:dyDescent="0.25">
      <c r="J655" s="262"/>
      <c r="K655" s="263"/>
      <c r="L655" s="263"/>
      <c r="O655" s="264"/>
    </row>
    <row r="656" spans="10:15" ht="14.25" customHeight="1" x14ac:dyDescent="0.25">
      <c r="J656" s="262"/>
      <c r="K656" s="263"/>
      <c r="L656" s="263"/>
      <c r="O656" s="264"/>
    </row>
    <row r="657" spans="10:15" ht="14.25" customHeight="1" x14ac:dyDescent="0.25">
      <c r="J657" s="262"/>
      <c r="K657" s="263"/>
      <c r="L657" s="263"/>
      <c r="O657" s="264"/>
    </row>
    <row r="658" spans="10:15" ht="14.25" customHeight="1" x14ac:dyDescent="0.25">
      <c r="J658" s="262"/>
      <c r="K658" s="263"/>
      <c r="L658" s="263"/>
      <c r="O658" s="264"/>
    </row>
    <row r="659" spans="10:15" ht="14.25" customHeight="1" x14ac:dyDescent="0.25">
      <c r="J659" s="262"/>
      <c r="K659" s="263"/>
      <c r="L659" s="263"/>
      <c r="O659" s="264"/>
    </row>
    <row r="660" spans="10:15" ht="14.25" customHeight="1" x14ac:dyDescent="0.25">
      <c r="J660" s="262"/>
      <c r="K660" s="263"/>
      <c r="L660" s="263"/>
      <c r="O660" s="264"/>
    </row>
    <row r="661" spans="10:15" ht="14.25" customHeight="1" x14ac:dyDescent="0.25">
      <c r="J661" s="262"/>
      <c r="K661" s="263"/>
      <c r="L661" s="263"/>
      <c r="O661" s="264"/>
    </row>
    <row r="662" spans="10:15" ht="14.25" customHeight="1" x14ac:dyDescent="0.25">
      <c r="J662" s="262"/>
      <c r="K662" s="263"/>
      <c r="L662" s="263"/>
      <c r="O662" s="264"/>
    </row>
    <row r="663" spans="10:15" ht="14.25" customHeight="1" x14ac:dyDescent="0.25">
      <c r="J663" s="262"/>
      <c r="K663" s="263"/>
      <c r="L663" s="263"/>
      <c r="O663" s="264"/>
    </row>
    <row r="664" spans="10:15" ht="14.25" customHeight="1" x14ac:dyDescent="0.25">
      <c r="J664" s="262"/>
      <c r="K664" s="263"/>
      <c r="L664" s="263"/>
      <c r="O664" s="264"/>
    </row>
    <row r="665" spans="10:15" ht="14.25" customHeight="1" x14ac:dyDescent="0.25">
      <c r="J665" s="262"/>
      <c r="K665" s="263"/>
      <c r="L665" s="263"/>
      <c r="O665" s="264"/>
    </row>
    <row r="666" spans="10:15" ht="14.25" customHeight="1" x14ac:dyDescent="0.25">
      <c r="J666" s="262"/>
      <c r="K666" s="263"/>
      <c r="L666" s="263"/>
      <c r="O666" s="264"/>
    </row>
    <row r="667" spans="10:15" ht="14.25" customHeight="1" x14ac:dyDescent="0.25">
      <c r="J667" s="262"/>
      <c r="K667" s="263"/>
      <c r="L667" s="263"/>
      <c r="O667" s="264"/>
    </row>
    <row r="668" spans="10:15" ht="14.25" customHeight="1" x14ac:dyDescent="0.25">
      <c r="J668" s="262"/>
      <c r="K668" s="263"/>
      <c r="L668" s="263"/>
      <c r="O668" s="264"/>
    </row>
    <row r="669" spans="10:15" ht="14.25" customHeight="1" x14ac:dyDescent="0.25">
      <c r="J669" s="262"/>
      <c r="K669" s="263"/>
      <c r="L669" s="263"/>
      <c r="O669" s="264"/>
    </row>
    <row r="670" spans="10:15" ht="14.25" customHeight="1" x14ac:dyDescent="0.25">
      <c r="J670" s="262"/>
      <c r="K670" s="263"/>
      <c r="L670" s="263"/>
      <c r="O670" s="264"/>
    </row>
    <row r="671" spans="10:15" ht="14.25" customHeight="1" x14ac:dyDescent="0.25">
      <c r="J671" s="262"/>
      <c r="K671" s="263"/>
      <c r="L671" s="263"/>
      <c r="O671" s="264"/>
    </row>
    <row r="672" spans="10:15" ht="14.25" customHeight="1" x14ac:dyDescent="0.25">
      <c r="J672" s="262"/>
      <c r="K672" s="263"/>
      <c r="L672" s="263"/>
      <c r="O672" s="264"/>
    </row>
    <row r="673" spans="10:15" ht="14.25" customHeight="1" x14ac:dyDescent="0.25">
      <c r="J673" s="262"/>
      <c r="K673" s="263"/>
      <c r="L673" s="263"/>
      <c r="O673" s="264"/>
    </row>
    <row r="674" spans="10:15" ht="14.25" customHeight="1" x14ac:dyDescent="0.25">
      <c r="J674" s="262"/>
      <c r="K674" s="263"/>
      <c r="L674" s="263"/>
      <c r="O674" s="264"/>
    </row>
    <row r="675" spans="10:15" ht="14.25" customHeight="1" x14ac:dyDescent="0.25">
      <c r="J675" s="262"/>
      <c r="K675" s="263"/>
      <c r="L675" s="263"/>
      <c r="O675" s="264"/>
    </row>
    <row r="676" spans="10:15" ht="14.25" customHeight="1" x14ac:dyDescent="0.25">
      <c r="J676" s="262"/>
      <c r="K676" s="263"/>
      <c r="L676" s="263"/>
      <c r="O676" s="264"/>
    </row>
    <row r="677" spans="10:15" ht="14.25" customHeight="1" x14ac:dyDescent="0.25">
      <c r="J677" s="262"/>
      <c r="K677" s="263"/>
      <c r="L677" s="263"/>
      <c r="O677" s="264"/>
    </row>
    <row r="678" spans="10:15" ht="14.25" customHeight="1" x14ac:dyDescent="0.25">
      <c r="J678" s="262"/>
      <c r="K678" s="263"/>
      <c r="L678" s="263"/>
      <c r="O678" s="264"/>
    </row>
    <row r="679" spans="10:15" ht="14.25" customHeight="1" x14ac:dyDescent="0.25">
      <c r="J679" s="262"/>
      <c r="K679" s="263"/>
      <c r="L679" s="263"/>
      <c r="O679" s="264"/>
    </row>
    <row r="680" spans="10:15" ht="14.25" customHeight="1" x14ac:dyDescent="0.25">
      <c r="J680" s="262"/>
      <c r="K680" s="263"/>
      <c r="L680" s="263"/>
      <c r="O680" s="264"/>
    </row>
    <row r="681" spans="10:15" ht="14.25" customHeight="1" x14ac:dyDescent="0.25">
      <c r="J681" s="262"/>
      <c r="K681" s="263"/>
      <c r="L681" s="263"/>
      <c r="O681" s="264"/>
    </row>
    <row r="682" spans="10:15" ht="14.25" customHeight="1" x14ac:dyDescent="0.25">
      <c r="J682" s="262"/>
      <c r="K682" s="263"/>
      <c r="L682" s="263"/>
      <c r="O682" s="264"/>
    </row>
    <row r="683" spans="10:15" ht="14.25" customHeight="1" x14ac:dyDescent="0.25">
      <c r="J683" s="262"/>
      <c r="K683" s="263"/>
      <c r="L683" s="263"/>
      <c r="O683" s="264"/>
    </row>
    <row r="684" spans="10:15" ht="14.25" customHeight="1" x14ac:dyDescent="0.25">
      <c r="J684" s="262"/>
      <c r="K684" s="263"/>
      <c r="L684" s="263"/>
      <c r="O684" s="264"/>
    </row>
    <row r="685" spans="10:15" ht="14.25" customHeight="1" x14ac:dyDescent="0.25">
      <c r="J685" s="262"/>
      <c r="K685" s="263"/>
      <c r="L685" s="263"/>
      <c r="O685" s="264"/>
    </row>
    <row r="686" spans="10:15" ht="14.25" customHeight="1" x14ac:dyDescent="0.25">
      <c r="J686" s="262"/>
      <c r="K686" s="263"/>
      <c r="L686" s="263"/>
      <c r="O686" s="264"/>
    </row>
    <row r="687" spans="10:15" ht="14.25" customHeight="1" x14ac:dyDescent="0.25">
      <c r="J687" s="262"/>
      <c r="K687" s="263"/>
      <c r="L687" s="263"/>
      <c r="O687" s="264"/>
    </row>
    <row r="688" spans="10:15" ht="14.25" customHeight="1" x14ac:dyDescent="0.25">
      <c r="J688" s="262"/>
      <c r="K688" s="263"/>
      <c r="L688" s="263"/>
      <c r="O688" s="264"/>
    </row>
    <row r="689" spans="10:15" ht="14.25" customHeight="1" x14ac:dyDescent="0.25">
      <c r="J689" s="262"/>
      <c r="K689" s="263"/>
      <c r="L689" s="263"/>
      <c r="O689" s="264"/>
    </row>
    <row r="690" spans="10:15" ht="14.25" customHeight="1" x14ac:dyDescent="0.25">
      <c r="J690" s="262"/>
      <c r="K690" s="263"/>
      <c r="L690" s="263"/>
      <c r="O690" s="264"/>
    </row>
    <row r="691" spans="10:15" ht="14.25" customHeight="1" x14ac:dyDescent="0.25">
      <c r="J691" s="262"/>
      <c r="K691" s="263"/>
      <c r="L691" s="263"/>
      <c r="O691" s="264"/>
    </row>
    <row r="692" spans="10:15" ht="14.25" customHeight="1" x14ac:dyDescent="0.25">
      <c r="J692" s="262"/>
      <c r="K692" s="263"/>
      <c r="L692" s="263"/>
      <c r="O692" s="264"/>
    </row>
    <row r="693" spans="10:15" ht="14.25" customHeight="1" x14ac:dyDescent="0.25">
      <c r="J693" s="262"/>
      <c r="K693" s="263"/>
      <c r="L693" s="263"/>
      <c r="O693" s="264"/>
    </row>
    <row r="694" spans="10:15" ht="14.25" customHeight="1" x14ac:dyDescent="0.25">
      <c r="J694" s="262"/>
      <c r="K694" s="263"/>
      <c r="L694" s="263"/>
      <c r="O694" s="264"/>
    </row>
    <row r="695" spans="10:15" ht="14.25" customHeight="1" x14ac:dyDescent="0.25">
      <c r="J695" s="262"/>
      <c r="K695" s="263"/>
      <c r="L695" s="263"/>
      <c r="O695" s="264"/>
    </row>
    <row r="696" spans="10:15" ht="14.25" customHeight="1" x14ac:dyDescent="0.25">
      <c r="J696" s="262"/>
      <c r="K696" s="263"/>
      <c r="L696" s="263"/>
      <c r="O696" s="264"/>
    </row>
    <row r="697" spans="10:15" ht="14.25" customHeight="1" x14ac:dyDescent="0.25">
      <c r="J697" s="262"/>
      <c r="K697" s="263"/>
      <c r="L697" s="263"/>
      <c r="O697" s="264"/>
    </row>
    <row r="698" spans="10:15" ht="14.25" customHeight="1" x14ac:dyDescent="0.25">
      <c r="J698" s="262"/>
      <c r="K698" s="263"/>
      <c r="L698" s="263"/>
      <c r="O698" s="264"/>
    </row>
    <row r="699" spans="10:15" ht="14.25" customHeight="1" x14ac:dyDescent="0.25">
      <c r="J699" s="262"/>
      <c r="K699" s="263"/>
      <c r="L699" s="263"/>
      <c r="O699" s="264"/>
    </row>
    <row r="700" spans="10:15" ht="14.25" customHeight="1" x14ac:dyDescent="0.25">
      <c r="J700" s="262"/>
      <c r="K700" s="263"/>
      <c r="L700" s="263"/>
      <c r="O700" s="264"/>
    </row>
    <row r="701" spans="10:15" ht="14.25" customHeight="1" x14ac:dyDescent="0.25">
      <c r="J701" s="262"/>
      <c r="K701" s="263"/>
      <c r="L701" s="263"/>
      <c r="O701" s="264"/>
    </row>
    <row r="702" spans="10:15" ht="14.25" customHeight="1" x14ac:dyDescent="0.25">
      <c r="J702" s="262"/>
      <c r="K702" s="263"/>
      <c r="L702" s="263"/>
      <c r="O702" s="264"/>
    </row>
    <row r="703" spans="10:15" ht="14.25" customHeight="1" x14ac:dyDescent="0.25">
      <c r="J703" s="262"/>
      <c r="K703" s="263"/>
      <c r="L703" s="263"/>
      <c r="O703" s="264"/>
    </row>
    <row r="704" spans="10:15" ht="14.25" customHeight="1" x14ac:dyDescent="0.25">
      <c r="J704" s="262"/>
      <c r="K704" s="263"/>
      <c r="L704" s="263"/>
      <c r="O704" s="264"/>
    </row>
    <row r="705" spans="10:15" ht="14.25" customHeight="1" x14ac:dyDescent="0.25">
      <c r="J705" s="262"/>
      <c r="K705" s="263"/>
      <c r="L705" s="263"/>
      <c r="O705" s="264"/>
    </row>
    <row r="706" spans="10:15" ht="14.25" customHeight="1" x14ac:dyDescent="0.25">
      <c r="J706" s="262"/>
      <c r="K706" s="263"/>
      <c r="L706" s="263"/>
      <c r="O706" s="264"/>
    </row>
    <row r="707" spans="10:15" ht="14.25" customHeight="1" x14ac:dyDescent="0.25">
      <c r="J707" s="262"/>
      <c r="K707" s="263"/>
      <c r="L707" s="263"/>
      <c r="O707" s="264"/>
    </row>
    <row r="708" spans="10:15" ht="14.25" customHeight="1" x14ac:dyDescent="0.25">
      <c r="J708" s="262"/>
      <c r="K708" s="263"/>
      <c r="L708" s="263"/>
      <c r="O708" s="264"/>
    </row>
    <row r="709" spans="10:15" ht="14.25" customHeight="1" x14ac:dyDescent="0.25">
      <c r="J709" s="262"/>
      <c r="K709" s="263"/>
      <c r="L709" s="263"/>
      <c r="O709" s="264"/>
    </row>
    <row r="710" spans="10:15" ht="14.25" customHeight="1" x14ac:dyDescent="0.25">
      <c r="J710" s="262"/>
      <c r="K710" s="263"/>
      <c r="L710" s="263"/>
      <c r="O710" s="264"/>
    </row>
    <row r="711" spans="10:15" ht="14.25" customHeight="1" x14ac:dyDescent="0.25">
      <c r="J711" s="262"/>
      <c r="K711" s="263"/>
      <c r="L711" s="263"/>
      <c r="O711" s="264"/>
    </row>
    <row r="712" spans="10:15" ht="14.25" customHeight="1" x14ac:dyDescent="0.25">
      <c r="J712" s="262"/>
      <c r="K712" s="263"/>
      <c r="L712" s="263"/>
      <c r="O712" s="264"/>
    </row>
    <row r="713" spans="10:15" ht="14.25" customHeight="1" x14ac:dyDescent="0.25">
      <c r="J713" s="262"/>
      <c r="K713" s="263"/>
      <c r="L713" s="263"/>
      <c r="O713" s="264"/>
    </row>
    <row r="714" spans="10:15" ht="14.25" customHeight="1" x14ac:dyDescent="0.25">
      <c r="J714" s="262"/>
      <c r="K714" s="263"/>
      <c r="L714" s="263"/>
      <c r="O714" s="264"/>
    </row>
    <row r="715" spans="10:15" ht="14.25" customHeight="1" x14ac:dyDescent="0.25">
      <c r="J715" s="262"/>
      <c r="K715" s="263"/>
      <c r="L715" s="263"/>
      <c r="O715" s="264"/>
    </row>
    <row r="716" spans="10:15" ht="14.25" customHeight="1" x14ac:dyDescent="0.25">
      <c r="J716" s="262"/>
      <c r="K716" s="263"/>
      <c r="L716" s="263"/>
      <c r="O716" s="264"/>
    </row>
    <row r="717" spans="10:15" ht="14.25" customHeight="1" x14ac:dyDescent="0.25">
      <c r="J717" s="262"/>
      <c r="K717" s="263"/>
      <c r="L717" s="263"/>
      <c r="O717" s="264"/>
    </row>
    <row r="718" spans="10:15" ht="14.25" customHeight="1" x14ac:dyDescent="0.25">
      <c r="J718" s="262"/>
      <c r="K718" s="263"/>
      <c r="L718" s="263"/>
      <c r="O718" s="264"/>
    </row>
    <row r="719" spans="10:15" ht="14.25" customHeight="1" x14ac:dyDescent="0.25">
      <c r="J719" s="262"/>
      <c r="K719" s="263"/>
      <c r="L719" s="263"/>
      <c r="O719" s="264"/>
    </row>
    <row r="720" spans="10:15" ht="14.25" customHeight="1" x14ac:dyDescent="0.25">
      <c r="J720" s="262"/>
      <c r="K720" s="263"/>
      <c r="L720" s="263"/>
      <c r="O720" s="264"/>
    </row>
    <row r="721" spans="10:15" ht="14.25" customHeight="1" x14ac:dyDescent="0.25">
      <c r="J721" s="262"/>
      <c r="K721" s="263"/>
      <c r="L721" s="263"/>
      <c r="O721" s="264"/>
    </row>
    <row r="722" spans="10:15" ht="14.25" customHeight="1" x14ac:dyDescent="0.25">
      <c r="J722" s="262"/>
      <c r="K722" s="263"/>
      <c r="L722" s="263"/>
      <c r="O722" s="264"/>
    </row>
    <row r="723" spans="10:15" ht="14.25" customHeight="1" x14ac:dyDescent="0.25">
      <c r="J723" s="262"/>
      <c r="K723" s="263"/>
      <c r="L723" s="263"/>
      <c r="O723" s="264"/>
    </row>
    <row r="724" spans="10:15" ht="14.25" customHeight="1" x14ac:dyDescent="0.25">
      <c r="J724" s="262"/>
      <c r="K724" s="263"/>
      <c r="L724" s="263"/>
      <c r="O724" s="264"/>
    </row>
    <row r="725" spans="10:15" ht="14.25" customHeight="1" x14ac:dyDescent="0.25">
      <c r="J725" s="262"/>
      <c r="K725" s="263"/>
      <c r="L725" s="263"/>
      <c r="O725" s="264"/>
    </row>
    <row r="726" spans="10:15" ht="14.25" customHeight="1" x14ac:dyDescent="0.25">
      <c r="J726" s="262"/>
      <c r="K726" s="263"/>
      <c r="L726" s="263"/>
      <c r="O726" s="264"/>
    </row>
    <row r="727" spans="10:15" ht="14.25" customHeight="1" x14ac:dyDescent="0.25">
      <c r="J727" s="262"/>
      <c r="K727" s="263"/>
      <c r="L727" s="263"/>
      <c r="O727" s="264"/>
    </row>
    <row r="728" spans="10:15" ht="14.25" customHeight="1" x14ac:dyDescent="0.25">
      <c r="J728" s="262"/>
      <c r="K728" s="263"/>
      <c r="L728" s="263"/>
      <c r="O728" s="264"/>
    </row>
    <row r="729" spans="10:15" ht="14.25" customHeight="1" x14ac:dyDescent="0.25">
      <c r="J729" s="262"/>
      <c r="K729" s="263"/>
      <c r="L729" s="263"/>
      <c r="O729" s="264"/>
    </row>
    <row r="730" spans="10:15" ht="14.25" customHeight="1" x14ac:dyDescent="0.25">
      <c r="J730" s="262"/>
      <c r="K730" s="263"/>
      <c r="L730" s="263"/>
      <c r="O730" s="264"/>
    </row>
    <row r="731" spans="10:15" ht="14.25" customHeight="1" x14ac:dyDescent="0.25">
      <c r="J731" s="262"/>
      <c r="K731" s="263"/>
      <c r="L731" s="263"/>
      <c r="O731" s="264"/>
    </row>
    <row r="732" spans="10:15" ht="14.25" customHeight="1" x14ac:dyDescent="0.25">
      <c r="J732" s="262"/>
      <c r="K732" s="263"/>
      <c r="L732" s="263"/>
      <c r="O732" s="264"/>
    </row>
    <row r="733" spans="10:15" ht="14.25" customHeight="1" x14ac:dyDescent="0.25">
      <c r="J733" s="262"/>
      <c r="K733" s="263"/>
      <c r="L733" s="263"/>
      <c r="O733" s="264"/>
    </row>
    <row r="734" spans="10:15" ht="14.25" customHeight="1" x14ac:dyDescent="0.25">
      <c r="J734" s="262"/>
      <c r="K734" s="263"/>
      <c r="L734" s="263"/>
      <c r="O734" s="264"/>
    </row>
    <row r="735" spans="10:15" ht="14.25" customHeight="1" x14ac:dyDescent="0.25">
      <c r="J735" s="262"/>
      <c r="K735" s="263"/>
      <c r="L735" s="263"/>
      <c r="O735" s="264"/>
    </row>
    <row r="736" spans="10:15" ht="14.25" customHeight="1" x14ac:dyDescent="0.25">
      <c r="J736" s="262"/>
      <c r="K736" s="263"/>
      <c r="L736" s="263"/>
      <c r="O736" s="264"/>
    </row>
    <row r="737" spans="10:15" ht="14.25" customHeight="1" x14ac:dyDescent="0.25">
      <c r="J737" s="262"/>
      <c r="K737" s="263"/>
      <c r="L737" s="263"/>
      <c r="O737" s="264"/>
    </row>
    <row r="738" spans="10:15" ht="14.25" customHeight="1" x14ac:dyDescent="0.25">
      <c r="J738" s="262"/>
      <c r="K738" s="263"/>
      <c r="L738" s="263"/>
      <c r="O738" s="264"/>
    </row>
    <row r="739" spans="10:15" ht="14.25" customHeight="1" x14ac:dyDescent="0.25">
      <c r="J739" s="262"/>
      <c r="K739" s="263"/>
      <c r="L739" s="263"/>
      <c r="O739" s="264"/>
    </row>
    <row r="740" spans="10:15" ht="14.25" customHeight="1" x14ac:dyDescent="0.25">
      <c r="J740" s="262"/>
      <c r="K740" s="263"/>
      <c r="L740" s="263"/>
      <c r="O740" s="264"/>
    </row>
    <row r="741" spans="10:15" ht="14.25" customHeight="1" x14ac:dyDescent="0.25">
      <c r="J741" s="262"/>
      <c r="K741" s="263"/>
      <c r="L741" s="263"/>
      <c r="O741" s="264"/>
    </row>
    <row r="742" spans="10:15" ht="14.25" customHeight="1" x14ac:dyDescent="0.25">
      <c r="J742" s="262"/>
      <c r="K742" s="263"/>
      <c r="L742" s="263"/>
      <c r="O742" s="264"/>
    </row>
    <row r="743" spans="10:15" ht="14.25" customHeight="1" x14ac:dyDescent="0.25">
      <c r="J743" s="262"/>
      <c r="K743" s="263"/>
      <c r="L743" s="263"/>
      <c r="O743" s="264"/>
    </row>
    <row r="744" spans="10:15" ht="14.25" customHeight="1" x14ac:dyDescent="0.25">
      <c r="J744" s="262"/>
      <c r="K744" s="263"/>
      <c r="L744" s="263"/>
      <c r="O744" s="264"/>
    </row>
    <row r="745" spans="10:15" ht="14.25" customHeight="1" x14ac:dyDescent="0.25">
      <c r="J745" s="262"/>
      <c r="K745" s="263"/>
      <c r="L745" s="263"/>
      <c r="O745" s="264"/>
    </row>
    <row r="746" spans="10:15" ht="14.25" customHeight="1" x14ac:dyDescent="0.25">
      <c r="J746" s="262"/>
      <c r="K746" s="263"/>
      <c r="L746" s="263"/>
      <c r="O746" s="264"/>
    </row>
    <row r="747" spans="10:15" ht="14.25" customHeight="1" x14ac:dyDescent="0.25">
      <c r="J747" s="262"/>
      <c r="K747" s="263"/>
      <c r="L747" s="263"/>
      <c r="O747" s="264"/>
    </row>
    <row r="748" spans="10:15" ht="14.25" customHeight="1" x14ac:dyDescent="0.25">
      <c r="J748" s="262"/>
      <c r="K748" s="263"/>
      <c r="L748" s="263"/>
      <c r="O748" s="264"/>
    </row>
    <row r="749" spans="10:15" ht="14.25" customHeight="1" x14ac:dyDescent="0.25">
      <c r="J749" s="262"/>
      <c r="K749" s="263"/>
      <c r="L749" s="263"/>
      <c r="O749" s="264"/>
    </row>
    <row r="750" spans="10:15" ht="14.25" customHeight="1" x14ac:dyDescent="0.25">
      <c r="J750" s="262"/>
      <c r="K750" s="263"/>
      <c r="L750" s="263"/>
      <c r="O750" s="264"/>
    </row>
    <row r="751" spans="10:15" ht="14.25" customHeight="1" x14ac:dyDescent="0.25">
      <c r="J751" s="262"/>
      <c r="K751" s="263"/>
      <c r="L751" s="263"/>
      <c r="O751" s="264"/>
    </row>
    <row r="752" spans="10:15" ht="14.25" customHeight="1" x14ac:dyDescent="0.25">
      <c r="J752" s="262"/>
      <c r="K752" s="263"/>
      <c r="L752" s="263"/>
      <c r="O752" s="264"/>
    </row>
    <row r="753" spans="10:15" ht="14.25" customHeight="1" x14ac:dyDescent="0.25">
      <c r="J753" s="262"/>
      <c r="K753" s="263"/>
      <c r="L753" s="263"/>
      <c r="O753" s="264"/>
    </row>
    <row r="754" spans="10:15" ht="14.25" customHeight="1" x14ac:dyDescent="0.25">
      <c r="J754" s="262"/>
      <c r="K754" s="263"/>
      <c r="L754" s="263"/>
      <c r="O754" s="264"/>
    </row>
    <row r="755" spans="10:15" ht="14.25" customHeight="1" x14ac:dyDescent="0.25">
      <c r="J755" s="262"/>
      <c r="K755" s="263"/>
      <c r="L755" s="263"/>
      <c r="O755" s="264"/>
    </row>
    <row r="756" spans="10:15" ht="14.25" customHeight="1" x14ac:dyDescent="0.25">
      <c r="J756" s="262"/>
      <c r="K756" s="263"/>
      <c r="L756" s="263"/>
      <c r="O756" s="264"/>
    </row>
    <row r="757" spans="10:15" ht="14.25" customHeight="1" x14ac:dyDescent="0.25">
      <c r="J757" s="262"/>
      <c r="K757" s="263"/>
      <c r="L757" s="263"/>
      <c r="O757" s="264"/>
    </row>
    <row r="758" spans="10:15" ht="14.25" customHeight="1" x14ac:dyDescent="0.25">
      <c r="J758" s="262"/>
      <c r="K758" s="263"/>
      <c r="L758" s="263"/>
      <c r="O758" s="264"/>
    </row>
    <row r="759" spans="10:15" ht="14.25" customHeight="1" x14ac:dyDescent="0.25">
      <c r="J759" s="262"/>
      <c r="K759" s="263"/>
      <c r="L759" s="263"/>
      <c r="O759" s="264"/>
    </row>
    <row r="760" spans="10:15" ht="14.25" customHeight="1" x14ac:dyDescent="0.25">
      <c r="J760" s="262"/>
      <c r="K760" s="263"/>
      <c r="L760" s="263"/>
      <c r="O760" s="264"/>
    </row>
    <row r="761" spans="10:15" ht="14.25" customHeight="1" x14ac:dyDescent="0.25">
      <c r="J761" s="262"/>
      <c r="K761" s="263"/>
      <c r="L761" s="263"/>
      <c r="O761" s="264"/>
    </row>
    <row r="762" spans="10:15" ht="14.25" customHeight="1" x14ac:dyDescent="0.25">
      <c r="J762" s="262"/>
      <c r="K762" s="263"/>
      <c r="L762" s="263"/>
      <c r="O762" s="264"/>
    </row>
    <row r="763" spans="10:15" ht="14.25" customHeight="1" x14ac:dyDescent="0.25">
      <c r="J763" s="262"/>
      <c r="K763" s="263"/>
      <c r="L763" s="263"/>
      <c r="O763" s="264"/>
    </row>
    <row r="764" spans="10:15" ht="14.25" customHeight="1" x14ac:dyDescent="0.25">
      <c r="J764" s="262"/>
      <c r="K764" s="263"/>
      <c r="L764" s="263"/>
      <c r="O764" s="264"/>
    </row>
    <row r="765" spans="10:15" ht="14.25" customHeight="1" x14ac:dyDescent="0.25">
      <c r="J765" s="262"/>
      <c r="K765" s="263"/>
      <c r="L765" s="263"/>
      <c r="O765" s="264"/>
    </row>
    <row r="766" spans="10:15" ht="14.25" customHeight="1" x14ac:dyDescent="0.25">
      <c r="J766" s="262"/>
      <c r="K766" s="263"/>
      <c r="L766" s="263"/>
      <c r="O766" s="264"/>
    </row>
    <row r="767" spans="10:15" ht="14.25" customHeight="1" x14ac:dyDescent="0.25">
      <c r="J767" s="262"/>
      <c r="K767" s="263"/>
      <c r="L767" s="263"/>
      <c r="O767" s="264"/>
    </row>
    <row r="768" spans="10:15" ht="14.25" customHeight="1" x14ac:dyDescent="0.25">
      <c r="J768" s="262"/>
      <c r="K768" s="263"/>
      <c r="L768" s="263"/>
      <c r="O768" s="264"/>
    </row>
    <row r="769" spans="10:15" ht="14.25" customHeight="1" x14ac:dyDescent="0.25">
      <c r="J769" s="262"/>
      <c r="K769" s="263"/>
      <c r="L769" s="263"/>
      <c r="O769" s="264"/>
    </row>
    <row r="770" spans="10:15" ht="14.25" customHeight="1" x14ac:dyDescent="0.25">
      <c r="J770" s="262"/>
      <c r="K770" s="263"/>
      <c r="L770" s="263"/>
      <c r="O770" s="264"/>
    </row>
    <row r="771" spans="10:15" ht="14.25" customHeight="1" x14ac:dyDescent="0.25">
      <c r="J771" s="262"/>
      <c r="K771" s="263"/>
      <c r="L771" s="263"/>
      <c r="O771" s="264"/>
    </row>
    <row r="772" spans="10:15" ht="14.25" customHeight="1" x14ac:dyDescent="0.25">
      <c r="J772" s="262"/>
      <c r="K772" s="263"/>
      <c r="L772" s="263"/>
      <c r="O772" s="264"/>
    </row>
    <row r="773" spans="10:15" ht="14.25" customHeight="1" x14ac:dyDescent="0.25">
      <c r="J773" s="262"/>
      <c r="K773" s="263"/>
      <c r="L773" s="263"/>
      <c r="O773" s="264"/>
    </row>
    <row r="774" spans="10:15" ht="14.25" customHeight="1" x14ac:dyDescent="0.25">
      <c r="J774" s="262"/>
      <c r="K774" s="263"/>
      <c r="L774" s="263"/>
      <c r="O774" s="264"/>
    </row>
    <row r="775" spans="10:15" ht="14.25" customHeight="1" x14ac:dyDescent="0.25">
      <c r="J775" s="262"/>
      <c r="K775" s="263"/>
      <c r="L775" s="263"/>
      <c r="O775" s="264"/>
    </row>
    <row r="776" spans="10:15" ht="14.25" customHeight="1" x14ac:dyDescent="0.25">
      <c r="J776" s="262"/>
      <c r="K776" s="263"/>
      <c r="L776" s="263"/>
      <c r="O776" s="264"/>
    </row>
    <row r="777" spans="10:15" ht="14.25" customHeight="1" x14ac:dyDescent="0.25">
      <c r="J777" s="262"/>
      <c r="K777" s="263"/>
      <c r="L777" s="263"/>
      <c r="O777" s="264"/>
    </row>
    <row r="778" spans="10:15" ht="14.25" customHeight="1" x14ac:dyDescent="0.25">
      <c r="J778" s="262"/>
      <c r="K778" s="263"/>
      <c r="L778" s="263"/>
      <c r="O778" s="264"/>
    </row>
    <row r="779" spans="10:15" ht="14.25" customHeight="1" x14ac:dyDescent="0.25">
      <c r="J779" s="262"/>
      <c r="K779" s="263"/>
      <c r="L779" s="263"/>
      <c r="O779" s="264"/>
    </row>
    <row r="780" spans="10:15" ht="14.25" customHeight="1" x14ac:dyDescent="0.25">
      <c r="J780" s="262"/>
      <c r="K780" s="263"/>
      <c r="L780" s="263"/>
      <c r="O780" s="264"/>
    </row>
    <row r="781" spans="10:15" ht="14.25" customHeight="1" x14ac:dyDescent="0.25">
      <c r="J781" s="262"/>
      <c r="K781" s="263"/>
      <c r="L781" s="263"/>
      <c r="O781" s="264"/>
    </row>
    <row r="782" spans="10:15" ht="14.25" customHeight="1" x14ac:dyDescent="0.25">
      <c r="J782" s="262"/>
      <c r="K782" s="263"/>
      <c r="L782" s="263"/>
      <c r="O782" s="264"/>
    </row>
    <row r="783" spans="10:15" ht="14.25" customHeight="1" x14ac:dyDescent="0.25">
      <c r="J783" s="262"/>
      <c r="K783" s="263"/>
      <c r="L783" s="263"/>
      <c r="O783" s="264"/>
    </row>
    <row r="784" spans="10:15" ht="14.25" customHeight="1" x14ac:dyDescent="0.25">
      <c r="J784" s="262"/>
      <c r="K784" s="263"/>
      <c r="L784" s="263"/>
      <c r="O784" s="264"/>
    </row>
    <row r="785" spans="10:15" ht="14.25" customHeight="1" x14ac:dyDescent="0.25">
      <c r="J785" s="262"/>
      <c r="K785" s="263"/>
      <c r="L785" s="263"/>
      <c r="O785" s="264"/>
    </row>
    <row r="786" spans="10:15" ht="14.25" customHeight="1" x14ac:dyDescent="0.25">
      <c r="J786" s="262"/>
      <c r="K786" s="263"/>
      <c r="L786" s="263"/>
      <c r="O786" s="264"/>
    </row>
    <row r="787" spans="10:15" ht="14.25" customHeight="1" x14ac:dyDescent="0.25">
      <c r="J787" s="262"/>
      <c r="K787" s="263"/>
      <c r="L787" s="263"/>
      <c r="O787" s="264"/>
    </row>
    <row r="788" spans="10:15" ht="14.25" customHeight="1" x14ac:dyDescent="0.25">
      <c r="J788" s="262"/>
      <c r="K788" s="263"/>
      <c r="L788" s="263"/>
      <c r="O788" s="264"/>
    </row>
    <row r="789" spans="10:15" ht="14.25" customHeight="1" x14ac:dyDescent="0.25">
      <c r="J789" s="262"/>
      <c r="K789" s="263"/>
      <c r="L789" s="263"/>
      <c r="O789" s="264"/>
    </row>
    <row r="790" spans="10:15" ht="14.25" customHeight="1" x14ac:dyDescent="0.25">
      <c r="J790" s="262"/>
      <c r="K790" s="263"/>
      <c r="L790" s="263"/>
      <c r="O790" s="264"/>
    </row>
    <row r="791" spans="10:15" ht="14.25" customHeight="1" x14ac:dyDescent="0.25">
      <c r="J791" s="262"/>
      <c r="K791" s="263"/>
      <c r="L791" s="263"/>
      <c r="O791" s="264"/>
    </row>
    <row r="792" spans="10:15" ht="14.25" customHeight="1" x14ac:dyDescent="0.25">
      <c r="J792" s="262"/>
      <c r="K792" s="263"/>
      <c r="L792" s="263"/>
      <c r="O792" s="264"/>
    </row>
    <row r="793" spans="10:15" ht="14.25" customHeight="1" x14ac:dyDescent="0.25">
      <c r="J793" s="262"/>
      <c r="K793" s="263"/>
      <c r="L793" s="263"/>
      <c r="O793" s="264"/>
    </row>
    <row r="794" spans="10:15" ht="14.25" customHeight="1" x14ac:dyDescent="0.25">
      <c r="J794" s="262"/>
      <c r="K794" s="263"/>
      <c r="L794" s="263"/>
      <c r="O794" s="264"/>
    </row>
    <row r="795" spans="10:15" ht="14.25" customHeight="1" x14ac:dyDescent="0.25">
      <c r="J795" s="262"/>
      <c r="K795" s="263"/>
      <c r="L795" s="263"/>
      <c r="O795" s="264"/>
    </row>
    <row r="796" spans="10:15" ht="14.25" customHeight="1" x14ac:dyDescent="0.25">
      <c r="J796" s="262"/>
      <c r="K796" s="263"/>
      <c r="L796" s="263"/>
      <c r="O796" s="264"/>
    </row>
    <row r="797" spans="10:15" ht="14.25" customHeight="1" x14ac:dyDescent="0.25">
      <c r="J797" s="262"/>
      <c r="K797" s="263"/>
      <c r="L797" s="263"/>
      <c r="O797" s="264"/>
    </row>
    <row r="798" spans="10:15" ht="14.25" customHeight="1" x14ac:dyDescent="0.25">
      <c r="J798" s="262"/>
      <c r="K798" s="263"/>
      <c r="L798" s="263"/>
      <c r="O798" s="264"/>
    </row>
    <row r="799" spans="10:15" ht="14.25" customHeight="1" x14ac:dyDescent="0.25">
      <c r="J799" s="262"/>
      <c r="K799" s="263"/>
      <c r="L799" s="263"/>
      <c r="O799" s="264"/>
    </row>
    <row r="800" spans="10:15" ht="14.25" customHeight="1" x14ac:dyDescent="0.25">
      <c r="J800" s="262"/>
      <c r="K800" s="263"/>
      <c r="L800" s="263"/>
      <c r="O800" s="264"/>
    </row>
    <row r="801" spans="10:15" ht="14.25" customHeight="1" x14ac:dyDescent="0.25">
      <c r="J801" s="262"/>
      <c r="K801" s="263"/>
      <c r="L801" s="263"/>
      <c r="O801" s="264"/>
    </row>
    <row r="802" spans="10:15" ht="14.25" customHeight="1" x14ac:dyDescent="0.25">
      <c r="J802" s="262"/>
      <c r="K802" s="263"/>
      <c r="L802" s="263"/>
      <c r="O802" s="264"/>
    </row>
    <row r="803" spans="10:15" ht="14.25" customHeight="1" x14ac:dyDescent="0.25">
      <c r="J803" s="262"/>
      <c r="K803" s="263"/>
      <c r="L803" s="263"/>
      <c r="O803" s="264"/>
    </row>
    <row r="804" spans="10:15" ht="14.25" customHeight="1" x14ac:dyDescent="0.25">
      <c r="J804" s="262"/>
      <c r="K804" s="263"/>
      <c r="L804" s="263"/>
      <c r="O804" s="264"/>
    </row>
    <row r="805" spans="10:15" ht="14.25" customHeight="1" x14ac:dyDescent="0.25">
      <c r="J805" s="262"/>
      <c r="K805" s="263"/>
      <c r="L805" s="263"/>
      <c r="O805" s="264"/>
    </row>
    <row r="806" spans="10:15" ht="14.25" customHeight="1" x14ac:dyDescent="0.25">
      <c r="J806" s="262"/>
      <c r="K806" s="263"/>
      <c r="L806" s="263"/>
      <c r="O806" s="264"/>
    </row>
    <row r="807" spans="10:15" ht="14.25" customHeight="1" x14ac:dyDescent="0.25">
      <c r="J807" s="262"/>
      <c r="K807" s="263"/>
      <c r="L807" s="263"/>
      <c r="O807" s="264"/>
    </row>
    <row r="808" spans="10:15" ht="14.25" customHeight="1" x14ac:dyDescent="0.25">
      <c r="J808" s="262"/>
      <c r="K808" s="263"/>
      <c r="L808" s="263"/>
      <c r="O808" s="264"/>
    </row>
    <row r="809" spans="10:15" ht="14.25" customHeight="1" x14ac:dyDescent="0.25">
      <c r="J809" s="262"/>
      <c r="K809" s="263"/>
      <c r="L809" s="263"/>
      <c r="O809" s="264"/>
    </row>
    <row r="810" spans="10:15" ht="14.25" customHeight="1" x14ac:dyDescent="0.25">
      <c r="J810" s="262"/>
      <c r="K810" s="263"/>
      <c r="L810" s="263"/>
      <c r="O810" s="264"/>
    </row>
    <row r="811" spans="10:15" ht="14.25" customHeight="1" x14ac:dyDescent="0.25">
      <c r="J811" s="262"/>
      <c r="K811" s="263"/>
      <c r="L811" s="263"/>
      <c r="O811" s="264"/>
    </row>
    <row r="812" spans="10:15" ht="14.25" customHeight="1" x14ac:dyDescent="0.25">
      <c r="J812" s="262"/>
      <c r="K812" s="263"/>
      <c r="L812" s="263"/>
      <c r="O812" s="264"/>
    </row>
    <row r="813" spans="10:15" ht="14.25" customHeight="1" x14ac:dyDescent="0.25">
      <c r="J813" s="262"/>
      <c r="K813" s="263"/>
      <c r="L813" s="263"/>
      <c r="O813" s="264"/>
    </row>
    <row r="814" spans="10:15" ht="14.25" customHeight="1" x14ac:dyDescent="0.25">
      <c r="J814" s="262"/>
      <c r="K814" s="263"/>
      <c r="L814" s="263"/>
      <c r="O814" s="264"/>
    </row>
    <row r="815" spans="10:15" ht="14.25" customHeight="1" x14ac:dyDescent="0.25">
      <c r="J815" s="262"/>
      <c r="K815" s="263"/>
      <c r="L815" s="263"/>
      <c r="O815" s="264"/>
    </row>
    <row r="816" spans="10:15" ht="14.25" customHeight="1" x14ac:dyDescent="0.25">
      <c r="J816" s="262"/>
      <c r="K816" s="263"/>
      <c r="L816" s="263"/>
      <c r="O816" s="264"/>
    </row>
    <row r="817" spans="10:15" ht="14.25" customHeight="1" x14ac:dyDescent="0.25">
      <c r="J817" s="262"/>
      <c r="K817" s="263"/>
      <c r="L817" s="263"/>
      <c r="O817" s="264"/>
    </row>
    <row r="818" spans="10:15" ht="14.25" customHeight="1" x14ac:dyDescent="0.25">
      <c r="J818" s="262"/>
      <c r="K818" s="263"/>
      <c r="L818" s="263"/>
      <c r="O818" s="264"/>
    </row>
    <row r="819" spans="10:15" ht="14.25" customHeight="1" x14ac:dyDescent="0.25">
      <c r="J819" s="262"/>
      <c r="K819" s="263"/>
      <c r="L819" s="263"/>
      <c r="O819" s="264"/>
    </row>
    <row r="820" spans="10:15" ht="14.25" customHeight="1" x14ac:dyDescent="0.25">
      <c r="J820" s="262"/>
      <c r="K820" s="263"/>
      <c r="L820" s="263"/>
      <c r="O820" s="264"/>
    </row>
    <row r="821" spans="10:15" ht="14.25" customHeight="1" x14ac:dyDescent="0.25">
      <c r="J821" s="262"/>
      <c r="K821" s="263"/>
      <c r="L821" s="263"/>
      <c r="O821" s="264"/>
    </row>
    <row r="822" spans="10:15" ht="14.25" customHeight="1" x14ac:dyDescent="0.25">
      <c r="J822" s="262"/>
      <c r="K822" s="263"/>
      <c r="L822" s="263"/>
      <c r="O822" s="264"/>
    </row>
    <row r="823" spans="10:15" ht="14.25" customHeight="1" x14ac:dyDescent="0.25">
      <c r="J823" s="262"/>
      <c r="K823" s="263"/>
      <c r="L823" s="263"/>
      <c r="O823" s="264"/>
    </row>
    <row r="824" spans="10:15" ht="14.25" customHeight="1" x14ac:dyDescent="0.25">
      <c r="J824" s="262"/>
      <c r="K824" s="263"/>
      <c r="L824" s="263"/>
      <c r="O824" s="264"/>
    </row>
    <row r="825" spans="10:15" ht="14.25" customHeight="1" x14ac:dyDescent="0.25">
      <c r="J825" s="262"/>
      <c r="K825" s="263"/>
      <c r="L825" s="263"/>
      <c r="O825" s="264"/>
    </row>
    <row r="826" spans="10:15" ht="14.25" customHeight="1" x14ac:dyDescent="0.25">
      <c r="J826" s="262"/>
      <c r="K826" s="263"/>
      <c r="L826" s="263"/>
      <c r="O826" s="264"/>
    </row>
    <row r="827" spans="10:15" ht="14.25" customHeight="1" x14ac:dyDescent="0.25">
      <c r="J827" s="262"/>
      <c r="K827" s="263"/>
      <c r="L827" s="263"/>
      <c r="O827" s="264"/>
    </row>
    <row r="828" spans="10:15" ht="14.25" customHeight="1" x14ac:dyDescent="0.25">
      <c r="J828" s="262"/>
      <c r="K828" s="263"/>
      <c r="L828" s="263"/>
      <c r="O828" s="264"/>
    </row>
    <row r="829" spans="10:15" ht="14.25" customHeight="1" x14ac:dyDescent="0.25">
      <c r="J829" s="262"/>
      <c r="K829" s="263"/>
      <c r="L829" s="263"/>
      <c r="O829" s="264"/>
    </row>
    <row r="830" spans="10:15" ht="14.25" customHeight="1" x14ac:dyDescent="0.25">
      <c r="J830" s="262"/>
      <c r="K830" s="263"/>
      <c r="L830" s="263"/>
      <c r="O830" s="264"/>
    </row>
    <row r="831" spans="10:15" ht="14.25" customHeight="1" x14ac:dyDescent="0.25">
      <c r="J831" s="262"/>
      <c r="K831" s="263"/>
      <c r="L831" s="263"/>
      <c r="O831" s="264"/>
    </row>
    <row r="832" spans="10:15" ht="14.25" customHeight="1" x14ac:dyDescent="0.25">
      <c r="J832" s="262"/>
      <c r="K832" s="263"/>
      <c r="L832" s="263"/>
      <c r="O832" s="264"/>
    </row>
    <row r="833" spans="10:15" ht="14.25" customHeight="1" x14ac:dyDescent="0.25">
      <c r="J833" s="262"/>
      <c r="K833" s="263"/>
      <c r="L833" s="263"/>
      <c r="O833" s="264"/>
    </row>
    <row r="834" spans="10:15" ht="14.25" customHeight="1" x14ac:dyDescent="0.25">
      <c r="J834" s="262"/>
      <c r="K834" s="263"/>
      <c r="L834" s="263"/>
      <c r="O834" s="264"/>
    </row>
    <row r="835" spans="10:15" ht="14.25" customHeight="1" x14ac:dyDescent="0.25">
      <c r="J835" s="262"/>
      <c r="K835" s="263"/>
      <c r="L835" s="263"/>
      <c r="O835" s="264"/>
    </row>
    <row r="836" spans="10:15" ht="14.25" customHeight="1" x14ac:dyDescent="0.25">
      <c r="J836" s="262"/>
      <c r="K836" s="263"/>
      <c r="L836" s="263"/>
      <c r="O836" s="264"/>
    </row>
    <row r="837" spans="10:15" ht="14.25" customHeight="1" x14ac:dyDescent="0.25">
      <c r="J837" s="262"/>
      <c r="K837" s="263"/>
      <c r="L837" s="263"/>
      <c r="O837" s="264"/>
    </row>
    <row r="838" spans="10:15" ht="14.25" customHeight="1" x14ac:dyDescent="0.25">
      <c r="J838" s="262"/>
      <c r="K838" s="263"/>
      <c r="L838" s="263"/>
      <c r="O838" s="264"/>
    </row>
    <row r="839" spans="10:15" ht="14.25" customHeight="1" x14ac:dyDescent="0.25">
      <c r="J839" s="262"/>
      <c r="K839" s="263"/>
      <c r="L839" s="263"/>
      <c r="O839" s="264"/>
    </row>
    <row r="840" spans="10:15" ht="14.25" customHeight="1" x14ac:dyDescent="0.25">
      <c r="J840" s="262"/>
      <c r="K840" s="263"/>
      <c r="L840" s="263"/>
      <c r="O840" s="264"/>
    </row>
    <row r="841" spans="10:15" ht="14.25" customHeight="1" x14ac:dyDescent="0.25">
      <c r="J841" s="262"/>
      <c r="K841" s="263"/>
      <c r="L841" s="263"/>
      <c r="O841" s="264"/>
    </row>
    <row r="842" spans="10:15" ht="14.25" customHeight="1" x14ac:dyDescent="0.25">
      <c r="J842" s="262"/>
      <c r="K842" s="263"/>
      <c r="L842" s="263"/>
      <c r="O842" s="264"/>
    </row>
    <row r="843" spans="10:15" ht="14.25" customHeight="1" x14ac:dyDescent="0.25">
      <c r="J843" s="262"/>
      <c r="K843" s="263"/>
      <c r="L843" s="263"/>
      <c r="O843" s="264"/>
    </row>
    <row r="844" spans="10:15" ht="14.25" customHeight="1" x14ac:dyDescent="0.25">
      <c r="J844" s="262"/>
      <c r="K844" s="263"/>
      <c r="L844" s="263"/>
      <c r="O844" s="264"/>
    </row>
    <row r="845" spans="10:15" ht="14.25" customHeight="1" x14ac:dyDescent="0.25">
      <c r="J845" s="262"/>
      <c r="K845" s="263"/>
      <c r="L845" s="263"/>
      <c r="O845" s="264"/>
    </row>
    <row r="846" spans="10:15" ht="14.25" customHeight="1" x14ac:dyDescent="0.25">
      <c r="J846" s="262"/>
      <c r="K846" s="263"/>
      <c r="L846" s="263"/>
      <c r="O846" s="264"/>
    </row>
    <row r="847" spans="10:15" ht="14.25" customHeight="1" x14ac:dyDescent="0.25">
      <c r="J847" s="262"/>
      <c r="K847" s="263"/>
      <c r="L847" s="263"/>
      <c r="O847" s="264"/>
    </row>
    <row r="848" spans="10:15" ht="14.25" customHeight="1" x14ac:dyDescent="0.25">
      <c r="J848" s="262"/>
      <c r="K848" s="263"/>
      <c r="L848" s="263"/>
      <c r="O848" s="264"/>
    </row>
    <row r="849" spans="10:15" ht="14.25" customHeight="1" x14ac:dyDescent="0.25">
      <c r="J849" s="262"/>
      <c r="K849" s="263"/>
      <c r="L849" s="263"/>
      <c r="O849" s="264"/>
    </row>
    <row r="850" spans="10:15" ht="14.25" customHeight="1" x14ac:dyDescent="0.25">
      <c r="J850" s="262"/>
      <c r="K850" s="263"/>
      <c r="L850" s="263"/>
      <c r="O850" s="264"/>
    </row>
    <row r="851" spans="10:15" ht="14.25" customHeight="1" x14ac:dyDescent="0.25">
      <c r="J851" s="262"/>
      <c r="K851" s="263"/>
      <c r="L851" s="263"/>
      <c r="O851" s="264"/>
    </row>
    <row r="852" spans="10:15" ht="14.25" customHeight="1" x14ac:dyDescent="0.25">
      <c r="J852" s="262"/>
      <c r="K852" s="263"/>
      <c r="L852" s="263"/>
      <c r="O852" s="264"/>
    </row>
    <row r="853" spans="10:15" ht="14.25" customHeight="1" x14ac:dyDescent="0.25">
      <c r="J853" s="262"/>
      <c r="K853" s="263"/>
      <c r="L853" s="263"/>
      <c r="O853" s="264"/>
    </row>
    <row r="854" spans="10:15" ht="14.25" customHeight="1" x14ac:dyDescent="0.25">
      <c r="J854" s="262"/>
      <c r="K854" s="263"/>
      <c r="L854" s="263"/>
      <c r="O854" s="264"/>
    </row>
    <row r="855" spans="10:15" ht="14.25" customHeight="1" x14ac:dyDescent="0.25">
      <c r="J855" s="262"/>
      <c r="K855" s="263"/>
      <c r="L855" s="263"/>
      <c r="O855" s="264"/>
    </row>
    <row r="856" spans="10:15" ht="14.25" customHeight="1" x14ac:dyDescent="0.25">
      <c r="J856" s="262"/>
      <c r="K856" s="263"/>
      <c r="L856" s="263"/>
      <c r="O856" s="264"/>
    </row>
    <row r="857" spans="10:15" ht="14.25" customHeight="1" x14ac:dyDescent="0.25">
      <c r="J857" s="262"/>
      <c r="K857" s="263"/>
      <c r="L857" s="263"/>
      <c r="O857" s="264"/>
    </row>
    <row r="858" spans="10:15" ht="14.25" customHeight="1" x14ac:dyDescent="0.25">
      <c r="J858" s="262"/>
      <c r="K858" s="263"/>
      <c r="L858" s="263"/>
      <c r="O858" s="264"/>
    </row>
    <row r="859" spans="10:15" ht="14.25" customHeight="1" x14ac:dyDescent="0.25">
      <c r="J859" s="262"/>
      <c r="K859" s="263"/>
      <c r="L859" s="263"/>
      <c r="O859" s="264"/>
    </row>
    <row r="860" spans="10:15" ht="14.25" customHeight="1" x14ac:dyDescent="0.25">
      <c r="J860" s="262"/>
      <c r="K860" s="263"/>
      <c r="L860" s="263"/>
      <c r="O860" s="264"/>
    </row>
    <row r="861" spans="10:15" ht="14.25" customHeight="1" x14ac:dyDescent="0.25">
      <c r="J861" s="262"/>
      <c r="K861" s="263"/>
      <c r="L861" s="263"/>
      <c r="O861" s="264"/>
    </row>
    <row r="862" spans="10:15" ht="14.25" customHeight="1" x14ac:dyDescent="0.25">
      <c r="J862" s="262"/>
      <c r="K862" s="263"/>
      <c r="L862" s="263"/>
      <c r="O862" s="264"/>
    </row>
    <row r="863" spans="10:15" ht="14.25" customHeight="1" x14ac:dyDescent="0.25">
      <c r="J863" s="262"/>
      <c r="K863" s="263"/>
      <c r="L863" s="263"/>
      <c r="O863" s="264"/>
    </row>
    <row r="864" spans="10:15" ht="14.25" customHeight="1" x14ac:dyDescent="0.25">
      <c r="J864" s="262"/>
      <c r="K864" s="263"/>
      <c r="L864" s="263"/>
      <c r="O864" s="264"/>
    </row>
    <row r="865" spans="10:15" ht="14.25" customHeight="1" x14ac:dyDescent="0.25">
      <c r="J865" s="262"/>
      <c r="K865" s="263"/>
      <c r="L865" s="263"/>
      <c r="O865" s="264"/>
    </row>
    <row r="866" spans="10:15" ht="14.25" customHeight="1" x14ac:dyDescent="0.25">
      <c r="J866" s="262"/>
      <c r="K866" s="263"/>
      <c r="L866" s="263"/>
      <c r="O866" s="264"/>
    </row>
    <row r="867" spans="10:15" ht="14.25" customHeight="1" x14ac:dyDescent="0.25">
      <c r="J867" s="262"/>
      <c r="K867" s="263"/>
      <c r="L867" s="263"/>
      <c r="O867" s="264"/>
    </row>
    <row r="868" spans="10:15" ht="14.25" customHeight="1" x14ac:dyDescent="0.25">
      <c r="J868" s="262"/>
      <c r="K868" s="263"/>
      <c r="L868" s="263"/>
      <c r="O868" s="264"/>
    </row>
    <row r="869" spans="10:15" ht="14.25" customHeight="1" x14ac:dyDescent="0.25">
      <c r="J869" s="262"/>
      <c r="K869" s="263"/>
      <c r="L869" s="263"/>
      <c r="O869" s="264"/>
    </row>
    <row r="870" spans="10:15" ht="14.25" customHeight="1" x14ac:dyDescent="0.25">
      <c r="J870" s="262"/>
      <c r="K870" s="263"/>
      <c r="L870" s="263"/>
      <c r="O870" s="264"/>
    </row>
    <row r="871" spans="10:15" ht="14.25" customHeight="1" x14ac:dyDescent="0.25">
      <c r="J871" s="262"/>
      <c r="K871" s="263"/>
      <c r="L871" s="263"/>
      <c r="O871" s="264"/>
    </row>
    <row r="872" spans="10:15" ht="14.25" customHeight="1" x14ac:dyDescent="0.25">
      <c r="J872" s="262"/>
      <c r="K872" s="263"/>
      <c r="L872" s="263"/>
      <c r="O872" s="264"/>
    </row>
    <row r="873" spans="10:15" ht="14.25" customHeight="1" x14ac:dyDescent="0.25">
      <c r="J873" s="262"/>
      <c r="K873" s="263"/>
      <c r="L873" s="263"/>
      <c r="O873" s="264"/>
    </row>
    <row r="874" spans="10:15" ht="14.25" customHeight="1" x14ac:dyDescent="0.25">
      <c r="J874" s="262"/>
      <c r="K874" s="263"/>
      <c r="L874" s="263"/>
      <c r="O874" s="264"/>
    </row>
    <row r="875" spans="10:15" ht="14.25" customHeight="1" x14ac:dyDescent="0.25">
      <c r="J875" s="262"/>
      <c r="K875" s="263"/>
      <c r="L875" s="263"/>
      <c r="O875" s="264"/>
    </row>
    <row r="876" spans="10:15" ht="14.25" customHeight="1" x14ac:dyDescent="0.25">
      <c r="J876" s="262"/>
      <c r="K876" s="263"/>
      <c r="L876" s="263"/>
      <c r="O876" s="264"/>
    </row>
    <row r="877" spans="10:15" ht="14.25" customHeight="1" x14ac:dyDescent="0.25">
      <c r="J877" s="262"/>
      <c r="K877" s="263"/>
      <c r="L877" s="263"/>
      <c r="O877" s="264"/>
    </row>
    <row r="878" spans="10:15" ht="14.25" customHeight="1" x14ac:dyDescent="0.25">
      <c r="J878" s="262"/>
      <c r="K878" s="263"/>
      <c r="L878" s="263"/>
      <c r="O878" s="264"/>
    </row>
    <row r="879" spans="10:15" ht="14.25" customHeight="1" x14ac:dyDescent="0.25">
      <c r="J879" s="262"/>
      <c r="K879" s="263"/>
      <c r="L879" s="263"/>
      <c r="O879" s="264"/>
    </row>
    <row r="880" spans="10:15" ht="14.25" customHeight="1" x14ac:dyDescent="0.25">
      <c r="J880" s="262"/>
      <c r="K880" s="263"/>
      <c r="L880" s="263"/>
      <c r="O880" s="264"/>
    </row>
    <row r="881" spans="10:15" ht="14.25" customHeight="1" x14ac:dyDescent="0.25">
      <c r="J881" s="262"/>
      <c r="K881" s="263"/>
      <c r="L881" s="263"/>
      <c r="O881" s="264"/>
    </row>
    <row r="882" spans="10:15" ht="14.25" customHeight="1" x14ac:dyDescent="0.25">
      <c r="J882" s="262"/>
      <c r="K882" s="263"/>
      <c r="L882" s="263"/>
      <c r="O882" s="264"/>
    </row>
    <row r="883" spans="10:15" ht="14.25" customHeight="1" x14ac:dyDescent="0.25">
      <c r="J883" s="262"/>
      <c r="K883" s="263"/>
      <c r="L883" s="263"/>
      <c r="O883" s="264"/>
    </row>
    <row r="884" spans="10:15" ht="14.25" customHeight="1" x14ac:dyDescent="0.25">
      <c r="J884" s="262"/>
      <c r="K884" s="263"/>
      <c r="L884" s="263"/>
      <c r="O884" s="264"/>
    </row>
    <row r="885" spans="10:15" ht="14.25" customHeight="1" x14ac:dyDescent="0.25">
      <c r="J885" s="262"/>
      <c r="K885" s="263"/>
      <c r="L885" s="263"/>
      <c r="O885" s="264"/>
    </row>
    <row r="886" spans="10:15" ht="14.25" customHeight="1" x14ac:dyDescent="0.25">
      <c r="J886" s="262"/>
      <c r="K886" s="263"/>
      <c r="L886" s="263"/>
      <c r="O886" s="264"/>
    </row>
    <row r="887" spans="10:15" ht="14.25" customHeight="1" x14ac:dyDescent="0.25">
      <c r="J887" s="262"/>
      <c r="K887" s="263"/>
      <c r="L887" s="263"/>
      <c r="O887" s="264"/>
    </row>
    <row r="888" spans="10:15" ht="14.25" customHeight="1" x14ac:dyDescent="0.25">
      <c r="J888" s="262"/>
      <c r="K888" s="263"/>
      <c r="L888" s="263"/>
      <c r="O888" s="264"/>
    </row>
    <row r="889" spans="10:15" ht="14.25" customHeight="1" x14ac:dyDescent="0.25">
      <c r="J889" s="262"/>
      <c r="K889" s="263"/>
      <c r="L889" s="263"/>
      <c r="O889" s="264"/>
    </row>
    <row r="890" spans="10:15" ht="14.25" customHeight="1" x14ac:dyDescent="0.25">
      <c r="J890" s="262"/>
      <c r="K890" s="263"/>
      <c r="L890" s="263"/>
      <c r="O890" s="264"/>
    </row>
    <row r="891" spans="10:15" ht="14.25" customHeight="1" x14ac:dyDescent="0.25">
      <c r="J891" s="262"/>
      <c r="K891" s="263"/>
      <c r="L891" s="263"/>
      <c r="O891" s="264"/>
    </row>
    <row r="892" spans="10:15" ht="14.25" customHeight="1" x14ac:dyDescent="0.25">
      <c r="J892" s="262"/>
      <c r="K892" s="263"/>
      <c r="L892" s="263"/>
      <c r="O892" s="264"/>
    </row>
    <row r="893" spans="10:15" ht="14.25" customHeight="1" x14ac:dyDescent="0.25">
      <c r="J893" s="262"/>
      <c r="K893" s="263"/>
      <c r="L893" s="263"/>
      <c r="O893" s="264"/>
    </row>
    <row r="894" spans="10:15" ht="14.25" customHeight="1" x14ac:dyDescent="0.25">
      <c r="J894" s="262"/>
      <c r="K894" s="263"/>
      <c r="L894" s="263"/>
      <c r="O894" s="264"/>
    </row>
    <row r="895" spans="10:15" ht="14.25" customHeight="1" x14ac:dyDescent="0.25">
      <c r="J895" s="262"/>
      <c r="K895" s="263"/>
      <c r="L895" s="263"/>
      <c r="O895" s="264"/>
    </row>
    <row r="896" spans="10:15" ht="14.25" customHeight="1" x14ac:dyDescent="0.25">
      <c r="J896" s="262"/>
      <c r="K896" s="263"/>
      <c r="L896" s="263"/>
      <c r="O896" s="264"/>
    </row>
    <row r="897" spans="10:15" ht="14.25" customHeight="1" x14ac:dyDescent="0.25">
      <c r="J897" s="262"/>
      <c r="K897" s="263"/>
      <c r="L897" s="263"/>
      <c r="O897" s="264"/>
    </row>
    <row r="898" spans="10:15" ht="14.25" customHeight="1" x14ac:dyDescent="0.25">
      <c r="J898" s="262"/>
      <c r="K898" s="263"/>
      <c r="L898" s="263"/>
      <c r="O898" s="264"/>
    </row>
    <row r="899" spans="10:15" ht="14.25" customHeight="1" x14ac:dyDescent="0.25">
      <c r="J899" s="262"/>
      <c r="K899" s="263"/>
      <c r="L899" s="263"/>
      <c r="O899" s="264"/>
    </row>
    <row r="900" spans="10:15" ht="14.25" customHeight="1" x14ac:dyDescent="0.25">
      <c r="J900" s="262"/>
      <c r="K900" s="263"/>
      <c r="L900" s="263"/>
      <c r="O900" s="264"/>
    </row>
    <row r="901" spans="10:15" ht="14.25" customHeight="1" x14ac:dyDescent="0.25">
      <c r="J901" s="262"/>
      <c r="K901" s="263"/>
      <c r="L901" s="263"/>
      <c r="O901" s="264"/>
    </row>
    <row r="902" spans="10:15" ht="14.25" customHeight="1" x14ac:dyDescent="0.25">
      <c r="J902" s="262"/>
      <c r="K902" s="263"/>
      <c r="L902" s="263"/>
      <c r="O902" s="264"/>
    </row>
    <row r="903" spans="10:15" ht="14.25" customHeight="1" x14ac:dyDescent="0.25">
      <c r="J903" s="262"/>
      <c r="K903" s="263"/>
      <c r="L903" s="263"/>
      <c r="O903" s="264"/>
    </row>
    <row r="904" spans="10:15" ht="14.25" customHeight="1" x14ac:dyDescent="0.25">
      <c r="J904" s="262"/>
      <c r="K904" s="263"/>
      <c r="L904" s="263"/>
      <c r="O904" s="264"/>
    </row>
    <row r="905" spans="10:15" ht="14.25" customHeight="1" x14ac:dyDescent="0.25">
      <c r="J905" s="262"/>
      <c r="K905" s="263"/>
      <c r="L905" s="263"/>
      <c r="O905" s="264"/>
    </row>
    <row r="906" spans="10:15" ht="14.25" customHeight="1" x14ac:dyDescent="0.25">
      <c r="J906" s="262"/>
      <c r="K906" s="263"/>
      <c r="L906" s="263"/>
      <c r="O906" s="264"/>
    </row>
    <row r="907" spans="10:15" ht="14.25" customHeight="1" x14ac:dyDescent="0.25">
      <c r="J907" s="262"/>
      <c r="K907" s="263"/>
      <c r="L907" s="263"/>
      <c r="O907" s="264"/>
    </row>
    <row r="908" spans="10:15" ht="14.25" customHeight="1" x14ac:dyDescent="0.25">
      <c r="J908" s="262"/>
      <c r="K908" s="263"/>
      <c r="L908" s="263"/>
      <c r="O908" s="264"/>
    </row>
    <row r="909" spans="10:15" ht="14.25" customHeight="1" x14ac:dyDescent="0.25">
      <c r="J909" s="262"/>
      <c r="K909" s="263"/>
      <c r="L909" s="263"/>
      <c r="O909" s="264"/>
    </row>
    <row r="910" spans="10:15" ht="14.25" customHeight="1" x14ac:dyDescent="0.25">
      <c r="J910" s="262"/>
      <c r="K910" s="263"/>
      <c r="L910" s="263"/>
      <c r="O910" s="264"/>
    </row>
    <row r="911" spans="10:15" ht="14.25" customHeight="1" x14ac:dyDescent="0.25">
      <c r="J911" s="262"/>
      <c r="K911" s="263"/>
      <c r="L911" s="263"/>
      <c r="O911" s="264"/>
    </row>
    <row r="912" spans="10:15" ht="14.25" customHeight="1" x14ac:dyDescent="0.25">
      <c r="J912" s="262"/>
      <c r="K912" s="263"/>
      <c r="L912" s="263"/>
      <c r="O912" s="264"/>
    </row>
    <row r="913" spans="10:15" ht="14.25" customHeight="1" x14ac:dyDescent="0.25">
      <c r="J913" s="262"/>
      <c r="K913" s="263"/>
      <c r="L913" s="263"/>
      <c r="O913" s="264"/>
    </row>
    <row r="914" spans="10:15" ht="14.25" customHeight="1" x14ac:dyDescent="0.25">
      <c r="J914" s="262"/>
      <c r="K914" s="263"/>
      <c r="L914" s="263"/>
      <c r="O914" s="264"/>
    </row>
    <row r="915" spans="10:15" ht="14.25" customHeight="1" x14ac:dyDescent="0.25">
      <c r="J915" s="262"/>
      <c r="K915" s="263"/>
      <c r="L915" s="263"/>
      <c r="O915" s="264"/>
    </row>
    <row r="916" spans="10:15" ht="14.25" customHeight="1" x14ac:dyDescent="0.25">
      <c r="J916" s="262"/>
      <c r="K916" s="263"/>
      <c r="L916" s="263"/>
      <c r="O916" s="264"/>
    </row>
    <row r="917" spans="10:15" ht="14.25" customHeight="1" x14ac:dyDescent="0.25">
      <c r="J917" s="262"/>
      <c r="K917" s="263"/>
      <c r="L917" s="263"/>
      <c r="O917" s="264"/>
    </row>
    <row r="918" spans="10:15" ht="14.25" customHeight="1" x14ac:dyDescent="0.25">
      <c r="J918" s="262"/>
      <c r="K918" s="263"/>
      <c r="L918" s="263"/>
      <c r="O918" s="264"/>
    </row>
    <row r="919" spans="10:15" ht="14.25" customHeight="1" x14ac:dyDescent="0.25">
      <c r="J919" s="262"/>
      <c r="K919" s="263"/>
      <c r="L919" s="263"/>
      <c r="O919" s="264"/>
    </row>
    <row r="920" spans="10:15" ht="14.25" customHeight="1" x14ac:dyDescent="0.25">
      <c r="J920" s="262"/>
      <c r="K920" s="263"/>
      <c r="L920" s="263"/>
      <c r="O920" s="264"/>
    </row>
    <row r="921" spans="10:15" ht="14.25" customHeight="1" x14ac:dyDescent="0.25">
      <c r="J921" s="262"/>
      <c r="K921" s="263"/>
      <c r="L921" s="263"/>
      <c r="O921" s="264"/>
    </row>
    <row r="922" spans="10:15" ht="14.25" customHeight="1" x14ac:dyDescent="0.25">
      <c r="J922" s="262"/>
      <c r="K922" s="263"/>
      <c r="L922" s="263"/>
      <c r="O922" s="264"/>
    </row>
    <row r="923" spans="10:15" ht="14.25" customHeight="1" x14ac:dyDescent="0.25">
      <c r="J923" s="262"/>
      <c r="K923" s="263"/>
      <c r="L923" s="263"/>
      <c r="O923" s="264"/>
    </row>
    <row r="924" spans="10:15" ht="14.25" customHeight="1" x14ac:dyDescent="0.25">
      <c r="J924" s="262"/>
      <c r="K924" s="263"/>
      <c r="L924" s="263"/>
      <c r="O924" s="264"/>
    </row>
    <row r="925" spans="10:15" ht="14.25" customHeight="1" x14ac:dyDescent="0.25">
      <c r="J925" s="262"/>
      <c r="K925" s="263"/>
      <c r="L925" s="263"/>
      <c r="O925" s="264"/>
    </row>
    <row r="926" spans="10:15" ht="14.25" customHeight="1" x14ac:dyDescent="0.25">
      <c r="J926" s="262"/>
      <c r="K926" s="263"/>
      <c r="L926" s="263"/>
      <c r="O926" s="264"/>
    </row>
    <row r="927" spans="10:15" ht="14.25" customHeight="1" x14ac:dyDescent="0.25">
      <c r="J927" s="262"/>
      <c r="K927" s="263"/>
      <c r="L927" s="263"/>
      <c r="O927" s="264"/>
    </row>
    <row r="928" spans="10:15" ht="14.25" customHeight="1" x14ac:dyDescent="0.25">
      <c r="J928" s="262"/>
      <c r="K928" s="263"/>
      <c r="L928" s="263"/>
      <c r="O928" s="264"/>
    </row>
    <row r="929" spans="10:15" ht="14.25" customHeight="1" x14ac:dyDescent="0.25">
      <c r="J929" s="262"/>
      <c r="K929" s="263"/>
      <c r="L929" s="263"/>
      <c r="O929" s="264"/>
    </row>
    <row r="930" spans="10:15" ht="14.25" customHeight="1" x14ac:dyDescent="0.25">
      <c r="J930" s="262"/>
      <c r="K930" s="263"/>
      <c r="L930" s="263"/>
      <c r="O930" s="264"/>
    </row>
    <row r="931" spans="10:15" ht="14.25" customHeight="1" x14ac:dyDescent="0.25">
      <c r="J931" s="262"/>
      <c r="K931" s="263"/>
      <c r="L931" s="263"/>
      <c r="O931" s="264"/>
    </row>
    <row r="932" spans="10:15" ht="14.25" customHeight="1" x14ac:dyDescent="0.25">
      <c r="J932" s="262"/>
      <c r="K932" s="263"/>
      <c r="L932" s="263"/>
      <c r="O932" s="264"/>
    </row>
    <row r="933" spans="10:15" ht="14.25" customHeight="1" x14ac:dyDescent="0.25">
      <c r="J933" s="262"/>
      <c r="K933" s="263"/>
      <c r="L933" s="263"/>
      <c r="O933" s="264"/>
    </row>
    <row r="934" spans="10:15" ht="14.25" customHeight="1" x14ac:dyDescent="0.25">
      <c r="J934" s="262"/>
      <c r="K934" s="263"/>
      <c r="L934" s="263"/>
      <c r="O934" s="264"/>
    </row>
    <row r="935" spans="10:15" ht="14.25" customHeight="1" x14ac:dyDescent="0.25">
      <c r="J935" s="262"/>
      <c r="K935" s="263"/>
      <c r="L935" s="263"/>
      <c r="O935" s="264"/>
    </row>
    <row r="936" spans="10:15" ht="14.25" customHeight="1" x14ac:dyDescent="0.25">
      <c r="J936" s="262"/>
      <c r="K936" s="263"/>
      <c r="L936" s="263"/>
      <c r="O936" s="264"/>
    </row>
    <row r="937" spans="10:15" ht="14.25" customHeight="1" x14ac:dyDescent="0.25">
      <c r="J937" s="262"/>
      <c r="K937" s="263"/>
      <c r="L937" s="263"/>
      <c r="O937" s="264"/>
    </row>
    <row r="938" spans="10:15" ht="14.25" customHeight="1" x14ac:dyDescent="0.25">
      <c r="J938" s="262"/>
      <c r="K938" s="263"/>
      <c r="L938" s="263"/>
      <c r="O938" s="264"/>
    </row>
    <row r="939" spans="10:15" ht="14.25" customHeight="1" x14ac:dyDescent="0.25">
      <c r="J939" s="262"/>
      <c r="K939" s="263"/>
      <c r="L939" s="263"/>
      <c r="O939" s="264"/>
    </row>
    <row r="940" spans="10:15" ht="14.25" customHeight="1" x14ac:dyDescent="0.25">
      <c r="J940" s="262"/>
      <c r="K940" s="263"/>
      <c r="L940" s="263"/>
      <c r="O940" s="264"/>
    </row>
    <row r="941" spans="10:15" ht="14.25" customHeight="1" x14ac:dyDescent="0.25">
      <c r="J941" s="262"/>
      <c r="K941" s="263"/>
      <c r="L941" s="263"/>
      <c r="O941" s="264"/>
    </row>
    <row r="942" spans="10:15" ht="14.25" customHeight="1" x14ac:dyDescent="0.25">
      <c r="J942" s="262"/>
      <c r="K942" s="263"/>
      <c r="L942" s="263"/>
      <c r="O942" s="264"/>
    </row>
    <row r="943" spans="10:15" ht="14.25" customHeight="1" x14ac:dyDescent="0.25">
      <c r="J943" s="262"/>
      <c r="K943" s="263"/>
      <c r="L943" s="263"/>
      <c r="O943" s="264"/>
    </row>
    <row r="944" spans="10:15" ht="14.25" customHeight="1" x14ac:dyDescent="0.25">
      <c r="J944" s="262"/>
      <c r="K944" s="263"/>
      <c r="L944" s="263"/>
      <c r="O944" s="264"/>
    </row>
    <row r="945" spans="10:15" ht="14.25" customHeight="1" x14ac:dyDescent="0.25">
      <c r="J945" s="262"/>
      <c r="K945" s="263"/>
      <c r="L945" s="263"/>
      <c r="O945" s="264"/>
    </row>
    <row r="946" spans="10:15" ht="14.25" customHeight="1" x14ac:dyDescent="0.25">
      <c r="J946" s="262"/>
      <c r="K946" s="263"/>
      <c r="L946" s="263"/>
      <c r="O946" s="264"/>
    </row>
    <row r="947" spans="10:15" ht="14.25" customHeight="1" x14ac:dyDescent="0.25">
      <c r="J947" s="262"/>
      <c r="K947" s="263"/>
      <c r="L947" s="263"/>
      <c r="O947" s="264"/>
    </row>
    <row r="948" spans="10:15" ht="14.25" customHeight="1" x14ac:dyDescent="0.25">
      <c r="J948" s="262"/>
      <c r="K948" s="263"/>
      <c r="L948" s="263"/>
      <c r="O948" s="264"/>
    </row>
    <row r="949" spans="10:15" ht="14.25" customHeight="1" x14ac:dyDescent="0.25">
      <c r="J949" s="262"/>
      <c r="K949" s="263"/>
      <c r="L949" s="263"/>
      <c r="O949" s="264"/>
    </row>
    <row r="950" spans="10:15" ht="14.25" customHeight="1" x14ac:dyDescent="0.25">
      <c r="J950" s="262"/>
      <c r="K950" s="263"/>
      <c r="L950" s="263"/>
      <c r="O950" s="264"/>
    </row>
    <row r="951" spans="10:15" ht="14.25" customHeight="1" x14ac:dyDescent="0.25">
      <c r="J951" s="262"/>
      <c r="K951" s="263"/>
      <c r="L951" s="263"/>
      <c r="O951" s="264"/>
    </row>
    <row r="952" spans="10:15" ht="14.25" customHeight="1" x14ac:dyDescent="0.25">
      <c r="J952" s="262"/>
      <c r="K952" s="263"/>
      <c r="L952" s="263"/>
      <c r="O952" s="264"/>
    </row>
    <row r="953" spans="10:15" ht="14.25" customHeight="1" x14ac:dyDescent="0.25">
      <c r="J953" s="262"/>
      <c r="K953" s="263"/>
      <c r="L953" s="263"/>
      <c r="O953" s="264"/>
    </row>
    <row r="954" spans="10:15" ht="14.25" customHeight="1" x14ac:dyDescent="0.25">
      <c r="J954" s="262"/>
      <c r="K954" s="263"/>
      <c r="L954" s="263"/>
      <c r="O954" s="264"/>
    </row>
    <row r="955" spans="10:15" ht="14.25" customHeight="1" x14ac:dyDescent="0.25">
      <c r="J955" s="262"/>
      <c r="K955" s="263"/>
      <c r="L955" s="263"/>
      <c r="O955" s="264"/>
    </row>
    <row r="956" spans="10:15" ht="14.25" customHeight="1" x14ac:dyDescent="0.25">
      <c r="J956" s="262"/>
      <c r="K956" s="263"/>
      <c r="L956" s="263"/>
      <c r="O956" s="264"/>
    </row>
    <row r="957" spans="10:15" ht="14.25" customHeight="1" x14ac:dyDescent="0.25">
      <c r="J957" s="262"/>
      <c r="K957" s="263"/>
      <c r="L957" s="263"/>
      <c r="O957" s="264"/>
    </row>
    <row r="958" spans="10:15" ht="14.25" customHeight="1" x14ac:dyDescent="0.25">
      <c r="J958" s="262"/>
      <c r="K958" s="263"/>
      <c r="L958" s="263"/>
      <c r="O958" s="264"/>
    </row>
    <row r="959" spans="10:15" ht="14.25" customHeight="1" x14ac:dyDescent="0.25">
      <c r="J959" s="262"/>
      <c r="K959" s="263"/>
      <c r="L959" s="263"/>
      <c r="O959" s="264"/>
    </row>
    <row r="960" spans="10:15" ht="14.25" customHeight="1" x14ac:dyDescent="0.25">
      <c r="J960" s="262"/>
      <c r="K960" s="263"/>
      <c r="L960" s="263"/>
      <c r="O960" s="264"/>
    </row>
    <row r="961" spans="10:15" ht="14.25" customHeight="1" x14ac:dyDescent="0.25">
      <c r="J961" s="262"/>
      <c r="K961" s="263"/>
      <c r="L961" s="263"/>
      <c r="O961" s="264"/>
    </row>
    <row r="962" spans="10:15" ht="14.25" customHeight="1" x14ac:dyDescent="0.25">
      <c r="J962" s="262"/>
      <c r="K962" s="263"/>
      <c r="L962" s="263"/>
      <c r="O962" s="264"/>
    </row>
    <row r="963" spans="10:15" ht="14.25" customHeight="1" x14ac:dyDescent="0.25">
      <c r="J963" s="262"/>
      <c r="K963" s="263"/>
      <c r="L963" s="263"/>
      <c r="O963" s="264"/>
    </row>
    <row r="964" spans="10:15" ht="14.25" customHeight="1" x14ac:dyDescent="0.25">
      <c r="J964" s="262"/>
      <c r="K964" s="263"/>
      <c r="L964" s="263"/>
      <c r="O964" s="264"/>
    </row>
    <row r="965" spans="10:15" ht="14.25" customHeight="1" x14ac:dyDescent="0.25">
      <c r="J965" s="262"/>
      <c r="K965" s="263"/>
      <c r="L965" s="263"/>
      <c r="O965" s="264"/>
    </row>
    <row r="966" spans="10:15" ht="14.25" customHeight="1" x14ac:dyDescent="0.25">
      <c r="J966" s="262"/>
      <c r="K966" s="263"/>
      <c r="L966" s="263"/>
      <c r="O966" s="264"/>
    </row>
    <row r="967" spans="10:15" ht="14.25" customHeight="1" x14ac:dyDescent="0.25">
      <c r="J967" s="262"/>
      <c r="K967" s="263"/>
      <c r="L967" s="263"/>
      <c r="O967" s="264"/>
    </row>
    <row r="968" spans="10:15" ht="14.25" customHeight="1" x14ac:dyDescent="0.25">
      <c r="J968" s="262"/>
      <c r="K968" s="263"/>
      <c r="L968" s="263"/>
      <c r="O968" s="264"/>
    </row>
    <row r="969" spans="10:15" ht="14.25" customHeight="1" x14ac:dyDescent="0.25">
      <c r="J969" s="262"/>
      <c r="K969" s="263"/>
      <c r="L969" s="263"/>
      <c r="O969" s="264"/>
    </row>
    <row r="970" spans="10:15" ht="14.25" customHeight="1" x14ac:dyDescent="0.25">
      <c r="J970" s="262"/>
      <c r="K970" s="263"/>
      <c r="L970" s="263"/>
      <c r="O970" s="264"/>
    </row>
    <row r="971" spans="10:15" ht="14.25" customHeight="1" x14ac:dyDescent="0.25">
      <c r="J971" s="262"/>
      <c r="K971" s="263"/>
      <c r="L971" s="263"/>
      <c r="O971" s="264"/>
    </row>
    <row r="972" spans="10:15" ht="14.25" customHeight="1" x14ac:dyDescent="0.25">
      <c r="J972" s="262"/>
      <c r="K972" s="263"/>
      <c r="L972" s="263"/>
      <c r="O972" s="264"/>
    </row>
    <row r="973" spans="10:15" ht="14.25" customHeight="1" x14ac:dyDescent="0.25">
      <c r="J973" s="262"/>
      <c r="K973" s="263"/>
      <c r="L973" s="263"/>
      <c r="O973" s="264"/>
    </row>
    <row r="974" spans="10:15" ht="14.25" customHeight="1" x14ac:dyDescent="0.25">
      <c r="J974" s="262"/>
      <c r="K974" s="263"/>
      <c r="L974" s="263"/>
      <c r="O974" s="264"/>
    </row>
    <row r="975" spans="10:15" ht="14.25" customHeight="1" x14ac:dyDescent="0.25">
      <c r="J975" s="262"/>
      <c r="K975" s="263"/>
      <c r="L975" s="263"/>
      <c r="O975" s="264"/>
    </row>
    <row r="976" spans="10:15" ht="14.25" customHeight="1" x14ac:dyDescent="0.25">
      <c r="J976" s="262"/>
      <c r="K976" s="263"/>
      <c r="L976" s="263"/>
      <c r="O976" s="264"/>
    </row>
    <row r="977" spans="10:15" ht="14.25" customHeight="1" x14ac:dyDescent="0.25">
      <c r="J977" s="262"/>
      <c r="K977" s="263"/>
      <c r="L977" s="263"/>
      <c r="O977" s="264"/>
    </row>
    <row r="978" spans="10:15" ht="14.25" customHeight="1" x14ac:dyDescent="0.25">
      <c r="J978" s="262"/>
      <c r="K978" s="263"/>
      <c r="L978" s="263"/>
      <c r="O978" s="264"/>
    </row>
    <row r="979" spans="10:15" ht="14.25" customHeight="1" x14ac:dyDescent="0.25">
      <c r="J979" s="262"/>
      <c r="K979" s="263"/>
      <c r="L979" s="263"/>
      <c r="O979" s="264"/>
    </row>
    <row r="980" spans="10:15" ht="14.25" customHeight="1" x14ac:dyDescent="0.25">
      <c r="J980" s="262"/>
      <c r="K980" s="263"/>
      <c r="L980" s="263"/>
      <c r="O980" s="264"/>
    </row>
    <row r="981" spans="10:15" ht="14.25" customHeight="1" x14ac:dyDescent="0.25">
      <c r="J981" s="262"/>
      <c r="K981" s="263"/>
      <c r="L981" s="263"/>
      <c r="O981" s="264"/>
    </row>
    <row r="982" spans="10:15" ht="14.25" customHeight="1" x14ac:dyDescent="0.25">
      <c r="J982" s="262"/>
      <c r="K982" s="263"/>
      <c r="L982" s="263"/>
      <c r="O982" s="264"/>
    </row>
    <row r="983" spans="10:15" ht="14.25" customHeight="1" x14ac:dyDescent="0.25">
      <c r="J983" s="262"/>
      <c r="K983" s="263"/>
      <c r="L983" s="263"/>
      <c r="O983" s="264"/>
    </row>
    <row r="984" spans="10:15" ht="14.25" customHeight="1" x14ac:dyDescent="0.25">
      <c r="J984" s="262"/>
      <c r="K984" s="263"/>
      <c r="L984" s="263"/>
      <c r="O984" s="264"/>
    </row>
    <row r="985" spans="10:15" ht="14.25" customHeight="1" x14ac:dyDescent="0.25">
      <c r="J985" s="262"/>
      <c r="K985" s="263"/>
      <c r="L985" s="263"/>
      <c r="O985" s="264"/>
    </row>
    <row r="986" spans="10:15" ht="14.25" customHeight="1" x14ac:dyDescent="0.25">
      <c r="J986" s="262"/>
      <c r="K986" s="263"/>
      <c r="L986" s="263"/>
      <c r="O986" s="264"/>
    </row>
    <row r="987" spans="10:15" ht="14.25" customHeight="1" x14ac:dyDescent="0.25">
      <c r="J987" s="262"/>
      <c r="K987" s="263"/>
      <c r="L987" s="263"/>
      <c r="O987" s="264"/>
    </row>
    <row r="988" spans="10:15" ht="14.25" customHeight="1" x14ac:dyDescent="0.25">
      <c r="J988" s="262"/>
      <c r="K988" s="263"/>
      <c r="L988" s="263"/>
      <c r="O988" s="264"/>
    </row>
    <row r="989" spans="10:15" ht="14.25" customHeight="1" x14ac:dyDescent="0.25">
      <c r="J989" s="262"/>
      <c r="K989" s="263"/>
      <c r="L989" s="263"/>
      <c r="O989" s="264"/>
    </row>
    <row r="990" spans="10:15" ht="14.25" customHeight="1" x14ac:dyDescent="0.25">
      <c r="J990" s="262"/>
      <c r="K990" s="263"/>
      <c r="L990" s="263"/>
      <c r="O990" s="264"/>
    </row>
    <row r="991" spans="10:15" ht="14.25" customHeight="1" x14ac:dyDescent="0.25">
      <c r="J991" s="262"/>
      <c r="K991" s="263"/>
      <c r="L991" s="263"/>
      <c r="O991" s="264"/>
    </row>
    <row r="992" spans="10:15" ht="14.25" customHeight="1" x14ac:dyDescent="0.25">
      <c r="J992" s="262"/>
      <c r="K992" s="263"/>
      <c r="L992" s="263"/>
      <c r="O992" s="264"/>
    </row>
    <row r="993" spans="10:15" ht="14.25" customHeight="1" x14ac:dyDescent="0.25">
      <c r="J993" s="262"/>
      <c r="K993" s="263"/>
      <c r="L993" s="263"/>
      <c r="O993" s="264"/>
    </row>
    <row r="994" spans="10:15" ht="14.25" customHeight="1" x14ac:dyDescent="0.25">
      <c r="J994" s="262"/>
      <c r="K994" s="263"/>
      <c r="L994" s="263"/>
      <c r="O994" s="264"/>
    </row>
  </sheetData>
  <mergeCells count="3">
    <mergeCell ref="B1:D1"/>
    <mergeCell ref="R1:X2"/>
    <mergeCell ref="Y1:AC2"/>
  </mergeCells>
  <phoneticPr fontId="44" type="noConversion"/>
  <dataValidations count="3">
    <dataValidation type="list" allowBlank="1" showInputMessage="1" prompt="Please type device name (if not included in dropdown list)" sqref="AE4:AF117" xr:uid="{C5F0CF8C-B2B7-41F8-A5CD-98BA3B1C9BDF}">
      <formula1>"White Cane,Elbow crutches,Quadripod,Wheelchair,Walking Stick,Commode wheelchair,Tripod,Commode chair,Axillary crutches,Hearing Aids,Walking frame"</formula1>
    </dataValidation>
    <dataValidation type="list" allowBlank="1" sqref="B4:B117" xr:uid="{C6856D90-AFB8-422E-B426-08F5272C5CB7}">
      <formula1>"ACCESS,BHA,BHA &amp; ACCESS"</formula1>
    </dataValidation>
    <dataValidation type="list" allowBlank="1" showErrorMessage="1" sqref="Y4:AC43 X44:AC117 AG4:AI117" xr:uid="{48E00692-BF96-4AD9-BC2F-895DF45F0E31}">
      <formula1>"Yes,No"</formula1>
    </dataValidation>
  </dataValidations>
  <pageMargins left="0.7" right="0.7" top="0.75" bottom="0.75" header="0" footer="0"/>
  <pageSetup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dimension ref="A1:O788"/>
  <sheetViews>
    <sheetView topLeftCell="C1" zoomScaleNormal="100" workbookViewId="0">
      <selection activeCell="H16" sqref="H16"/>
    </sheetView>
  </sheetViews>
  <sheetFormatPr defaultRowHeight="15" x14ac:dyDescent="0.25"/>
  <cols>
    <col min="1" max="1" width="21.42578125" customWidth="1"/>
    <col min="2" max="2" width="35.140625" bestFit="1" customWidth="1"/>
    <col min="5" max="6" width="15.140625" customWidth="1"/>
    <col min="7" max="8" width="21.140625" customWidth="1"/>
    <col min="9" max="9" width="24.5703125" customWidth="1"/>
    <col min="10" max="10" width="12.5703125" customWidth="1"/>
    <col min="11" max="11" width="16.42578125" customWidth="1"/>
    <col min="14" max="14" width="22.140625" customWidth="1"/>
  </cols>
  <sheetData>
    <row r="1" spans="1:15" x14ac:dyDescent="0.25">
      <c r="A1" s="17" t="s">
        <v>759</v>
      </c>
      <c r="B1" s="18" t="s">
        <v>760</v>
      </c>
      <c r="E1" s="12" t="s">
        <v>366</v>
      </c>
      <c r="F1" s="12" t="s">
        <v>761</v>
      </c>
      <c r="G1" s="12" t="s">
        <v>0</v>
      </c>
      <c r="H1" s="12" t="s">
        <v>762</v>
      </c>
      <c r="I1" s="12" t="s">
        <v>656</v>
      </c>
      <c r="K1" t="s">
        <v>366</v>
      </c>
      <c r="L1" t="s">
        <v>761</v>
      </c>
      <c r="N1" t="s">
        <v>0</v>
      </c>
      <c r="O1" t="s">
        <v>762</v>
      </c>
    </row>
    <row r="2" spans="1:15" x14ac:dyDescent="0.25">
      <c r="A2" s="19" t="s">
        <v>616</v>
      </c>
      <c r="B2" s="20" t="s">
        <v>763</v>
      </c>
      <c r="E2" s="13" t="s">
        <v>616</v>
      </c>
      <c r="F2" s="13" t="s">
        <v>764</v>
      </c>
      <c r="G2" s="13" t="s">
        <v>763</v>
      </c>
      <c r="H2" s="13" t="s">
        <v>765</v>
      </c>
      <c r="I2" s="13" t="s">
        <v>763</v>
      </c>
      <c r="K2" t="s">
        <v>616</v>
      </c>
      <c r="L2" t="s">
        <v>764</v>
      </c>
      <c r="N2" t="s">
        <v>763</v>
      </c>
      <c r="O2" t="s">
        <v>765</v>
      </c>
    </row>
    <row r="3" spans="1:15" x14ac:dyDescent="0.25">
      <c r="A3" s="21" t="s">
        <v>616</v>
      </c>
      <c r="B3" s="22" t="s">
        <v>766</v>
      </c>
      <c r="E3" s="14" t="s">
        <v>616</v>
      </c>
      <c r="F3" s="14" t="s">
        <v>764</v>
      </c>
      <c r="G3" s="14" t="s">
        <v>763</v>
      </c>
      <c r="H3" s="14" t="s">
        <v>765</v>
      </c>
      <c r="I3" s="14" t="s">
        <v>767</v>
      </c>
      <c r="K3" t="s">
        <v>617</v>
      </c>
      <c r="L3" t="s">
        <v>768</v>
      </c>
      <c r="N3" t="s">
        <v>766</v>
      </c>
      <c r="O3" t="s">
        <v>769</v>
      </c>
    </row>
    <row r="4" spans="1:15" x14ac:dyDescent="0.25">
      <c r="A4" s="19" t="s">
        <v>616</v>
      </c>
      <c r="B4" s="20" t="s">
        <v>770</v>
      </c>
      <c r="E4" s="13" t="s">
        <v>616</v>
      </c>
      <c r="F4" s="13" t="s">
        <v>764</v>
      </c>
      <c r="G4" s="13" t="s">
        <v>763</v>
      </c>
      <c r="H4" s="13" t="s">
        <v>765</v>
      </c>
      <c r="I4" s="13" t="s">
        <v>771</v>
      </c>
      <c r="K4" t="s">
        <v>772</v>
      </c>
      <c r="L4" t="s">
        <v>773</v>
      </c>
      <c r="N4" t="s">
        <v>770</v>
      </c>
      <c r="O4" t="s">
        <v>774</v>
      </c>
    </row>
    <row r="5" spans="1:15" x14ac:dyDescent="0.25">
      <c r="A5" s="21" t="s">
        <v>616</v>
      </c>
      <c r="B5" s="22" t="s">
        <v>775</v>
      </c>
      <c r="E5" s="14" t="s">
        <v>616</v>
      </c>
      <c r="F5" s="14" t="s">
        <v>764</v>
      </c>
      <c r="G5" s="14" t="s">
        <v>763</v>
      </c>
      <c r="H5" s="14" t="s">
        <v>765</v>
      </c>
      <c r="I5" s="14" t="s">
        <v>776</v>
      </c>
      <c r="K5" t="s">
        <v>777</v>
      </c>
      <c r="L5" t="s">
        <v>778</v>
      </c>
      <c r="N5" t="s">
        <v>775</v>
      </c>
      <c r="O5" t="s">
        <v>779</v>
      </c>
    </row>
    <row r="6" spans="1:15" x14ac:dyDescent="0.25">
      <c r="A6" s="19" t="s">
        <v>616</v>
      </c>
      <c r="B6" s="20" t="s">
        <v>780</v>
      </c>
      <c r="E6" s="13" t="s">
        <v>616</v>
      </c>
      <c r="F6" s="13" t="s">
        <v>764</v>
      </c>
      <c r="G6" s="13" t="s">
        <v>763</v>
      </c>
      <c r="H6" s="13" t="s">
        <v>765</v>
      </c>
      <c r="I6" s="13" t="s">
        <v>781</v>
      </c>
      <c r="N6" t="s">
        <v>780</v>
      </c>
      <c r="O6" t="s">
        <v>782</v>
      </c>
    </row>
    <row r="7" spans="1:15" x14ac:dyDescent="0.25">
      <c r="A7" s="21" t="s">
        <v>616</v>
      </c>
      <c r="B7" s="22" t="s">
        <v>783</v>
      </c>
      <c r="E7" s="14" t="s">
        <v>616</v>
      </c>
      <c r="F7" s="14" t="s">
        <v>764</v>
      </c>
      <c r="G7" s="14" t="s">
        <v>763</v>
      </c>
      <c r="H7" s="14" t="s">
        <v>765</v>
      </c>
      <c r="I7" s="14" t="s">
        <v>784</v>
      </c>
      <c r="N7" t="s">
        <v>783</v>
      </c>
      <c r="O7" t="s">
        <v>785</v>
      </c>
    </row>
    <row r="8" spans="1:15" x14ac:dyDescent="0.25">
      <c r="A8" s="19" t="s">
        <v>616</v>
      </c>
      <c r="B8" s="20" t="s">
        <v>786</v>
      </c>
      <c r="E8" s="13" t="s">
        <v>616</v>
      </c>
      <c r="F8" s="13" t="s">
        <v>764</v>
      </c>
      <c r="G8" s="13" t="s">
        <v>763</v>
      </c>
      <c r="H8" s="13" t="s">
        <v>765</v>
      </c>
      <c r="I8" s="13" t="s">
        <v>787</v>
      </c>
      <c r="N8" t="s">
        <v>786</v>
      </c>
      <c r="O8" t="s">
        <v>788</v>
      </c>
    </row>
    <row r="9" spans="1:15" x14ac:dyDescent="0.25">
      <c r="A9" s="21" t="s">
        <v>617</v>
      </c>
      <c r="B9" s="22" t="s">
        <v>789</v>
      </c>
      <c r="E9" s="14" t="s">
        <v>616</v>
      </c>
      <c r="F9" s="14" t="s">
        <v>764</v>
      </c>
      <c r="G9" s="14" t="s">
        <v>763</v>
      </c>
      <c r="H9" s="14" t="s">
        <v>765</v>
      </c>
      <c r="I9" s="14" t="s">
        <v>790</v>
      </c>
      <c r="N9" t="s">
        <v>791</v>
      </c>
      <c r="O9" t="s">
        <v>792</v>
      </c>
    </row>
    <row r="10" spans="1:15" x14ac:dyDescent="0.25">
      <c r="A10" s="19" t="s">
        <v>617</v>
      </c>
      <c r="B10" s="20" t="s">
        <v>793</v>
      </c>
      <c r="E10" s="13" t="s">
        <v>616</v>
      </c>
      <c r="F10" s="13" t="s">
        <v>764</v>
      </c>
      <c r="G10" s="13" t="s">
        <v>763</v>
      </c>
      <c r="H10" s="13" t="s">
        <v>765</v>
      </c>
      <c r="I10" s="13" t="s">
        <v>794</v>
      </c>
      <c r="N10" t="s">
        <v>795</v>
      </c>
      <c r="O10" t="s">
        <v>796</v>
      </c>
    </row>
    <row r="11" spans="1:15" x14ac:dyDescent="0.25">
      <c r="A11" s="21" t="s">
        <v>617</v>
      </c>
      <c r="B11" s="22" t="s">
        <v>797</v>
      </c>
      <c r="E11" s="14" t="s">
        <v>616</v>
      </c>
      <c r="F11" s="14" t="s">
        <v>764</v>
      </c>
      <c r="G11" s="14" t="s">
        <v>766</v>
      </c>
      <c r="H11" s="14" t="s">
        <v>769</v>
      </c>
      <c r="I11" s="14" t="s">
        <v>798</v>
      </c>
      <c r="N11" t="s">
        <v>799</v>
      </c>
      <c r="O11" t="s">
        <v>800</v>
      </c>
    </row>
    <row r="12" spans="1:15" x14ac:dyDescent="0.25">
      <c r="A12" s="19" t="s">
        <v>617</v>
      </c>
      <c r="B12" s="20" t="s">
        <v>801</v>
      </c>
      <c r="E12" s="13" t="s">
        <v>616</v>
      </c>
      <c r="F12" s="13" t="s">
        <v>764</v>
      </c>
      <c r="G12" s="13" t="s">
        <v>766</v>
      </c>
      <c r="H12" s="13" t="s">
        <v>769</v>
      </c>
      <c r="I12" s="13" t="s">
        <v>802</v>
      </c>
      <c r="N12" t="s">
        <v>803</v>
      </c>
      <c r="O12" t="s">
        <v>804</v>
      </c>
    </row>
    <row r="13" spans="1:15" x14ac:dyDescent="0.25">
      <c r="A13" s="21" t="s">
        <v>617</v>
      </c>
      <c r="B13" s="22" t="s">
        <v>805</v>
      </c>
      <c r="E13" s="14" t="s">
        <v>616</v>
      </c>
      <c r="F13" s="14" t="s">
        <v>764</v>
      </c>
      <c r="G13" s="14" t="s">
        <v>766</v>
      </c>
      <c r="H13" s="14" t="s">
        <v>769</v>
      </c>
      <c r="I13" s="14" t="s">
        <v>806</v>
      </c>
      <c r="N13" t="s">
        <v>807</v>
      </c>
      <c r="O13" t="s">
        <v>808</v>
      </c>
    </row>
    <row r="14" spans="1:15" x14ac:dyDescent="0.25">
      <c r="A14" s="19" t="s">
        <v>617</v>
      </c>
      <c r="B14" s="20" t="s">
        <v>809</v>
      </c>
      <c r="E14" s="13" t="s">
        <v>616</v>
      </c>
      <c r="F14" s="13" t="s">
        <v>764</v>
      </c>
      <c r="G14" s="13" t="s">
        <v>766</v>
      </c>
      <c r="H14" s="13" t="s">
        <v>769</v>
      </c>
      <c r="I14" s="13" t="s">
        <v>810</v>
      </c>
      <c r="N14" t="s">
        <v>811</v>
      </c>
      <c r="O14" t="s">
        <v>812</v>
      </c>
    </row>
    <row r="15" spans="1:15" x14ac:dyDescent="0.25">
      <c r="A15" s="21" t="s">
        <v>617</v>
      </c>
      <c r="B15" s="22" t="s">
        <v>791</v>
      </c>
      <c r="E15" s="14" t="s">
        <v>616</v>
      </c>
      <c r="F15" s="14" t="s">
        <v>764</v>
      </c>
      <c r="G15" s="14" t="s">
        <v>766</v>
      </c>
      <c r="H15" s="14" t="s">
        <v>769</v>
      </c>
      <c r="I15" s="14" t="s">
        <v>813</v>
      </c>
      <c r="N15" t="s">
        <v>814</v>
      </c>
      <c r="O15" t="s">
        <v>815</v>
      </c>
    </row>
    <row r="16" spans="1:15" x14ac:dyDescent="0.25">
      <c r="A16" s="19" t="s">
        <v>772</v>
      </c>
      <c r="B16" s="20" t="s">
        <v>795</v>
      </c>
      <c r="E16" s="13" t="s">
        <v>616</v>
      </c>
      <c r="F16" s="13" t="s">
        <v>764</v>
      </c>
      <c r="G16" s="13" t="s">
        <v>766</v>
      </c>
      <c r="H16" s="13" t="s">
        <v>769</v>
      </c>
      <c r="I16" s="13" t="s">
        <v>816</v>
      </c>
      <c r="N16" t="s">
        <v>817</v>
      </c>
      <c r="O16" t="s">
        <v>818</v>
      </c>
    </row>
    <row r="17" spans="1:15" x14ac:dyDescent="0.25">
      <c r="A17" s="21" t="s">
        <v>772</v>
      </c>
      <c r="B17" s="22" t="s">
        <v>799</v>
      </c>
      <c r="E17" s="14" t="s">
        <v>616</v>
      </c>
      <c r="F17" s="14" t="s">
        <v>764</v>
      </c>
      <c r="G17" s="14" t="s">
        <v>766</v>
      </c>
      <c r="H17" s="14" t="s">
        <v>769</v>
      </c>
      <c r="I17" s="14" t="s">
        <v>766</v>
      </c>
      <c r="N17" t="s">
        <v>819</v>
      </c>
      <c r="O17" t="s">
        <v>820</v>
      </c>
    </row>
    <row r="18" spans="1:15" x14ac:dyDescent="0.25">
      <c r="A18" s="19" t="s">
        <v>772</v>
      </c>
      <c r="B18" s="20" t="s">
        <v>803</v>
      </c>
      <c r="E18" s="13" t="s">
        <v>616</v>
      </c>
      <c r="F18" s="13" t="s">
        <v>764</v>
      </c>
      <c r="G18" s="13" t="s">
        <v>766</v>
      </c>
      <c r="H18" s="13" t="s">
        <v>769</v>
      </c>
      <c r="I18" s="13" t="s">
        <v>821</v>
      </c>
      <c r="N18" t="s">
        <v>822</v>
      </c>
      <c r="O18" t="s">
        <v>823</v>
      </c>
    </row>
    <row r="19" spans="1:15" x14ac:dyDescent="0.25">
      <c r="A19" s="21" t="s">
        <v>772</v>
      </c>
      <c r="B19" s="22" t="s">
        <v>807</v>
      </c>
      <c r="E19" s="14" t="s">
        <v>616</v>
      </c>
      <c r="F19" s="14" t="s">
        <v>764</v>
      </c>
      <c r="G19" s="14" t="s">
        <v>766</v>
      </c>
      <c r="H19" s="14" t="s">
        <v>769</v>
      </c>
      <c r="I19" s="14" t="s">
        <v>824</v>
      </c>
      <c r="N19" t="s">
        <v>825</v>
      </c>
      <c r="O19" t="s">
        <v>826</v>
      </c>
    </row>
    <row r="20" spans="1:15" x14ac:dyDescent="0.25">
      <c r="A20" s="19" t="s">
        <v>772</v>
      </c>
      <c r="B20" s="20" t="s">
        <v>811</v>
      </c>
      <c r="E20" s="13" t="s">
        <v>616</v>
      </c>
      <c r="F20" s="13" t="s">
        <v>764</v>
      </c>
      <c r="G20" s="13" t="s">
        <v>766</v>
      </c>
      <c r="H20" s="13" t="s">
        <v>769</v>
      </c>
      <c r="I20" s="13" t="s">
        <v>827</v>
      </c>
      <c r="N20" t="s">
        <v>828</v>
      </c>
      <c r="O20" t="s">
        <v>829</v>
      </c>
    </row>
    <row r="21" spans="1:15" x14ac:dyDescent="0.25">
      <c r="A21" s="21" t="s">
        <v>772</v>
      </c>
      <c r="B21" s="22" t="s">
        <v>814</v>
      </c>
      <c r="E21" s="14" t="s">
        <v>616</v>
      </c>
      <c r="F21" s="14" t="s">
        <v>764</v>
      </c>
      <c r="G21" s="14" t="s">
        <v>766</v>
      </c>
      <c r="H21" s="14" t="s">
        <v>769</v>
      </c>
      <c r="I21" s="14" t="s">
        <v>830</v>
      </c>
      <c r="N21" t="s">
        <v>831</v>
      </c>
      <c r="O21" t="s">
        <v>832</v>
      </c>
    </row>
    <row r="22" spans="1:15" x14ac:dyDescent="0.25">
      <c r="A22" s="19" t="s">
        <v>772</v>
      </c>
      <c r="B22" s="20" t="s">
        <v>817</v>
      </c>
      <c r="E22" s="13" t="s">
        <v>616</v>
      </c>
      <c r="F22" s="13" t="s">
        <v>764</v>
      </c>
      <c r="G22" s="13" t="s">
        <v>766</v>
      </c>
      <c r="H22" s="13" t="s">
        <v>769</v>
      </c>
      <c r="I22" s="13" t="s">
        <v>833</v>
      </c>
      <c r="N22" t="s">
        <v>834</v>
      </c>
      <c r="O22" t="s">
        <v>835</v>
      </c>
    </row>
    <row r="23" spans="1:15" x14ac:dyDescent="0.25">
      <c r="A23" s="21" t="s">
        <v>772</v>
      </c>
      <c r="B23" s="22" t="s">
        <v>819</v>
      </c>
      <c r="E23" s="14" t="s">
        <v>616</v>
      </c>
      <c r="F23" s="14" t="s">
        <v>764</v>
      </c>
      <c r="G23" s="14" t="s">
        <v>766</v>
      </c>
      <c r="H23" s="14" t="s">
        <v>769</v>
      </c>
      <c r="I23" s="14" t="s">
        <v>836</v>
      </c>
      <c r="N23" t="s">
        <v>837</v>
      </c>
      <c r="O23" t="s">
        <v>838</v>
      </c>
    </row>
    <row r="24" spans="1:15" x14ac:dyDescent="0.25">
      <c r="A24" s="19" t="s">
        <v>772</v>
      </c>
      <c r="B24" s="20" t="s">
        <v>822</v>
      </c>
      <c r="E24" s="13" t="s">
        <v>616</v>
      </c>
      <c r="F24" s="13" t="s">
        <v>764</v>
      </c>
      <c r="G24" s="13" t="s">
        <v>766</v>
      </c>
      <c r="H24" s="13" t="s">
        <v>769</v>
      </c>
      <c r="I24" s="13" t="s">
        <v>839</v>
      </c>
      <c r="N24" t="s">
        <v>840</v>
      </c>
      <c r="O24" t="s">
        <v>841</v>
      </c>
    </row>
    <row r="25" spans="1:15" x14ac:dyDescent="0.25">
      <c r="A25" s="21" t="s">
        <v>772</v>
      </c>
      <c r="B25" s="22" t="s">
        <v>825</v>
      </c>
      <c r="E25" s="14" t="s">
        <v>616</v>
      </c>
      <c r="F25" s="14" t="s">
        <v>764</v>
      </c>
      <c r="G25" s="14" t="s">
        <v>766</v>
      </c>
      <c r="H25" s="14" t="s">
        <v>769</v>
      </c>
      <c r="I25" s="14" t="s">
        <v>842</v>
      </c>
      <c r="N25" t="s">
        <v>843</v>
      </c>
      <c r="O25" t="s">
        <v>844</v>
      </c>
    </row>
    <row r="26" spans="1:15" x14ac:dyDescent="0.25">
      <c r="A26" s="19" t="s">
        <v>772</v>
      </c>
      <c r="B26" s="20" t="s">
        <v>828</v>
      </c>
      <c r="E26" s="13" t="s">
        <v>616</v>
      </c>
      <c r="F26" s="13" t="s">
        <v>764</v>
      </c>
      <c r="G26" s="13" t="s">
        <v>766</v>
      </c>
      <c r="H26" s="13" t="s">
        <v>769</v>
      </c>
      <c r="I26" s="13" t="s">
        <v>845</v>
      </c>
      <c r="N26" t="s">
        <v>846</v>
      </c>
      <c r="O26" t="s">
        <v>847</v>
      </c>
    </row>
    <row r="27" spans="1:15" x14ac:dyDescent="0.25">
      <c r="A27" s="21" t="s">
        <v>772</v>
      </c>
      <c r="B27" s="22" t="s">
        <v>831</v>
      </c>
      <c r="E27" s="14" t="s">
        <v>616</v>
      </c>
      <c r="F27" s="14" t="s">
        <v>764</v>
      </c>
      <c r="G27" s="14" t="s">
        <v>766</v>
      </c>
      <c r="H27" s="14" t="s">
        <v>769</v>
      </c>
      <c r="I27" s="14" t="s">
        <v>848</v>
      </c>
      <c r="N27" t="s">
        <v>849</v>
      </c>
      <c r="O27" t="s">
        <v>850</v>
      </c>
    </row>
    <row r="28" spans="1:15" x14ac:dyDescent="0.25">
      <c r="A28" s="19" t="s">
        <v>772</v>
      </c>
      <c r="B28" s="20" t="s">
        <v>834</v>
      </c>
      <c r="E28" s="13" t="s">
        <v>616</v>
      </c>
      <c r="F28" s="13" t="s">
        <v>764</v>
      </c>
      <c r="G28" s="13" t="s">
        <v>766</v>
      </c>
      <c r="H28" s="13" t="s">
        <v>769</v>
      </c>
      <c r="I28" s="13" t="s">
        <v>851</v>
      </c>
      <c r="N28" t="s">
        <v>852</v>
      </c>
      <c r="O28" t="s">
        <v>853</v>
      </c>
    </row>
    <row r="29" spans="1:15" x14ac:dyDescent="0.25">
      <c r="A29" s="21" t="s">
        <v>772</v>
      </c>
      <c r="B29" s="22" t="s">
        <v>837</v>
      </c>
      <c r="E29" s="14" t="s">
        <v>616</v>
      </c>
      <c r="F29" s="14" t="s">
        <v>764</v>
      </c>
      <c r="G29" s="14" t="s">
        <v>766</v>
      </c>
      <c r="H29" s="14" t="s">
        <v>769</v>
      </c>
      <c r="I29" s="14" t="s">
        <v>854</v>
      </c>
      <c r="N29" t="s">
        <v>855</v>
      </c>
      <c r="O29" t="s">
        <v>856</v>
      </c>
    </row>
    <row r="30" spans="1:15" x14ac:dyDescent="0.25">
      <c r="A30" s="19" t="s">
        <v>772</v>
      </c>
      <c r="B30" s="20" t="s">
        <v>840</v>
      </c>
      <c r="E30" s="13" t="s">
        <v>616</v>
      </c>
      <c r="F30" s="13" t="s">
        <v>764</v>
      </c>
      <c r="G30" s="13" t="s">
        <v>766</v>
      </c>
      <c r="H30" s="13" t="s">
        <v>769</v>
      </c>
      <c r="I30" s="13" t="s">
        <v>857</v>
      </c>
      <c r="N30" t="s">
        <v>858</v>
      </c>
      <c r="O30" t="s">
        <v>859</v>
      </c>
    </row>
    <row r="31" spans="1:15" x14ac:dyDescent="0.25">
      <c r="A31" s="21" t="s">
        <v>860</v>
      </c>
      <c r="B31" s="22" t="s">
        <v>861</v>
      </c>
      <c r="E31" s="14" t="s">
        <v>616</v>
      </c>
      <c r="F31" s="14" t="s">
        <v>764</v>
      </c>
      <c r="G31" s="14" t="s">
        <v>766</v>
      </c>
      <c r="H31" s="14" t="s">
        <v>769</v>
      </c>
      <c r="I31" s="14" t="s">
        <v>862</v>
      </c>
      <c r="N31" t="s">
        <v>863</v>
      </c>
      <c r="O31" t="s">
        <v>864</v>
      </c>
    </row>
    <row r="32" spans="1:15" x14ac:dyDescent="0.25">
      <c r="A32" s="19" t="s">
        <v>860</v>
      </c>
      <c r="B32" s="20" t="s">
        <v>865</v>
      </c>
      <c r="E32" s="13" t="s">
        <v>616</v>
      </c>
      <c r="F32" s="13" t="s">
        <v>764</v>
      </c>
      <c r="G32" s="13" t="s">
        <v>766</v>
      </c>
      <c r="H32" s="13" t="s">
        <v>769</v>
      </c>
      <c r="I32" s="13" t="s">
        <v>866</v>
      </c>
      <c r="N32" t="s">
        <v>867</v>
      </c>
      <c r="O32" t="s">
        <v>868</v>
      </c>
    </row>
    <row r="33" spans="1:15" x14ac:dyDescent="0.25">
      <c r="A33" s="21" t="s">
        <v>860</v>
      </c>
      <c r="B33" s="22" t="s">
        <v>869</v>
      </c>
      <c r="E33" s="14" t="s">
        <v>616</v>
      </c>
      <c r="F33" s="14" t="s">
        <v>764</v>
      </c>
      <c r="G33" s="14" t="s">
        <v>766</v>
      </c>
      <c r="H33" s="14" t="s">
        <v>769</v>
      </c>
      <c r="I33" s="14" t="s">
        <v>870</v>
      </c>
      <c r="N33" t="s">
        <v>871</v>
      </c>
      <c r="O33" t="s">
        <v>872</v>
      </c>
    </row>
    <row r="34" spans="1:15" x14ac:dyDescent="0.25">
      <c r="A34" s="19" t="s">
        <v>860</v>
      </c>
      <c r="B34" s="20" t="s">
        <v>873</v>
      </c>
      <c r="E34" s="13" t="s">
        <v>616</v>
      </c>
      <c r="F34" s="13" t="s">
        <v>764</v>
      </c>
      <c r="G34" s="13" t="s">
        <v>766</v>
      </c>
      <c r="H34" s="13" t="s">
        <v>769</v>
      </c>
      <c r="I34" s="13" t="s">
        <v>874</v>
      </c>
      <c r="N34" t="s">
        <v>875</v>
      </c>
      <c r="O34" t="s">
        <v>876</v>
      </c>
    </row>
    <row r="35" spans="1:15" x14ac:dyDescent="0.25">
      <c r="A35" s="21" t="s">
        <v>860</v>
      </c>
      <c r="B35" s="22" t="s">
        <v>877</v>
      </c>
      <c r="E35" s="14" t="s">
        <v>616</v>
      </c>
      <c r="F35" s="14" t="s">
        <v>764</v>
      </c>
      <c r="G35" s="14" t="s">
        <v>766</v>
      </c>
      <c r="H35" s="14" t="s">
        <v>769</v>
      </c>
      <c r="I35" s="14" t="s">
        <v>878</v>
      </c>
      <c r="N35" t="s">
        <v>879</v>
      </c>
      <c r="O35" t="s">
        <v>880</v>
      </c>
    </row>
    <row r="36" spans="1:15" x14ac:dyDescent="0.25">
      <c r="A36" s="19" t="s">
        <v>860</v>
      </c>
      <c r="B36" s="20" t="s">
        <v>881</v>
      </c>
      <c r="E36" s="13" t="s">
        <v>616</v>
      </c>
      <c r="F36" s="13" t="s">
        <v>764</v>
      </c>
      <c r="G36" s="13" t="s">
        <v>766</v>
      </c>
      <c r="H36" s="13" t="s">
        <v>769</v>
      </c>
      <c r="I36" s="13" t="s">
        <v>882</v>
      </c>
      <c r="N36" t="s">
        <v>883</v>
      </c>
      <c r="O36" t="s">
        <v>884</v>
      </c>
    </row>
    <row r="37" spans="1:15" x14ac:dyDescent="0.25">
      <c r="A37" s="21" t="s">
        <v>860</v>
      </c>
      <c r="B37" s="22" t="s">
        <v>885</v>
      </c>
      <c r="E37" s="14" t="s">
        <v>616</v>
      </c>
      <c r="F37" s="14" t="s">
        <v>764</v>
      </c>
      <c r="G37" s="14" t="s">
        <v>770</v>
      </c>
      <c r="H37" s="14" t="s">
        <v>774</v>
      </c>
      <c r="I37" s="14" t="s">
        <v>886</v>
      </c>
      <c r="N37" t="s">
        <v>887</v>
      </c>
      <c r="O37" t="s">
        <v>888</v>
      </c>
    </row>
    <row r="38" spans="1:15" x14ac:dyDescent="0.25">
      <c r="A38" s="19" t="s">
        <v>860</v>
      </c>
      <c r="B38" s="20" t="s">
        <v>889</v>
      </c>
      <c r="E38" s="13" t="s">
        <v>616</v>
      </c>
      <c r="F38" s="13" t="s">
        <v>764</v>
      </c>
      <c r="G38" s="13" t="s">
        <v>770</v>
      </c>
      <c r="H38" s="13" t="s">
        <v>774</v>
      </c>
      <c r="I38" s="13" t="s">
        <v>770</v>
      </c>
      <c r="N38" t="s">
        <v>890</v>
      </c>
      <c r="O38" t="s">
        <v>891</v>
      </c>
    </row>
    <row r="39" spans="1:15" x14ac:dyDescent="0.25">
      <c r="A39" s="21" t="s">
        <v>860</v>
      </c>
      <c r="B39" s="22" t="s">
        <v>892</v>
      </c>
      <c r="E39" s="14" t="s">
        <v>616</v>
      </c>
      <c r="F39" s="14" t="s">
        <v>764</v>
      </c>
      <c r="G39" s="14" t="s">
        <v>770</v>
      </c>
      <c r="H39" s="14" t="s">
        <v>774</v>
      </c>
      <c r="I39" s="14" t="s">
        <v>893</v>
      </c>
      <c r="N39" t="s">
        <v>894</v>
      </c>
      <c r="O39" t="s">
        <v>895</v>
      </c>
    </row>
    <row r="40" spans="1:15" x14ac:dyDescent="0.25">
      <c r="A40" s="19" t="s">
        <v>860</v>
      </c>
      <c r="B40" s="20" t="s">
        <v>896</v>
      </c>
      <c r="E40" s="13" t="s">
        <v>616</v>
      </c>
      <c r="F40" s="13" t="s">
        <v>764</v>
      </c>
      <c r="G40" s="13" t="s">
        <v>770</v>
      </c>
      <c r="H40" s="13" t="s">
        <v>774</v>
      </c>
      <c r="I40" s="13" t="s">
        <v>897</v>
      </c>
      <c r="N40" t="s">
        <v>898</v>
      </c>
      <c r="O40" t="s">
        <v>899</v>
      </c>
    </row>
    <row r="41" spans="1:15" x14ac:dyDescent="0.25">
      <c r="A41" s="21" t="s">
        <v>860</v>
      </c>
      <c r="B41" s="22" t="s">
        <v>900</v>
      </c>
      <c r="E41" s="14" t="s">
        <v>616</v>
      </c>
      <c r="F41" s="14" t="s">
        <v>764</v>
      </c>
      <c r="G41" s="14" t="s">
        <v>770</v>
      </c>
      <c r="H41" s="14" t="s">
        <v>774</v>
      </c>
      <c r="I41" s="14" t="s">
        <v>901</v>
      </c>
      <c r="N41" t="s">
        <v>902</v>
      </c>
      <c r="O41" t="s">
        <v>903</v>
      </c>
    </row>
    <row r="42" spans="1:15" x14ac:dyDescent="0.25">
      <c r="A42" s="19" t="s">
        <v>860</v>
      </c>
      <c r="B42" s="20" t="s">
        <v>904</v>
      </c>
      <c r="E42" s="13" t="s">
        <v>616</v>
      </c>
      <c r="F42" s="13" t="s">
        <v>764</v>
      </c>
      <c r="G42" s="13" t="s">
        <v>770</v>
      </c>
      <c r="H42" s="13" t="s">
        <v>774</v>
      </c>
      <c r="I42" s="13" t="s">
        <v>905</v>
      </c>
      <c r="N42" t="s">
        <v>906</v>
      </c>
      <c r="O42" t="s">
        <v>907</v>
      </c>
    </row>
    <row r="43" spans="1:15" x14ac:dyDescent="0.25">
      <c r="A43" s="21" t="s">
        <v>860</v>
      </c>
      <c r="B43" s="22" t="s">
        <v>908</v>
      </c>
      <c r="E43" s="14" t="s">
        <v>616</v>
      </c>
      <c r="F43" s="14" t="s">
        <v>764</v>
      </c>
      <c r="G43" s="14" t="s">
        <v>770</v>
      </c>
      <c r="H43" s="14" t="s">
        <v>774</v>
      </c>
      <c r="I43" s="14" t="s">
        <v>909</v>
      </c>
      <c r="N43" t="s">
        <v>910</v>
      </c>
      <c r="O43" t="s">
        <v>911</v>
      </c>
    </row>
    <row r="44" spans="1:15" x14ac:dyDescent="0.25">
      <c r="A44" s="19" t="s">
        <v>860</v>
      </c>
      <c r="B44" s="20" t="s">
        <v>912</v>
      </c>
      <c r="E44" s="13" t="s">
        <v>616</v>
      </c>
      <c r="F44" s="13" t="s">
        <v>764</v>
      </c>
      <c r="G44" s="13" t="s">
        <v>770</v>
      </c>
      <c r="H44" s="13" t="s">
        <v>774</v>
      </c>
      <c r="I44" s="13" t="s">
        <v>913</v>
      </c>
      <c r="N44" t="s">
        <v>914</v>
      </c>
      <c r="O44" t="s">
        <v>915</v>
      </c>
    </row>
    <row r="45" spans="1:15" x14ac:dyDescent="0.25">
      <c r="A45" s="21" t="s">
        <v>860</v>
      </c>
      <c r="B45" s="22" t="s">
        <v>916</v>
      </c>
      <c r="E45" s="14" t="s">
        <v>616</v>
      </c>
      <c r="F45" s="14" t="s">
        <v>764</v>
      </c>
      <c r="G45" s="14" t="s">
        <v>775</v>
      </c>
      <c r="H45" s="14" t="s">
        <v>779</v>
      </c>
      <c r="I45" s="14" t="s">
        <v>917</v>
      </c>
      <c r="N45" t="s">
        <v>918</v>
      </c>
      <c r="O45" t="s">
        <v>919</v>
      </c>
    </row>
    <row r="46" spans="1:15" x14ac:dyDescent="0.25">
      <c r="A46" s="19" t="s">
        <v>860</v>
      </c>
      <c r="B46" s="20" t="s">
        <v>920</v>
      </c>
      <c r="E46" s="13" t="s">
        <v>616</v>
      </c>
      <c r="F46" s="13" t="s">
        <v>764</v>
      </c>
      <c r="G46" s="13" t="s">
        <v>775</v>
      </c>
      <c r="H46" s="13" t="s">
        <v>779</v>
      </c>
      <c r="I46" s="13" t="s">
        <v>921</v>
      </c>
    </row>
    <row r="47" spans="1:15" x14ac:dyDescent="0.25">
      <c r="A47" s="21" t="s">
        <v>860</v>
      </c>
      <c r="B47" s="22" t="s">
        <v>922</v>
      </c>
      <c r="E47" s="14" t="s">
        <v>616</v>
      </c>
      <c r="F47" s="14" t="s">
        <v>764</v>
      </c>
      <c r="G47" s="14" t="s">
        <v>775</v>
      </c>
      <c r="H47" s="14" t="s">
        <v>779</v>
      </c>
      <c r="I47" s="14" t="s">
        <v>923</v>
      </c>
    </row>
    <row r="48" spans="1:15" x14ac:dyDescent="0.25">
      <c r="A48" s="19" t="s">
        <v>860</v>
      </c>
      <c r="B48" s="20" t="s">
        <v>924</v>
      </c>
      <c r="E48" s="13" t="s">
        <v>616</v>
      </c>
      <c r="F48" s="13" t="s">
        <v>764</v>
      </c>
      <c r="G48" s="13" t="s">
        <v>775</v>
      </c>
      <c r="H48" s="13" t="s">
        <v>779</v>
      </c>
      <c r="I48" s="13" t="s">
        <v>925</v>
      </c>
    </row>
    <row r="49" spans="1:9" x14ac:dyDescent="0.25">
      <c r="A49" s="21" t="s">
        <v>860</v>
      </c>
      <c r="B49" s="22" t="s">
        <v>926</v>
      </c>
      <c r="E49" s="14" t="s">
        <v>616</v>
      </c>
      <c r="F49" s="14" t="s">
        <v>764</v>
      </c>
      <c r="G49" s="14" t="s">
        <v>775</v>
      </c>
      <c r="H49" s="14" t="s">
        <v>779</v>
      </c>
      <c r="I49" s="14" t="s">
        <v>775</v>
      </c>
    </row>
    <row r="50" spans="1:9" x14ac:dyDescent="0.25">
      <c r="A50" s="19" t="s">
        <v>860</v>
      </c>
      <c r="B50" s="20" t="s">
        <v>927</v>
      </c>
      <c r="E50" s="13" t="s">
        <v>616</v>
      </c>
      <c r="F50" s="13" t="s">
        <v>764</v>
      </c>
      <c r="G50" s="13" t="s">
        <v>775</v>
      </c>
      <c r="H50" s="13" t="s">
        <v>779</v>
      </c>
      <c r="I50" s="13" t="s">
        <v>928</v>
      </c>
    </row>
    <row r="51" spans="1:9" x14ac:dyDescent="0.25">
      <c r="A51" s="21" t="s">
        <v>860</v>
      </c>
      <c r="B51" s="22" t="s">
        <v>929</v>
      </c>
      <c r="E51" s="14" t="s">
        <v>616</v>
      </c>
      <c r="F51" s="14" t="s">
        <v>764</v>
      </c>
      <c r="G51" s="14" t="s">
        <v>775</v>
      </c>
      <c r="H51" s="14" t="s">
        <v>779</v>
      </c>
      <c r="I51" s="14" t="s">
        <v>930</v>
      </c>
    </row>
    <row r="52" spans="1:9" x14ac:dyDescent="0.25">
      <c r="A52" s="19" t="s">
        <v>860</v>
      </c>
      <c r="B52" s="20" t="s">
        <v>931</v>
      </c>
      <c r="E52" s="13" t="s">
        <v>616</v>
      </c>
      <c r="F52" s="13" t="s">
        <v>764</v>
      </c>
      <c r="G52" s="13" t="s">
        <v>775</v>
      </c>
      <c r="H52" s="13" t="s">
        <v>779</v>
      </c>
      <c r="I52" s="13" t="s">
        <v>932</v>
      </c>
    </row>
    <row r="53" spans="1:9" x14ac:dyDescent="0.25">
      <c r="A53" s="21" t="s">
        <v>860</v>
      </c>
      <c r="B53" s="22" t="s">
        <v>933</v>
      </c>
      <c r="E53" s="14" t="s">
        <v>616</v>
      </c>
      <c r="F53" s="14" t="s">
        <v>764</v>
      </c>
      <c r="G53" s="14" t="s">
        <v>775</v>
      </c>
      <c r="H53" s="14" t="s">
        <v>779</v>
      </c>
      <c r="I53" s="14" t="s">
        <v>934</v>
      </c>
    </row>
    <row r="54" spans="1:9" x14ac:dyDescent="0.25">
      <c r="A54" s="19" t="s">
        <v>860</v>
      </c>
      <c r="B54" s="20" t="s">
        <v>935</v>
      </c>
      <c r="E54" s="13" t="s">
        <v>616</v>
      </c>
      <c r="F54" s="13" t="s">
        <v>764</v>
      </c>
      <c r="G54" s="13" t="s">
        <v>775</v>
      </c>
      <c r="H54" s="13" t="s">
        <v>779</v>
      </c>
      <c r="I54" s="13" t="s">
        <v>936</v>
      </c>
    </row>
    <row r="55" spans="1:9" x14ac:dyDescent="0.25">
      <c r="A55" s="21" t="s">
        <v>860</v>
      </c>
      <c r="B55" s="22" t="s">
        <v>937</v>
      </c>
      <c r="E55" s="14" t="s">
        <v>616</v>
      </c>
      <c r="F55" s="14" t="s">
        <v>764</v>
      </c>
      <c r="G55" s="14" t="s">
        <v>775</v>
      </c>
      <c r="H55" s="14" t="s">
        <v>779</v>
      </c>
      <c r="I55" s="14" t="s">
        <v>938</v>
      </c>
    </row>
    <row r="56" spans="1:9" x14ac:dyDescent="0.25">
      <c r="A56" s="19" t="s">
        <v>860</v>
      </c>
      <c r="B56" s="20" t="s">
        <v>939</v>
      </c>
      <c r="E56" s="13" t="s">
        <v>616</v>
      </c>
      <c r="F56" s="13" t="s">
        <v>764</v>
      </c>
      <c r="G56" s="13" t="s">
        <v>775</v>
      </c>
      <c r="H56" s="13" t="s">
        <v>779</v>
      </c>
      <c r="I56" s="13" t="s">
        <v>940</v>
      </c>
    </row>
    <row r="57" spans="1:9" x14ac:dyDescent="0.25">
      <c r="A57" s="21" t="s">
        <v>860</v>
      </c>
      <c r="B57" s="22" t="s">
        <v>941</v>
      </c>
      <c r="E57" s="14" t="s">
        <v>616</v>
      </c>
      <c r="F57" s="14" t="s">
        <v>764</v>
      </c>
      <c r="G57" s="14" t="s">
        <v>775</v>
      </c>
      <c r="H57" s="14" t="s">
        <v>779</v>
      </c>
      <c r="I57" s="14" t="s">
        <v>942</v>
      </c>
    </row>
    <row r="58" spans="1:9" x14ac:dyDescent="0.25">
      <c r="A58" s="19" t="s">
        <v>860</v>
      </c>
      <c r="B58" s="20" t="s">
        <v>943</v>
      </c>
      <c r="E58" s="13" t="s">
        <v>616</v>
      </c>
      <c r="F58" s="13" t="s">
        <v>764</v>
      </c>
      <c r="G58" s="13" t="s">
        <v>775</v>
      </c>
      <c r="H58" s="13" t="s">
        <v>779</v>
      </c>
      <c r="I58" s="13" t="s">
        <v>944</v>
      </c>
    </row>
    <row r="59" spans="1:9" x14ac:dyDescent="0.25">
      <c r="A59" s="21" t="s">
        <v>860</v>
      </c>
      <c r="B59" s="22" t="s">
        <v>945</v>
      </c>
      <c r="E59" s="14" t="s">
        <v>616</v>
      </c>
      <c r="F59" s="14" t="s">
        <v>764</v>
      </c>
      <c r="G59" s="14" t="s">
        <v>780</v>
      </c>
      <c r="H59" s="14" t="s">
        <v>782</v>
      </c>
      <c r="I59" s="14" t="s">
        <v>946</v>
      </c>
    </row>
    <row r="60" spans="1:9" x14ac:dyDescent="0.25">
      <c r="A60" s="19" t="s">
        <v>860</v>
      </c>
      <c r="B60" s="20" t="s">
        <v>947</v>
      </c>
      <c r="E60" s="13" t="s">
        <v>616</v>
      </c>
      <c r="F60" s="13" t="s">
        <v>764</v>
      </c>
      <c r="G60" s="13" t="s">
        <v>780</v>
      </c>
      <c r="H60" s="13" t="s">
        <v>782</v>
      </c>
      <c r="I60" s="13" t="s">
        <v>948</v>
      </c>
    </row>
    <row r="61" spans="1:9" x14ac:dyDescent="0.25">
      <c r="A61" s="21" t="s">
        <v>860</v>
      </c>
      <c r="B61" s="22" t="s">
        <v>949</v>
      </c>
      <c r="E61" s="14" t="s">
        <v>616</v>
      </c>
      <c r="F61" s="14" t="s">
        <v>764</v>
      </c>
      <c r="G61" s="14" t="s">
        <v>780</v>
      </c>
      <c r="H61" s="14" t="s">
        <v>782</v>
      </c>
      <c r="I61" s="14" t="s">
        <v>950</v>
      </c>
    </row>
    <row r="62" spans="1:9" x14ac:dyDescent="0.25">
      <c r="A62" s="19" t="s">
        <v>860</v>
      </c>
      <c r="B62" s="20" t="s">
        <v>951</v>
      </c>
      <c r="E62" s="13" t="s">
        <v>616</v>
      </c>
      <c r="F62" s="13" t="s">
        <v>764</v>
      </c>
      <c r="G62" s="13" t="s">
        <v>780</v>
      </c>
      <c r="H62" s="13" t="s">
        <v>782</v>
      </c>
      <c r="I62" s="13" t="s">
        <v>952</v>
      </c>
    </row>
    <row r="63" spans="1:9" x14ac:dyDescent="0.25">
      <c r="A63" s="21" t="s">
        <v>860</v>
      </c>
      <c r="B63" s="22" t="s">
        <v>953</v>
      </c>
      <c r="E63" s="14" t="s">
        <v>616</v>
      </c>
      <c r="F63" s="14" t="s">
        <v>764</v>
      </c>
      <c r="G63" s="14" t="s">
        <v>780</v>
      </c>
      <c r="H63" s="14" t="s">
        <v>782</v>
      </c>
      <c r="I63" s="14" t="s">
        <v>954</v>
      </c>
    </row>
    <row r="64" spans="1:9" x14ac:dyDescent="0.25">
      <c r="A64" s="19" t="s">
        <v>860</v>
      </c>
      <c r="B64" s="20" t="s">
        <v>955</v>
      </c>
      <c r="E64" s="13" t="s">
        <v>616</v>
      </c>
      <c r="F64" s="13" t="s">
        <v>764</v>
      </c>
      <c r="G64" s="13" t="s">
        <v>780</v>
      </c>
      <c r="H64" s="13" t="s">
        <v>782</v>
      </c>
      <c r="I64" s="13" t="s">
        <v>956</v>
      </c>
    </row>
    <row r="65" spans="1:9" x14ac:dyDescent="0.25">
      <c r="A65" s="21" t="s">
        <v>860</v>
      </c>
      <c r="B65" s="22" t="s">
        <v>957</v>
      </c>
      <c r="E65" s="14" t="s">
        <v>616</v>
      </c>
      <c r="F65" s="14" t="s">
        <v>764</v>
      </c>
      <c r="G65" s="14" t="s">
        <v>780</v>
      </c>
      <c r="H65" s="14" t="s">
        <v>782</v>
      </c>
      <c r="I65" s="14" t="s">
        <v>958</v>
      </c>
    </row>
    <row r="66" spans="1:9" x14ac:dyDescent="0.25">
      <c r="A66" s="19" t="s">
        <v>860</v>
      </c>
      <c r="B66" s="20" t="s">
        <v>959</v>
      </c>
      <c r="E66" s="13" t="s">
        <v>616</v>
      </c>
      <c r="F66" s="13" t="s">
        <v>764</v>
      </c>
      <c r="G66" s="13" t="s">
        <v>780</v>
      </c>
      <c r="H66" s="13" t="s">
        <v>782</v>
      </c>
      <c r="I66" s="13" t="s">
        <v>960</v>
      </c>
    </row>
    <row r="67" spans="1:9" x14ac:dyDescent="0.25">
      <c r="A67" s="21" t="s">
        <v>860</v>
      </c>
      <c r="B67" s="22" t="s">
        <v>961</v>
      </c>
      <c r="E67" s="14" t="s">
        <v>616</v>
      </c>
      <c r="F67" s="14" t="s">
        <v>764</v>
      </c>
      <c r="G67" s="14" t="s">
        <v>780</v>
      </c>
      <c r="H67" s="14" t="s">
        <v>782</v>
      </c>
      <c r="I67" s="14" t="s">
        <v>962</v>
      </c>
    </row>
    <row r="68" spans="1:9" x14ac:dyDescent="0.25">
      <c r="A68" s="19" t="s">
        <v>860</v>
      </c>
      <c r="B68" s="20" t="s">
        <v>963</v>
      </c>
      <c r="E68" s="13" t="s">
        <v>616</v>
      </c>
      <c r="F68" s="13" t="s">
        <v>764</v>
      </c>
      <c r="G68" s="13" t="s">
        <v>780</v>
      </c>
      <c r="H68" s="13" t="s">
        <v>782</v>
      </c>
      <c r="I68" s="13" t="s">
        <v>964</v>
      </c>
    </row>
    <row r="69" spans="1:9" x14ac:dyDescent="0.25">
      <c r="A69" s="21" t="s">
        <v>860</v>
      </c>
      <c r="B69" s="22" t="s">
        <v>965</v>
      </c>
      <c r="E69" s="14" t="s">
        <v>616</v>
      </c>
      <c r="F69" s="14" t="s">
        <v>764</v>
      </c>
      <c r="G69" s="14" t="s">
        <v>780</v>
      </c>
      <c r="H69" s="14" t="s">
        <v>782</v>
      </c>
      <c r="I69" s="14" t="s">
        <v>966</v>
      </c>
    </row>
    <row r="70" spans="1:9" x14ac:dyDescent="0.25">
      <c r="A70" s="19" t="s">
        <v>860</v>
      </c>
      <c r="B70" s="20" t="s">
        <v>967</v>
      </c>
      <c r="E70" s="13" t="s">
        <v>616</v>
      </c>
      <c r="F70" s="13" t="s">
        <v>764</v>
      </c>
      <c r="G70" s="13" t="s">
        <v>780</v>
      </c>
      <c r="H70" s="13" t="s">
        <v>782</v>
      </c>
      <c r="I70" s="13" t="s">
        <v>968</v>
      </c>
    </row>
    <row r="71" spans="1:9" x14ac:dyDescent="0.25">
      <c r="A71" s="21" t="s">
        <v>860</v>
      </c>
      <c r="B71" s="22" t="s">
        <v>969</v>
      </c>
      <c r="E71" s="14" t="s">
        <v>616</v>
      </c>
      <c r="F71" s="14" t="s">
        <v>764</v>
      </c>
      <c r="G71" s="14" t="s">
        <v>780</v>
      </c>
      <c r="H71" s="14" t="s">
        <v>782</v>
      </c>
      <c r="I71" s="14" t="s">
        <v>970</v>
      </c>
    </row>
    <row r="72" spans="1:9" x14ac:dyDescent="0.25">
      <c r="A72" s="19" t="s">
        <v>860</v>
      </c>
      <c r="B72" s="20" t="s">
        <v>971</v>
      </c>
      <c r="E72" s="13" t="s">
        <v>616</v>
      </c>
      <c r="F72" s="13" t="s">
        <v>764</v>
      </c>
      <c r="G72" s="13" t="s">
        <v>783</v>
      </c>
      <c r="H72" s="13" t="s">
        <v>785</v>
      </c>
      <c r="I72" s="13" t="s">
        <v>972</v>
      </c>
    </row>
    <row r="73" spans="1:9" x14ac:dyDescent="0.25">
      <c r="A73" s="21" t="s">
        <v>860</v>
      </c>
      <c r="B73" s="22" t="s">
        <v>973</v>
      </c>
      <c r="E73" s="14" t="s">
        <v>616</v>
      </c>
      <c r="F73" s="14" t="s">
        <v>764</v>
      </c>
      <c r="G73" s="14" t="s">
        <v>783</v>
      </c>
      <c r="H73" s="14" t="s">
        <v>785</v>
      </c>
      <c r="I73" s="14" t="s">
        <v>974</v>
      </c>
    </row>
    <row r="74" spans="1:9" x14ac:dyDescent="0.25">
      <c r="A74" s="19" t="s">
        <v>860</v>
      </c>
      <c r="B74" s="20" t="s">
        <v>975</v>
      </c>
      <c r="E74" s="13" t="s">
        <v>616</v>
      </c>
      <c r="F74" s="13" t="s">
        <v>764</v>
      </c>
      <c r="G74" s="13" t="s">
        <v>783</v>
      </c>
      <c r="H74" s="13" t="s">
        <v>785</v>
      </c>
      <c r="I74" s="13" t="s">
        <v>976</v>
      </c>
    </row>
    <row r="75" spans="1:9" x14ac:dyDescent="0.25">
      <c r="A75" s="21" t="s">
        <v>860</v>
      </c>
      <c r="B75" s="22" t="s">
        <v>977</v>
      </c>
      <c r="E75" s="14" t="s">
        <v>616</v>
      </c>
      <c r="F75" s="14" t="s">
        <v>764</v>
      </c>
      <c r="G75" s="14" t="s">
        <v>783</v>
      </c>
      <c r="H75" s="14" t="s">
        <v>785</v>
      </c>
      <c r="I75" s="14" t="s">
        <v>783</v>
      </c>
    </row>
    <row r="76" spans="1:9" x14ac:dyDescent="0.25">
      <c r="A76" s="19" t="s">
        <v>777</v>
      </c>
      <c r="B76" s="20" t="s">
        <v>843</v>
      </c>
      <c r="E76" s="13" t="s">
        <v>616</v>
      </c>
      <c r="F76" s="13" t="s">
        <v>764</v>
      </c>
      <c r="G76" s="13" t="s">
        <v>783</v>
      </c>
      <c r="H76" s="13" t="s">
        <v>785</v>
      </c>
      <c r="I76" s="13" t="s">
        <v>978</v>
      </c>
    </row>
    <row r="77" spans="1:9" x14ac:dyDescent="0.25">
      <c r="A77" s="21" t="s">
        <v>777</v>
      </c>
      <c r="B77" s="22" t="s">
        <v>846</v>
      </c>
      <c r="E77" s="14" t="s">
        <v>616</v>
      </c>
      <c r="F77" s="14" t="s">
        <v>764</v>
      </c>
      <c r="G77" s="14" t="s">
        <v>783</v>
      </c>
      <c r="H77" s="14" t="s">
        <v>785</v>
      </c>
      <c r="I77" s="14" t="s">
        <v>979</v>
      </c>
    </row>
    <row r="78" spans="1:9" x14ac:dyDescent="0.25">
      <c r="A78" s="19" t="s">
        <v>777</v>
      </c>
      <c r="B78" s="20" t="s">
        <v>849</v>
      </c>
      <c r="E78" s="13" t="s">
        <v>616</v>
      </c>
      <c r="F78" s="13" t="s">
        <v>764</v>
      </c>
      <c r="G78" s="13" t="s">
        <v>786</v>
      </c>
      <c r="H78" s="13" t="s">
        <v>788</v>
      </c>
      <c r="I78" s="13" t="s">
        <v>980</v>
      </c>
    </row>
    <row r="79" spans="1:9" x14ac:dyDescent="0.25">
      <c r="A79" s="21" t="s">
        <v>777</v>
      </c>
      <c r="B79" s="22" t="s">
        <v>852</v>
      </c>
      <c r="E79" s="14" t="s">
        <v>616</v>
      </c>
      <c r="F79" s="14" t="s">
        <v>764</v>
      </c>
      <c r="G79" s="14" t="s">
        <v>786</v>
      </c>
      <c r="H79" s="14" t="s">
        <v>788</v>
      </c>
      <c r="I79" s="14" t="s">
        <v>981</v>
      </c>
    </row>
    <row r="80" spans="1:9" x14ac:dyDescent="0.25">
      <c r="A80" s="19" t="s">
        <v>777</v>
      </c>
      <c r="B80" s="20" t="s">
        <v>855</v>
      </c>
      <c r="E80" s="13" t="s">
        <v>616</v>
      </c>
      <c r="F80" s="13" t="s">
        <v>764</v>
      </c>
      <c r="G80" s="13" t="s">
        <v>786</v>
      </c>
      <c r="H80" s="13" t="s">
        <v>788</v>
      </c>
      <c r="I80" s="13" t="s">
        <v>982</v>
      </c>
    </row>
    <row r="81" spans="1:9" x14ac:dyDescent="0.25">
      <c r="A81" s="21" t="s">
        <v>777</v>
      </c>
      <c r="B81" s="22" t="s">
        <v>858</v>
      </c>
      <c r="E81" s="14" t="s">
        <v>616</v>
      </c>
      <c r="F81" s="14" t="s">
        <v>764</v>
      </c>
      <c r="G81" s="14" t="s">
        <v>786</v>
      </c>
      <c r="H81" s="14" t="s">
        <v>788</v>
      </c>
      <c r="I81" s="14" t="s">
        <v>983</v>
      </c>
    </row>
    <row r="82" spans="1:9" x14ac:dyDescent="0.25">
      <c r="A82" s="19" t="s">
        <v>777</v>
      </c>
      <c r="B82" s="20" t="s">
        <v>863</v>
      </c>
      <c r="E82" s="13" t="s">
        <v>617</v>
      </c>
      <c r="F82" s="13" t="s">
        <v>768</v>
      </c>
      <c r="G82" s="13" t="s">
        <v>791</v>
      </c>
      <c r="H82" s="13" t="s">
        <v>792</v>
      </c>
      <c r="I82" s="13" t="s">
        <v>984</v>
      </c>
    </row>
    <row r="83" spans="1:9" x14ac:dyDescent="0.25">
      <c r="A83" s="21" t="s">
        <v>777</v>
      </c>
      <c r="B83" s="22" t="s">
        <v>867</v>
      </c>
      <c r="E83" s="14" t="s">
        <v>617</v>
      </c>
      <c r="F83" s="14" t="s">
        <v>768</v>
      </c>
      <c r="G83" s="14" t="s">
        <v>791</v>
      </c>
      <c r="H83" s="14" t="s">
        <v>792</v>
      </c>
      <c r="I83" s="14" t="s">
        <v>985</v>
      </c>
    </row>
    <row r="84" spans="1:9" x14ac:dyDescent="0.25">
      <c r="A84" s="19" t="s">
        <v>777</v>
      </c>
      <c r="B84" s="20" t="s">
        <v>871</v>
      </c>
      <c r="E84" s="13" t="s">
        <v>617</v>
      </c>
      <c r="F84" s="13" t="s">
        <v>768</v>
      </c>
      <c r="G84" s="13" t="s">
        <v>791</v>
      </c>
      <c r="H84" s="13" t="s">
        <v>792</v>
      </c>
      <c r="I84" s="13" t="s">
        <v>986</v>
      </c>
    </row>
    <row r="85" spans="1:9" x14ac:dyDescent="0.25">
      <c r="A85" s="21" t="s">
        <v>777</v>
      </c>
      <c r="B85" s="22" t="s">
        <v>875</v>
      </c>
      <c r="E85" s="14" t="s">
        <v>617</v>
      </c>
      <c r="F85" s="14" t="s">
        <v>768</v>
      </c>
      <c r="G85" s="14" t="s">
        <v>791</v>
      </c>
      <c r="H85" s="14" t="s">
        <v>792</v>
      </c>
      <c r="I85" s="14" t="s">
        <v>987</v>
      </c>
    </row>
    <row r="86" spans="1:9" x14ac:dyDescent="0.25">
      <c r="A86" s="19" t="s">
        <v>777</v>
      </c>
      <c r="B86" s="20" t="s">
        <v>879</v>
      </c>
      <c r="E86" s="13" t="s">
        <v>617</v>
      </c>
      <c r="F86" s="13" t="s">
        <v>768</v>
      </c>
      <c r="G86" s="13" t="s">
        <v>791</v>
      </c>
      <c r="H86" s="13" t="s">
        <v>792</v>
      </c>
      <c r="I86" s="13" t="s">
        <v>988</v>
      </c>
    </row>
    <row r="87" spans="1:9" x14ac:dyDescent="0.25">
      <c r="A87" s="21" t="s">
        <v>777</v>
      </c>
      <c r="B87" s="22" t="s">
        <v>883</v>
      </c>
      <c r="E87" s="14" t="s">
        <v>617</v>
      </c>
      <c r="F87" s="14" t="s">
        <v>768</v>
      </c>
      <c r="G87" s="14" t="s">
        <v>791</v>
      </c>
      <c r="H87" s="14" t="s">
        <v>792</v>
      </c>
      <c r="I87" s="14" t="s">
        <v>989</v>
      </c>
    </row>
    <row r="88" spans="1:9" x14ac:dyDescent="0.25">
      <c r="A88" s="19" t="s">
        <v>777</v>
      </c>
      <c r="B88" s="20" t="s">
        <v>887</v>
      </c>
      <c r="E88" s="13" t="s">
        <v>617</v>
      </c>
      <c r="F88" s="13" t="s">
        <v>768</v>
      </c>
      <c r="G88" s="13" t="s">
        <v>791</v>
      </c>
      <c r="H88" s="13" t="s">
        <v>792</v>
      </c>
      <c r="I88" s="13" t="s">
        <v>990</v>
      </c>
    </row>
    <row r="89" spans="1:9" x14ac:dyDescent="0.25">
      <c r="A89" s="21" t="s">
        <v>777</v>
      </c>
      <c r="B89" s="22" t="s">
        <v>890</v>
      </c>
      <c r="E89" s="14" t="s">
        <v>617</v>
      </c>
      <c r="F89" s="14" t="s">
        <v>768</v>
      </c>
      <c r="G89" s="14" t="s">
        <v>791</v>
      </c>
      <c r="H89" s="14" t="s">
        <v>792</v>
      </c>
      <c r="I89" s="14" t="s">
        <v>991</v>
      </c>
    </row>
    <row r="90" spans="1:9" x14ac:dyDescent="0.25">
      <c r="A90" s="19" t="s">
        <v>777</v>
      </c>
      <c r="B90" s="20" t="s">
        <v>894</v>
      </c>
      <c r="E90" s="13" t="s">
        <v>617</v>
      </c>
      <c r="F90" s="13" t="s">
        <v>768</v>
      </c>
      <c r="G90" s="13" t="s">
        <v>791</v>
      </c>
      <c r="H90" s="13" t="s">
        <v>792</v>
      </c>
      <c r="I90" s="13" t="s">
        <v>992</v>
      </c>
    </row>
    <row r="91" spans="1:9" x14ac:dyDescent="0.25">
      <c r="A91" s="21" t="s">
        <v>777</v>
      </c>
      <c r="B91" s="22" t="s">
        <v>898</v>
      </c>
      <c r="E91" s="14" t="s">
        <v>617</v>
      </c>
      <c r="F91" s="14" t="s">
        <v>768</v>
      </c>
      <c r="G91" s="14" t="s">
        <v>791</v>
      </c>
      <c r="H91" s="14" t="s">
        <v>792</v>
      </c>
      <c r="I91" s="14" t="s">
        <v>993</v>
      </c>
    </row>
    <row r="92" spans="1:9" x14ac:dyDescent="0.25">
      <c r="A92" s="19" t="s">
        <v>777</v>
      </c>
      <c r="B92" s="20" t="s">
        <v>902</v>
      </c>
      <c r="E92" s="13" t="s">
        <v>617</v>
      </c>
      <c r="F92" s="13" t="s">
        <v>768</v>
      </c>
      <c r="G92" s="13" t="s">
        <v>791</v>
      </c>
      <c r="H92" s="13" t="s">
        <v>792</v>
      </c>
      <c r="I92" s="13" t="s">
        <v>994</v>
      </c>
    </row>
    <row r="93" spans="1:9" x14ac:dyDescent="0.25">
      <c r="A93" s="21" t="s">
        <v>777</v>
      </c>
      <c r="B93" s="22" t="s">
        <v>906</v>
      </c>
      <c r="E93" s="14" t="s">
        <v>617</v>
      </c>
      <c r="F93" s="14" t="s">
        <v>768</v>
      </c>
      <c r="G93" s="14" t="s">
        <v>791</v>
      </c>
      <c r="H93" s="14" t="s">
        <v>792</v>
      </c>
      <c r="I93" s="14" t="s">
        <v>995</v>
      </c>
    </row>
    <row r="94" spans="1:9" x14ac:dyDescent="0.25">
      <c r="A94" s="19" t="s">
        <v>777</v>
      </c>
      <c r="B94" s="20" t="s">
        <v>910</v>
      </c>
      <c r="E94" s="13" t="s">
        <v>617</v>
      </c>
      <c r="F94" s="13" t="s">
        <v>768</v>
      </c>
      <c r="G94" s="13" t="s">
        <v>791</v>
      </c>
      <c r="H94" s="13" t="s">
        <v>792</v>
      </c>
      <c r="I94" s="13" t="s">
        <v>996</v>
      </c>
    </row>
    <row r="95" spans="1:9" x14ac:dyDescent="0.25">
      <c r="A95" s="21" t="s">
        <v>777</v>
      </c>
      <c r="B95" s="22" t="s">
        <v>914</v>
      </c>
      <c r="E95" s="14" t="s">
        <v>617</v>
      </c>
      <c r="F95" s="14" t="s">
        <v>768</v>
      </c>
      <c r="G95" s="14" t="s">
        <v>791</v>
      </c>
      <c r="H95" s="14" t="s">
        <v>792</v>
      </c>
      <c r="I95" s="14" t="s">
        <v>997</v>
      </c>
    </row>
    <row r="96" spans="1:9" x14ac:dyDescent="0.25">
      <c r="A96" s="16" t="s">
        <v>777</v>
      </c>
      <c r="B96" s="15" t="s">
        <v>918</v>
      </c>
      <c r="E96" s="13" t="s">
        <v>617</v>
      </c>
      <c r="F96" s="13" t="s">
        <v>768</v>
      </c>
      <c r="G96" s="13" t="s">
        <v>791</v>
      </c>
      <c r="H96" s="13" t="s">
        <v>792</v>
      </c>
      <c r="I96" s="13" t="s">
        <v>998</v>
      </c>
    </row>
    <row r="97" spans="5:9" x14ac:dyDescent="0.25">
      <c r="E97" s="14" t="s">
        <v>617</v>
      </c>
      <c r="F97" s="14" t="s">
        <v>768</v>
      </c>
      <c r="G97" s="14" t="s">
        <v>791</v>
      </c>
      <c r="H97" s="14" t="s">
        <v>792</v>
      </c>
      <c r="I97" s="14" t="s">
        <v>999</v>
      </c>
    </row>
    <row r="98" spans="5:9" x14ac:dyDescent="0.25">
      <c r="E98" s="13" t="s">
        <v>617</v>
      </c>
      <c r="F98" s="13" t="s">
        <v>768</v>
      </c>
      <c r="G98" s="13" t="s">
        <v>791</v>
      </c>
      <c r="H98" s="13" t="s">
        <v>792</v>
      </c>
      <c r="I98" s="13" t="s">
        <v>1000</v>
      </c>
    </row>
    <row r="99" spans="5:9" x14ac:dyDescent="0.25">
      <c r="E99" s="14" t="s">
        <v>617</v>
      </c>
      <c r="F99" s="14" t="s">
        <v>768</v>
      </c>
      <c r="G99" s="14" t="s">
        <v>791</v>
      </c>
      <c r="H99" s="14" t="s">
        <v>792</v>
      </c>
      <c r="I99" s="14" t="s">
        <v>1001</v>
      </c>
    </row>
    <row r="100" spans="5:9" x14ac:dyDescent="0.25">
      <c r="E100" s="13" t="s">
        <v>617</v>
      </c>
      <c r="F100" s="13" t="s">
        <v>768</v>
      </c>
      <c r="G100" s="13" t="s">
        <v>791</v>
      </c>
      <c r="H100" s="13" t="s">
        <v>792</v>
      </c>
      <c r="I100" s="13" t="s">
        <v>1002</v>
      </c>
    </row>
    <row r="101" spans="5:9" x14ac:dyDescent="0.25">
      <c r="E101" s="14" t="s">
        <v>617</v>
      </c>
      <c r="F101" s="14" t="s">
        <v>768</v>
      </c>
      <c r="G101" s="14" t="s">
        <v>791</v>
      </c>
      <c r="H101" s="14" t="s">
        <v>792</v>
      </c>
      <c r="I101" s="14" t="s">
        <v>1003</v>
      </c>
    </row>
    <row r="102" spans="5:9" x14ac:dyDescent="0.25">
      <c r="E102" s="13" t="s">
        <v>617</v>
      </c>
      <c r="F102" s="13" t="s">
        <v>768</v>
      </c>
      <c r="G102" s="13" t="s">
        <v>791</v>
      </c>
      <c r="H102" s="13" t="s">
        <v>792</v>
      </c>
      <c r="I102" s="13" t="s">
        <v>1004</v>
      </c>
    </row>
    <row r="103" spans="5:9" x14ac:dyDescent="0.25">
      <c r="E103" s="14" t="s">
        <v>617</v>
      </c>
      <c r="F103" s="14" t="s">
        <v>768</v>
      </c>
      <c r="G103" s="14" t="s">
        <v>791</v>
      </c>
      <c r="H103" s="14" t="s">
        <v>792</v>
      </c>
      <c r="I103" s="14" t="s">
        <v>1005</v>
      </c>
    </row>
    <row r="104" spans="5:9" x14ac:dyDescent="0.25">
      <c r="E104" s="13" t="s">
        <v>617</v>
      </c>
      <c r="F104" s="13" t="s">
        <v>768</v>
      </c>
      <c r="G104" s="13" t="s">
        <v>791</v>
      </c>
      <c r="H104" s="13" t="s">
        <v>792</v>
      </c>
      <c r="I104" s="13" t="s">
        <v>1006</v>
      </c>
    </row>
    <row r="105" spans="5:9" x14ac:dyDescent="0.25">
      <c r="E105" s="14" t="s">
        <v>617</v>
      </c>
      <c r="F105" s="14" t="s">
        <v>768</v>
      </c>
      <c r="G105" s="14" t="s">
        <v>791</v>
      </c>
      <c r="H105" s="14" t="s">
        <v>792</v>
      </c>
      <c r="I105" s="14" t="s">
        <v>1007</v>
      </c>
    </row>
    <row r="106" spans="5:9" x14ac:dyDescent="0.25">
      <c r="E106" s="13" t="s">
        <v>617</v>
      </c>
      <c r="F106" s="13" t="s">
        <v>768</v>
      </c>
      <c r="G106" s="13" t="s">
        <v>791</v>
      </c>
      <c r="H106" s="13" t="s">
        <v>792</v>
      </c>
      <c r="I106" s="13" t="s">
        <v>1008</v>
      </c>
    </row>
    <row r="107" spans="5:9" x14ac:dyDescent="0.25">
      <c r="E107" s="14" t="s">
        <v>617</v>
      </c>
      <c r="F107" s="14" t="s">
        <v>768</v>
      </c>
      <c r="G107" s="14" t="s">
        <v>791</v>
      </c>
      <c r="H107" s="14" t="s">
        <v>792</v>
      </c>
      <c r="I107" s="14" t="s">
        <v>1009</v>
      </c>
    </row>
    <row r="108" spans="5:9" x14ac:dyDescent="0.25">
      <c r="E108" s="13" t="s">
        <v>617</v>
      </c>
      <c r="F108" s="13" t="s">
        <v>768</v>
      </c>
      <c r="G108" s="13" t="s">
        <v>791</v>
      </c>
      <c r="H108" s="13" t="s">
        <v>792</v>
      </c>
      <c r="I108" s="13" t="s">
        <v>1010</v>
      </c>
    </row>
    <row r="109" spans="5:9" x14ac:dyDescent="0.25">
      <c r="E109" s="14" t="s">
        <v>617</v>
      </c>
      <c r="F109" s="14" t="s">
        <v>768</v>
      </c>
      <c r="G109" s="14" t="s">
        <v>791</v>
      </c>
      <c r="H109" s="14" t="s">
        <v>792</v>
      </c>
      <c r="I109" s="14" t="s">
        <v>1011</v>
      </c>
    </row>
    <row r="110" spans="5:9" x14ac:dyDescent="0.25">
      <c r="E110" s="13" t="s">
        <v>617</v>
      </c>
      <c r="F110" s="13" t="s">
        <v>768</v>
      </c>
      <c r="G110" s="13" t="s">
        <v>791</v>
      </c>
      <c r="H110" s="13" t="s">
        <v>792</v>
      </c>
      <c r="I110" s="13" t="s">
        <v>1012</v>
      </c>
    </row>
    <row r="111" spans="5:9" x14ac:dyDescent="0.25">
      <c r="E111" s="14" t="s">
        <v>617</v>
      </c>
      <c r="F111" s="14" t="s">
        <v>768</v>
      </c>
      <c r="G111" s="14" t="s">
        <v>791</v>
      </c>
      <c r="H111" s="14" t="s">
        <v>792</v>
      </c>
      <c r="I111" s="14" t="s">
        <v>1013</v>
      </c>
    </row>
    <row r="112" spans="5:9" x14ac:dyDescent="0.25">
      <c r="E112" s="13" t="s">
        <v>617</v>
      </c>
      <c r="F112" s="13" t="s">
        <v>768</v>
      </c>
      <c r="G112" s="13" t="s">
        <v>791</v>
      </c>
      <c r="H112" s="13" t="s">
        <v>792</v>
      </c>
      <c r="I112" s="13" t="s">
        <v>1014</v>
      </c>
    </row>
    <row r="113" spans="5:9" x14ac:dyDescent="0.25">
      <c r="E113" s="14" t="s">
        <v>617</v>
      </c>
      <c r="F113" s="14" t="s">
        <v>768</v>
      </c>
      <c r="G113" s="14" t="s">
        <v>791</v>
      </c>
      <c r="H113" s="14" t="s">
        <v>792</v>
      </c>
      <c r="I113" s="14" t="s">
        <v>1015</v>
      </c>
    </row>
    <row r="114" spans="5:9" x14ac:dyDescent="0.25">
      <c r="E114" s="13" t="s">
        <v>617</v>
      </c>
      <c r="F114" s="13" t="s">
        <v>768</v>
      </c>
      <c r="G114" s="13" t="s">
        <v>791</v>
      </c>
      <c r="H114" s="13" t="s">
        <v>792</v>
      </c>
      <c r="I114" s="13" t="s">
        <v>1016</v>
      </c>
    </row>
    <row r="115" spans="5:9" x14ac:dyDescent="0.25">
      <c r="E115" s="14" t="s">
        <v>617</v>
      </c>
      <c r="F115" s="14" t="s">
        <v>768</v>
      </c>
      <c r="G115" s="14" t="s">
        <v>791</v>
      </c>
      <c r="H115" s="14" t="s">
        <v>792</v>
      </c>
      <c r="I115" s="14" t="s">
        <v>1017</v>
      </c>
    </row>
    <row r="116" spans="5:9" x14ac:dyDescent="0.25">
      <c r="E116" s="13" t="s">
        <v>617</v>
      </c>
      <c r="F116" s="13" t="s">
        <v>768</v>
      </c>
      <c r="G116" s="13" t="s">
        <v>791</v>
      </c>
      <c r="H116" s="13" t="s">
        <v>792</v>
      </c>
      <c r="I116" s="13" t="s">
        <v>1018</v>
      </c>
    </row>
    <row r="117" spans="5:9" x14ac:dyDescent="0.25">
      <c r="E117" s="14" t="s">
        <v>617</v>
      </c>
      <c r="F117" s="14" t="s">
        <v>768</v>
      </c>
      <c r="G117" s="14" t="s">
        <v>791</v>
      </c>
      <c r="H117" s="14" t="s">
        <v>792</v>
      </c>
      <c r="I117" s="14" t="s">
        <v>1019</v>
      </c>
    </row>
    <row r="118" spans="5:9" x14ac:dyDescent="0.25">
      <c r="E118" s="13" t="s">
        <v>617</v>
      </c>
      <c r="F118" s="13" t="s">
        <v>768</v>
      </c>
      <c r="G118" s="13" t="s">
        <v>791</v>
      </c>
      <c r="H118" s="13" t="s">
        <v>792</v>
      </c>
      <c r="I118" s="13" t="s">
        <v>1020</v>
      </c>
    </row>
    <row r="119" spans="5:9" x14ac:dyDescent="0.25">
      <c r="E119" s="14" t="s">
        <v>617</v>
      </c>
      <c r="F119" s="14" t="s">
        <v>768</v>
      </c>
      <c r="G119" s="14" t="s">
        <v>791</v>
      </c>
      <c r="H119" s="14" t="s">
        <v>792</v>
      </c>
      <c r="I119" s="14" t="s">
        <v>1021</v>
      </c>
    </row>
    <row r="120" spans="5:9" x14ac:dyDescent="0.25">
      <c r="E120" s="13" t="s">
        <v>617</v>
      </c>
      <c r="F120" s="13" t="s">
        <v>768</v>
      </c>
      <c r="G120" s="13" t="s">
        <v>791</v>
      </c>
      <c r="H120" s="13" t="s">
        <v>792</v>
      </c>
      <c r="I120" s="13" t="s">
        <v>1022</v>
      </c>
    </row>
    <row r="121" spans="5:9" x14ac:dyDescent="0.25">
      <c r="E121" s="14" t="s">
        <v>617</v>
      </c>
      <c r="F121" s="14" t="s">
        <v>768</v>
      </c>
      <c r="G121" s="14" t="s">
        <v>791</v>
      </c>
      <c r="H121" s="14" t="s">
        <v>792</v>
      </c>
      <c r="I121" s="14" t="s">
        <v>1023</v>
      </c>
    </row>
    <row r="122" spans="5:9" x14ac:dyDescent="0.25">
      <c r="E122" s="13" t="s">
        <v>617</v>
      </c>
      <c r="F122" s="13" t="s">
        <v>768</v>
      </c>
      <c r="G122" s="13" t="s">
        <v>791</v>
      </c>
      <c r="H122" s="13" t="s">
        <v>792</v>
      </c>
      <c r="I122" s="13" t="s">
        <v>1024</v>
      </c>
    </row>
    <row r="123" spans="5:9" x14ac:dyDescent="0.25">
      <c r="E123" s="14" t="s">
        <v>617</v>
      </c>
      <c r="F123" s="14" t="s">
        <v>768</v>
      </c>
      <c r="G123" s="14" t="s">
        <v>791</v>
      </c>
      <c r="H123" s="14" t="s">
        <v>792</v>
      </c>
      <c r="I123" s="14" t="s">
        <v>1025</v>
      </c>
    </row>
    <row r="124" spans="5:9" x14ac:dyDescent="0.25">
      <c r="E124" s="13" t="s">
        <v>617</v>
      </c>
      <c r="F124" s="13" t="s">
        <v>768</v>
      </c>
      <c r="G124" s="13" t="s">
        <v>791</v>
      </c>
      <c r="H124" s="13" t="s">
        <v>792</v>
      </c>
      <c r="I124" s="13" t="s">
        <v>1026</v>
      </c>
    </row>
    <row r="125" spans="5:9" x14ac:dyDescent="0.25">
      <c r="E125" s="14" t="s">
        <v>617</v>
      </c>
      <c r="F125" s="14" t="s">
        <v>768</v>
      </c>
      <c r="G125" s="14" t="s">
        <v>791</v>
      </c>
      <c r="H125" s="14" t="s">
        <v>792</v>
      </c>
      <c r="I125" s="14" t="s">
        <v>1027</v>
      </c>
    </row>
    <row r="126" spans="5:9" x14ac:dyDescent="0.25">
      <c r="E126" s="13" t="s">
        <v>617</v>
      </c>
      <c r="F126" s="13" t="s">
        <v>768</v>
      </c>
      <c r="G126" s="13" t="s">
        <v>791</v>
      </c>
      <c r="H126" s="13" t="s">
        <v>792</v>
      </c>
      <c r="I126" s="13" t="s">
        <v>1028</v>
      </c>
    </row>
    <row r="127" spans="5:9" x14ac:dyDescent="0.25">
      <c r="E127" s="14" t="s">
        <v>617</v>
      </c>
      <c r="F127" s="14" t="s">
        <v>768</v>
      </c>
      <c r="G127" s="14" t="s">
        <v>791</v>
      </c>
      <c r="H127" s="14" t="s">
        <v>792</v>
      </c>
      <c r="I127" s="14" t="s">
        <v>1029</v>
      </c>
    </row>
    <row r="128" spans="5:9" x14ac:dyDescent="0.25">
      <c r="E128" s="13" t="s">
        <v>617</v>
      </c>
      <c r="F128" s="13" t="s">
        <v>768</v>
      </c>
      <c r="G128" s="13" t="s">
        <v>791</v>
      </c>
      <c r="H128" s="13" t="s">
        <v>792</v>
      </c>
      <c r="I128" s="13" t="s">
        <v>1030</v>
      </c>
    </row>
    <row r="129" spans="5:9" x14ac:dyDescent="0.25">
      <c r="E129" s="14" t="s">
        <v>617</v>
      </c>
      <c r="F129" s="14" t="s">
        <v>768</v>
      </c>
      <c r="G129" s="14" t="s">
        <v>791</v>
      </c>
      <c r="H129" s="14" t="s">
        <v>792</v>
      </c>
      <c r="I129" s="14" t="s">
        <v>1031</v>
      </c>
    </row>
    <row r="130" spans="5:9" x14ac:dyDescent="0.25">
      <c r="E130" s="13" t="s">
        <v>617</v>
      </c>
      <c r="F130" s="13" t="s">
        <v>768</v>
      </c>
      <c r="G130" s="13" t="s">
        <v>791</v>
      </c>
      <c r="H130" s="13" t="s">
        <v>792</v>
      </c>
      <c r="I130" s="13" t="s">
        <v>1032</v>
      </c>
    </row>
    <row r="131" spans="5:9" x14ac:dyDescent="0.25">
      <c r="E131" s="14" t="s">
        <v>617</v>
      </c>
      <c r="F131" s="14" t="s">
        <v>768</v>
      </c>
      <c r="G131" s="14" t="s">
        <v>791</v>
      </c>
      <c r="H131" s="14" t="s">
        <v>792</v>
      </c>
      <c r="I131" s="14" t="s">
        <v>1033</v>
      </c>
    </row>
    <row r="132" spans="5:9" x14ac:dyDescent="0.25">
      <c r="E132" s="13" t="s">
        <v>617</v>
      </c>
      <c r="F132" s="13" t="s">
        <v>768</v>
      </c>
      <c r="G132" s="13" t="s">
        <v>791</v>
      </c>
      <c r="H132" s="13" t="s">
        <v>792</v>
      </c>
      <c r="I132" s="13" t="s">
        <v>1034</v>
      </c>
    </row>
    <row r="133" spans="5:9" x14ac:dyDescent="0.25">
      <c r="E133" s="14" t="s">
        <v>617</v>
      </c>
      <c r="F133" s="14" t="s">
        <v>768</v>
      </c>
      <c r="G133" s="14" t="s">
        <v>791</v>
      </c>
      <c r="H133" s="14" t="s">
        <v>792</v>
      </c>
      <c r="I133" s="14" t="s">
        <v>1035</v>
      </c>
    </row>
    <row r="134" spans="5:9" x14ac:dyDescent="0.25">
      <c r="E134" s="13" t="s">
        <v>617</v>
      </c>
      <c r="F134" s="13" t="s">
        <v>768</v>
      </c>
      <c r="G134" s="13" t="s">
        <v>791</v>
      </c>
      <c r="H134" s="13" t="s">
        <v>792</v>
      </c>
      <c r="I134" s="13" t="s">
        <v>1036</v>
      </c>
    </row>
    <row r="135" spans="5:9" x14ac:dyDescent="0.25">
      <c r="E135" s="14" t="s">
        <v>617</v>
      </c>
      <c r="F135" s="14" t="s">
        <v>768</v>
      </c>
      <c r="G135" s="14" t="s">
        <v>791</v>
      </c>
      <c r="H135" s="14" t="s">
        <v>792</v>
      </c>
      <c r="I135" s="14" t="s">
        <v>1037</v>
      </c>
    </row>
    <row r="136" spans="5:9" x14ac:dyDescent="0.25">
      <c r="E136" s="13" t="s">
        <v>617</v>
      </c>
      <c r="F136" s="13" t="s">
        <v>768</v>
      </c>
      <c r="G136" s="13" t="s">
        <v>791</v>
      </c>
      <c r="H136" s="13" t="s">
        <v>792</v>
      </c>
      <c r="I136" s="13" t="s">
        <v>1038</v>
      </c>
    </row>
    <row r="137" spans="5:9" x14ac:dyDescent="0.25">
      <c r="E137" s="14" t="s">
        <v>617</v>
      </c>
      <c r="F137" s="14" t="s">
        <v>768</v>
      </c>
      <c r="G137" s="14" t="s">
        <v>791</v>
      </c>
      <c r="H137" s="14" t="s">
        <v>792</v>
      </c>
      <c r="I137" s="14" t="s">
        <v>1039</v>
      </c>
    </row>
    <row r="138" spans="5:9" x14ac:dyDescent="0.25">
      <c r="E138" s="13" t="s">
        <v>617</v>
      </c>
      <c r="F138" s="13" t="s">
        <v>768</v>
      </c>
      <c r="G138" s="13" t="s">
        <v>791</v>
      </c>
      <c r="H138" s="13" t="s">
        <v>792</v>
      </c>
      <c r="I138" s="13" t="s">
        <v>1040</v>
      </c>
    </row>
    <row r="139" spans="5:9" x14ac:dyDescent="0.25">
      <c r="E139" s="14" t="s">
        <v>617</v>
      </c>
      <c r="F139" s="14" t="s">
        <v>768</v>
      </c>
      <c r="G139" s="14" t="s">
        <v>791</v>
      </c>
      <c r="H139" s="14" t="s">
        <v>792</v>
      </c>
      <c r="I139" s="14" t="s">
        <v>1041</v>
      </c>
    </row>
    <row r="140" spans="5:9" x14ac:dyDescent="0.25">
      <c r="E140" s="13" t="s">
        <v>617</v>
      </c>
      <c r="F140" s="13" t="s">
        <v>768</v>
      </c>
      <c r="G140" s="13" t="s">
        <v>791</v>
      </c>
      <c r="H140" s="13" t="s">
        <v>792</v>
      </c>
      <c r="I140" s="13" t="s">
        <v>1042</v>
      </c>
    </row>
    <row r="141" spans="5:9" x14ac:dyDescent="0.25">
      <c r="E141" s="14" t="s">
        <v>772</v>
      </c>
      <c r="F141" s="14" t="s">
        <v>773</v>
      </c>
      <c r="G141" s="14" t="s">
        <v>795</v>
      </c>
      <c r="H141" s="14" t="s">
        <v>796</v>
      </c>
      <c r="I141" s="14" t="s">
        <v>795</v>
      </c>
    </row>
    <row r="142" spans="5:9" x14ac:dyDescent="0.25">
      <c r="E142" s="13" t="s">
        <v>772</v>
      </c>
      <c r="F142" s="13" t="s">
        <v>773</v>
      </c>
      <c r="G142" s="13" t="s">
        <v>795</v>
      </c>
      <c r="H142" s="13" t="s">
        <v>796</v>
      </c>
      <c r="I142" s="13" t="s">
        <v>1043</v>
      </c>
    </row>
    <row r="143" spans="5:9" x14ac:dyDescent="0.25">
      <c r="E143" s="14" t="s">
        <v>772</v>
      </c>
      <c r="F143" s="14" t="s">
        <v>773</v>
      </c>
      <c r="G143" s="14" t="s">
        <v>795</v>
      </c>
      <c r="H143" s="14" t="s">
        <v>796</v>
      </c>
      <c r="I143" s="14" t="s">
        <v>1044</v>
      </c>
    </row>
    <row r="144" spans="5:9" x14ac:dyDescent="0.25">
      <c r="E144" s="13" t="s">
        <v>772</v>
      </c>
      <c r="F144" s="13" t="s">
        <v>773</v>
      </c>
      <c r="G144" s="13" t="s">
        <v>795</v>
      </c>
      <c r="H144" s="13" t="s">
        <v>796</v>
      </c>
      <c r="I144" s="13" t="s">
        <v>1045</v>
      </c>
    </row>
    <row r="145" spans="5:9" x14ac:dyDescent="0.25">
      <c r="E145" s="14" t="s">
        <v>772</v>
      </c>
      <c r="F145" s="14" t="s">
        <v>773</v>
      </c>
      <c r="G145" s="14" t="s">
        <v>795</v>
      </c>
      <c r="H145" s="14" t="s">
        <v>796</v>
      </c>
      <c r="I145" s="14" t="s">
        <v>1046</v>
      </c>
    </row>
    <row r="146" spans="5:9" x14ac:dyDescent="0.25">
      <c r="E146" s="13" t="s">
        <v>772</v>
      </c>
      <c r="F146" s="13" t="s">
        <v>773</v>
      </c>
      <c r="G146" s="13" t="s">
        <v>799</v>
      </c>
      <c r="H146" s="13" t="s">
        <v>800</v>
      </c>
      <c r="I146" s="13" t="s">
        <v>1047</v>
      </c>
    </row>
    <row r="147" spans="5:9" x14ac:dyDescent="0.25">
      <c r="E147" s="14" t="s">
        <v>772</v>
      </c>
      <c r="F147" s="14" t="s">
        <v>773</v>
      </c>
      <c r="G147" s="14" t="s">
        <v>799</v>
      </c>
      <c r="H147" s="14" t="s">
        <v>800</v>
      </c>
      <c r="I147" s="14" t="s">
        <v>1048</v>
      </c>
    </row>
    <row r="148" spans="5:9" x14ac:dyDescent="0.25">
      <c r="E148" s="13" t="s">
        <v>772</v>
      </c>
      <c r="F148" s="13" t="s">
        <v>773</v>
      </c>
      <c r="G148" s="13" t="s">
        <v>799</v>
      </c>
      <c r="H148" s="13" t="s">
        <v>800</v>
      </c>
      <c r="I148" s="13" t="s">
        <v>1049</v>
      </c>
    </row>
    <row r="149" spans="5:9" x14ac:dyDescent="0.25">
      <c r="E149" s="14" t="s">
        <v>772</v>
      </c>
      <c r="F149" s="14" t="s">
        <v>773</v>
      </c>
      <c r="G149" s="14" t="s">
        <v>799</v>
      </c>
      <c r="H149" s="14" t="s">
        <v>800</v>
      </c>
      <c r="I149" s="14" t="s">
        <v>1050</v>
      </c>
    </row>
    <row r="150" spans="5:9" x14ac:dyDescent="0.25">
      <c r="E150" s="13" t="s">
        <v>772</v>
      </c>
      <c r="F150" s="13" t="s">
        <v>773</v>
      </c>
      <c r="G150" s="13" t="s">
        <v>799</v>
      </c>
      <c r="H150" s="13" t="s">
        <v>800</v>
      </c>
      <c r="I150" s="13" t="s">
        <v>1051</v>
      </c>
    </row>
    <row r="151" spans="5:9" x14ac:dyDescent="0.25">
      <c r="E151" s="14" t="s">
        <v>772</v>
      </c>
      <c r="F151" s="14" t="s">
        <v>773</v>
      </c>
      <c r="G151" s="14" t="s">
        <v>799</v>
      </c>
      <c r="H151" s="14" t="s">
        <v>800</v>
      </c>
      <c r="I151" s="14" t="s">
        <v>1052</v>
      </c>
    </row>
    <row r="152" spans="5:9" x14ac:dyDescent="0.25">
      <c r="E152" s="13" t="s">
        <v>772</v>
      </c>
      <c r="F152" s="13" t="s">
        <v>773</v>
      </c>
      <c r="G152" s="13" t="s">
        <v>799</v>
      </c>
      <c r="H152" s="13" t="s">
        <v>800</v>
      </c>
      <c r="I152" s="13" t="s">
        <v>1053</v>
      </c>
    </row>
    <row r="153" spans="5:9" x14ac:dyDescent="0.25">
      <c r="E153" s="14" t="s">
        <v>772</v>
      </c>
      <c r="F153" s="14" t="s">
        <v>773</v>
      </c>
      <c r="G153" s="14" t="s">
        <v>799</v>
      </c>
      <c r="H153" s="14" t="s">
        <v>800</v>
      </c>
      <c r="I153" s="14" t="s">
        <v>1054</v>
      </c>
    </row>
    <row r="154" spans="5:9" x14ac:dyDescent="0.25">
      <c r="E154" s="13" t="s">
        <v>772</v>
      </c>
      <c r="F154" s="13" t="s">
        <v>773</v>
      </c>
      <c r="G154" s="13" t="s">
        <v>799</v>
      </c>
      <c r="H154" s="13" t="s">
        <v>800</v>
      </c>
      <c r="I154" s="13" t="s">
        <v>1055</v>
      </c>
    </row>
    <row r="155" spans="5:9" x14ac:dyDescent="0.25">
      <c r="E155" s="14" t="s">
        <v>772</v>
      </c>
      <c r="F155" s="14" t="s">
        <v>773</v>
      </c>
      <c r="G155" s="14" t="s">
        <v>799</v>
      </c>
      <c r="H155" s="14" t="s">
        <v>800</v>
      </c>
      <c r="I155" s="14" t="s">
        <v>1056</v>
      </c>
    </row>
    <row r="156" spans="5:9" x14ac:dyDescent="0.25">
      <c r="E156" s="13" t="s">
        <v>772</v>
      </c>
      <c r="F156" s="13" t="s">
        <v>773</v>
      </c>
      <c r="G156" s="13" t="s">
        <v>799</v>
      </c>
      <c r="H156" s="13" t="s">
        <v>800</v>
      </c>
      <c r="I156" s="13" t="s">
        <v>1057</v>
      </c>
    </row>
    <row r="157" spans="5:9" x14ac:dyDescent="0.25">
      <c r="E157" s="14" t="s">
        <v>772</v>
      </c>
      <c r="F157" s="14" t="s">
        <v>773</v>
      </c>
      <c r="G157" s="14" t="s">
        <v>799</v>
      </c>
      <c r="H157" s="14" t="s">
        <v>800</v>
      </c>
      <c r="I157" s="14" t="s">
        <v>1058</v>
      </c>
    </row>
    <row r="158" spans="5:9" x14ac:dyDescent="0.25">
      <c r="E158" s="13" t="s">
        <v>772</v>
      </c>
      <c r="F158" s="13" t="s">
        <v>773</v>
      </c>
      <c r="G158" s="13" t="s">
        <v>799</v>
      </c>
      <c r="H158" s="13" t="s">
        <v>800</v>
      </c>
      <c r="I158" s="13" t="s">
        <v>1059</v>
      </c>
    </row>
    <row r="159" spans="5:9" x14ac:dyDescent="0.25">
      <c r="E159" s="14" t="s">
        <v>772</v>
      </c>
      <c r="F159" s="14" t="s">
        <v>773</v>
      </c>
      <c r="G159" s="14" t="s">
        <v>799</v>
      </c>
      <c r="H159" s="14" t="s">
        <v>800</v>
      </c>
      <c r="I159" s="14" t="s">
        <v>1060</v>
      </c>
    </row>
    <row r="160" spans="5:9" x14ac:dyDescent="0.25">
      <c r="E160" s="13" t="s">
        <v>772</v>
      </c>
      <c r="F160" s="13" t="s">
        <v>773</v>
      </c>
      <c r="G160" s="13" t="s">
        <v>799</v>
      </c>
      <c r="H160" s="13" t="s">
        <v>800</v>
      </c>
      <c r="I160" s="13" t="s">
        <v>1061</v>
      </c>
    </row>
    <row r="161" spans="5:9" x14ac:dyDescent="0.25">
      <c r="E161" s="14" t="s">
        <v>772</v>
      </c>
      <c r="F161" s="14" t="s">
        <v>773</v>
      </c>
      <c r="G161" s="14" t="s">
        <v>799</v>
      </c>
      <c r="H161" s="14" t="s">
        <v>800</v>
      </c>
      <c r="I161" s="14" t="s">
        <v>1062</v>
      </c>
    </row>
    <row r="162" spans="5:9" x14ac:dyDescent="0.25">
      <c r="E162" s="13" t="s">
        <v>772</v>
      </c>
      <c r="F162" s="13" t="s">
        <v>773</v>
      </c>
      <c r="G162" s="13" t="s">
        <v>799</v>
      </c>
      <c r="H162" s="13" t="s">
        <v>800</v>
      </c>
      <c r="I162" s="13" t="s">
        <v>1063</v>
      </c>
    </row>
    <row r="163" spans="5:9" x14ac:dyDescent="0.25">
      <c r="E163" s="14" t="s">
        <v>772</v>
      </c>
      <c r="F163" s="14" t="s">
        <v>773</v>
      </c>
      <c r="G163" s="14" t="s">
        <v>799</v>
      </c>
      <c r="H163" s="14" t="s">
        <v>800</v>
      </c>
      <c r="I163" s="14" t="s">
        <v>1064</v>
      </c>
    </row>
    <row r="164" spans="5:9" x14ac:dyDescent="0.25">
      <c r="E164" s="13" t="s">
        <v>772</v>
      </c>
      <c r="F164" s="13" t="s">
        <v>773</v>
      </c>
      <c r="G164" s="13" t="s">
        <v>799</v>
      </c>
      <c r="H164" s="13" t="s">
        <v>800</v>
      </c>
      <c r="I164" s="13" t="s">
        <v>1065</v>
      </c>
    </row>
    <row r="165" spans="5:9" x14ac:dyDescent="0.25">
      <c r="E165" s="14" t="s">
        <v>772</v>
      </c>
      <c r="F165" s="14" t="s">
        <v>773</v>
      </c>
      <c r="G165" s="14" t="s">
        <v>799</v>
      </c>
      <c r="H165" s="14" t="s">
        <v>800</v>
      </c>
      <c r="I165" s="14" t="s">
        <v>1066</v>
      </c>
    </row>
    <row r="166" spans="5:9" x14ac:dyDescent="0.25">
      <c r="E166" s="13" t="s">
        <v>772</v>
      </c>
      <c r="F166" s="13" t="s">
        <v>773</v>
      </c>
      <c r="G166" s="13" t="s">
        <v>799</v>
      </c>
      <c r="H166" s="13" t="s">
        <v>800</v>
      </c>
      <c r="I166" s="13" t="s">
        <v>1067</v>
      </c>
    </row>
    <row r="167" spans="5:9" x14ac:dyDescent="0.25">
      <c r="E167" s="14" t="s">
        <v>772</v>
      </c>
      <c r="F167" s="14" t="s">
        <v>773</v>
      </c>
      <c r="G167" s="14" t="s">
        <v>799</v>
      </c>
      <c r="H167" s="14" t="s">
        <v>800</v>
      </c>
      <c r="I167" s="14" t="s">
        <v>1068</v>
      </c>
    </row>
    <row r="168" spans="5:9" x14ac:dyDescent="0.25">
      <c r="E168" s="13" t="s">
        <v>772</v>
      </c>
      <c r="F168" s="13" t="s">
        <v>773</v>
      </c>
      <c r="G168" s="13" t="s">
        <v>799</v>
      </c>
      <c r="H168" s="13" t="s">
        <v>800</v>
      </c>
      <c r="I168" s="13" t="s">
        <v>1046</v>
      </c>
    </row>
    <row r="169" spans="5:9" x14ac:dyDescent="0.25">
      <c r="E169" s="14" t="s">
        <v>772</v>
      </c>
      <c r="F169" s="14" t="s">
        <v>773</v>
      </c>
      <c r="G169" s="14" t="s">
        <v>799</v>
      </c>
      <c r="H169" s="14" t="s">
        <v>800</v>
      </c>
      <c r="I169" s="14" t="s">
        <v>1069</v>
      </c>
    </row>
    <row r="170" spans="5:9" x14ac:dyDescent="0.25">
      <c r="E170" s="13" t="s">
        <v>772</v>
      </c>
      <c r="F170" s="13" t="s">
        <v>773</v>
      </c>
      <c r="G170" s="13" t="s">
        <v>799</v>
      </c>
      <c r="H170" s="13" t="s">
        <v>800</v>
      </c>
      <c r="I170" s="13" t="s">
        <v>1070</v>
      </c>
    </row>
    <row r="171" spans="5:9" x14ac:dyDescent="0.25">
      <c r="E171" s="14" t="s">
        <v>772</v>
      </c>
      <c r="F171" s="14" t="s">
        <v>773</v>
      </c>
      <c r="G171" s="14" t="s">
        <v>799</v>
      </c>
      <c r="H171" s="14" t="s">
        <v>800</v>
      </c>
      <c r="I171" s="14" t="s">
        <v>1071</v>
      </c>
    </row>
    <row r="172" spans="5:9" x14ac:dyDescent="0.25">
      <c r="E172" s="13" t="s">
        <v>772</v>
      </c>
      <c r="F172" s="13" t="s">
        <v>773</v>
      </c>
      <c r="G172" s="13" t="s">
        <v>799</v>
      </c>
      <c r="H172" s="13" t="s">
        <v>800</v>
      </c>
      <c r="I172" s="13" t="s">
        <v>1072</v>
      </c>
    </row>
    <row r="173" spans="5:9" x14ac:dyDescent="0.25">
      <c r="E173" s="14" t="s">
        <v>772</v>
      </c>
      <c r="F173" s="14" t="s">
        <v>773</v>
      </c>
      <c r="G173" s="14" t="s">
        <v>799</v>
      </c>
      <c r="H173" s="14" t="s">
        <v>800</v>
      </c>
      <c r="I173" s="14" t="s">
        <v>1073</v>
      </c>
    </row>
    <row r="174" spans="5:9" x14ac:dyDescent="0.25">
      <c r="E174" s="13" t="s">
        <v>772</v>
      </c>
      <c r="F174" s="13" t="s">
        <v>773</v>
      </c>
      <c r="G174" s="13" t="s">
        <v>799</v>
      </c>
      <c r="H174" s="13" t="s">
        <v>800</v>
      </c>
      <c r="I174" s="13" t="s">
        <v>1074</v>
      </c>
    </row>
    <row r="175" spans="5:9" x14ac:dyDescent="0.25">
      <c r="E175" s="14" t="s">
        <v>772</v>
      </c>
      <c r="F175" s="14" t="s">
        <v>773</v>
      </c>
      <c r="G175" s="14" t="s">
        <v>799</v>
      </c>
      <c r="H175" s="14" t="s">
        <v>800</v>
      </c>
      <c r="I175" s="14" t="s">
        <v>1075</v>
      </c>
    </row>
    <row r="176" spans="5:9" x14ac:dyDescent="0.25">
      <c r="E176" s="13" t="s">
        <v>772</v>
      </c>
      <c r="F176" s="13" t="s">
        <v>773</v>
      </c>
      <c r="G176" s="13" t="s">
        <v>799</v>
      </c>
      <c r="H176" s="13" t="s">
        <v>800</v>
      </c>
      <c r="I176" s="13" t="s">
        <v>1076</v>
      </c>
    </row>
    <row r="177" spans="5:9" x14ac:dyDescent="0.25">
      <c r="E177" s="14" t="s">
        <v>772</v>
      </c>
      <c r="F177" s="14" t="s">
        <v>773</v>
      </c>
      <c r="G177" s="14" t="s">
        <v>803</v>
      </c>
      <c r="H177" s="14" t="s">
        <v>804</v>
      </c>
      <c r="I177" s="14" t="s">
        <v>1077</v>
      </c>
    </row>
    <row r="178" spans="5:9" x14ac:dyDescent="0.25">
      <c r="E178" s="13" t="s">
        <v>772</v>
      </c>
      <c r="F178" s="13" t="s">
        <v>773</v>
      </c>
      <c r="G178" s="13" t="s">
        <v>803</v>
      </c>
      <c r="H178" s="13" t="s">
        <v>804</v>
      </c>
      <c r="I178" s="13" t="s">
        <v>803</v>
      </c>
    </row>
    <row r="179" spans="5:9" x14ac:dyDescent="0.25">
      <c r="E179" s="14" t="s">
        <v>772</v>
      </c>
      <c r="F179" s="14" t="s">
        <v>773</v>
      </c>
      <c r="G179" s="14" t="s">
        <v>803</v>
      </c>
      <c r="H179" s="14" t="s">
        <v>804</v>
      </c>
      <c r="I179" s="14" t="s">
        <v>1078</v>
      </c>
    </row>
    <row r="180" spans="5:9" x14ac:dyDescent="0.25">
      <c r="E180" s="13" t="s">
        <v>772</v>
      </c>
      <c r="F180" s="13" t="s">
        <v>773</v>
      </c>
      <c r="G180" s="13" t="s">
        <v>803</v>
      </c>
      <c r="H180" s="13" t="s">
        <v>804</v>
      </c>
      <c r="I180" s="13" t="s">
        <v>1079</v>
      </c>
    </row>
    <row r="181" spans="5:9" x14ac:dyDescent="0.25">
      <c r="E181" s="14" t="s">
        <v>772</v>
      </c>
      <c r="F181" s="14" t="s">
        <v>773</v>
      </c>
      <c r="G181" s="14" t="s">
        <v>803</v>
      </c>
      <c r="H181" s="14" t="s">
        <v>804</v>
      </c>
      <c r="I181" s="14" t="s">
        <v>1080</v>
      </c>
    </row>
    <row r="182" spans="5:9" x14ac:dyDescent="0.25">
      <c r="E182" s="13" t="s">
        <v>772</v>
      </c>
      <c r="F182" s="13" t="s">
        <v>773</v>
      </c>
      <c r="G182" s="13" t="s">
        <v>803</v>
      </c>
      <c r="H182" s="13" t="s">
        <v>804</v>
      </c>
      <c r="I182" s="13" t="s">
        <v>1081</v>
      </c>
    </row>
    <row r="183" spans="5:9" x14ac:dyDescent="0.25">
      <c r="E183" s="14" t="s">
        <v>772</v>
      </c>
      <c r="F183" s="14" t="s">
        <v>773</v>
      </c>
      <c r="G183" s="14" t="s">
        <v>807</v>
      </c>
      <c r="H183" s="14" t="s">
        <v>808</v>
      </c>
      <c r="I183" s="14" t="s">
        <v>1043</v>
      </c>
    </row>
    <row r="184" spans="5:9" x14ac:dyDescent="0.25">
      <c r="E184" s="13" t="s">
        <v>772</v>
      </c>
      <c r="F184" s="13" t="s">
        <v>773</v>
      </c>
      <c r="G184" s="13" t="s">
        <v>807</v>
      </c>
      <c r="H184" s="13" t="s">
        <v>808</v>
      </c>
      <c r="I184" s="13" t="s">
        <v>807</v>
      </c>
    </row>
    <row r="185" spans="5:9" x14ac:dyDescent="0.25">
      <c r="E185" s="14" t="s">
        <v>772</v>
      </c>
      <c r="F185" s="14" t="s">
        <v>773</v>
      </c>
      <c r="G185" s="14" t="s">
        <v>807</v>
      </c>
      <c r="H185" s="14" t="s">
        <v>808</v>
      </c>
      <c r="I185" s="14" t="s">
        <v>1082</v>
      </c>
    </row>
    <row r="186" spans="5:9" x14ac:dyDescent="0.25">
      <c r="E186" s="13" t="s">
        <v>772</v>
      </c>
      <c r="F186" s="13" t="s">
        <v>773</v>
      </c>
      <c r="G186" s="13" t="s">
        <v>811</v>
      </c>
      <c r="H186" s="13" t="s">
        <v>812</v>
      </c>
      <c r="I186" s="13" t="s">
        <v>811</v>
      </c>
    </row>
    <row r="187" spans="5:9" x14ac:dyDescent="0.25">
      <c r="E187" s="14" t="s">
        <v>772</v>
      </c>
      <c r="F187" s="14" t="s">
        <v>773</v>
      </c>
      <c r="G187" s="14" t="s">
        <v>811</v>
      </c>
      <c r="H187" s="14" t="s">
        <v>812</v>
      </c>
      <c r="I187" s="14" t="s">
        <v>1083</v>
      </c>
    </row>
    <row r="188" spans="5:9" x14ac:dyDescent="0.25">
      <c r="E188" s="13" t="s">
        <v>772</v>
      </c>
      <c r="F188" s="13" t="s">
        <v>773</v>
      </c>
      <c r="G188" s="13" t="s">
        <v>811</v>
      </c>
      <c r="H188" s="13" t="s">
        <v>812</v>
      </c>
      <c r="I188" s="13" t="s">
        <v>1084</v>
      </c>
    </row>
    <row r="189" spans="5:9" x14ac:dyDescent="0.25">
      <c r="E189" s="14" t="s">
        <v>772</v>
      </c>
      <c r="F189" s="14" t="s">
        <v>773</v>
      </c>
      <c r="G189" s="14" t="s">
        <v>811</v>
      </c>
      <c r="H189" s="14" t="s">
        <v>812</v>
      </c>
      <c r="I189" s="14" t="s">
        <v>1085</v>
      </c>
    </row>
    <row r="190" spans="5:9" x14ac:dyDescent="0.25">
      <c r="E190" s="13" t="s">
        <v>772</v>
      </c>
      <c r="F190" s="13" t="s">
        <v>773</v>
      </c>
      <c r="G190" s="13" t="s">
        <v>811</v>
      </c>
      <c r="H190" s="13" t="s">
        <v>812</v>
      </c>
      <c r="I190" s="13" t="s">
        <v>1086</v>
      </c>
    </row>
    <row r="191" spans="5:9" x14ac:dyDescent="0.25">
      <c r="E191" s="14" t="s">
        <v>772</v>
      </c>
      <c r="F191" s="14" t="s">
        <v>773</v>
      </c>
      <c r="G191" s="14" t="s">
        <v>811</v>
      </c>
      <c r="H191" s="14" t="s">
        <v>812</v>
      </c>
      <c r="I191" s="14" t="s">
        <v>1087</v>
      </c>
    </row>
    <row r="192" spans="5:9" x14ac:dyDescent="0.25">
      <c r="E192" s="13" t="s">
        <v>772</v>
      </c>
      <c r="F192" s="13" t="s">
        <v>773</v>
      </c>
      <c r="G192" s="13" t="s">
        <v>811</v>
      </c>
      <c r="H192" s="13" t="s">
        <v>812</v>
      </c>
      <c r="I192" s="13" t="s">
        <v>1088</v>
      </c>
    </row>
    <row r="193" spans="5:9" x14ac:dyDescent="0.25">
      <c r="E193" s="14" t="s">
        <v>772</v>
      </c>
      <c r="F193" s="14" t="s">
        <v>773</v>
      </c>
      <c r="G193" s="14" t="s">
        <v>814</v>
      </c>
      <c r="H193" s="14" t="s">
        <v>815</v>
      </c>
      <c r="I193" s="14" t="s">
        <v>1089</v>
      </c>
    </row>
    <row r="194" spans="5:9" x14ac:dyDescent="0.25">
      <c r="E194" s="13" t="s">
        <v>772</v>
      </c>
      <c r="F194" s="13" t="s">
        <v>773</v>
      </c>
      <c r="G194" s="13" t="s">
        <v>814</v>
      </c>
      <c r="H194" s="13" t="s">
        <v>815</v>
      </c>
      <c r="I194" s="13" t="s">
        <v>1090</v>
      </c>
    </row>
    <row r="195" spans="5:9" x14ac:dyDescent="0.25">
      <c r="E195" s="14" t="s">
        <v>772</v>
      </c>
      <c r="F195" s="14" t="s">
        <v>773</v>
      </c>
      <c r="G195" s="14" t="s">
        <v>814</v>
      </c>
      <c r="H195" s="14" t="s">
        <v>815</v>
      </c>
      <c r="I195" s="14" t="s">
        <v>1091</v>
      </c>
    </row>
    <row r="196" spans="5:9" x14ac:dyDescent="0.25">
      <c r="E196" s="13" t="s">
        <v>772</v>
      </c>
      <c r="F196" s="13" t="s">
        <v>773</v>
      </c>
      <c r="G196" s="13" t="s">
        <v>814</v>
      </c>
      <c r="H196" s="13" t="s">
        <v>815</v>
      </c>
      <c r="I196" s="13" t="s">
        <v>1092</v>
      </c>
    </row>
    <row r="197" spans="5:9" x14ac:dyDescent="0.25">
      <c r="E197" s="14" t="s">
        <v>772</v>
      </c>
      <c r="F197" s="14" t="s">
        <v>773</v>
      </c>
      <c r="G197" s="14" t="s">
        <v>814</v>
      </c>
      <c r="H197" s="14" t="s">
        <v>815</v>
      </c>
      <c r="I197" s="14" t="s">
        <v>1093</v>
      </c>
    </row>
    <row r="198" spans="5:9" x14ac:dyDescent="0.25">
      <c r="E198" s="13" t="s">
        <v>772</v>
      </c>
      <c r="F198" s="13" t="s">
        <v>773</v>
      </c>
      <c r="G198" s="13" t="s">
        <v>814</v>
      </c>
      <c r="H198" s="13" t="s">
        <v>815</v>
      </c>
      <c r="I198" s="13" t="s">
        <v>1094</v>
      </c>
    </row>
    <row r="199" spans="5:9" x14ac:dyDescent="0.25">
      <c r="E199" s="14" t="s">
        <v>772</v>
      </c>
      <c r="F199" s="14" t="s">
        <v>773</v>
      </c>
      <c r="G199" s="14" t="s">
        <v>814</v>
      </c>
      <c r="H199" s="14" t="s">
        <v>815</v>
      </c>
      <c r="I199" s="14" t="s">
        <v>1095</v>
      </c>
    </row>
    <row r="200" spans="5:9" x14ac:dyDescent="0.25">
      <c r="E200" s="13" t="s">
        <v>772</v>
      </c>
      <c r="F200" s="13" t="s">
        <v>773</v>
      </c>
      <c r="G200" s="13" t="s">
        <v>814</v>
      </c>
      <c r="H200" s="13" t="s">
        <v>815</v>
      </c>
      <c r="I200" s="13" t="s">
        <v>1096</v>
      </c>
    </row>
    <row r="201" spans="5:9" x14ac:dyDescent="0.25">
      <c r="E201" s="14" t="s">
        <v>772</v>
      </c>
      <c r="F201" s="14" t="s">
        <v>773</v>
      </c>
      <c r="G201" s="14" t="s">
        <v>814</v>
      </c>
      <c r="H201" s="14" t="s">
        <v>815</v>
      </c>
      <c r="I201" s="14" t="s">
        <v>1097</v>
      </c>
    </row>
    <row r="202" spans="5:9" x14ac:dyDescent="0.25">
      <c r="E202" s="13" t="s">
        <v>772</v>
      </c>
      <c r="F202" s="13" t="s">
        <v>773</v>
      </c>
      <c r="G202" s="13" t="s">
        <v>814</v>
      </c>
      <c r="H202" s="13" t="s">
        <v>815</v>
      </c>
      <c r="I202" s="13" t="s">
        <v>1098</v>
      </c>
    </row>
    <row r="203" spans="5:9" x14ac:dyDescent="0.25">
      <c r="E203" s="14" t="s">
        <v>772</v>
      </c>
      <c r="F203" s="14" t="s">
        <v>773</v>
      </c>
      <c r="G203" s="14" t="s">
        <v>814</v>
      </c>
      <c r="H203" s="14" t="s">
        <v>815</v>
      </c>
      <c r="I203" s="14" t="s">
        <v>1099</v>
      </c>
    </row>
    <row r="204" spans="5:9" x14ac:dyDescent="0.25">
      <c r="E204" s="13" t="s">
        <v>772</v>
      </c>
      <c r="F204" s="13" t="s">
        <v>773</v>
      </c>
      <c r="G204" s="13" t="s">
        <v>814</v>
      </c>
      <c r="H204" s="13" t="s">
        <v>815</v>
      </c>
      <c r="I204" s="13" t="s">
        <v>1100</v>
      </c>
    </row>
    <row r="205" spans="5:9" x14ac:dyDescent="0.25">
      <c r="E205" s="14" t="s">
        <v>772</v>
      </c>
      <c r="F205" s="14" t="s">
        <v>773</v>
      </c>
      <c r="G205" s="14" t="s">
        <v>814</v>
      </c>
      <c r="H205" s="14" t="s">
        <v>815</v>
      </c>
      <c r="I205" s="14" t="s">
        <v>1101</v>
      </c>
    </row>
    <row r="206" spans="5:9" x14ac:dyDescent="0.25">
      <c r="E206" s="13" t="s">
        <v>772</v>
      </c>
      <c r="F206" s="13" t="s">
        <v>773</v>
      </c>
      <c r="G206" s="13" t="s">
        <v>814</v>
      </c>
      <c r="H206" s="13" t="s">
        <v>815</v>
      </c>
      <c r="I206" s="13" t="s">
        <v>1102</v>
      </c>
    </row>
    <row r="207" spans="5:9" x14ac:dyDescent="0.25">
      <c r="E207" s="14" t="s">
        <v>772</v>
      </c>
      <c r="F207" s="14" t="s">
        <v>773</v>
      </c>
      <c r="G207" s="14" t="s">
        <v>814</v>
      </c>
      <c r="H207" s="14" t="s">
        <v>815</v>
      </c>
      <c r="I207" s="14" t="s">
        <v>1103</v>
      </c>
    </row>
    <row r="208" spans="5:9" x14ac:dyDescent="0.25">
      <c r="E208" s="13" t="s">
        <v>772</v>
      </c>
      <c r="F208" s="13" t="s">
        <v>773</v>
      </c>
      <c r="G208" s="13" t="s">
        <v>814</v>
      </c>
      <c r="H208" s="13" t="s">
        <v>815</v>
      </c>
      <c r="I208" s="13" t="s">
        <v>1104</v>
      </c>
    </row>
    <row r="209" spans="5:9" x14ac:dyDescent="0.25">
      <c r="E209" s="14" t="s">
        <v>772</v>
      </c>
      <c r="F209" s="14" t="s">
        <v>773</v>
      </c>
      <c r="G209" s="14" t="s">
        <v>814</v>
      </c>
      <c r="H209" s="14" t="s">
        <v>815</v>
      </c>
      <c r="I209" s="14" t="s">
        <v>1105</v>
      </c>
    </row>
    <row r="210" spans="5:9" x14ac:dyDescent="0.25">
      <c r="E210" s="13" t="s">
        <v>772</v>
      </c>
      <c r="F210" s="13" t="s">
        <v>773</v>
      </c>
      <c r="G210" s="13" t="s">
        <v>814</v>
      </c>
      <c r="H210" s="13" t="s">
        <v>815</v>
      </c>
      <c r="I210" s="13" t="s">
        <v>1106</v>
      </c>
    </row>
    <row r="211" spans="5:9" x14ac:dyDescent="0.25">
      <c r="E211" s="14" t="s">
        <v>772</v>
      </c>
      <c r="F211" s="14" t="s">
        <v>773</v>
      </c>
      <c r="G211" s="14" t="s">
        <v>814</v>
      </c>
      <c r="H211" s="14" t="s">
        <v>815</v>
      </c>
      <c r="I211" s="14" t="s">
        <v>1107</v>
      </c>
    </row>
    <row r="212" spans="5:9" x14ac:dyDescent="0.25">
      <c r="E212" s="13" t="s">
        <v>772</v>
      </c>
      <c r="F212" s="13" t="s">
        <v>773</v>
      </c>
      <c r="G212" s="13" t="s">
        <v>814</v>
      </c>
      <c r="H212" s="13" t="s">
        <v>815</v>
      </c>
      <c r="I212" s="13" t="s">
        <v>1108</v>
      </c>
    </row>
    <row r="213" spans="5:9" x14ac:dyDescent="0.25">
      <c r="E213" s="14" t="s">
        <v>772</v>
      </c>
      <c r="F213" s="14" t="s">
        <v>773</v>
      </c>
      <c r="G213" s="14" t="s">
        <v>814</v>
      </c>
      <c r="H213" s="14" t="s">
        <v>815</v>
      </c>
      <c r="I213" s="14" t="s">
        <v>1109</v>
      </c>
    </row>
    <row r="214" spans="5:9" x14ac:dyDescent="0.25">
      <c r="E214" s="13" t="s">
        <v>772</v>
      </c>
      <c r="F214" s="13" t="s">
        <v>773</v>
      </c>
      <c r="G214" s="13" t="s">
        <v>814</v>
      </c>
      <c r="H214" s="13" t="s">
        <v>815</v>
      </c>
      <c r="I214" s="13" t="s">
        <v>1110</v>
      </c>
    </row>
    <row r="215" spans="5:9" x14ac:dyDescent="0.25">
      <c r="E215" s="14" t="s">
        <v>772</v>
      </c>
      <c r="F215" s="14" t="s">
        <v>773</v>
      </c>
      <c r="G215" s="14" t="s">
        <v>817</v>
      </c>
      <c r="H215" s="14" t="s">
        <v>818</v>
      </c>
      <c r="I215" s="14" t="s">
        <v>1111</v>
      </c>
    </row>
    <row r="216" spans="5:9" x14ac:dyDescent="0.25">
      <c r="E216" s="13" t="s">
        <v>772</v>
      </c>
      <c r="F216" s="13" t="s">
        <v>773</v>
      </c>
      <c r="G216" s="13" t="s">
        <v>817</v>
      </c>
      <c r="H216" s="13" t="s">
        <v>818</v>
      </c>
      <c r="I216" s="13" t="s">
        <v>1112</v>
      </c>
    </row>
    <row r="217" spans="5:9" x14ac:dyDescent="0.25">
      <c r="E217" s="14" t="s">
        <v>772</v>
      </c>
      <c r="F217" s="14" t="s">
        <v>773</v>
      </c>
      <c r="G217" s="14" t="s">
        <v>817</v>
      </c>
      <c r="H217" s="14" t="s">
        <v>818</v>
      </c>
      <c r="I217" s="14" t="s">
        <v>1113</v>
      </c>
    </row>
    <row r="218" spans="5:9" x14ac:dyDescent="0.25">
      <c r="E218" s="13" t="s">
        <v>772</v>
      </c>
      <c r="F218" s="13" t="s">
        <v>773</v>
      </c>
      <c r="G218" s="13" t="s">
        <v>817</v>
      </c>
      <c r="H218" s="13" t="s">
        <v>818</v>
      </c>
      <c r="I218" s="13" t="s">
        <v>1114</v>
      </c>
    </row>
    <row r="219" spans="5:9" x14ac:dyDescent="0.25">
      <c r="E219" s="14" t="s">
        <v>772</v>
      </c>
      <c r="F219" s="14" t="s">
        <v>773</v>
      </c>
      <c r="G219" s="14" t="s">
        <v>817</v>
      </c>
      <c r="H219" s="14" t="s">
        <v>818</v>
      </c>
      <c r="I219" s="14" t="s">
        <v>1115</v>
      </c>
    </row>
    <row r="220" spans="5:9" x14ac:dyDescent="0.25">
      <c r="E220" s="13" t="s">
        <v>772</v>
      </c>
      <c r="F220" s="13" t="s">
        <v>773</v>
      </c>
      <c r="G220" s="13" t="s">
        <v>817</v>
      </c>
      <c r="H220" s="13" t="s">
        <v>818</v>
      </c>
      <c r="I220" s="13" t="s">
        <v>1116</v>
      </c>
    </row>
    <row r="221" spans="5:9" x14ac:dyDescent="0.25">
      <c r="E221" s="14" t="s">
        <v>772</v>
      </c>
      <c r="F221" s="14" t="s">
        <v>773</v>
      </c>
      <c r="G221" s="14" t="s">
        <v>817</v>
      </c>
      <c r="H221" s="14" t="s">
        <v>818</v>
      </c>
      <c r="I221" s="14" t="s">
        <v>1117</v>
      </c>
    </row>
    <row r="222" spans="5:9" x14ac:dyDescent="0.25">
      <c r="E222" s="13" t="s">
        <v>772</v>
      </c>
      <c r="F222" s="13" t="s">
        <v>773</v>
      </c>
      <c r="G222" s="13" t="s">
        <v>817</v>
      </c>
      <c r="H222" s="13" t="s">
        <v>818</v>
      </c>
      <c r="I222" s="13" t="s">
        <v>1118</v>
      </c>
    </row>
    <row r="223" spans="5:9" x14ac:dyDescent="0.25">
      <c r="E223" s="14" t="s">
        <v>772</v>
      </c>
      <c r="F223" s="14" t="s">
        <v>773</v>
      </c>
      <c r="G223" s="14" t="s">
        <v>817</v>
      </c>
      <c r="H223" s="14" t="s">
        <v>818</v>
      </c>
      <c r="I223" s="14" t="s">
        <v>1119</v>
      </c>
    </row>
    <row r="224" spans="5:9" x14ac:dyDescent="0.25">
      <c r="E224" s="13" t="s">
        <v>772</v>
      </c>
      <c r="F224" s="13" t="s">
        <v>773</v>
      </c>
      <c r="G224" s="13" t="s">
        <v>817</v>
      </c>
      <c r="H224" s="13" t="s">
        <v>818</v>
      </c>
      <c r="I224" s="13" t="s">
        <v>1120</v>
      </c>
    </row>
    <row r="225" spans="5:9" x14ac:dyDescent="0.25">
      <c r="E225" s="14" t="s">
        <v>772</v>
      </c>
      <c r="F225" s="14" t="s">
        <v>773</v>
      </c>
      <c r="G225" s="14" t="s">
        <v>817</v>
      </c>
      <c r="H225" s="14" t="s">
        <v>818</v>
      </c>
      <c r="I225" s="14" t="s">
        <v>1121</v>
      </c>
    </row>
    <row r="226" spans="5:9" x14ac:dyDescent="0.25">
      <c r="E226" s="13" t="s">
        <v>772</v>
      </c>
      <c r="F226" s="13" t="s">
        <v>773</v>
      </c>
      <c r="G226" s="13" t="s">
        <v>817</v>
      </c>
      <c r="H226" s="13" t="s">
        <v>818</v>
      </c>
      <c r="I226" s="13" t="s">
        <v>1122</v>
      </c>
    </row>
    <row r="227" spans="5:9" x14ac:dyDescent="0.25">
      <c r="E227" s="14" t="s">
        <v>772</v>
      </c>
      <c r="F227" s="14" t="s">
        <v>773</v>
      </c>
      <c r="G227" s="14" t="s">
        <v>817</v>
      </c>
      <c r="H227" s="14" t="s">
        <v>818</v>
      </c>
      <c r="I227" s="14" t="s">
        <v>1123</v>
      </c>
    </row>
    <row r="228" spans="5:9" x14ac:dyDescent="0.25">
      <c r="E228" s="13" t="s">
        <v>772</v>
      </c>
      <c r="F228" s="13" t="s">
        <v>773</v>
      </c>
      <c r="G228" s="13" t="s">
        <v>817</v>
      </c>
      <c r="H228" s="13" t="s">
        <v>818</v>
      </c>
      <c r="I228" s="13" t="s">
        <v>1124</v>
      </c>
    </row>
    <row r="229" spans="5:9" x14ac:dyDescent="0.25">
      <c r="E229" s="14" t="s">
        <v>772</v>
      </c>
      <c r="F229" s="14" t="s">
        <v>773</v>
      </c>
      <c r="G229" s="14" t="s">
        <v>817</v>
      </c>
      <c r="H229" s="14" t="s">
        <v>818</v>
      </c>
      <c r="I229" s="14" t="s">
        <v>1125</v>
      </c>
    </row>
    <row r="230" spans="5:9" x14ac:dyDescent="0.25">
      <c r="E230" s="13" t="s">
        <v>772</v>
      </c>
      <c r="F230" s="13" t="s">
        <v>773</v>
      </c>
      <c r="G230" s="13" t="s">
        <v>817</v>
      </c>
      <c r="H230" s="13" t="s">
        <v>818</v>
      </c>
      <c r="I230" s="13" t="s">
        <v>1126</v>
      </c>
    </row>
    <row r="231" spans="5:9" x14ac:dyDescent="0.25">
      <c r="E231" s="14" t="s">
        <v>772</v>
      </c>
      <c r="F231" s="14" t="s">
        <v>773</v>
      </c>
      <c r="G231" s="14" t="s">
        <v>817</v>
      </c>
      <c r="H231" s="14" t="s">
        <v>818</v>
      </c>
      <c r="I231" s="14" t="s">
        <v>1127</v>
      </c>
    </row>
    <row r="232" spans="5:9" x14ac:dyDescent="0.25">
      <c r="E232" s="13" t="s">
        <v>772</v>
      </c>
      <c r="F232" s="13" t="s">
        <v>773</v>
      </c>
      <c r="G232" s="13" t="s">
        <v>817</v>
      </c>
      <c r="H232" s="13" t="s">
        <v>818</v>
      </c>
      <c r="I232" s="13" t="s">
        <v>1128</v>
      </c>
    </row>
    <row r="233" spans="5:9" x14ac:dyDescent="0.25">
      <c r="E233" s="14" t="s">
        <v>772</v>
      </c>
      <c r="F233" s="14" t="s">
        <v>773</v>
      </c>
      <c r="G233" s="14" t="s">
        <v>817</v>
      </c>
      <c r="H233" s="14" t="s">
        <v>818</v>
      </c>
      <c r="I233" s="14" t="s">
        <v>1129</v>
      </c>
    </row>
    <row r="234" spans="5:9" x14ac:dyDescent="0.25">
      <c r="E234" s="13" t="s">
        <v>772</v>
      </c>
      <c r="F234" s="13" t="s">
        <v>773</v>
      </c>
      <c r="G234" s="13" t="s">
        <v>817</v>
      </c>
      <c r="H234" s="13" t="s">
        <v>818</v>
      </c>
      <c r="I234" s="13" t="s">
        <v>1130</v>
      </c>
    </row>
    <row r="235" spans="5:9" x14ac:dyDescent="0.25">
      <c r="E235" s="14" t="s">
        <v>772</v>
      </c>
      <c r="F235" s="14" t="s">
        <v>773</v>
      </c>
      <c r="G235" s="14" t="s">
        <v>817</v>
      </c>
      <c r="H235" s="14" t="s">
        <v>818</v>
      </c>
      <c r="I235" s="14" t="s">
        <v>1131</v>
      </c>
    </row>
    <row r="236" spans="5:9" x14ac:dyDescent="0.25">
      <c r="E236" s="13" t="s">
        <v>772</v>
      </c>
      <c r="F236" s="13" t="s">
        <v>773</v>
      </c>
      <c r="G236" s="13" t="s">
        <v>817</v>
      </c>
      <c r="H236" s="13" t="s">
        <v>818</v>
      </c>
      <c r="I236" s="13" t="s">
        <v>1132</v>
      </c>
    </row>
    <row r="237" spans="5:9" x14ac:dyDescent="0.25">
      <c r="E237" s="14" t="s">
        <v>772</v>
      </c>
      <c r="F237" s="14" t="s">
        <v>773</v>
      </c>
      <c r="G237" s="14" t="s">
        <v>817</v>
      </c>
      <c r="H237" s="14" t="s">
        <v>818</v>
      </c>
      <c r="I237" s="14" t="s">
        <v>1133</v>
      </c>
    </row>
    <row r="238" spans="5:9" x14ac:dyDescent="0.25">
      <c r="E238" s="13" t="s">
        <v>772</v>
      </c>
      <c r="F238" s="13" t="s">
        <v>773</v>
      </c>
      <c r="G238" s="13" t="s">
        <v>817</v>
      </c>
      <c r="H238" s="13" t="s">
        <v>818</v>
      </c>
      <c r="I238" s="13" t="s">
        <v>1087</v>
      </c>
    </row>
    <row r="239" spans="5:9" x14ac:dyDescent="0.25">
      <c r="E239" s="14" t="s">
        <v>772</v>
      </c>
      <c r="F239" s="14" t="s">
        <v>773</v>
      </c>
      <c r="G239" s="14" t="s">
        <v>817</v>
      </c>
      <c r="H239" s="14" t="s">
        <v>818</v>
      </c>
      <c r="I239" s="14" t="s">
        <v>1134</v>
      </c>
    </row>
    <row r="240" spans="5:9" x14ac:dyDescent="0.25">
      <c r="E240" s="13" t="s">
        <v>772</v>
      </c>
      <c r="F240" s="13" t="s">
        <v>773</v>
      </c>
      <c r="G240" s="13" t="s">
        <v>817</v>
      </c>
      <c r="H240" s="13" t="s">
        <v>818</v>
      </c>
      <c r="I240" s="13" t="s">
        <v>1135</v>
      </c>
    </row>
    <row r="241" spans="5:9" x14ac:dyDescent="0.25">
      <c r="E241" s="14" t="s">
        <v>772</v>
      </c>
      <c r="F241" s="14" t="s">
        <v>773</v>
      </c>
      <c r="G241" s="14" t="s">
        <v>817</v>
      </c>
      <c r="H241" s="14" t="s">
        <v>818</v>
      </c>
      <c r="I241" s="14" t="s">
        <v>1136</v>
      </c>
    </row>
    <row r="242" spans="5:9" x14ac:dyDescent="0.25">
      <c r="E242" s="13" t="s">
        <v>772</v>
      </c>
      <c r="F242" s="13" t="s">
        <v>773</v>
      </c>
      <c r="G242" s="13" t="s">
        <v>819</v>
      </c>
      <c r="H242" s="13" t="s">
        <v>820</v>
      </c>
      <c r="I242" s="13" t="s">
        <v>1137</v>
      </c>
    </row>
    <row r="243" spans="5:9" x14ac:dyDescent="0.25">
      <c r="E243" s="14" t="s">
        <v>772</v>
      </c>
      <c r="F243" s="14" t="s">
        <v>773</v>
      </c>
      <c r="G243" s="14" t="s">
        <v>819</v>
      </c>
      <c r="H243" s="14" t="s">
        <v>820</v>
      </c>
      <c r="I243" s="14" t="s">
        <v>1138</v>
      </c>
    </row>
    <row r="244" spans="5:9" x14ac:dyDescent="0.25">
      <c r="E244" s="13" t="s">
        <v>772</v>
      </c>
      <c r="F244" s="13" t="s">
        <v>773</v>
      </c>
      <c r="G244" s="13" t="s">
        <v>819</v>
      </c>
      <c r="H244" s="13" t="s">
        <v>820</v>
      </c>
      <c r="I244" s="13" t="s">
        <v>1139</v>
      </c>
    </row>
    <row r="245" spans="5:9" x14ac:dyDescent="0.25">
      <c r="E245" s="14" t="s">
        <v>772</v>
      </c>
      <c r="F245" s="14" t="s">
        <v>773</v>
      </c>
      <c r="G245" s="14" t="s">
        <v>819</v>
      </c>
      <c r="H245" s="14" t="s">
        <v>820</v>
      </c>
      <c r="I245" s="14" t="s">
        <v>1140</v>
      </c>
    </row>
    <row r="246" spans="5:9" x14ac:dyDescent="0.25">
      <c r="E246" s="13" t="s">
        <v>772</v>
      </c>
      <c r="F246" s="13" t="s">
        <v>773</v>
      </c>
      <c r="G246" s="13" t="s">
        <v>819</v>
      </c>
      <c r="H246" s="13" t="s">
        <v>820</v>
      </c>
      <c r="I246" s="13" t="s">
        <v>1141</v>
      </c>
    </row>
    <row r="247" spans="5:9" x14ac:dyDescent="0.25">
      <c r="E247" s="14" t="s">
        <v>772</v>
      </c>
      <c r="F247" s="14" t="s">
        <v>773</v>
      </c>
      <c r="G247" s="14" t="s">
        <v>819</v>
      </c>
      <c r="H247" s="14" t="s">
        <v>820</v>
      </c>
      <c r="I247" s="14" t="s">
        <v>807</v>
      </c>
    </row>
    <row r="248" spans="5:9" x14ac:dyDescent="0.25">
      <c r="E248" s="13" t="s">
        <v>772</v>
      </c>
      <c r="F248" s="13" t="s">
        <v>773</v>
      </c>
      <c r="G248" s="13" t="s">
        <v>819</v>
      </c>
      <c r="H248" s="13" t="s">
        <v>820</v>
      </c>
      <c r="I248" s="13" t="s">
        <v>1142</v>
      </c>
    </row>
    <row r="249" spans="5:9" x14ac:dyDescent="0.25">
      <c r="E249" s="14" t="s">
        <v>772</v>
      </c>
      <c r="F249" s="14" t="s">
        <v>773</v>
      </c>
      <c r="G249" s="14" t="s">
        <v>819</v>
      </c>
      <c r="H249" s="14" t="s">
        <v>820</v>
      </c>
      <c r="I249" s="14" t="s">
        <v>1143</v>
      </c>
    </row>
    <row r="250" spans="5:9" x14ac:dyDescent="0.25">
      <c r="E250" s="13" t="s">
        <v>772</v>
      </c>
      <c r="F250" s="13" t="s">
        <v>773</v>
      </c>
      <c r="G250" s="13" t="s">
        <v>819</v>
      </c>
      <c r="H250" s="13" t="s">
        <v>820</v>
      </c>
      <c r="I250" s="13" t="s">
        <v>1144</v>
      </c>
    </row>
    <row r="251" spans="5:9" x14ac:dyDescent="0.25">
      <c r="E251" s="14" t="s">
        <v>772</v>
      </c>
      <c r="F251" s="14" t="s">
        <v>773</v>
      </c>
      <c r="G251" s="14" t="s">
        <v>819</v>
      </c>
      <c r="H251" s="14" t="s">
        <v>820</v>
      </c>
      <c r="I251" s="14" t="s">
        <v>1145</v>
      </c>
    </row>
    <row r="252" spans="5:9" x14ac:dyDescent="0.25">
      <c r="E252" s="13" t="s">
        <v>772</v>
      </c>
      <c r="F252" s="13" t="s">
        <v>773</v>
      </c>
      <c r="G252" s="13" t="s">
        <v>819</v>
      </c>
      <c r="H252" s="13" t="s">
        <v>820</v>
      </c>
      <c r="I252" s="13" t="s">
        <v>1146</v>
      </c>
    </row>
    <row r="253" spans="5:9" x14ac:dyDescent="0.25">
      <c r="E253" s="14" t="s">
        <v>772</v>
      </c>
      <c r="F253" s="14" t="s">
        <v>773</v>
      </c>
      <c r="G253" s="14" t="s">
        <v>819</v>
      </c>
      <c r="H253" s="14" t="s">
        <v>820</v>
      </c>
      <c r="I253" s="14" t="s">
        <v>1147</v>
      </c>
    </row>
    <row r="254" spans="5:9" x14ac:dyDescent="0.25">
      <c r="E254" s="13" t="s">
        <v>772</v>
      </c>
      <c r="F254" s="13" t="s">
        <v>773</v>
      </c>
      <c r="G254" s="13" t="s">
        <v>819</v>
      </c>
      <c r="H254" s="13" t="s">
        <v>820</v>
      </c>
      <c r="I254" s="13" t="s">
        <v>1148</v>
      </c>
    </row>
    <row r="255" spans="5:9" x14ac:dyDescent="0.25">
      <c r="E255" s="14" t="s">
        <v>772</v>
      </c>
      <c r="F255" s="14" t="s">
        <v>773</v>
      </c>
      <c r="G255" s="14" t="s">
        <v>819</v>
      </c>
      <c r="H255" s="14" t="s">
        <v>820</v>
      </c>
      <c r="I255" s="14" t="s">
        <v>1149</v>
      </c>
    </row>
    <row r="256" spans="5:9" x14ac:dyDescent="0.25">
      <c r="E256" s="13" t="s">
        <v>772</v>
      </c>
      <c r="F256" s="13" t="s">
        <v>773</v>
      </c>
      <c r="G256" s="13" t="s">
        <v>819</v>
      </c>
      <c r="H256" s="13" t="s">
        <v>820</v>
      </c>
      <c r="I256" s="13" t="s">
        <v>1150</v>
      </c>
    </row>
    <row r="257" spans="5:9" x14ac:dyDescent="0.25">
      <c r="E257" s="14" t="s">
        <v>772</v>
      </c>
      <c r="F257" s="14" t="s">
        <v>773</v>
      </c>
      <c r="G257" s="14" t="s">
        <v>819</v>
      </c>
      <c r="H257" s="14" t="s">
        <v>820</v>
      </c>
      <c r="I257" s="14" t="s">
        <v>1151</v>
      </c>
    </row>
    <row r="258" spans="5:9" x14ac:dyDescent="0.25">
      <c r="E258" s="13" t="s">
        <v>772</v>
      </c>
      <c r="F258" s="13" t="s">
        <v>773</v>
      </c>
      <c r="G258" s="13" t="s">
        <v>822</v>
      </c>
      <c r="H258" s="13" t="s">
        <v>823</v>
      </c>
      <c r="I258" s="13" t="s">
        <v>1152</v>
      </c>
    </row>
    <row r="259" spans="5:9" x14ac:dyDescent="0.25">
      <c r="E259" s="14" t="s">
        <v>772</v>
      </c>
      <c r="F259" s="14" t="s">
        <v>773</v>
      </c>
      <c r="G259" s="14" t="s">
        <v>822</v>
      </c>
      <c r="H259" s="14" t="s">
        <v>823</v>
      </c>
      <c r="I259" s="14" t="s">
        <v>1153</v>
      </c>
    </row>
    <row r="260" spans="5:9" x14ac:dyDescent="0.25">
      <c r="E260" s="13" t="s">
        <v>772</v>
      </c>
      <c r="F260" s="13" t="s">
        <v>773</v>
      </c>
      <c r="G260" s="13" t="s">
        <v>822</v>
      </c>
      <c r="H260" s="13" t="s">
        <v>823</v>
      </c>
      <c r="I260" s="13" t="s">
        <v>1154</v>
      </c>
    </row>
    <row r="261" spans="5:9" x14ac:dyDescent="0.25">
      <c r="E261" s="14" t="s">
        <v>772</v>
      </c>
      <c r="F261" s="14" t="s">
        <v>773</v>
      </c>
      <c r="G261" s="14" t="s">
        <v>822</v>
      </c>
      <c r="H261" s="14" t="s">
        <v>823</v>
      </c>
      <c r="I261" s="14" t="s">
        <v>1155</v>
      </c>
    </row>
    <row r="262" spans="5:9" x14ac:dyDescent="0.25">
      <c r="E262" s="13" t="s">
        <v>772</v>
      </c>
      <c r="F262" s="13" t="s">
        <v>773</v>
      </c>
      <c r="G262" s="13" t="s">
        <v>822</v>
      </c>
      <c r="H262" s="13" t="s">
        <v>823</v>
      </c>
      <c r="I262" s="13" t="s">
        <v>1156</v>
      </c>
    </row>
    <row r="263" spans="5:9" x14ac:dyDescent="0.25">
      <c r="E263" s="14" t="s">
        <v>772</v>
      </c>
      <c r="F263" s="14" t="s">
        <v>773</v>
      </c>
      <c r="G263" s="14" t="s">
        <v>822</v>
      </c>
      <c r="H263" s="14" t="s">
        <v>823</v>
      </c>
      <c r="I263" s="14" t="s">
        <v>1157</v>
      </c>
    </row>
    <row r="264" spans="5:9" x14ac:dyDescent="0.25">
      <c r="E264" s="13" t="s">
        <v>772</v>
      </c>
      <c r="F264" s="13" t="s">
        <v>773</v>
      </c>
      <c r="G264" s="13" t="s">
        <v>822</v>
      </c>
      <c r="H264" s="13" t="s">
        <v>823</v>
      </c>
      <c r="I264" s="13" t="s">
        <v>1158</v>
      </c>
    </row>
    <row r="265" spans="5:9" x14ac:dyDescent="0.25">
      <c r="E265" s="14" t="s">
        <v>772</v>
      </c>
      <c r="F265" s="14" t="s">
        <v>773</v>
      </c>
      <c r="G265" s="14" t="s">
        <v>822</v>
      </c>
      <c r="H265" s="14" t="s">
        <v>823</v>
      </c>
      <c r="I265" s="14" t="s">
        <v>1159</v>
      </c>
    </row>
    <row r="266" spans="5:9" x14ac:dyDescent="0.25">
      <c r="E266" s="13" t="s">
        <v>772</v>
      </c>
      <c r="F266" s="13" t="s">
        <v>773</v>
      </c>
      <c r="G266" s="13" t="s">
        <v>822</v>
      </c>
      <c r="H266" s="13" t="s">
        <v>823</v>
      </c>
      <c r="I266" s="13" t="s">
        <v>1110</v>
      </c>
    </row>
    <row r="267" spans="5:9" x14ac:dyDescent="0.25">
      <c r="E267" s="14" t="s">
        <v>772</v>
      </c>
      <c r="F267" s="14" t="s">
        <v>773</v>
      </c>
      <c r="G267" s="14" t="s">
        <v>825</v>
      </c>
      <c r="H267" s="14" t="s">
        <v>826</v>
      </c>
      <c r="I267" s="14" t="s">
        <v>1160</v>
      </c>
    </row>
    <row r="268" spans="5:9" x14ac:dyDescent="0.25">
      <c r="E268" s="13" t="s">
        <v>772</v>
      </c>
      <c r="F268" s="13" t="s">
        <v>773</v>
      </c>
      <c r="G268" s="13" t="s">
        <v>825</v>
      </c>
      <c r="H268" s="13" t="s">
        <v>826</v>
      </c>
      <c r="I268" s="13" t="s">
        <v>1161</v>
      </c>
    </row>
    <row r="269" spans="5:9" x14ac:dyDescent="0.25">
      <c r="E269" s="14" t="s">
        <v>772</v>
      </c>
      <c r="F269" s="14" t="s">
        <v>773</v>
      </c>
      <c r="G269" s="14" t="s">
        <v>825</v>
      </c>
      <c r="H269" s="14" t="s">
        <v>826</v>
      </c>
      <c r="I269" s="14" t="s">
        <v>1162</v>
      </c>
    </row>
    <row r="270" spans="5:9" x14ac:dyDescent="0.25">
      <c r="E270" s="13" t="s">
        <v>772</v>
      </c>
      <c r="F270" s="13" t="s">
        <v>773</v>
      </c>
      <c r="G270" s="13" t="s">
        <v>825</v>
      </c>
      <c r="H270" s="13" t="s">
        <v>826</v>
      </c>
      <c r="I270" s="13" t="s">
        <v>1163</v>
      </c>
    </row>
    <row r="271" spans="5:9" x14ac:dyDescent="0.25">
      <c r="E271" s="14" t="s">
        <v>772</v>
      </c>
      <c r="F271" s="14" t="s">
        <v>773</v>
      </c>
      <c r="G271" s="14" t="s">
        <v>825</v>
      </c>
      <c r="H271" s="14" t="s">
        <v>826</v>
      </c>
      <c r="I271" s="14" t="s">
        <v>1164</v>
      </c>
    </row>
    <row r="272" spans="5:9" x14ac:dyDescent="0.25">
      <c r="E272" s="13" t="s">
        <v>772</v>
      </c>
      <c r="F272" s="13" t="s">
        <v>773</v>
      </c>
      <c r="G272" s="13" t="s">
        <v>825</v>
      </c>
      <c r="H272" s="13" t="s">
        <v>826</v>
      </c>
      <c r="I272" s="13" t="s">
        <v>1165</v>
      </c>
    </row>
    <row r="273" spans="5:9" x14ac:dyDescent="0.25">
      <c r="E273" s="14" t="s">
        <v>772</v>
      </c>
      <c r="F273" s="14" t="s">
        <v>773</v>
      </c>
      <c r="G273" s="14" t="s">
        <v>825</v>
      </c>
      <c r="H273" s="14" t="s">
        <v>826</v>
      </c>
      <c r="I273" s="14" t="s">
        <v>1166</v>
      </c>
    </row>
    <row r="274" spans="5:9" x14ac:dyDescent="0.25">
      <c r="E274" s="13" t="s">
        <v>772</v>
      </c>
      <c r="F274" s="13" t="s">
        <v>773</v>
      </c>
      <c r="G274" s="13" t="s">
        <v>825</v>
      </c>
      <c r="H274" s="13" t="s">
        <v>826</v>
      </c>
      <c r="I274" s="13" t="s">
        <v>1167</v>
      </c>
    </row>
    <row r="275" spans="5:9" x14ac:dyDescent="0.25">
      <c r="E275" s="14" t="s">
        <v>772</v>
      </c>
      <c r="F275" s="14" t="s">
        <v>773</v>
      </c>
      <c r="G275" s="14" t="s">
        <v>825</v>
      </c>
      <c r="H275" s="14" t="s">
        <v>826</v>
      </c>
      <c r="I275" s="14" t="s">
        <v>1168</v>
      </c>
    </row>
    <row r="276" spans="5:9" x14ac:dyDescent="0.25">
      <c r="E276" s="13" t="s">
        <v>772</v>
      </c>
      <c r="F276" s="13" t="s">
        <v>773</v>
      </c>
      <c r="G276" s="13" t="s">
        <v>825</v>
      </c>
      <c r="H276" s="13" t="s">
        <v>826</v>
      </c>
      <c r="I276" s="13" t="s">
        <v>1051</v>
      </c>
    </row>
    <row r="277" spans="5:9" x14ac:dyDescent="0.25">
      <c r="E277" s="14" t="s">
        <v>772</v>
      </c>
      <c r="F277" s="14" t="s">
        <v>773</v>
      </c>
      <c r="G277" s="14" t="s">
        <v>825</v>
      </c>
      <c r="H277" s="14" t="s">
        <v>826</v>
      </c>
      <c r="I277" s="14" t="s">
        <v>1169</v>
      </c>
    </row>
    <row r="278" spans="5:9" x14ac:dyDescent="0.25">
      <c r="E278" s="13" t="s">
        <v>772</v>
      </c>
      <c r="F278" s="13" t="s">
        <v>773</v>
      </c>
      <c r="G278" s="13" t="s">
        <v>825</v>
      </c>
      <c r="H278" s="13" t="s">
        <v>826</v>
      </c>
      <c r="I278" s="13" t="s">
        <v>1170</v>
      </c>
    </row>
    <row r="279" spans="5:9" x14ac:dyDescent="0.25">
      <c r="E279" s="14" t="s">
        <v>772</v>
      </c>
      <c r="F279" s="14" t="s">
        <v>773</v>
      </c>
      <c r="G279" s="14" t="s">
        <v>825</v>
      </c>
      <c r="H279" s="14" t="s">
        <v>826</v>
      </c>
      <c r="I279" s="14" t="s">
        <v>1171</v>
      </c>
    </row>
    <row r="280" spans="5:9" x14ac:dyDescent="0.25">
      <c r="E280" s="13" t="s">
        <v>772</v>
      </c>
      <c r="F280" s="13" t="s">
        <v>773</v>
      </c>
      <c r="G280" s="13" t="s">
        <v>825</v>
      </c>
      <c r="H280" s="13" t="s">
        <v>826</v>
      </c>
      <c r="I280" s="13" t="s">
        <v>1172</v>
      </c>
    </row>
    <row r="281" spans="5:9" x14ac:dyDescent="0.25">
      <c r="E281" s="14" t="s">
        <v>772</v>
      </c>
      <c r="F281" s="14" t="s">
        <v>773</v>
      </c>
      <c r="G281" s="14" t="s">
        <v>825</v>
      </c>
      <c r="H281" s="14" t="s">
        <v>826</v>
      </c>
      <c r="I281" s="14" t="s">
        <v>1173</v>
      </c>
    </row>
    <row r="282" spans="5:9" x14ac:dyDescent="0.25">
      <c r="E282" s="13" t="s">
        <v>772</v>
      </c>
      <c r="F282" s="13" t="s">
        <v>773</v>
      </c>
      <c r="G282" s="13" t="s">
        <v>825</v>
      </c>
      <c r="H282" s="13" t="s">
        <v>826</v>
      </c>
      <c r="I282" s="13" t="s">
        <v>1174</v>
      </c>
    </row>
    <row r="283" spans="5:9" x14ac:dyDescent="0.25">
      <c r="E283" s="14" t="s">
        <v>772</v>
      </c>
      <c r="F283" s="14" t="s">
        <v>773</v>
      </c>
      <c r="G283" s="14" t="s">
        <v>825</v>
      </c>
      <c r="H283" s="14" t="s">
        <v>826</v>
      </c>
      <c r="I283" s="14" t="s">
        <v>1175</v>
      </c>
    </row>
    <row r="284" spans="5:9" x14ac:dyDescent="0.25">
      <c r="E284" s="13" t="s">
        <v>772</v>
      </c>
      <c r="F284" s="13" t="s">
        <v>773</v>
      </c>
      <c r="G284" s="13" t="s">
        <v>825</v>
      </c>
      <c r="H284" s="13" t="s">
        <v>826</v>
      </c>
      <c r="I284" s="13" t="s">
        <v>1176</v>
      </c>
    </row>
    <row r="285" spans="5:9" x14ac:dyDescent="0.25">
      <c r="E285" s="14" t="s">
        <v>772</v>
      </c>
      <c r="F285" s="14" t="s">
        <v>773</v>
      </c>
      <c r="G285" s="14" t="s">
        <v>825</v>
      </c>
      <c r="H285" s="14" t="s">
        <v>826</v>
      </c>
      <c r="I285" s="14" t="s">
        <v>1177</v>
      </c>
    </row>
    <row r="286" spans="5:9" x14ac:dyDescent="0.25">
      <c r="E286" s="13" t="s">
        <v>772</v>
      </c>
      <c r="F286" s="13" t="s">
        <v>773</v>
      </c>
      <c r="G286" s="13" t="s">
        <v>825</v>
      </c>
      <c r="H286" s="13" t="s">
        <v>826</v>
      </c>
      <c r="I286" s="13" t="s">
        <v>1178</v>
      </c>
    </row>
    <row r="287" spans="5:9" x14ac:dyDescent="0.25">
      <c r="E287" s="14" t="s">
        <v>772</v>
      </c>
      <c r="F287" s="14" t="s">
        <v>773</v>
      </c>
      <c r="G287" s="14" t="s">
        <v>825</v>
      </c>
      <c r="H287" s="14" t="s">
        <v>826</v>
      </c>
      <c r="I287" s="14" t="s">
        <v>1179</v>
      </c>
    </row>
    <row r="288" spans="5:9" x14ac:dyDescent="0.25">
      <c r="E288" s="13" t="s">
        <v>772</v>
      </c>
      <c r="F288" s="13" t="s">
        <v>773</v>
      </c>
      <c r="G288" s="13" t="s">
        <v>825</v>
      </c>
      <c r="H288" s="13" t="s">
        <v>826</v>
      </c>
      <c r="I288" s="13" t="s">
        <v>1180</v>
      </c>
    </row>
    <row r="289" spans="5:9" x14ac:dyDescent="0.25">
      <c r="E289" s="14" t="s">
        <v>772</v>
      </c>
      <c r="F289" s="14" t="s">
        <v>773</v>
      </c>
      <c r="G289" s="14" t="s">
        <v>825</v>
      </c>
      <c r="H289" s="14" t="s">
        <v>826</v>
      </c>
      <c r="I289" s="14" t="s">
        <v>1181</v>
      </c>
    </row>
    <row r="290" spans="5:9" x14ac:dyDescent="0.25">
      <c r="E290" s="13" t="s">
        <v>772</v>
      </c>
      <c r="F290" s="13" t="s">
        <v>773</v>
      </c>
      <c r="G290" s="13" t="s">
        <v>825</v>
      </c>
      <c r="H290" s="13" t="s">
        <v>826</v>
      </c>
      <c r="I290" s="13" t="s">
        <v>1182</v>
      </c>
    </row>
    <row r="291" spans="5:9" x14ac:dyDescent="0.25">
      <c r="E291" s="14" t="s">
        <v>772</v>
      </c>
      <c r="F291" s="14" t="s">
        <v>773</v>
      </c>
      <c r="G291" s="14" t="s">
        <v>825</v>
      </c>
      <c r="H291" s="14" t="s">
        <v>826</v>
      </c>
      <c r="I291" s="14" t="s">
        <v>1183</v>
      </c>
    </row>
    <row r="292" spans="5:9" x14ac:dyDescent="0.25">
      <c r="E292" s="13" t="s">
        <v>772</v>
      </c>
      <c r="F292" s="13" t="s">
        <v>773</v>
      </c>
      <c r="G292" s="13" t="s">
        <v>825</v>
      </c>
      <c r="H292" s="13" t="s">
        <v>826</v>
      </c>
      <c r="I292" s="13" t="s">
        <v>1184</v>
      </c>
    </row>
    <row r="293" spans="5:9" x14ac:dyDescent="0.25">
      <c r="E293" s="14" t="s">
        <v>772</v>
      </c>
      <c r="F293" s="14" t="s">
        <v>773</v>
      </c>
      <c r="G293" s="14" t="s">
        <v>825</v>
      </c>
      <c r="H293" s="14" t="s">
        <v>826</v>
      </c>
      <c r="I293" s="14" t="s">
        <v>1185</v>
      </c>
    </row>
    <row r="294" spans="5:9" x14ac:dyDescent="0.25">
      <c r="E294" s="13" t="s">
        <v>772</v>
      </c>
      <c r="F294" s="13" t="s">
        <v>773</v>
      </c>
      <c r="G294" s="13" t="s">
        <v>825</v>
      </c>
      <c r="H294" s="13" t="s">
        <v>826</v>
      </c>
      <c r="I294" s="13" t="s">
        <v>1186</v>
      </c>
    </row>
    <row r="295" spans="5:9" x14ac:dyDescent="0.25">
      <c r="E295" s="14" t="s">
        <v>772</v>
      </c>
      <c r="F295" s="14" t="s">
        <v>773</v>
      </c>
      <c r="G295" s="14" t="s">
        <v>825</v>
      </c>
      <c r="H295" s="14" t="s">
        <v>826</v>
      </c>
      <c r="I295" s="14" t="s">
        <v>1187</v>
      </c>
    </row>
    <row r="296" spans="5:9" x14ac:dyDescent="0.25">
      <c r="E296" s="13" t="s">
        <v>772</v>
      </c>
      <c r="F296" s="13" t="s">
        <v>773</v>
      </c>
      <c r="G296" s="13" t="s">
        <v>828</v>
      </c>
      <c r="H296" s="13" t="s">
        <v>829</v>
      </c>
      <c r="I296" s="13" t="s">
        <v>1188</v>
      </c>
    </row>
    <row r="297" spans="5:9" x14ac:dyDescent="0.25">
      <c r="E297" s="14" t="s">
        <v>772</v>
      </c>
      <c r="F297" s="14" t="s">
        <v>773</v>
      </c>
      <c r="G297" s="14" t="s">
        <v>828</v>
      </c>
      <c r="H297" s="14" t="s">
        <v>829</v>
      </c>
      <c r="I297" s="14" t="s">
        <v>1189</v>
      </c>
    </row>
    <row r="298" spans="5:9" x14ac:dyDescent="0.25">
      <c r="E298" s="13" t="s">
        <v>772</v>
      </c>
      <c r="F298" s="13" t="s">
        <v>773</v>
      </c>
      <c r="G298" s="13" t="s">
        <v>828</v>
      </c>
      <c r="H298" s="13" t="s">
        <v>829</v>
      </c>
      <c r="I298" s="13" t="s">
        <v>1190</v>
      </c>
    </row>
    <row r="299" spans="5:9" x14ac:dyDescent="0.25">
      <c r="E299" s="14" t="s">
        <v>772</v>
      </c>
      <c r="F299" s="14" t="s">
        <v>773</v>
      </c>
      <c r="G299" s="14" t="s">
        <v>828</v>
      </c>
      <c r="H299" s="14" t="s">
        <v>829</v>
      </c>
      <c r="I299" s="14" t="s">
        <v>1191</v>
      </c>
    </row>
    <row r="300" spans="5:9" x14ac:dyDescent="0.25">
      <c r="E300" s="13" t="s">
        <v>772</v>
      </c>
      <c r="F300" s="13" t="s">
        <v>773</v>
      </c>
      <c r="G300" s="13" t="s">
        <v>828</v>
      </c>
      <c r="H300" s="13" t="s">
        <v>829</v>
      </c>
      <c r="I300" s="13" t="s">
        <v>1192</v>
      </c>
    </row>
    <row r="301" spans="5:9" x14ac:dyDescent="0.25">
      <c r="E301" s="14" t="s">
        <v>772</v>
      </c>
      <c r="F301" s="14" t="s">
        <v>773</v>
      </c>
      <c r="G301" s="14" t="s">
        <v>828</v>
      </c>
      <c r="H301" s="14" t="s">
        <v>829</v>
      </c>
      <c r="I301" s="14" t="s">
        <v>776</v>
      </c>
    </row>
    <row r="302" spans="5:9" x14ac:dyDescent="0.25">
      <c r="E302" s="13" t="s">
        <v>772</v>
      </c>
      <c r="F302" s="13" t="s">
        <v>773</v>
      </c>
      <c r="G302" s="13" t="s">
        <v>828</v>
      </c>
      <c r="H302" s="13" t="s">
        <v>829</v>
      </c>
      <c r="I302" s="13" t="s">
        <v>1193</v>
      </c>
    </row>
    <row r="303" spans="5:9" x14ac:dyDescent="0.25">
      <c r="E303" s="14" t="s">
        <v>772</v>
      </c>
      <c r="F303" s="14" t="s">
        <v>773</v>
      </c>
      <c r="G303" s="14" t="s">
        <v>828</v>
      </c>
      <c r="H303" s="14" t="s">
        <v>829</v>
      </c>
      <c r="I303" s="14" t="s">
        <v>1194</v>
      </c>
    </row>
    <row r="304" spans="5:9" x14ac:dyDescent="0.25">
      <c r="E304" s="13" t="s">
        <v>772</v>
      </c>
      <c r="F304" s="13" t="s">
        <v>773</v>
      </c>
      <c r="G304" s="13" t="s">
        <v>828</v>
      </c>
      <c r="H304" s="13" t="s">
        <v>829</v>
      </c>
      <c r="I304" s="13" t="s">
        <v>1195</v>
      </c>
    </row>
    <row r="305" spans="5:9" x14ac:dyDescent="0.25">
      <c r="E305" s="14" t="s">
        <v>772</v>
      </c>
      <c r="F305" s="14" t="s">
        <v>773</v>
      </c>
      <c r="G305" s="14" t="s">
        <v>828</v>
      </c>
      <c r="H305" s="14" t="s">
        <v>829</v>
      </c>
      <c r="I305" s="14" t="s">
        <v>1196</v>
      </c>
    </row>
    <row r="306" spans="5:9" x14ac:dyDescent="0.25">
      <c r="E306" s="13" t="s">
        <v>772</v>
      </c>
      <c r="F306" s="13" t="s">
        <v>773</v>
      </c>
      <c r="G306" s="13" t="s">
        <v>828</v>
      </c>
      <c r="H306" s="13" t="s">
        <v>829</v>
      </c>
      <c r="I306" s="13" t="s">
        <v>1197</v>
      </c>
    </row>
    <row r="307" spans="5:9" x14ac:dyDescent="0.25">
      <c r="E307" s="14" t="s">
        <v>772</v>
      </c>
      <c r="F307" s="14" t="s">
        <v>773</v>
      </c>
      <c r="G307" s="14" t="s">
        <v>828</v>
      </c>
      <c r="H307" s="14" t="s">
        <v>829</v>
      </c>
      <c r="I307" s="14" t="s">
        <v>1139</v>
      </c>
    </row>
    <row r="308" spans="5:9" x14ac:dyDescent="0.25">
      <c r="E308" s="13" t="s">
        <v>772</v>
      </c>
      <c r="F308" s="13" t="s">
        <v>773</v>
      </c>
      <c r="G308" s="13" t="s">
        <v>828</v>
      </c>
      <c r="H308" s="13" t="s">
        <v>829</v>
      </c>
      <c r="I308" s="13" t="s">
        <v>1198</v>
      </c>
    </row>
    <row r="309" spans="5:9" x14ac:dyDescent="0.25">
      <c r="E309" s="14" t="s">
        <v>772</v>
      </c>
      <c r="F309" s="14" t="s">
        <v>773</v>
      </c>
      <c r="G309" s="14" t="s">
        <v>828</v>
      </c>
      <c r="H309" s="14" t="s">
        <v>829</v>
      </c>
      <c r="I309" s="14" t="s">
        <v>1199</v>
      </c>
    </row>
    <row r="310" spans="5:9" x14ac:dyDescent="0.25">
      <c r="E310" s="13" t="s">
        <v>772</v>
      </c>
      <c r="F310" s="13" t="s">
        <v>773</v>
      </c>
      <c r="G310" s="13" t="s">
        <v>828</v>
      </c>
      <c r="H310" s="13" t="s">
        <v>829</v>
      </c>
      <c r="I310" s="13" t="s">
        <v>1200</v>
      </c>
    </row>
    <row r="311" spans="5:9" x14ac:dyDescent="0.25">
      <c r="E311" s="14" t="s">
        <v>772</v>
      </c>
      <c r="F311" s="14" t="s">
        <v>773</v>
      </c>
      <c r="G311" s="14" t="s">
        <v>828</v>
      </c>
      <c r="H311" s="14" t="s">
        <v>829</v>
      </c>
      <c r="I311" s="14" t="s">
        <v>1201</v>
      </c>
    </row>
    <row r="312" spans="5:9" x14ac:dyDescent="0.25">
      <c r="E312" s="13" t="s">
        <v>772</v>
      </c>
      <c r="F312" s="13" t="s">
        <v>773</v>
      </c>
      <c r="G312" s="13" t="s">
        <v>828</v>
      </c>
      <c r="H312" s="13" t="s">
        <v>829</v>
      </c>
      <c r="I312" s="13" t="s">
        <v>1202</v>
      </c>
    </row>
    <row r="313" spans="5:9" x14ac:dyDescent="0.25">
      <c r="E313" s="14" t="s">
        <v>772</v>
      </c>
      <c r="F313" s="14" t="s">
        <v>773</v>
      </c>
      <c r="G313" s="14" t="s">
        <v>831</v>
      </c>
      <c r="H313" s="14" t="s">
        <v>832</v>
      </c>
      <c r="I313" s="14" t="s">
        <v>1203</v>
      </c>
    </row>
    <row r="314" spans="5:9" x14ac:dyDescent="0.25">
      <c r="E314" s="13" t="s">
        <v>772</v>
      </c>
      <c r="F314" s="13" t="s">
        <v>773</v>
      </c>
      <c r="G314" s="13" t="s">
        <v>831</v>
      </c>
      <c r="H314" s="13" t="s">
        <v>832</v>
      </c>
      <c r="I314" s="13" t="s">
        <v>1204</v>
      </c>
    </row>
    <row r="315" spans="5:9" x14ac:dyDescent="0.25">
      <c r="E315" s="14" t="s">
        <v>772</v>
      </c>
      <c r="F315" s="14" t="s">
        <v>773</v>
      </c>
      <c r="G315" s="14" t="s">
        <v>831</v>
      </c>
      <c r="H315" s="14" t="s">
        <v>832</v>
      </c>
      <c r="I315" s="14" t="s">
        <v>1205</v>
      </c>
    </row>
    <row r="316" spans="5:9" x14ac:dyDescent="0.25">
      <c r="E316" s="13" t="s">
        <v>772</v>
      </c>
      <c r="F316" s="13" t="s">
        <v>773</v>
      </c>
      <c r="G316" s="13" t="s">
        <v>831</v>
      </c>
      <c r="H316" s="13" t="s">
        <v>832</v>
      </c>
      <c r="I316" s="13" t="s">
        <v>1206</v>
      </c>
    </row>
    <row r="317" spans="5:9" x14ac:dyDescent="0.25">
      <c r="E317" s="14" t="s">
        <v>772</v>
      </c>
      <c r="F317" s="14" t="s">
        <v>773</v>
      </c>
      <c r="G317" s="14" t="s">
        <v>831</v>
      </c>
      <c r="H317" s="14" t="s">
        <v>832</v>
      </c>
      <c r="I317" s="14" t="s">
        <v>1207</v>
      </c>
    </row>
    <row r="318" spans="5:9" x14ac:dyDescent="0.25">
      <c r="E318" s="13" t="s">
        <v>772</v>
      </c>
      <c r="F318" s="13" t="s">
        <v>773</v>
      </c>
      <c r="G318" s="13" t="s">
        <v>831</v>
      </c>
      <c r="H318" s="13" t="s">
        <v>832</v>
      </c>
      <c r="I318" s="13" t="s">
        <v>1078</v>
      </c>
    </row>
    <row r="319" spans="5:9" x14ac:dyDescent="0.25">
      <c r="E319" s="14" t="s">
        <v>772</v>
      </c>
      <c r="F319" s="14" t="s">
        <v>773</v>
      </c>
      <c r="G319" s="14" t="s">
        <v>831</v>
      </c>
      <c r="H319" s="14" t="s">
        <v>832</v>
      </c>
      <c r="I319" s="14" t="s">
        <v>1208</v>
      </c>
    </row>
    <row r="320" spans="5:9" x14ac:dyDescent="0.25">
      <c r="E320" s="13" t="s">
        <v>772</v>
      </c>
      <c r="F320" s="13" t="s">
        <v>773</v>
      </c>
      <c r="G320" s="13" t="s">
        <v>831</v>
      </c>
      <c r="H320" s="13" t="s">
        <v>832</v>
      </c>
      <c r="I320" s="13" t="s">
        <v>1209</v>
      </c>
    </row>
    <row r="321" spans="5:9" x14ac:dyDescent="0.25">
      <c r="E321" s="14" t="s">
        <v>772</v>
      </c>
      <c r="F321" s="14" t="s">
        <v>773</v>
      </c>
      <c r="G321" s="14" t="s">
        <v>831</v>
      </c>
      <c r="H321" s="14" t="s">
        <v>832</v>
      </c>
      <c r="I321" s="14" t="s">
        <v>1210</v>
      </c>
    </row>
    <row r="322" spans="5:9" x14ac:dyDescent="0.25">
      <c r="E322" s="13" t="s">
        <v>772</v>
      </c>
      <c r="F322" s="13" t="s">
        <v>773</v>
      </c>
      <c r="G322" s="13" t="s">
        <v>831</v>
      </c>
      <c r="H322" s="13" t="s">
        <v>832</v>
      </c>
      <c r="I322" s="13" t="s">
        <v>1211</v>
      </c>
    </row>
    <row r="323" spans="5:9" x14ac:dyDescent="0.25">
      <c r="E323" s="14" t="s">
        <v>772</v>
      </c>
      <c r="F323" s="14" t="s">
        <v>773</v>
      </c>
      <c r="G323" s="14" t="s">
        <v>831</v>
      </c>
      <c r="H323" s="14" t="s">
        <v>832</v>
      </c>
      <c r="I323" s="14" t="s">
        <v>1085</v>
      </c>
    </row>
    <row r="324" spans="5:9" x14ac:dyDescent="0.25">
      <c r="E324" s="13" t="s">
        <v>772</v>
      </c>
      <c r="F324" s="13" t="s">
        <v>773</v>
      </c>
      <c r="G324" s="13" t="s">
        <v>831</v>
      </c>
      <c r="H324" s="13" t="s">
        <v>832</v>
      </c>
      <c r="I324" s="13" t="s">
        <v>1079</v>
      </c>
    </row>
    <row r="325" spans="5:9" x14ac:dyDescent="0.25">
      <c r="E325" s="14" t="s">
        <v>772</v>
      </c>
      <c r="F325" s="14" t="s">
        <v>773</v>
      </c>
      <c r="G325" s="14" t="s">
        <v>831</v>
      </c>
      <c r="H325" s="14" t="s">
        <v>832</v>
      </c>
      <c r="I325" s="14" t="s">
        <v>1212</v>
      </c>
    </row>
    <row r="326" spans="5:9" x14ac:dyDescent="0.25">
      <c r="E326" s="13" t="s">
        <v>772</v>
      </c>
      <c r="F326" s="13" t="s">
        <v>773</v>
      </c>
      <c r="G326" s="13" t="s">
        <v>831</v>
      </c>
      <c r="H326" s="13" t="s">
        <v>832</v>
      </c>
      <c r="I326" s="13" t="s">
        <v>1213</v>
      </c>
    </row>
    <row r="327" spans="5:9" x14ac:dyDescent="0.25">
      <c r="E327" s="14" t="s">
        <v>772</v>
      </c>
      <c r="F327" s="14" t="s">
        <v>773</v>
      </c>
      <c r="G327" s="14" t="s">
        <v>831</v>
      </c>
      <c r="H327" s="14" t="s">
        <v>832</v>
      </c>
      <c r="I327" s="14" t="s">
        <v>1214</v>
      </c>
    </row>
    <row r="328" spans="5:9" x14ac:dyDescent="0.25">
      <c r="E328" s="13" t="s">
        <v>772</v>
      </c>
      <c r="F328" s="13" t="s">
        <v>773</v>
      </c>
      <c r="G328" s="13" t="s">
        <v>834</v>
      </c>
      <c r="H328" s="13" t="s">
        <v>835</v>
      </c>
      <c r="I328" s="13" t="s">
        <v>1215</v>
      </c>
    </row>
    <row r="329" spans="5:9" x14ac:dyDescent="0.25">
      <c r="E329" s="14" t="s">
        <v>772</v>
      </c>
      <c r="F329" s="14" t="s">
        <v>773</v>
      </c>
      <c r="G329" s="14" t="s">
        <v>834</v>
      </c>
      <c r="H329" s="14" t="s">
        <v>835</v>
      </c>
      <c r="I329" s="14" t="s">
        <v>1216</v>
      </c>
    </row>
    <row r="330" spans="5:9" x14ac:dyDescent="0.25">
      <c r="E330" s="13" t="s">
        <v>772</v>
      </c>
      <c r="F330" s="13" t="s">
        <v>773</v>
      </c>
      <c r="G330" s="13" t="s">
        <v>834</v>
      </c>
      <c r="H330" s="13" t="s">
        <v>835</v>
      </c>
      <c r="I330" s="13" t="s">
        <v>1217</v>
      </c>
    </row>
    <row r="331" spans="5:9" x14ac:dyDescent="0.25">
      <c r="E331" s="14" t="s">
        <v>772</v>
      </c>
      <c r="F331" s="14" t="s">
        <v>773</v>
      </c>
      <c r="G331" s="14" t="s">
        <v>834</v>
      </c>
      <c r="H331" s="14" t="s">
        <v>835</v>
      </c>
      <c r="I331" s="14" t="s">
        <v>1218</v>
      </c>
    </row>
    <row r="332" spans="5:9" x14ac:dyDescent="0.25">
      <c r="E332" s="13" t="s">
        <v>772</v>
      </c>
      <c r="F332" s="13" t="s">
        <v>773</v>
      </c>
      <c r="G332" s="13" t="s">
        <v>834</v>
      </c>
      <c r="H332" s="13" t="s">
        <v>835</v>
      </c>
      <c r="I332" s="13" t="s">
        <v>1219</v>
      </c>
    </row>
    <row r="333" spans="5:9" x14ac:dyDescent="0.25">
      <c r="E333" s="14" t="s">
        <v>772</v>
      </c>
      <c r="F333" s="14" t="s">
        <v>773</v>
      </c>
      <c r="G333" s="14" t="s">
        <v>834</v>
      </c>
      <c r="H333" s="14" t="s">
        <v>835</v>
      </c>
      <c r="I333" s="14" t="s">
        <v>1220</v>
      </c>
    </row>
    <row r="334" spans="5:9" x14ac:dyDescent="0.25">
      <c r="E334" s="13" t="s">
        <v>772</v>
      </c>
      <c r="F334" s="13" t="s">
        <v>773</v>
      </c>
      <c r="G334" s="13" t="s">
        <v>834</v>
      </c>
      <c r="H334" s="13" t="s">
        <v>835</v>
      </c>
      <c r="I334" s="13" t="s">
        <v>1221</v>
      </c>
    </row>
    <row r="335" spans="5:9" x14ac:dyDescent="0.25">
      <c r="E335" s="14" t="s">
        <v>772</v>
      </c>
      <c r="F335" s="14" t="s">
        <v>773</v>
      </c>
      <c r="G335" s="14" t="s">
        <v>834</v>
      </c>
      <c r="H335" s="14" t="s">
        <v>835</v>
      </c>
      <c r="I335" s="14" t="s">
        <v>1222</v>
      </c>
    </row>
    <row r="336" spans="5:9" x14ac:dyDescent="0.25">
      <c r="E336" s="13" t="s">
        <v>772</v>
      </c>
      <c r="F336" s="13" t="s">
        <v>773</v>
      </c>
      <c r="G336" s="13" t="s">
        <v>834</v>
      </c>
      <c r="H336" s="13" t="s">
        <v>835</v>
      </c>
      <c r="I336" s="13" t="s">
        <v>1223</v>
      </c>
    </row>
    <row r="337" spans="5:9" x14ac:dyDescent="0.25">
      <c r="E337" s="14" t="s">
        <v>772</v>
      </c>
      <c r="F337" s="14" t="s">
        <v>773</v>
      </c>
      <c r="G337" s="14" t="s">
        <v>834</v>
      </c>
      <c r="H337" s="14" t="s">
        <v>835</v>
      </c>
      <c r="I337" s="14" t="s">
        <v>1206</v>
      </c>
    </row>
    <row r="338" spans="5:9" x14ac:dyDescent="0.25">
      <c r="E338" s="13" t="s">
        <v>772</v>
      </c>
      <c r="F338" s="13" t="s">
        <v>773</v>
      </c>
      <c r="G338" s="13" t="s">
        <v>834</v>
      </c>
      <c r="H338" s="13" t="s">
        <v>835</v>
      </c>
      <c r="I338" s="13" t="s">
        <v>1224</v>
      </c>
    </row>
    <row r="339" spans="5:9" x14ac:dyDescent="0.25">
      <c r="E339" s="14" t="s">
        <v>772</v>
      </c>
      <c r="F339" s="14" t="s">
        <v>773</v>
      </c>
      <c r="G339" s="14" t="s">
        <v>834</v>
      </c>
      <c r="H339" s="14" t="s">
        <v>835</v>
      </c>
      <c r="I339" s="14" t="s">
        <v>1225</v>
      </c>
    </row>
    <row r="340" spans="5:9" x14ac:dyDescent="0.25">
      <c r="E340" s="13" t="s">
        <v>772</v>
      </c>
      <c r="F340" s="13" t="s">
        <v>773</v>
      </c>
      <c r="G340" s="13" t="s">
        <v>834</v>
      </c>
      <c r="H340" s="13" t="s">
        <v>835</v>
      </c>
      <c r="I340" s="13" t="s">
        <v>1226</v>
      </c>
    </row>
    <row r="341" spans="5:9" x14ac:dyDescent="0.25">
      <c r="E341" s="14" t="s">
        <v>772</v>
      </c>
      <c r="F341" s="14" t="s">
        <v>773</v>
      </c>
      <c r="G341" s="14" t="s">
        <v>834</v>
      </c>
      <c r="H341" s="14" t="s">
        <v>835</v>
      </c>
      <c r="I341" s="14" t="s">
        <v>1227</v>
      </c>
    </row>
    <row r="342" spans="5:9" x14ac:dyDescent="0.25">
      <c r="E342" s="13" t="s">
        <v>772</v>
      </c>
      <c r="F342" s="13" t="s">
        <v>773</v>
      </c>
      <c r="G342" s="13" t="s">
        <v>834</v>
      </c>
      <c r="H342" s="13" t="s">
        <v>835</v>
      </c>
      <c r="I342" s="13" t="s">
        <v>1228</v>
      </c>
    </row>
    <row r="343" spans="5:9" x14ac:dyDescent="0.25">
      <c r="E343" s="14" t="s">
        <v>772</v>
      </c>
      <c r="F343" s="14" t="s">
        <v>773</v>
      </c>
      <c r="G343" s="14" t="s">
        <v>834</v>
      </c>
      <c r="H343" s="14" t="s">
        <v>835</v>
      </c>
      <c r="I343" s="14" t="s">
        <v>1229</v>
      </c>
    </row>
    <row r="344" spans="5:9" x14ac:dyDescent="0.25">
      <c r="E344" s="13" t="s">
        <v>772</v>
      </c>
      <c r="F344" s="13" t="s">
        <v>773</v>
      </c>
      <c r="G344" s="13" t="s">
        <v>834</v>
      </c>
      <c r="H344" s="13" t="s">
        <v>835</v>
      </c>
      <c r="I344" s="13" t="s">
        <v>1087</v>
      </c>
    </row>
    <row r="345" spans="5:9" x14ac:dyDescent="0.25">
      <c r="E345" s="14" t="s">
        <v>772</v>
      </c>
      <c r="F345" s="14" t="s">
        <v>773</v>
      </c>
      <c r="G345" s="14" t="s">
        <v>834</v>
      </c>
      <c r="H345" s="14" t="s">
        <v>835</v>
      </c>
      <c r="I345" s="14" t="s">
        <v>1230</v>
      </c>
    </row>
    <row r="346" spans="5:9" x14ac:dyDescent="0.25">
      <c r="E346" s="13" t="s">
        <v>772</v>
      </c>
      <c r="F346" s="13" t="s">
        <v>773</v>
      </c>
      <c r="G346" s="13" t="s">
        <v>834</v>
      </c>
      <c r="H346" s="13" t="s">
        <v>835</v>
      </c>
      <c r="I346" s="13" t="s">
        <v>1231</v>
      </c>
    </row>
    <row r="347" spans="5:9" x14ac:dyDescent="0.25">
      <c r="E347" s="14" t="s">
        <v>772</v>
      </c>
      <c r="F347" s="14" t="s">
        <v>773</v>
      </c>
      <c r="G347" s="14" t="s">
        <v>834</v>
      </c>
      <c r="H347" s="14" t="s">
        <v>835</v>
      </c>
      <c r="I347" s="14" t="s">
        <v>1232</v>
      </c>
    </row>
    <row r="348" spans="5:9" x14ac:dyDescent="0.25">
      <c r="E348" s="13" t="s">
        <v>772</v>
      </c>
      <c r="F348" s="13" t="s">
        <v>773</v>
      </c>
      <c r="G348" s="13" t="s">
        <v>837</v>
      </c>
      <c r="H348" s="13" t="s">
        <v>838</v>
      </c>
      <c r="I348" s="13" t="s">
        <v>1233</v>
      </c>
    </row>
    <row r="349" spans="5:9" x14ac:dyDescent="0.25">
      <c r="E349" s="14" t="s">
        <v>772</v>
      </c>
      <c r="F349" s="14" t="s">
        <v>773</v>
      </c>
      <c r="G349" s="14" t="s">
        <v>837</v>
      </c>
      <c r="H349" s="14" t="s">
        <v>838</v>
      </c>
      <c r="I349" s="14" t="s">
        <v>1234</v>
      </c>
    </row>
    <row r="350" spans="5:9" x14ac:dyDescent="0.25">
      <c r="E350" s="13" t="s">
        <v>772</v>
      </c>
      <c r="F350" s="13" t="s">
        <v>773</v>
      </c>
      <c r="G350" s="13" t="s">
        <v>837</v>
      </c>
      <c r="H350" s="13" t="s">
        <v>838</v>
      </c>
      <c r="I350" s="13" t="s">
        <v>1235</v>
      </c>
    </row>
    <row r="351" spans="5:9" x14ac:dyDescent="0.25">
      <c r="E351" s="14" t="s">
        <v>772</v>
      </c>
      <c r="F351" s="14" t="s">
        <v>773</v>
      </c>
      <c r="G351" s="14" t="s">
        <v>837</v>
      </c>
      <c r="H351" s="14" t="s">
        <v>838</v>
      </c>
      <c r="I351" s="14" t="s">
        <v>1087</v>
      </c>
    </row>
    <row r="352" spans="5:9" x14ac:dyDescent="0.25">
      <c r="E352" s="13" t="s">
        <v>772</v>
      </c>
      <c r="F352" s="13" t="s">
        <v>773</v>
      </c>
      <c r="G352" s="13" t="s">
        <v>840</v>
      </c>
      <c r="H352" s="13" t="s">
        <v>841</v>
      </c>
      <c r="I352" s="13" t="s">
        <v>1236</v>
      </c>
    </row>
    <row r="353" spans="5:9" x14ac:dyDescent="0.25">
      <c r="E353" s="14" t="s">
        <v>772</v>
      </c>
      <c r="F353" s="14" t="s">
        <v>773</v>
      </c>
      <c r="G353" s="14" t="s">
        <v>840</v>
      </c>
      <c r="H353" s="14" t="s">
        <v>841</v>
      </c>
      <c r="I353" s="14" t="s">
        <v>1237</v>
      </c>
    </row>
    <row r="354" spans="5:9" x14ac:dyDescent="0.25">
      <c r="E354" s="13" t="s">
        <v>772</v>
      </c>
      <c r="F354" s="13" t="s">
        <v>773</v>
      </c>
      <c r="G354" s="13" t="s">
        <v>840</v>
      </c>
      <c r="H354" s="13" t="s">
        <v>841</v>
      </c>
      <c r="I354" s="13" t="s">
        <v>1238</v>
      </c>
    </row>
    <row r="355" spans="5:9" x14ac:dyDescent="0.25">
      <c r="E355" s="14" t="s">
        <v>772</v>
      </c>
      <c r="F355" s="14" t="s">
        <v>773</v>
      </c>
      <c r="G355" s="14" t="s">
        <v>840</v>
      </c>
      <c r="H355" s="14" t="s">
        <v>841</v>
      </c>
      <c r="I355" s="14" t="s">
        <v>1097</v>
      </c>
    </row>
    <row r="356" spans="5:9" x14ac:dyDescent="0.25">
      <c r="E356" s="13" t="s">
        <v>772</v>
      </c>
      <c r="F356" s="13" t="s">
        <v>773</v>
      </c>
      <c r="G356" s="13" t="s">
        <v>840</v>
      </c>
      <c r="H356" s="13" t="s">
        <v>841</v>
      </c>
      <c r="I356" s="13" t="s">
        <v>1239</v>
      </c>
    </row>
    <row r="357" spans="5:9" x14ac:dyDescent="0.25">
      <c r="E357" s="14" t="s">
        <v>772</v>
      </c>
      <c r="F357" s="14" t="s">
        <v>773</v>
      </c>
      <c r="G357" s="14" t="s">
        <v>840</v>
      </c>
      <c r="H357" s="14" t="s">
        <v>841</v>
      </c>
      <c r="I357" s="14" t="s">
        <v>1240</v>
      </c>
    </row>
    <row r="358" spans="5:9" x14ac:dyDescent="0.25">
      <c r="E358" s="13" t="s">
        <v>772</v>
      </c>
      <c r="F358" s="13" t="s">
        <v>773</v>
      </c>
      <c r="G358" s="13" t="s">
        <v>840</v>
      </c>
      <c r="H358" s="13" t="s">
        <v>841</v>
      </c>
      <c r="I358" s="13" t="s">
        <v>1241</v>
      </c>
    </row>
    <row r="359" spans="5:9" x14ac:dyDescent="0.25">
      <c r="E359" s="14" t="s">
        <v>772</v>
      </c>
      <c r="F359" s="14" t="s">
        <v>773</v>
      </c>
      <c r="G359" s="14" t="s">
        <v>840</v>
      </c>
      <c r="H359" s="14" t="s">
        <v>841</v>
      </c>
      <c r="I359" s="14" t="s">
        <v>1242</v>
      </c>
    </row>
    <row r="360" spans="5:9" x14ac:dyDescent="0.25">
      <c r="E360" s="13" t="s">
        <v>772</v>
      </c>
      <c r="F360" s="13" t="s">
        <v>773</v>
      </c>
      <c r="G360" s="13" t="s">
        <v>840</v>
      </c>
      <c r="H360" s="13" t="s">
        <v>841</v>
      </c>
      <c r="I360" s="13" t="s">
        <v>1243</v>
      </c>
    </row>
    <row r="361" spans="5:9" x14ac:dyDescent="0.25">
      <c r="E361" s="14" t="s">
        <v>772</v>
      </c>
      <c r="F361" s="14" t="s">
        <v>773</v>
      </c>
      <c r="G361" s="14" t="s">
        <v>840</v>
      </c>
      <c r="H361" s="14" t="s">
        <v>841</v>
      </c>
      <c r="I361" s="14" t="s">
        <v>1244</v>
      </c>
    </row>
    <row r="362" spans="5:9" x14ac:dyDescent="0.25">
      <c r="E362" s="13" t="s">
        <v>772</v>
      </c>
      <c r="F362" s="13" t="s">
        <v>773</v>
      </c>
      <c r="G362" s="13" t="s">
        <v>840</v>
      </c>
      <c r="H362" s="13" t="s">
        <v>841</v>
      </c>
      <c r="I362" s="13" t="s">
        <v>1245</v>
      </c>
    </row>
    <row r="363" spans="5:9" x14ac:dyDescent="0.25">
      <c r="E363" s="14" t="s">
        <v>772</v>
      </c>
      <c r="F363" s="14" t="s">
        <v>773</v>
      </c>
      <c r="G363" s="14" t="s">
        <v>840</v>
      </c>
      <c r="H363" s="14" t="s">
        <v>841</v>
      </c>
      <c r="I363" s="14" t="s">
        <v>1246</v>
      </c>
    </row>
    <row r="364" spans="5:9" x14ac:dyDescent="0.25">
      <c r="E364" s="13" t="s">
        <v>772</v>
      </c>
      <c r="F364" s="13" t="s">
        <v>773</v>
      </c>
      <c r="G364" s="13" t="s">
        <v>840</v>
      </c>
      <c r="H364" s="13" t="s">
        <v>841</v>
      </c>
      <c r="I364" s="13" t="s">
        <v>1109</v>
      </c>
    </row>
    <row r="365" spans="5:9" x14ac:dyDescent="0.25">
      <c r="E365" s="14" t="s">
        <v>777</v>
      </c>
      <c r="F365" s="14" t="s">
        <v>778</v>
      </c>
      <c r="G365" s="14" t="s">
        <v>843</v>
      </c>
      <c r="H365" s="14" t="s">
        <v>844</v>
      </c>
      <c r="I365" s="14" t="s">
        <v>1247</v>
      </c>
    </row>
    <row r="366" spans="5:9" x14ac:dyDescent="0.25">
      <c r="E366" s="13" t="s">
        <v>777</v>
      </c>
      <c r="F366" s="13" t="s">
        <v>778</v>
      </c>
      <c r="G366" s="13" t="s">
        <v>843</v>
      </c>
      <c r="H366" s="13" t="s">
        <v>844</v>
      </c>
      <c r="I366" s="13" t="s">
        <v>1248</v>
      </c>
    </row>
    <row r="367" spans="5:9" x14ac:dyDescent="0.25">
      <c r="E367" s="14" t="s">
        <v>777</v>
      </c>
      <c r="F367" s="14" t="s">
        <v>778</v>
      </c>
      <c r="G367" s="14" t="s">
        <v>843</v>
      </c>
      <c r="H367" s="14" t="s">
        <v>844</v>
      </c>
      <c r="I367" s="14" t="s">
        <v>1249</v>
      </c>
    </row>
    <row r="368" spans="5:9" x14ac:dyDescent="0.25">
      <c r="E368" s="13" t="s">
        <v>777</v>
      </c>
      <c r="F368" s="13" t="s">
        <v>778</v>
      </c>
      <c r="G368" s="13" t="s">
        <v>843</v>
      </c>
      <c r="H368" s="13" t="s">
        <v>844</v>
      </c>
      <c r="I368" s="13" t="s">
        <v>1250</v>
      </c>
    </row>
    <row r="369" spans="5:9" x14ac:dyDescent="0.25">
      <c r="E369" s="14" t="s">
        <v>777</v>
      </c>
      <c r="F369" s="14" t="s">
        <v>778</v>
      </c>
      <c r="G369" s="14" t="s">
        <v>843</v>
      </c>
      <c r="H369" s="14" t="s">
        <v>844</v>
      </c>
      <c r="I369" s="14" t="s">
        <v>1251</v>
      </c>
    </row>
    <row r="370" spans="5:9" x14ac:dyDescent="0.25">
      <c r="E370" s="13" t="s">
        <v>777</v>
      </c>
      <c r="F370" s="13" t="s">
        <v>778</v>
      </c>
      <c r="G370" s="13" t="s">
        <v>843</v>
      </c>
      <c r="H370" s="13" t="s">
        <v>844</v>
      </c>
      <c r="I370" s="13" t="s">
        <v>1252</v>
      </c>
    </row>
    <row r="371" spans="5:9" x14ac:dyDescent="0.25">
      <c r="E371" s="14" t="s">
        <v>777</v>
      </c>
      <c r="F371" s="14" t="s">
        <v>778</v>
      </c>
      <c r="G371" s="14" t="s">
        <v>843</v>
      </c>
      <c r="H371" s="14" t="s">
        <v>844</v>
      </c>
      <c r="I371" s="14" t="s">
        <v>1253</v>
      </c>
    </row>
    <row r="372" spans="5:9" x14ac:dyDescent="0.25">
      <c r="E372" s="13" t="s">
        <v>777</v>
      </c>
      <c r="F372" s="13" t="s">
        <v>778</v>
      </c>
      <c r="G372" s="13" t="s">
        <v>843</v>
      </c>
      <c r="H372" s="13" t="s">
        <v>844</v>
      </c>
      <c r="I372" s="13" t="s">
        <v>1254</v>
      </c>
    </row>
    <row r="373" spans="5:9" x14ac:dyDescent="0.25">
      <c r="E373" s="14" t="s">
        <v>777</v>
      </c>
      <c r="F373" s="14" t="s">
        <v>778</v>
      </c>
      <c r="G373" s="14" t="s">
        <v>843</v>
      </c>
      <c r="H373" s="14" t="s">
        <v>844</v>
      </c>
      <c r="I373" s="14" t="s">
        <v>1255</v>
      </c>
    </row>
    <row r="374" spans="5:9" x14ac:dyDescent="0.25">
      <c r="E374" s="13" t="s">
        <v>777</v>
      </c>
      <c r="F374" s="13" t="s">
        <v>778</v>
      </c>
      <c r="G374" s="13" t="s">
        <v>843</v>
      </c>
      <c r="H374" s="13" t="s">
        <v>844</v>
      </c>
      <c r="I374" s="13" t="s">
        <v>1256</v>
      </c>
    </row>
    <row r="375" spans="5:9" x14ac:dyDescent="0.25">
      <c r="E375" s="14" t="s">
        <v>777</v>
      </c>
      <c r="F375" s="14" t="s">
        <v>778</v>
      </c>
      <c r="G375" s="14" t="s">
        <v>843</v>
      </c>
      <c r="H375" s="14" t="s">
        <v>844</v>
      </c>
      <c r="I375" s="14" t="s">
        <v>1257</v>
      </c>
    </row>
    <row r="376" spans="5:9" x14ac:dyDescent="0.25">
      <c r="E376" s="13" t="s">
        <v>777</v>
      </c>
      <c r="F376" s="13" t="s">
        <v>778</v>
      </c>
      <c r="G376" s="13" t="s">
        <v>843</v>
      </c>
      <c r="H376" s="13" t="s">
        <v>844</v>
      </c>
      <c r="I376" s="13" t="s">
        <v>1258</v>
      </c>
    </row>
    <row r="377" spans="5:9" x14ac:dyDescent="0.25">
      <c r="E377" s="14" t="s">
        <v>777</v>
      </c>
      <c r="F377" s="14" t="s">
        <v>778</v>
      </c>
      <c r="G377" s="14" t="s">
        <v>843</v>
      </c>
      <c r="H377" s="14" t="s">
        <v>844</v>
      </c>
      <c r="I377" s="14" t="s">
        <v>1259</v>
      </c>
    </row>
    <row r="378" spans="5:9" x14ac:dyDescent="0.25">
      <c r="E378" s="13" t="s">
        <v>777</v>
      </c>
      <c r="F378" s="13" t="s">
        <v>778</v>
      </c>
      <c r="G378" s="13" t="s">
        <v>843</v>
      </c>
      <c r="H378" s="13" t="s">
        <v>844</v>
      </c>
      <c r="I378" s="13" t="s">
        <v>1260</v>
      </c>
    </row>
    <row r="379" spans="5:9" x14ac:dyDescent="0.25">
      <c r="E379" s="14" t="s">
        <v>777</v>
      </c>
      <c r="F379" s="14" t="s">
        <v>778</v>
      </c>
      <c r="G379" s="14" t="s">
        <v>843</v>
      </c>
      <c r="H379" s="14" t="s">
        <v>844</v>
      </c>
      <c r="I379" s="14" t="s">
        <v>1261</v>
      </c>
    </row>
    <row r="380" spans="5:9" x14ac:dyDescent="0.25">
      <c r="E380" s="13" t="s">
        <v>777</v>
      </c>
      <c r="F380" s="13" t="s">
        <v>778</v>
      </c>
      <c r="G380" s="13" t="s">
        <v>843</v>
      </c>
      <c r="H380" s="13" t="s">
        <v>844</v>
      </c>
      <c r="I380" s="13" t="s">
        <v>1262</v>
      </c>
    </row>
    <row r="381" spans="5:9" x14ac:dyDescent="0.25">
      <c r="E381" s="14" t="s">
        <v>777</v>
      </c>
      <c r="F381" s="14" t="s">
        <v>778</v>
      </c>
      <c r="G381" s="14" t="s">
        <v>843</v>
      </c>
      <c r="H381" s="14" t="s">
        <v>844</v>
      </c>
      <c r="I381" s="14" t="s">
        <v>1263</v>
      </c>
    </row>
    <row r="382" spans="5:9" x14ac:dyDescent="0.25">
      <c r="E382" s="13" t="s">
        <v>777</v>
      </c>
      <c r="F382" s="13" t="s">
        <v>778</v>
      </c>
      <c r="G382" s="13" t="s">
        <v>843</v>
      </c>
      <c r="H382" s="13" t="s">
        <v>844</v>
      </c>
      <c r="I382" s="13" t="s">
        <v>1264</v>
      </c>
    </row>
    <row r="383" spans="5:9" x14ac:dyDescent="0.25">
      <c r="E383" s="14" t="s">
        <v>777</v>
      </c>
      <c r="F383" s="14" t="s">
        <v>778</v>
      </c>
      <c r="G383" s="14" t="s">
        <v>843</v>
      </c>
      <c r="H383" s="14" t="s">
        <v>844</v>
      </c>
      <c r="I383" s="14" t="s">
        <v>1265</v>
      </c>
    </row>
    <row r="384" spans="5:9" x14ac:dyDescent="0.25">
      <c r="E384" s="13" t="s">
        <v>777</v>
      </c>
      <c r="F384" s="13" t="s">
        <v>778</v>
      </c>
      <c r="G384" s="13" t="s">
        <v>843</v>
      </c>
      <c r="H384" s="13" t="s">
        <v>844</v>
      </c>
      <c r="I384" s="13" t="s">
        <v>1266</v>
      </c>
    </row>
    <row r="385" spans="5:9" x14ac:dyDescent="0.25">
      <c r="E385" s="14" t="s">
        <v>777</v>
      </c>
      <c r="F385" s="14" t="s">
        <v>778</v>
      </c>
      <c r="G385" s="14" t="s">
        <v>843</v>
      </c>
      <c r="H385" s="14" t="s">
        <v>844</v>
      </c>
      <c r="I385" s="14" t="s">
        <v>1267</v>
      </c>
    </row>
    <row r="386" spans="5:9" x14ac:dyDescent="0.25">
      <c r="E386" s="13" t="s">
        <v>777</v>
      </c>
      <c r="F386" s="13" t="s">
        <v>778</v>
      </c>
      <c r="G386" s="13" t="s">
        <v>843</v>
      </c>
      <c r="H386" s="13" t="s">
        <v>844</v>
      </c>
      <c r="I386" s="13" t="s">
        <v>1268</v>
      </c>
    </row>
    <row r="387" spans="5:9" x14ac:dyDescent="0.25">
      <c r="E387" s="14" t="s">
        <v>777</v>
      </c>
      <c r="F387" s="14" t="s">
        <v>778</v>
      </c>
      <c r="G387" s="14" t="s">
        <v>846</v>
      </c>
      <c r="H387" s="14" t="s">
        <v>847</v>
      </c>
      <c r="I387" s="14" t="s">
        <v>1269</v>
      </c>
    </row>
    <row r="388" spans="5:9" x14ac:dyDescent="0.25">
      <c r="E388" s="13" t="s">
        <v>777</v>
      </c>
      <c r="F388" s="13" t="s">
        <v>778</v>
      </c>
      <c r="G388" s="13" t="s">
        <v>846</v>
      </c>
      <c r="H388" s="13" t="s">
        <v>847</v>
      </c>
      <c r="I388" s="13" t="s">
        <v>1270</v>
      </c>
    </row>
    <row r="389" spans="5:9" x14ac:dyDescent="0.25">
      <c r="E389" s="14" t="s">
        <v>777</v>
      </c>
      <c r="F389" s="14" t="s">
        <v>778</v>
      </c>
      <c r="G389" s="14" t="s">
        <v>846</v>
      </c>
      <c r="H389" s="14" t="s">
        <v>847</v>
      </c>
      <c r="I389" s="14" t="s">
        <v>846</v>
      </c>
    </row>
    <row r="390" spans="5:9" x14ac:dyDescent="0.25">
      <c r="E390" s="13" t="s">
        <v>777</v>
      </c>
      <c r="F390" s="13" t="s">
        <v>778</v>
      </c>
      <c r="G390" s="13" t="s">
        <v>846</v>
      </c>
      <c r="H390" s="13" t="s">
        <v>847</v>
      </c>
      <c r="I390" s="13" t="s">
        <v>1271</v>
      </c>
    </row>
    <row r="391" spans="5:9" x14ac:dyDescent="0.25">
      <c r="E391" s="14" t="s">
        <v>777</v>
      </c>
      <c r="F391" s="14" t="s">
        <v>778</v>
      </c>
      <c r="G391" s="14" t="s">
        <v>846</v>
      </c>
      <c r="H391" s="14" t="s">
        <v>847</v>
      </c>
      <c r="I391" s="14" t="s">
        <v>1272</v>
      </c>
    </row>
    <row r="392" spans="5:9" x14ac:dyDescent="0.25">
      <c r="E392" s="13" t="s">
        <v>777</v>
      </c>
      <c r="F392" s="13" t="s">
        <v>778</v>
      </c>
      <c r="G392" s="13" t="s">
        <v>846</v>
      </c>
      <c r="H392" s="13" t="s">
        <v>847</v>
      </c>
      <c r="I392" s="13" t="s">
        <v>1273</v>
      </c>
    </row>
    <row r="393" spans="5:9" x14ac:dyDescent="0.25">
      <c r="E393" s="14" t="s">
        <v>777</v>
      </c>
      <c r="F393" s="14" t="s">
        <v>778</v>
      </c>
      <c r="G393" s="14" t="s">
        <v>846</v>
      </c>
      <c r="H393" s="14" t="s">
        <v>847</v>
      </c>
      <c r="I393" s="14" t="s">
        <v>1274</v>
      </c>
    </row>
    <row r="394" spans="5:9" x14ac:dyDescent="0.25">
      <c r="E394" s="13" t="s">
        <v>777</v>
      </c>
      <c r="F394" s="13" t="s">
        <v>778</v>
      </c>
      <c r="G394" s="13" t="s">
        <v>846</v>
      </c>
      <c r="H394" s="13" t="s">
        <v>847</v>
      </c>
      <c r="I394" s="13" t="s">
        <v>1275</v>
      </c>
    </row>
    <row r="395" spans="5:9" x14ac:dyDescent="0.25">
      <c r="E395" s="14" t="s">
        <v>777</v>
      </c>
      <c r="F395" s="14" t="s">
        <v>778</v>
      </c>
      <c r="G395" s="14" t="s">
        <v>846</v>
      </c>
      <c r="H395" s="14" t="s">
        <v>847</v>
      </c>
      <c r="I395" s="14" t="s">
        <v>1276</v>
      </c>
    </row>
    <row r="396" spans="5:9" x14ac:dyDescent="0.25">
      <c r="E396" s="13" t="s">
        <v>777</v>
      </c>
      <c r="F396" s="13" t="s">
        <v>778</v>
      </c>
      <c r="G396" s="13" t="s">
        <v>846</v>
      </c>
      <c r="H396" s="13" t="s">
        <v>847</v>
      </c>
      <c r="I396" s="13" t="s">
        <v>1277</v>
      </c>
    </row>
    <row r="397" spans="5:9" x14ac:dyDescent="0.25">
      <c r="E397" s="14" t="s">
        <v>777</v>
      </c>
      <c r="F397" s="14" t="s">
        <v>778</v>
      </c>
      <c r="G397" s="14" t="s">
        <v>846</v>
      </c>
      <c r="H397" s="14" t="s">
        <v>847</v>
      </c>
      <c r="I397" s="14" t="s">
        <v>1278</v>
      </c>
    </row>
    <row r="398" spans="5:9" x14ac:dyDescent="0.25">
      <c r="E398" s="13" t="s">
        <v>777</v>
      </c>
      <c r="F398" s="13" t="s">
        <v>778</v>
      </c>
      <c r="G398" s="13" t="s">
        <v>846</v>
      </c>
      <c r="H398" s="13" t="s">
        <v>847</v>
      </c>
      <c r="I398" s="13" t="s">
        <v>1279</v>
      </c>
    </row>
    <row r="399" spans="5:9" x14ac:dyDescent="0.25">
      <c r="E399" s="14" t="s">
        <v>777</v>
      </c>
      <c r="F399" s="14" t="s">
        <v>778</v>
      </c>
      <c r="G399" s="14" t="s">
        <v>846</v>
      </c>
      <c r="H399" s="14" t="s">
        <v>847</v>
      </c>
      <c r="I399" s="14" t="s">
        <v>1280</v>
      </c>
    </row>
    <row r="400" spans="5:9" x14ac:dyDescent="0.25">
      <c r="E400" s="13" t="s">
        <v>777</v>
      </c>
      <c r="F400" s="13" t="s">
        <v>778</v>
      </c>
      <c r="G400" s="13" t="s">
        <v>849</v>
      </c>
      <c r="H400" s="13" t="s">
        <v>850</v>
      </c>
      <c r="I400" s="13" t="s">
        <v>1281</v>
      </c>
    </row>
    <row r="401" spans="5:9" x14ac:dyDescent="0.25">
      <c r="E401" s="14" t="s">
        <v>777</v>
      </c>
      <c r="F401" s="14" t="s">
        <v>778</v>
      </c>
      <c r="G401" s="14" t="s">
        <v>849</v>
      </c>
      <c r="H401" s="14" t="s">
        <v>850</v>
      </c>
      <c r="I401" s="14" t="s">
        <v>1282</v>
      </c>
    </row>
    <row r="402" spans="5:9" x14ac:dyDescent="0.25">
      <c r="E402" s="13" t="s">
        <v>777</v>
      </c>
      <c r="F402" s="13" t="s">
        <v>778</v>
      </c>
      <c r="G402" s="13" t="s">
        <v>849</v>
      </c>
      <c r="H402" s="13" t="s">
        <v>850</v>
      </c>
      <c r="I402" s="13" t="s">
        <v>1283</v>
      </c>
    </row>
    <row r="403" spans="5:9" x14ac:dyDescent="0.25">
      <c r="E403" s="14" t="s">
        <v>777</v>
      </c>
      <c r="F403" s="14" t="s">
        <v>778</v>
      </c>
      <c r="G403" s="14" t="s">
        <v>849</v>
      </c>
      <c r="H403" s="14" t="s">
        <v>850</v>
      </c>
      <c r="I403" s="14" t="s">
        <v>1284</v>
      </c>
    </row>
    <row r="404" spans="5:9" x14ac:dyDescent="0.25">
      <c r="E404" s="13" t="s">
        <v>777</v>
      </c>
      <c r="F404" s="13" t="s">
        <v>778</v>
      </c>
      <c r="G404" s="13" t="s">
        <v>849</v>
      </c>
      <c r="H404" s="13" t="s">
        <v>850</v>
      </c>
      <c r="I404" s="13" t="s">
        <v>1285</v>
      </c>
    </row>
    <row r="405" spans="5:9" x14ac:dyDescent="0.25">
      <c r="E405" s="14" t="s">
        <v>777</v>
      </c>
      <c r="F405" s="14" t="s">
        <v>778</v>
      </c>
      <c r="G405" s="14" t="s">
        <v>849</v>
      </c>
      <c r="H405" s="14" t="s">
        <v>850</v>
      </c>
      <c r="I405" s="14" t="s">
        <v>1286</v>
      </c>
    </row>
    <row r="406" spans="5:9" x14ac:dyDescent="0.25">
      <c r="E406" s="13" t="s">
        <v>777</v>
      </c>
      <c r="F406" s="13" t="s">
        <v>778</v>
      </c>
      <c r="G406" s="13" t="s">
        <v>849</v>
      </c>
      <c r="H406" s="13" t="s">
        <v>850</v>
      </c>
      <c r="I406" s="13" t="s">
        <v>1287</v>
      </c>
    </row>
    <row r="407" spans="5:9" x14ac:dyDescent="0.25">
      <c r="E407" s="14" t="s">
        <v>777</v>
      </c>
      <c r="F407" s="14" t="s">
        <v>778</v>
      </c>
      <c r="G407" s="14" t="s">
        <v>849</v>
      </c>
      <c r="H407" s="14" t="s">
        <v>850</v>
      </c>
      <c r="I407" s="14" t="s">
        <v>1288</v>
      </c>
    </row>
    <row r="408" spans="5:9" x14ac:dyDescent="0.25">
      <c r="E408" s="13" t="s">
        <v>777</v>
      </c>
      <c r="F408" s="13" t="s">
        <v>778</v>
      </c>
      <c r="G408" s="13" t="s">
        <v>849</v>
      </c>
      <c r="H408" s="13" t="s">
        <v>850</v>
      </c>
      <c r="I408" s="13" t="s">
        <v>1289</v>
      </c>
    </row>
    <row r="409" spans="5:9" x14ac:dyDescent="0.25">
      <c r="E409" s="14" t="s">
        <v>777</v>
      </c>
      <c r="F409" s="14" t="s">
        <v>778</v>
      </c>
      <c r="G409" s="14" t="s">
        <v>849</v>
      </c>
      <c r="H409" s="14" t="s">
        <v>850</v>
      </c>
      <c r="I409" s="14" t="s">
        <v>1290</v>
      </c>
    </row>
    <row r="410" spans="5:9" x14ac:dyDescent="0.25">
      <c r="E410" s="13" t="s">
        <v>777</v>
      </c>
      <c r="F410" s="13" t="s">
        <v>778</v>
      </c>
      <c r="G410" s="13" t="s">
        <v>849</v>
      </c>
      <c r="H410" s="13" t="s">
        <v>850</v>
      </c>
      <c r="I410" s="13" t="s">
        <v>1291</v>
      </c>
    </row>
    <row r="411" spans="5:9" x14ac:dyDescent="0.25">
      <c r="E411" s="14" t="s">
        <v>777</v>
      </c>
      <c r="F411" s="14" t="s">
        <v>778</v>
      </c>
      <c r="G411" s="14" t="s">
        <v>849</v>
      </c>
      <c r="H411" s="14" t="s">
        <v>850</v>
      </c>
      <c r="I411" s="14" t="s">
        <v>1292</v>
      </c>
    </row>
    <row r="412" spans="5:9" x14ac:dyDescent="0.25">
      <c r="E412" s="13" t="s">
        <v>777</v>
      </c>
      <c r="F412" s="13" t="s">
        <v>778</v>
      </c>
      <c r="G412" s="13" t="s">
        <v>849</v>
      </c>
      <c r="H412" s="13" t="s">
        <v>850</v>
      </c>
      <c r="I412" s="13" t="s">
        <v>1293</v>
      </c>
    </row>
    <row r="413" spans="5:9" x14ac:dyDescent="0.25">
      <c r="E413" s="14" t="s">
        <v>777</v>
      </c>
      <c r="F413" s="14" t="s">
        <v>778</v>
      </c>
      <c r="G413" s="14" t="s">
        <v>849</v>
      </c>
      <c r="H413" s="14" t="s">
        <v>850</v>
      </c>
      <c r="I413" s="14" t="s">
        <v>1294</v>
      </c>
    </row>
    <row r="414" spans="5:9" x14ac:dyDescent="0.25">
      <c r="E414" s="13" t="s">
        <v>777</v>
      </c>
      <c r="F414" s="13" t="s">
        <v>778</v>
      </c>
      <c r="G414" s="13" t="s">
        <v>849</v>
      </c>
      <c r="H414" s="13" t="s">
        <v>850</v>
      </c>
      <c r="I414" s="13" t="s">
        <v>1295</v>
      </c>
    </row>
    <row r="415" spans="5:9" x14ac:dyDescent="0.25">
      <c r="E415" s="14" t="s">
        <v>777</v>
      </c>
      <c r="F415" s="14" t="s">
        <v>778</v>
      </c>
      <c r="G415" s="14" t="s">
        <v>849</v>
      </c>
      <c r="H415" s="14" t="s">
        <v>850</v>
      </c>
      <c r="I415" s="14" t="s">
        <v>1296</v>
      </c>
    </row>
    <row r="416" spans="5:9" x14ac:dyDescent="0.25">
      <c r="E416" s="13" t="s">
        <v>777</v>
      </c>
      <c r="F416" s="13" t="s">
        <v>778</v>
      </c>
      <c r="G416" s="13" t="s">
        <v>849</v>
      </c>
      <c r="H416" s="13" t="s">
        <v>850</v>
      </c>
      <c r="I416" s="13" t="s">
        <v>1297</v>
      </c>
    </row>
    <row r="417" spans="5:9" x14ac:dyDescent="0.25">
      <c r="E417" s="14" t="s">
        <v>777</v>
      </c>
      <c r="F417" s="14" t="s">
        <v>778</v>
      </c>
      <c r="G417" s="14" t="s">
        <v>849</v>
      </c>
      <c r="H417" s="14" t="s">
        <v>850</v>
      </c>
      <c r="I417" s="14" t="s">
        <v>1298</v>
      </c>
    </row>
    <row r="418" spans="5:9" x14ac:dyDescent="0.25">
      <c r="E418" s="13" t="s">
        <v>777</v>
      </c>
      <c r="F418" s="13" t="s">
        <v>778</v>
      </c>
      <c r="G418" s="13" t="s">
        <v>849</v>
      </c>
      <c r="H418" s="13" t="s">
        <v>850</v>
      </c>
      <c r="I418" s="13" t="s">
        <v>1299</v>
      </c>
    </row>
    <row r="419" spans="5:9" x14ac:dyDescent="0.25">
      <c r="E419" s="14" t="s">
        <v>777</v>
      </c>
      <c r="F419" s="14" t="s">
        <v>778</v>
      </c>
      <c r="G419" s="14" t="s">
        <v>849</v>
      </c>
      <c r="H419" s="14" t="s">
        <v>850</v>
      </c>
      <c r="I419" s="14" t="s">
        <v>1300</v>
      </c>
    </row>
    <row r="420" spans="5:9" x14ac:dyDescent="0.25">
      <c r="E420" s="13" t="s">
        <v>777</v>
      </c>
      <c r="F420" s="13" t="s">
        <v>778</v>
      </c>
      <c r="G420" s="13" t="s">
        <v>849</v>
      </c>
      <c r="H420" s="13" t="s">
        <v>850</v>
      </c>
      <c r="I420" s="13" t="s">
        <v>1301</v>
      </c>
    </row>
    <row r="421" spans="5:9" x14ac:dyDescent="0.25">
      <c r="E421" s="14" t="s">
        <v>777</v>
      </c>
      <c r="F421" s="14" t="s">
        <v>778</v>
      </c>
      <c r="G421" s="14" t="s">
        <v>849</v>
      </c>
      <c r="H421" s="14" t="s">
        <v>850</v>
      </c>
      <c r="I421" s="14" t="s">
        <v>1302</v>
      </c>
    </row>
    <row r="422" spans="5:9" x14ac:dyDescent="0.25">
      <c r="E422" s="13" t="s">
        <v>777</v>
      </c>
      <c r="F422" s="13" t="s">
        <v>778</v>
      </c>
      <c r="G422" s="13" t="s">
        <v>849</v>
      </c>
      <c r="H422" s="13" t="s">
        <v>850</v>
      </c>
      <c r="I422" s="13" t="s">
        <v>1303</v>
      </c>
    </row>
    <row r="423" spans="5:9" x14ac:dyDescent="0.25">
      <c r="E423" s="14" t="s">
        <v>777</v>
      </c>
      <c r="F423" s="14" t="s">
        <v>778</v>
      </c>
      <c r="G423" s="14" t="s">
        <v>849</v>
      </c>
      <c r="H423" s="14" t="s">
        <v>850</v>
      </c>
      <c r="I423" s="14" t="s">
        <v>1304</v>
      </c>
    </row>
    <row r="424" spans="5:9" x14ac:dyDescent="0.25">
      <c r="E424" s="13" t="s">
        <v>777</v>
      </c>
      <c r="F424" s="13" t="s">
        <v>778</v>
      </c>
      <c r="G424" s="13" t="s">
        <v>849</v>
      </c>
      <c r="H424" s="13" t="s">
        <v>850</v>
      </c>
      <c r="I424" s="13" t="s">
        <v>1305</v>
      </c>
    </row>
    <row r="425" spans="5:9" x14ac:dyDescent="0.25">
      <c r="E425" s="14" t="s">
        <v>777</v>
      </c>
      <c r="F425" s="14" t="s">
        <v>778</v>
      </c>
      <c r="G425" s="14" t="s">
        <v>849</v>
      </c>
      <c r="H425" s="14" t="s">
        <v>850</v>
      </c>
      <c r="I425" s="14" t="s">
        <v>1306</v>
      </c>
    </row>
    <row r="426" spans="5:9" x14ac:dyDescent="0.25">
      <c r="E426" s="13" t="s">
        <v>777</v>
      </c>
      <c r="F426" s="13" t="s">
        <v>778</v>
      </c>
      <c r="G426" s="13" t="s">
        <v>852</v>
      </c>
      <c r="H426" s="13" t="s">
        <v>853</v>
      </c>
      <c r="I426" s="13" t="s">
        <v>1189</v>
      </c>
    </row>
    <row r="427" spans="5:9" x14ac:dyDescent="0.25">
      <c r="E427" s="14" t="s">
        <v>777</v>
      </c>
      <c r="F427" s="14" t="s">
        <v>778</v>
      </c>
      <c r="G427" s="14" t="s">
        <v>852</v>
      </c>
      <c r="H427" s="14" t="s">
        <v>853</v>
      </c>
      <c r="I427" s="14" t="s">
        <v>1307</v>
      </c>
    </row>
    <row r="428" spans="5:9" x14ac:dyDescent="0.25">
      <c r="E428" s="13" t="s">
        <v>777</v>
      </c>
      <c r="F428" s="13" t="s">
        <v>778</v>
      </c>
      <c r="G428" s="13" t="s">
        <v>852</v>
      </c>
      <c r="H428" s="13" t="s">
        <v>853</v>
      </c>
      <c r="I428" s="13" t="s">
        <v>1217</v>
      </c>
    </row>
    <row r="429" spans="5:9" x14ac:dyDescent="0.25">
      <c r="E429" s="14" t="s">
        <v>777</v>
      </c>
      <c r="F429" s="14" t="s">
        <v>778</v>
      </c>
      <c r="G429" s="14" t="s">
        <v>852</v>
      </c>
      <c r="H429" s="14" t="s">
        <v>853</v>
      </c>
      <c r="I429" s="14" t="s">
        <v>1308</v>
      </c>
    </row>
    <row r="430" spans="5:9" x14ac:dyDescent="0.25">
      <c r="E430" s="13" t="s">
        <v>777</v>
      </c>
      <c r="F430" s="13" t="s">
        <v>778</v>
      </c>
      <c r="G430" s="13" t="s">
        <v>852</v>
      </c>
      <c r="H430" s="13" t="s">
        <v>853</v>
      </c>
      <c r="I430" s="13" t="s">
        <v>1309</v>
      </c>
    </row>
    <row r="431" spans="5:9" x14ac:dyDescent="0.25">
      <c r="E431" s="14" t="s">
        <v>777</v>
      </c>
      <c r="F431" s="14" t="s">
        <v>778</v>
      </c>
      <c r="G431" s="14" t="s">
        <v>852</v>
      </c>
      <c r="H431" s="14" t="s">
        <v>853</v>
      </c>
      <c r="I431" s="14" t="s">
        <v>1310</v>
      </c>
    </row>
    <row r="432" spans="5:9" x14ac:dyDescent="0.25">
      <c r="E432" s="13" t="s">
        <v>777</v>
      </c>
      <c r="F432" s="13" t="s">
        <v>778</v>
      </c>
      <c r="G432" s="13" t="s">
        <v>852</v>
      </c>
      <c r="H432" s="13" t="s">
        <v>853</v>
      </c>
      <c r="I432" s="13" t="s">
        <v>1311</v>
      </c>
    </row>
    <row r="433" spans="5:9" x14ac:dyDescent="0.25">
      <c r="E433" s="14" t="s">
        <v>777</v>
      </c>
      <c r="F433" s="14" t="s">
        <v>778</v>
      </c>
      <c r="G433" s="14" t="s">
        <v>852</v>
      </c>
      <c r="H433" s="14" t="s">
        <v>853</v>
      </c>
      <c r="I433" s="14" t="s">
        <v>1312</v>
      </c>
    </row>
    <row r="434" spans="5:9" x14ac:dyDescent="0.25">
      <c r="E434" s="13" t="s">
        <v>777</v>
      </c>
      <c r="F434" s="13" t="s">
        <v>778</v>
      </c>
      <c r="G434" s="13" t="s">
        <v>852</v>
      </c>
      <c r="H434" s="13" t="s">
        <v>853</v>
      </c>
      <c r="I434" s="13" t="s">
        <v>1313</v>
      </c>
    </row>
    <row r="435" spans="5:9" x14ac:dyDescent="0.25">
      <c r="E435" s="14" t="s">
        <v>777</v>
      </c>
      <c r="F435" s="14" t="s">
        <v>778</v>
      </c>
      <c r="G435" s="14" t="s">
        <v>852</v>
      </c>
      <c r="H435" s="14" t="s">
        <v>853</v>
      </c>
      <c r="I435" s="14" t="s">
        <v>1314</v>
      </c>
    </row>
    <row r="436" spans="5:9" x14ac:dyDescent="0.25">
      <c r="E436" s="13" t="s">
        <v>777</v>
      </c>
      <c r="F436" s="13" t="s">
        <v>778</v>
      </c>
      <c r="G436" s="13" t="s">
        <v>852</v>
      </c>
      <c r="H436" s="13" t="s">
        <v>853</v>
      </c>
      <c r="I436" s="13" t="s">
        <v>1182</v>
      </c>
    </row>
    <row r="437" spans="5:9" x14ac:dyDescent="0.25">
      <c r="E437" s="14" t="s">
        <v>777</v>
      </c>
      <c r="F437" s="14" t="s">
        <v>778</v>
      </c>
      <c r="G437" s="14" t="s">
        <v>852</v>
      </c>
      <c r="H437" s="14" t="s">
        <v>853</v>
      </c>
      <c r="I437" s="14" t="s">
        <v>1315</v>
      </c>
    </row>
    <row r="438" spans="5:9" x14ac:dyDescent="0.25">
      <c r="E438" s="13" t="s">
        <v>777</v>
      </c>
      <c r="F438" s="13" t="s">
        <v>778</v>
      </c>
      <c r="G438" s="13" t="s">
        <v>852</v>
      </c>
      <c r="H438" s="13" t="s">
        <v>853</v>
      </c>
      <c r="I438" s="13" t="s">
        <v>1316</v>
      </c>
    </row>
    <row r="439" spans="5:9" x14ac:dyDescent="0.25">
      <c r="E439" s="14" t="s">
        <v>777</v>
      </c>
      <c r="F439" s="14" t="s">
        <v>778</v>
      </c>
      <c r="G439" s="14" t="s">
        <v>852</v>
      </c>
      <c r="H439" s="14" t="s">
        <v>853</v>
      </c>
      <c r="I439" s="14" t="s">
        <v>1317</v>
      </c>
    </row>
    <row r="440" spans="5:9" x14ac:dyDescent="0.25">
      <c r="E440" s="13" t="s">
        <v>777</v>
      </c>
      <c r="F440" s="13" t="s">
        <v>778</v>
      </c>
      <c r="G440" s="13" t="s">
        <v>855</v>
      </c>
      <c r="H440" s="13" t="s">
        <v>856</v>
      </c>
      <c r="I440" s="13" t="s">
        <v>1318</v>
      </c>
    </row>
    <row r="441" spans="5:9" x14ac:dyDescent="0.25">
      <c r="E441" s="14" t="s">
        <v>777</v>
      </c>
      <c r="F441" s="14" t="s">
        <v>778</v>
      </c>
      <c r="G441" s="14" t="s">
        <v>855</v>
      </c>
      <c r="H441" s="14" t="s">
        <v>856</v>
      </c>
      <c r="I441" s="14" t="s">
        <v>1319</v>
      </c>
    </row>
    <row r="442" spans="5:9" x14ac:dyDescent="0.25">
      <c r="E442" s="13" t="s">
        <v>777</v>
      </c>
      <c r="F442" s="13" t="s">
        <v>778</v>
      </c>
      <c r="G442" s="13" t="s">
        <v>855</v>
      </c>
      <c r="H442" s="13" t="s">
        <v>856</v>
      </c>
      <c r="I442" s="13" t="s">
        <v>1320</v>
      </c>
    </row>
    <row r="443" spans="5:9" x14ac:dyDescent="0.25">
      <c r="E443" s="14" t="s">
        <v>777</v>
      </c>
      <c r="F443" s="14" t="s">
        <v>778</v>
      </c>
      <c r="G443" s="14" t="s">
        <v>855</v>
      </c>
      <c r="H443" s="14" t="s">
        <v>856</v>
      </c>
      <c r="I443" s="14" t="s">
        <v>1321</v>
      </c>
    </row>
    <row r="444" spans="5:9" x14ac:dyDescent="0.25">
      <c r="E444" s="13" t="s">
        <v>777</v>
      </c>
      <c r="F444" s="13" t="s">
        <v>778</v>
      </c>
      <c r="G444" s="13" t="s">
        <v>855</v>
      </c>
      <c r="H444" s="13" t="s">
        <v>856</v>
      </c>
      <c r="I444" s="13" t="s">
        <v>1322</v>
      </c>
    </row>
    <row r="445" spans="5:9" x14ac:dyDescent="0.25">
      <c r="E445" s="14" t="s">
        <v>777</v>
      </c>
      <c r="F445" s="14" t="s">
        <v>778</v>
      </c>
      <c r="G445" s="14" t="s">
        <v>855</v>
      </c>
      <c r="H445" s="14" t="s">
        <v>856</v>
      </c>
      <c r="I445" s="14" t="s">
        <v>1323</v>
      </c>
    </row>
    <row r="446" spans="5:9" x14ac:dyDescent="0.25">
      <c r="E446" s="13" t="s">
        <v>777</v>
      </c>
      <c r="F446" s="13" t="s">
        <v>778</v>
      </c>
      <c r="G446" s="13" t="s">
        <v>855</v>
      </c>
      <c r="H446" s="13" t="s">
        <v>856</v>
      </c>
      <c r="I446" s="13" t="s">
        <v>1324</v>
      </c>
    </row>
    <row r="447" spans="5:9" x14ac:dyDescent="0.25">
      <c r="E447" s="14" t="s">
        <v>777</v>
      </c>
      <c r="F447" s="14" t="s">
        <v>778</v>
      </c>
      <c r="G447" s="14" t="s">
        <v>855</v>
      </c>
      <c r="H447" s="14" t="s">
        <v>856</v>
      </c>
      <c r="I447" s="14" t="s">
        <v>1325</v>
      </c>
    </row>
    <row r="448" spans="5:9" x14ac:dyDescent="0.25">
      <c r="E448" s="13" t="s">
        <v>777</v>
      </c>
      <c r="F448" s="13" t="s">
        <v>778</v>
      </c>
      <c r="G448" s="13" t="s">
        <v>855</v>
      </c>
      <c r="H448" s="13" t="s">
        <v>856</v>
      </c>
      <c r="I448" s="13" t="s">
        <v>1326</v>
      </c>
    </row>
    <row r="449" spans="5:9" x14ac:dyDescent="0.25">
      <c r="E449" s="14" t="s">
        <v>777</v>
      </c>
      <c r="F449" s="14" t="s">
        <v>778</v>
      </c>
      <c r="G449" s="14" t="s">
        <v>855</v>
      </c>
      <c r="H449" s="14" t="s">
        <v>856</v>
      </c>
      <c r="I449" s="14" t="s">
        <v>1257</v>
      </c>
    </row>
    <row r="450" spans="5:9" x14ac:dyDescent="0.25">
      <c r="E450" s="13" t="s">
        <v>777</v>
      </c>
      <c r="F450" s="13" t="s">
        <v>778</v>
      </c>
      <c r="G450" s="13" t="s">
        <v>855</v>
      </c>
      <c r="H450" s="13" t="s">
        <v>856</v>
      </c>
      <c r="I450" s="13" t="s">
        <v>1224</v>
      </c>
    </row>
    <row r="451" spans="5:9" x14ac:dyDescent="0.25">
      <c r="E451" s="14" t="s">
        <v>777</v>
      </c>
      <c r="F451" s="14" t="s">
        <v>778</v>
      </c>
      <c r="G451" s="14" t="s">
        <v>855</v>
      </c>
      <c r="H451" s="14" t="s">
        <v>856</v>
      </c>
      <c r="I451" s="14" t="s">
        <v>1128</v>
      </c>
    </row>
    <row r="452" spans="5:9" x14ac:dyDescent="0.25">
      <c r="E452" s="13" t="s">
        <v>777</v>
      </c>
      <c r="F452" s="13" t="s">
        <v>778</v>
      </c>
      <c r="G452" s="13" t="s">
        <v>855</v>
      </c>
      <c r="H452" s="13" t="s">
        <v>856</v>
      </c>
      <c r="I452" s="13" t="s">
        <v>1208</v>
      </c>
    </row>
    <row r="453" spans="5:9" x14ac:dyDescent="0.25">
      <c r="E453" s="14" t="s">
        <v>777</v>
      </c>
      <c r="F453" s="14" t="s">
        <v>778</v>
      </c>
      <c r="G453" s="14" t="s">
        <v>855</v>
      </c>
      <c r="H453" s="14" t="s">
        <v>856</v>
      </c>
      <c r="I453" s="14" t="s">
        <v>1327</v>
      </c>
    </row>
    <row r="454" spans="5:9" x14ac:dyDescent="0.25">
      <c r="E454" s="13" t="s">
        <v>777</v>
      </c>
      <c r="F454" s="13" t="s">
        <v>778</v>
      </c>
      <c r="G454" s="13" t="s">
        <v>855</v>
      </c>
      <c r="H454" s="13" t="s">
        <v>856</v>
      </c>
      <c r="I454" s="13" t="s">
        <v>1328</v>
      </c>
    </row>
    <row r="455" spans="5:9" x14ac:dyDescent="0.25">
      <c r="E455" s="14" t="s">
        <v>777</v>
      </c>
      <c r="F455" s="14" t="s">
        <v>778</v>
      </c>
      <c r="G455" s="14" t="s">
        <v>855</v>
      </c>
      <c r="H455" s="14" t="s">
        <v>856</v>
      </c>
      <c r="I455" s="14" t="s">
        <v>1329</v>
      </c>
    </row>
    <row r="456" spans="5:9" x14ac:dyDescent="0.25">
      <c r="E456" s="13" t="s">
        <v>777</v>
      </c>
      <c r="F456" s="13" t="s">
        <v>778</v>
      </c>
      <c r="G456" s="13" t="s">
        <v>855</v>
      </c>
      <c r="H456" s="13" t="s">
        <v>856</v>
      </c>
      <c r="I456" s="13" t="s">
        <v>1330</v>
      </c>
    </row>
    <row r="457" spans="5:9" x14ac:dyDescent="0.25">
      <c r="E457" s="14" t="s">
        <v>777</v>
      </c>
      <c r="F457" s="14" t="s">
        <v>778</v>
      </c>
      <c r="G457" s="14" t="s">
        <v>855</v>
      </c>
      <c r="H457" s="14" t="s">
        <v>856</v>
      </c>
      <c r="I457" s="14" t="s">
        <v>1331</v>
      </c>
    </row>
    <row r="458" spans="5:9" x14ac:dyDescent="0.25">
      <c r="E458" s="13" t="s">
        <v>777</v>
      </c>
      <c r="F458" s="13" t="s">
        <v>778</v>
      </c>
      <c r="G458" s="13" t="s">
        <v>855</v>
      </c>
      <c r="H458" s="13" t="s">
        <v>856</v>
      </c>
      <c r="I458" s="13" t="s">
        <v>1332</v>
      </c>
    </row>
    <row r="459" spans="5:9" x14ac:dyDescent="0.25">
      <c r="E459" s="14" t="s">
        <v>777</v>
      </c>
      <c r="F459" s="14" t="s">
        <v>778</v>
      </c>
      <c r="G459" s="14" t="s">
        <v>855</v>
      </c>
      <c r="H459" s="14" t="s">
        <v>856</v>
      </c>
      <c r="I459" s="14" t="s">
        <v>1333</v>
      </c>
    </row>
    <row r="460" spans="5:9" x14ac:dyDescent="0.25">
      <c r="E460" s="13" t="s">
        <v>777</v>
      </c>
      <c r="F460" s="13" t="s">
        <v>778</v>
      </c>
      <c r="G460" s="13" t="s">
        <v>855</v>
      </c>
      <c r="H460" s="13" t="s">
        <v>856</v>
      </c>
      <c r="I460" s="13" t="s">
        <v>1334</v>
      </c>
    </row>
    <row r="461" spans="5:9" x14ac:dyDescent="0.25">
      <c r="E461" s="14" t="s">
        <v>777</v>
      </c>
      <c r="F461" s="14" t="s">
        <v>778</v>
      </c>
      <c r="G461" s="14" t="s">
        <v>855</v>
      </c>
      <c r="H461" s="14" t="s">
        <v>856</v>
      </c>
      <c r="I461" s="14" t="s">
        <v>1335</v>
      </c>
    </row>
    <row r="462" spans="5:9" x14ac:dyDescent="0.25">
      <c r="E462" s="13" t="s">
        <v>777</v>
      </c>
      <c r="F462" s="13" t="s">
        <v>778</v>
      </c>
      <c r="G462" s="13" t="s">
        <v>855</v>
      </c>
      <c r="H462" s="13" t="s">
        <v>856</v>
      </c>
      <c r="I462" s="13" t="s">
        <v>1336</v>
      </c>
    </row>
    <row r="463" spans="5:9" x14ac:dyDescent="0.25">
      <c r="E463" s="14" t="s">
        <v>777</v>
      </c>
      <c r="F463" s="14" t="s">
        <v>778</v>
      </c>
      <c r="G463" s="14" t="s">
        <v>855</v>
      </c>
      <c r="H463" s="14" t="s">
        <v>856</v>
      </c>
      <c r="I463" s="14" t="s">
        <v>1337</v>
      </c>
    </row>
    <row r="464" spans="5:9" x14ac:dyDescent="0.25">
      <c r="E464" s="13" t="s">
        <v>777</v>
      </c>
      <c r="F464" s="13" t="s">
        <v>778</v>
      </c>
      <c r="G464" s="13" t="s">
        <v>855</v>
      </c>
      <c r="H464" s="13" t="s">
        <v>856</v>
      </c>
      <c r="I464" s="13" t="s">
        <v>1338</v>
      </c>
    </row>
    <row r="465" spans="5:9" x14ac:dyDescent="0.25">
      <c r="E465" s="14" t="s">
        <v>777</v>
      </c>
      <c r="F465" s="14" t="s">
        <v>778</v>
      </c>
      <c r="G465" s="14" t="s">
        <v>855</v>
      </c>
      <c r="H465" s="14" t="s">
        <v>856</v>
      </c>
      <c r="I465" s="14" t="s">
        <v>1339</v>
      </c>
    </row>
    <row r="466" spans="5:9" x14ac:dyDescent="0.25">
      <c r="E466" s="13" t="s">
        <v>777</v>
      </c>
      <c r="F466" s="13" t="s">
        <v>778</v>
      </c>
      <c r="G466" s="13" t="s">
        <v>855</v>
      </c>
      <c r="H466" s="13" t="s">
        <v>856</v>
      </c>
      <c r="I466" s="13" t="s">
        <v>1340</v>
      </c>
    </row>
    <row r="467" spans="5:9" x14ac:dyDescent="0.25">
      <c r="E467" s="14" t="s">
        <v>777</v>
      </c>
      <c r="F467" s="14" t="s">
        <v>778</v>
      </c>
      <c r="G467" s="14" t="s">
        <v>855</v>
      </c>
      <c r="H467" s="14" t="s">
        <v>856</v>
      </c>
      <c r="I467" s="14" t="s">
        <v>1341</v>
      </c>
    </row>
    <row r="468" spans="5:9" x14ac:dyDescent="0.25">
      <c r="E468" s="13" t="s">
        <v>777</v>
      </c>
      <c r="F468" s="13" t="s">
        <v>778</v>
      </c>
      <c r="G468" s="13" t="s">
        <v>855</v>
      </c>
      <c r="H468" s="13" t="s">
        <v>856</v>
      </c>
      <c r="I468" s="13" t="s">
        <v>1342</v>
      </c>
    </row>
    <row r="469" spans="5:9" x14ac:dyDescent="0.25">
      <c r="E469" s="14" t="s">
        <v>777</v>
      </c>
      <c r="F469" s="14" t="s">
        <v>778</v>
      </c>
      <c r="G469" s="14" t="s">
        <v>855</v>
      </c>
      <c r="H469" s="14" t="s">
        <v>856</v>
      </c>
      <c r="I469" s="14" t="s">
        <v>1343</v>
      </c>
    </row>
    <row r="470" spans="5:9" x14ac:dyDescent="0.25">
      <c r="E470" s="13" t="s">
        <v>777</v>
      </c>
      <c r="F470" s="13" t="s">
        <v>778</v>
      </c>
      <c r="G470" s="13" t="s">
        <v>855</v>
      </c>
      <c r="H470" s="13" t="s">
        <v>856</v>
      </c>
      <c r="I470" s="13" t="s">
        <v>1344</v>
      </c>
    </row>
    <row r="471" spans="5:9" x14ac:dyDescent="0.25">
      <c r="E471" s="14" t="s">
        <v>777</v>
      </c>
      <c r="F471" s="14" t="s">
        <v>778</v>
      </c>
      <c r="G471" s="14" t="s">
        <v>855</v>
      </c>
      <c r="H471" s="14" t="s">
        <v>856</v>
      </c>
      <c r="I471" s="14" t="s">
        <v>1345</v>
      </c>
    </row>
    <row r="472" spans="5:9" x14ac:dyDescent="0.25">
      <c r="E472" s="13" t="s">
        <v>777</v>
      </c>
      <c r="F472" s="13" t="s">
        <v>778</v>
      </c>
      <c r="G472" s="13" t="s">
        <v>858</v>
      </c>
      <c r="H472" s="13" t="s">
        <v>859</v>
      </c>
      <c r="I472" s="13" t="s">
        <v>1346</v>
      </c>
    </row>
    <row r="473" spans="5:9" x14ac:dyDescent="0.25">
      <c r="E473" s="14" t="s">
        <v>777</v>
      </c>
      <c r="F473" s="14" t="s">
        <v>778</v>
      </c>
      <c r="G473" s="14" t="s">
        <v>858</v>
      </c>
      <c r="H473" s="14" t="s">
        <v>859</v>
      </c>
      <c r="I473" s="14" t="s">
        <v>1347</v>
      </c>
    </row>
    <row r="474" spans="5:9" x14ac:dyDescent="0.25">
      <c r="E474" s="13" t="s">
        <v>777</v>
      </c>
      <c r="F474" s="13" t="s">
        <v>778</v>
      </c>
      <c r="G474" s="13" t="s">
        <v>858</v>
      </c>
      <c r="H474" s="13" t="s">
        <v>859</v>
      </c>
      <c r="I474" s="13" t="s">
        <v>1348</v>
      </c>
    </row>
    <row r="475" spans="5:9" x14ac:dyDescent="0.25">
      <c r="E475" s="14" t="s">
        <v>777</v>
      </c>
      <c r="F475" s="14" t="s">
        <v>778</v>
      </c>
      <c r="G475" s="14" t="s">
        <v>858</v>
      </c>
      <c r="H475" s="14" t="s">
        <v>859</v>
      </c>
      <c r="I475" s="14" t="s">
        <v>1349</v>
      </c>
    </row>
    <row r="476" spans="5:9" x14ac:dyDescent="0.25">
      <c r="E476" s="13" t="s">
        <v>777</v>
      </c>
      <c r="F476" s="13" t="s">
        <v>778</v>
      </c>
      <c r="G476" s="13" t="s">
        <v>858</v>
      </c>
      <c r="H476" s="13" t="s">
        <v>859</v>
      </c>
      <c r="I476" s="13" t="s">
        <v>1350</v>
      </c>
    </row>
    <row r="477" spans="5:9" x14ac:dyDescent="0.25">
      <c r="E477" s="14" t="s">
        <v>777</v>
      </c>
      <c r="F477" s="14" t="s">
        <v>778</v>
      </c>
      <c r="G477" s="14" t="s">
        <v>858</v>
      </c>
      <c r="H477" s="14" t="s">
        <v>859</v>
      </c>
      <c r="I477" s="14" t="s">
        <v>1351</v>
      </c>
    </row>
    <row r="478" spans="5:9" x14ac:dyDescent="0.25">
      <c r="E478" s="13" t="s">
        <v>777</v>
      </c>
      <c r="F478" s="13" t="s">
        <v>778</v>
      </c>
      <c r="G478" s="13" t="s">
        <v>858</v>
      </c>
      <c r="H478" s="13" t="s">
        <v>859</v>
      </c>
      <c r="I478" s="13" t="s">
        <v>1352</v>
      </c>
    </row>
    <row r="479" spans="5:9" x14ac:dyDescent="0.25">
      <c r="E479" s="14" t="s">
        <v>777</v>
      </c>
      <c r="F479" s="14" t="s">
        <v>778</v>
      </c>
      <c r="G479" s="14" t="s">
        <v>858</v>
      </c>
      <c r="H479" s="14" t="s">
        <v>859</v>
      </c>
      <c r="I479" s="14" t="s">
        <v>1353</v>
      </c>
    </row>
    <row r="480" spans="5:9" x14ac:dyDescent="0.25">
      <c r="E480" s="13" t="s">
        <v>777</v>
      </c>
      <c r="F480" s="13" t="s">
        <v>778</v>
      </c>
      <c r="G480" s="13" t="s">
        <v>858</v>
      </c>
      <c r="H480" s="13" t="s">
        <v>859</v>
      </c>
      <c r="I480" s="13" t="s">
        <v>1354</v>
      </c>
    </row>
    <row r="481" spans="5:9" x14ac:dyDescent="0.25">
      <c r="E481" s="14" t="s">
        <v>777</v>
      </c>
      <c r="F481" s="14" t="s">
        <v>778</v>
      </c>
      <c r="G481" s="14" t="s">
        <v>858</v>
      </c>
      <c r="H481" s="14" t="s">
        <v>859</v>
      </c>
      <c r="I481" s="14" t="s">
        <v>1355</v>
      </c>
    </row>
    <row r="482" spans="5:9" x14ac:dyDescent="0.25">
      <c r="E482" s="13" t="s">
        <v>777</v>
      </c>
      <c r="F482" s="13" t="s">
        <v>778</v>
      </c>
      <c r="G482" s="13" t="s">
        <v>858</v>
      </c>
      <c r="H482" s="13" t="s">
        <v>859</v>
      </c>
      <c r="I482" s="13" t="s">
        <v>1356</v>
      </c>
    </row>
    <row r="483" spans="5:9" x14ac:dyDescent="0.25">
      <c r="E483" s="14" t="s">
        <v>777</v>
      </c>
      <c r="F483" s="14" t="s">
        <v>778</v>
      </c>
      <c r="G483" s="14" t="s">
        <v>858</v>
      </c>
      <c r="H483" s="14" t="s">
        <v>859</v>
      </c>
      <c r="I483" s="14" t="s">
        <v>1337</v>
      </c>
    </row>
    <row r="484" spans="5:9" x14ac:dyDescent="0.25">
      <c r="E484" s="13" t="s">
        <v>777</v>
      </c>
      <c r="F484" s="13" t="s">
        <v>778</v>
      </c>
      <c r="G484" s="13" t="s">
        <v>858</v>
      </c>
      <c r="H484" s="13" t="s">
        <v>859</v>
      </c>
      <c r="I484" s="13" t="s">
        <v>1315</v>
      </c>
    </row>
    <row r="485" spans="5:9" x14ac:dyDescent="0.25">
      <c r="E485" s="14" t="s">
        <v>777</v>
      </c>
      <c r="F485" s="14" t="s">
        <v>778</v>
      </c>
      <c r="G485" s="14" t="s">
        <v>858</v>
      </c>
      <c r="H485" s="14" t="s">
        <v>859</v>
      </c>
      <c r="I485" s="14" t="s">
        <v>1357</v>
      </c>
    </row>
    <row r="486" spans="5:9" x14ac:dyDescent="0.25">
      <c r="E486" s="13" t="s">
        <v>777</v>
      </c>
      <c r="F486" s="13" t="s">
        <v>778</v>
      </c>
      <c r="G486" s="13" t="s">
        <v>858</v>
      </c>
      <c r="H486" s="13" t="s">
        <v>859</v>
      </c>
      <c r="I486" s="13" t="s">
        <v>1358</v>
      </c>
    </row>
    <row r="487" spans="5:9" x14ac:dyDescent="0.25">
      <c r="E487" s="14" t="s">
        <v>777</v>
      </c>
      <c r="F487" s="14" t="s">
        <v>778</v>
      </c>
      <c r="G487" s="14" t="s">
        <v>858</v>
      </c>
      <c r="H487" s="14" t="s">
        <v>859</v>
      </c>
      <c r="I487" s="14" t="s">
        <v>1359</v>
      </c>
    </row>
    <row r="488" spans="5:9" x14ac:dyDescent="0.25">
      <c r="E488" s="13" t="s">
        <v>777</v>
      </c>
      <c r="F488" s="13" t="s">
        <v>778</v>
      </c>
      <c r="G488" s="13" t="s">
        <v>858</v>
      </c>
      <c r="H488" s="13" t="s">
        <v>859</v>
      </c>
      <c r="I488" s="13" t="s">
        <v>1360</v>
      </c>
    </row>
    <row r="489" spans="5:9" x14ac:dyDescent="0.25">
      <c r="E489" s="14" t="s">
        <v>777</v>
      </c>
      <c r="F489" s="14" t="s">
        <v>778</v>
      </c>
      <c r="G489" s="14" t="s">
        <v>858</v>
      </c>
      <c r="H489" s="14" t="s">
        <v>859</v>
      </c>
      <c r="I489" s="14" t="s">
        <v>1361</v>
      </c>
    </row>
    <row r="490" spans="5:9" x14ac:dyDescent="0.25">
      <c r="E490" s="13" t="s">
        <v>777</v>
      </c>
      <c r="F490" s="13" t="s">
        <v>778</v>
      </c>
      <c r="G490" s="13" t="s">
        <v>858</v>
      </c>
      <c r="H490" s="13" t="s">
        <v>859</v>
      </c>
      <c r="I490" s="13" t="s">
        <v>1362</v>
      </c>
    </row>
    <row r="491" spans="5:9" x14ac:dyDescent="0.25">
      <c r="E491" s="14" t="s">
        <v>777</v>
      </c>
      <c r="F491" s="14" t="s">
        <v>778</v>
      </c>
      <c r="G491" s="14" t="s">
        <v>863</v>
      </c>
      <c r="H491" s="14" t="s">
        <v>864</v>
      </c>
      <c r="I491" s="14" t="s">
        <v>1363</v>
      </c>
    </row>
    <row r="492" spans="5:9" x14ac:dyDescent="0.25">
      <c r="E492" s="13" t="s">
        <v>777</v>
      </c>
      <c r="F492" s="13" t="s">
        <v>778</v>
      </c>
      <c r="G492" s="13" t="s">
        <v>863</v>
      </c>
      <c r="H492" s="13" t="s">
        <v>864</v>
      </c>
      <c r="I492" s="13" t="s">
        <v>1364</v>
      </c>
    </row>
    <row r="493" spans="5:9" x14ac:dyDescent="0.25">
      <c r="E493" s="14" t="s">
        <v>777</v>
      </c>
      <c r="F493" s="14" t="s">
        <v>778</v>
      </c>
      <c r="G493" s="14" t="s">
        <v>863</v>
      </c>
      <c r="H493" s="14" t="s">
        <v>864</v>
      </c>
      <c r="I493" s="14" t="s">
        <v>1365</v>
      </c>
    </row>
    <row r="494" spans="5:9" x14ac:dyDescent="0.25">
      <c r="E494" s="13" t="s">
        <v>777</v>
      </c>
      <c r="F494" s="13" t="s">
        <v>778</v>
      </c>
      <c r="G494" s="13" t="s">
        <v>863</v>
      </c>
      <c r="H494" s="13" t="s">
        <v>864</v>
      </c>
      <c r="I494" s="13" t="s">
        <v>1051</v>
      </c>
    </row>
    <row r="495" spans="5:9" x14ac:dyDescent="0.25">
      <c r="E495" s="14" t="s">
        <v>777</v>
      </c>
      <c r="F495" s="14" t="s">
        <v>778</v>
      </c>
      <c r="G495" s="14" t="s">
        <v>863</v>
      </c>
      <c r="H495" s="14" t="s">
        <v>864</v>
      </c>
      <c r="I495" s="14" t="s">
        <v>1366</v>
      </c>
    </row>
    <row r="496" spans="5:9" x14ac:dyDescent="0.25">
      <c r="E496" s="13" t="s">
        <v>777</v>
      </c>
      <c r="F496" s="13" t="s">
        <v>778</v>
      </c>
      <c r="G496" s="13" t="s">
        <v>863</v>
      </c>
      <c r="H496" s="13" t="s">
        <v>864</v>
      </c>
      <c r="I496" s="13" t="s">
        <v>1367</v>
      </c>
    </row>
    <row r="497" spans="5:9" x14ac:dyDescent="0.25">
      <c r="E497" s="14" t="s">
        <v>777</v>
      </c>
      <c r="F497" s="14" t="s">
        <v>778</v>
      </c>
      <c r="G497" s="14" t="s">
        <v>863</v>
      </c>
      <c r="H497" s="14" t="s">
        <v>864</v>
      </c>
      <c r="I497" s="14" t="s">
        <v>1328</v>
      </c>
    </row>
    <row r="498" spans="5:9" x14ac:dyDescent="0.25">
      <c r="E498" s="13" t="s">
        <v>777</v>
      </c>
      <c r="F498" s="13" t="s">
        <v>778</v>
      </c>
      <c r="G498" s="13" t="s">
        <v>863</v>
      </c>
      <c r="H498" s="13" t="s">
        <v>864</v>
      </c>
      <c r="I498" s="13" t="s">
        <v>1368</v>
      </c>
    </row>
    <row r="499" spans="5:9" x14ac:dyDescent="0.25">
      <c r="E499" s="14" t="s">
        <v>777</v>
      </c>
      <c r="F499" s="14" t="s">
        <v>778</v>
      </c>
      <c r="G499" s="14" t="s">
        <v>863</v>
      </c>
      <c r="H499" s="14" t="s">
        <v>864</v>
      </c>
      <c r="I499" s="14" t="s">
        <v>1144</v>
      </c>
    </row>
    <row r="500" spans="5:9" x14ac:dyDescent="0.25">
      <c r="E500" s="13" t="s">
        <v>777</v>
      </c>
      <c r="F500" s="13" t="s">
        <v>778</v>
      </c>
      <c r="G500" s="13" t="s">
        <v>863</v>
      </c>
      <c r="H500" s="13" t="s">
        <v>864</v>
      </c>
      <c r="I500" s="13" t="s">
        <v>1369</v>
      </c>
    </row>
    <row r="501" spans="5:9" x14ac:dyDescent="0.25">
      <c r="E501" s="14" t="s">
        <v>777</v>
      </c>
      <c r="F501" s="14" t="s">
        <v>778</v>
      </c>
      <c r="G501" s="14" t="s">
        <v>863</v>
      </c>
      <c r="H501" s="14" t="s">
        <v>864</v>
      </c>
      <c r="I501" s="14" t="s">
        <v>1370</v>
      </c>
    </row>
    <row r="502" spans="5:9" x14ac:dyDescent="0.25">
      <c r="E502" s="13" t="s">
        <v>777</v>
      </c>
      <c r="F502" s="13" t="s">
        <v>778</v>
      </c>
      <c r="G502" s="13" t="s">
        <v>863</v>
      </c>
      <c r="H502" s="13" t="s">
        <v>864</v>
      </c>
      <c r="I502" s="13" t="s">
        <v>1371</v>
      </c>
    </row>
    <row r="503" spans="5:9" x14ac:dyDescent="0.25">
      <c r="E503" s="14" t="s">
        <v>777</v>
      </c>
      <c r="F503" s="14" t="s">
        <v>778</v>
      </c>
      <c r="G503" s="14" t="s">
        <v>863</v>
      </c>
      <c r="H503" s="14" t="s">
        <v>864</v>
      </c>
      <c r="I503" s="14" t="s">
        <v>1372</v>
      </c>
    </row>
    <row r="504" spans="5:9" x14ac:dyDescent="0.25">
      <c r="E504" s="13" t="s">
        <v>777</v>
      </c>
      <c r="F504" s="13" t="s">
        <v>778</v>
      </c>
      <c r="G504" s="13" t="s">
        <v>863</v>
      </c>
      <c r="H504" s="13" t="s">
        <v>864</v>
      </c>
      <c r="I504" s="13" t="s">
        <v>1373</v>
      </c>
    </row>
    <row r="505" spans="5:9" x14ac:dyDescent="0.25">
      <c r="E505" s="14" t="s">
        <v>777</v>
      </c>
      <c r="F505" s="14" t="s">
        <v>778</v>
      </c>
      <c r="G505" s="14" t="s">
        <v>867</v>
      </c>
      <c r="H505" s="14" t="s">
        <v>868</v>
      </c>
      <c r="I505" s="14" t="s">
        <v>985</v>
      </c>
    </row>
    <row r="506" spans="5:9" x14ac:dyDescent="0.25">
      <c r="E506" s="13" t="s">
        <v>777</v>
      </c>
      <c r="F506" s="13" t="s">
        <v>778</v>
      </c>
      <c r="G506" s="13" t="s">
        <v>867</v>
      </c>
      <c r="H506" s="13" t="s">
        <v>868</v>
      </c>
      <c r="I506" s="13" t="s">
        <v>1374</v>
      </c>
    </row>
    <row r="507" spans="5:9" x14ac:dyDescent="0.25">
      <c r="E507" s="14" t="s">
        <v>777</v>
      </c>
      <c r="F507" s="14" t="s">
        <v>778</v>
      </c>
      <c r="G507" s="14" t="s">
        <v>867</v>
      </c>
      <c r="H507" s="14" t="s">
        <v>868</v>
      </c>
      <c r="I507" s="14" t="s">
        <v>1375</v>
      </c>
    </row>
    <row r="508" spans="5:9" x14ac:dyDescent="0.25">
      <c r="E508" s="13" t="s">
        <v>777</v>
      </c>
      <c r="F508" s="13" t="s">
        <v>778</v>
      </c>
      <c r="G508" s="13" t="s">
        <v>867</v>
      </c>
      <c r="H508" s="13" t="s">
        <v>868</v>
      </c>
      <c r="I508" s="13" t="s">
        <v>1376</v>
      </c>
    </row>
    <row r="509" spans="5:9" x14ac:dyDescent="0.25">
      <c r="E509" s="14" t="s">
        <v>777</v>
      </c>
      <c r="F509" s="14" t="s">
        <v>778</v>
      </c>
      <c r="G509" s="14" t="s">
        <v>867</v>
      </c>
      <c r="H509" s="14" t="s">
        <v>868</v>
      </c>
      <c r="I509" s="14" t="s">
        <v>1217</v>
      </c>
    </row>
    <row r="510" spans="5:9" x14ac:dyDescent="0.25">
      <c r="E510" s="13" t="s">
        <v>777</v>
      </c>
      <c r="F510" s="13" t="s">
        <v>778</v>
      </c>
      <c r="G510" s="13" t="s">
        <v>867</v>
      </c>
      <c r="H510" s="13" t="s">
        <v>868</v>
      </c>
      <c r="I510" s="13" t="s">
        <v>1377</v>
      </c>
    </row>
    <row r="511" spans="5:9" x14ac:dyDescent="0.25">
      <c r="E511" s="14" t="s">
        <v>777</v>
      </c>
      <c r="F511" s="14" t="s">
        <v>778</v>
      </c>
      <c r="G511" s="14" t="s">
        <v>867</v>
      </c>
      <c r="H511" s="14" t="s">
        <v>868</v>
      </c>
      <c r="I511" s="14" t="s">
        <v>1378</v>
      </c>
    </row>
    <row r="512" spans="5:9" x14ac:dyDescent="0.25">
      <c r="E512" s="13" t="s">
        <v>777</v>
      </c>
      <c r="F512" s="13" t="s">
        <v>778</v>
      </c>
      <c r="G512" s="13" t="s">
        <v>867</v>
      </c>
      <c r="H512" s="13" t="s">
        <v>868</v>
      </c>
      <c r="I512" s="13" t="s">
        <v>1379</v>
      </c>
    </row>
    <row r="513" spans="5:9" x14ac:dyDescent="0.25">
      <c r="E513" s="14" t="s">
        <v>777</v>
      </c>
      <c r="F513" s="14" t="s">
        <v>778</v>
      </c>
      <c r="G513" s="14" t="s">
        <v>867</v>
      </c>
      <c r="H513" s="14" t="s">
        <v>868</v>
      </c>
      <c r="I513" s="14" t="s">
        <v>1380</v>
      </c>
    </row>
    <row r="514" spans="5:9" x14ac:dyDescent="0.25">
      <c r="E514" s="13" t="s">
        <v>777</v>
      </c>
      <c r="F514" s="13" t="s">
        <v>778</v>
      </c>
      <c r="G514" s="13" t="s">
        <v>867</v>
      </c>
      <c r="H514" s="13" t="s">
        <v>868</v>
      </c>
      <c r="I514" s="13" t="s">
        <v>1381</v>
      </c>
    </row>
    <row r="515" spans="5:9" x14ac:dyDescent="0.25">
      <c r="E515" s="14" t="s">
        <v>777</v>
      </c>
      <c r="F515" s="14" t="s">
        <v>778</v>
      </c>
      <c r="G515" s="14" t="s">
        <v>867</v>
      </c>
      <c r="H515" s="14" t="s">
        <v>868</v>
      </c>
      <c r="I515" s="14" t="s">
        <v>1382</v>
      </c>
    </row>
    <row r="516" spans="5:9" x14ac:dyDescent="0.25">
      <c r="E516" s="13" t="s">
        <v>777</v>
      </c>
      <c r="F516" s="13" t="s">
        <v>778</v>
      </c>
      <c r="G516" s="13" t="s">
        <v>867</v>
      </c>
      <c r="H516" s="13" t="s">
        <v>868</v>
      </c>
      <c r="I516" s="13" t="s">
        <v>1383</v>
      </c>
    </row>
    <row r="517" spans="5:9" x14ac:dyDescent="0.25">
      <c r="E517" s="14" t="s">
        <v>777</v>
      </c>
      <c r="F517" s="14" t="s">
        <v>778</v>
      </c>
      <c r="G517" s="14" t="s">
        <v>867</v>
      </c>
      <c r="H517" s="14" t="s">
        <v>868</v>
      </c>
      <c r="I517" s="14" t="s">
        <v>1384</v>
      </c>
    </row>
    <row r="518" spans="5:9" x14ac:dyDescent="0.25">
      <c r="E518" s="13" t="s">
        <v>777</v>
      </c>
      <c r="F518" s="13" t="s">
        <v>778</v>
      </c>
      <c r="G518" s="13" t="s">
        <v>867</v>
      </c>
      <c r="H518" s="13" t="s">
        <v>868</v>
      </c>
      <c r="I518" s="13" t="s">
        <v>1144</v>
      </c>
    </row>
    <row r="519" spans="5:9" x14ac:dyDescent="0.25">
      <c r="E519" s="14" t="s">
        <v>777</v>
      </c>
      <c r="F519" s="14" t="s">
        <v>778</v>
      </c>
      <c r="G519" s="14" t="s">
        <v>867</v>
      </c>
      <c r="H519" s="14" t="s">
        <v>868</v>
      </c>
      <c r="I519" s="14" t="s">
        <v>1385</v>
      </c>
    </row>
    <row r="520" spans="5:9" x14ac:dyDescent="0.25">
      <c r="E520" s="13" t="s">
        <v>777</v>
      </c>
      <c r="F520" s="13" t="s">
        <v>778</v>
      </c>
      <c r="G520" s="13" t="s">
        <v>867</v>
      </c>
      <c r="H520" s="13" t="s">
        <v>868</v>
      </c>
      <c r="I520" s="13" t="s">
        <v>1386</v>
      </c>
    </row>
    <row r="521" spans="5:9" x14ac:dyDescent="0.25">
      <c r="E521" s="14" t="s">
        <v>777</v>
      </c>
      <c r="F521" s="14" t="s">
        <v>778</v>
      </c>
      <c r="G521" s="14" t="s">
        <v>867</v>
      </c>
      <c r="H521" s="14" t="s">
        <v>868</v>
      </c>
      <c r="I521" s="14" t="s">
        <v>1387</v>
      </c>
    </row>
    <row r="522" spans="5:9" x14ac:dyDescent="0.25">
      <c r="E522" s="13" t="s">
        <v>777</v>
      </c>
      <c r="F522" s="13" t="s">
        <v>778</v>
      </c>
      <c r="G522" s="13" t="s">
        <v>867</v>
      </c>
      <c r="H522" s="13" t="s">
        <v>868</v>
      </c>
      <c r="I522" s="13" t="s">
        <v>1388</v>
      </c>
    </row>
    <row r="523" spans="5:9" x14ac:dyDescent="0.25">
      <c r="E523" s="14" t="s">
        <v>777</v>
      </c>
      <c r="F523" s="14" t="s">
        <v>778</v>
      </c>
      <c r="G523" s="14" t="s">
        <v>871</v>
      </c>
      <c r="H523" s="14" t="s">
        <v>872</v>
      </c>
      <c r="I523" s="14" t="s">
        <v>1389</v>
      </c>
    </row>
    <row r="524" spans="5:9" x14ac:dyDescent="0.25">
      <c r="E524" s="13" t="s">
        <v>777</v>
      </c>
      <c r="F524" s="13" t="s">
        <v>778</v>
      </c>
      <c r="G524" s="13" t="s">
        <v>871</v>
      </c>
      <c r="H524" s="13" t="s">
        <v>872</v>
      </c>
      <c r="I524" s="13" t="s">
        <v>1390</v>
      </c>
    </row>
    <row r="525" spans="5:9" x14ac:dyDescent="0.25">
      <c r="E525" s="14" t="s">
        <v>777</v>
      </c>
      <c r="F525" s="14" t="s">
        <v>778</v>
      </c>
      <c r="G525" s="14" t="s">
        <v>871</v>
      </c>
      <c r="H525" s="14" t="s">
        <v>872</v>
      </c>
      <c r="I525" s="14" t="s">
        <v>1391</v>
      </c>
    </row>
    <row r="526" spans="5:9" x14ac:dyDescent="0.25">
      <c r="E526" s="13" t="s">
        <v>777</v>
      </c>
      <c r="F526" s="13" t="s">
        <v>778</v>
      </c>
      <c r="G526" s="13" t="s">
        <v>871</v>
      </c>
      <c r="H526" s="13" t="s">
        <v>872</v>
      </c>
      <c r="I526" s="13" t="s">
        <v>1249</v>
      </c>
    </row>
    <row r="527" spans="5:9" x14ac:dyDescent="0.25">
      <c r="E527" s="14" t="s">
        <v>777</v>
      </c>
      <c r="F527" s="14" t="s">
        <v>778</v>
      </c>
      <c r="G527" s="14" t="s">
        <v>871</v>
      </c>
      <c r="H527" s="14" t="s">
        <v>872</v>
      </c>
      <c r="I527" s="14" t="s">
        <v>1392</v>
      </c>
    </row>
    <row r="528" spans="5:9" x14ac:dyDescent="0.25">
      <c r="E528" s="13" t="s">
        <v>777</v>
      </c>
      <c r="F528" s="13" t="s">
        <v>778</v>
      </c>
      <c r="G528" s="13" t="s">
        <v>871</v>
      </c>
      <c r="H528" s="13" t="s">
        <v>872</v>
      </c>
      <c r="I528" s="13" t="s">
        <v>1393</v>
      </c>
    </row>
    <row r="529" spans="5:9" x14ac:dyDescent="0.25">
      <c r="E529" s="14" t="s">
        <v>777</v>
      </c>
      <c r="F529" s="14" t="s">
        <v>778</v>
      </c>
      <c r="G529" s="14" t="s">
        <v>871</v>
      </c>
      <c r="H529" s="14" t="s">
        <v>872</v>
      </c>
      <c r="I529" s="14" t="s">
        <v>1394</v>
      </c>
    </row>
    <row r="530" spans="5:9" x14ac:dyDescent="0.25">
      <c r="E530" s="13" t="s">
        <v>777</v>
      </c>
      <c r="F530" s="13" t="s">
        <v>778</v>
      </c>
      <c r="G530" s="13" t="s">
        <v>871</v>
      </c>
      <c r="H530" s="13" t="s">
        <v>872</v>
      </c>
      <c r="I530" s="13" t="s">
        <v>1395</v>
      </c>
    </row>
    <row r="531" spans="5:9" x14ac:dyDescent="0.25">
      <c r="E531" s="14" t="s">
        <v>777</v>
      </c>
      <c r="F531" s="14" t="s">
        <v>778</v>
      </c>
      <c r="G531" s="14" t="s">
        <v>871</v>
      </c>
      <c r="H531" s="14" t="s">
        <v>872</v>
      </c>
      <c r="I531" s="14" t="s">
        <v>1396</v>
      </c>
    </row>
    <row r="532" spans="5:9" x14ac:dyDescent="0.25">
      <c r="E532" s="13" t="s">
        <v>777</v>
      </c>
      <c r="F532" s="13" t="s">
        <v>778</v>
      </c>
      <c r="G532" s="13" t="s">
        <v>871</v>
      </c>
      <c r="H532" s="13" t="s">
        <v>872</v>
      </c>
      <c r="I532" s="13" t="s">
        <v>1262</v>
      </c>
    </row>
    <row r="533" spans="5:9" x14ac:dyDescent="0.25">
      <c r="E533" s="14" t="s">
        <v>777</v>
      </c>
      <c r="F533" s="14" t="s">
        <v>778</v>
      </c>
      <c r="G533" s="14" t="s">
        <v>871</v>
      </c>
      <c r="H533" s="14" t="s">
        <v>872</v>
      </c>
      <c r="I533" s="14" t="s">
        <v>1397</v>
      </c>
    </row>
    <row r="534" spans="5:9" x14ac:dyDescent="0.25">
      <c r="E534" s="13" t="s">
        <v>777</v>
      </c>
      <c r="F534" s="13" t="s">
        <v>778</v>
      </c>
      <c r="G534" s="13" t="s">
        <v>871</v>
      </c>
      <c r="H534" s="13" t="s">
        <v>872</v>
      </c>
      <c r="I534" s="13" t="s">
        <v>1398</v>
      </c>
    </row>
    <row r="535" spans="5:9" x14ac:dyDescent="0.25">
      <c r="E535" s="14" t="s">
        <v>777</v>
      </c>
      <c r="F535" s="14" t="s">
        <v>778</v>
      </c>
      <c r="G535" s="14" t="s">
        <v>871</v>
      </c>
      <c r="H535" s="14" t="s">
        <v>872</v>
      </c>
      <c r="I535" s="14" t="s">
        <v>1264</v>
      </c>
    </row>
    <row r="536" spans="5:9" x14ac:dyDescent="0.25">
      <c r="E536" s="13" t="s">
        <v>777</v>
      </c>
      <c r="F536" s="13" t="s">
        <v>778</v>
      </c>
      <c r="G536" s="13" t="s">
        <v>871</v>
      </c>
      <c r="H536" s="13" t="s">
        <v>872</v>
      </c>
      <c r="I536" s="13" t="s">
        <v>1399</v>
      </c>
    </row>
    <row r="537" spans="5:9" x14ac:dyDescent="0.25">
      <c r="E537" s="14" t="s">
        <v>777</v>
      </c>
      <c r="F537" s="14" t="s">
        <v>778</v>
      </c>
      <c r="G537" s="14" t="s">
        <v>871</v>
      </c>
      <c r="H537" s="14" t="s">
        <v>872</v>
      </c>
      <c r="I537" s="14" t="s">
        <v>1400</v>
      </c>
    </row>
    <row r="538" spans="5:9" x14ac:dyDescent="0.25">
      <c r="E538" s="13" t="s">
        <v>777</v>
      </c>
      <c r="F538" s="13" t="s">
        <v>778</v>
      </c>
      <c r="G538" s="13" t="s">
        <v>871</v>
      </c>
      <c r="H538" s="13" t="s">
        <v>872</v>
      </c>
      <c r="I538" s="13" t="s">
        <v>1401</v>
      </c>
    </row>
    <row r="539" spans="5:9" x14ac:dyDescent="0.25">
      <c r="E539" s="14" t="s">
        <v>777</v>
      </c>
      <c r="F539" s="14" t="s">
        <v>778</v>
      </c>
      <c r="G539" s="14" t="s">
        <v>871</v>
      </c>
      <c r="H539" s="14" t="s">
        <v>872</v>
      </c>
      <c r="I539" s="14" t="s">
        <v>1402</v>
      </c>
    </row>
    <row r="540" spans="5:9" x14ac:dyDescent="0.25">
      <c r="E540" s="13" t="s">
        <v>777</v>
      </c>
      <c r="F540" s="13" t="s">
        <v>778</v>
      </c>
      <c r="G540" s="13" t="s">
        <v>871</v>
      </c>
      <c r="H540" s="13" t="s">
        <v>872</v>
      </c>
      <c r="I540" s="13" t="s">
        <v>1403</v>
      </c>
    </row>
    <row r="541" spans="5:9" x14ac:dyDescent="0.25">
      <c r="E541" s="14" t="s">
        <v>777</v>
      </c>
      <c r="F541" s="14" t="s">
        <v>778</v>
      </c>
      <c r="G541" s="14" t="s">
        <v>871</v>
      </c>
      <c r="H541" s="14" t="s">
        <v>872</v>
      </c>
      <c r="I541" s="14" t="s">
        <v>1404</v>
      </c>
    </row>
    <row r="542" spans="5:9" x14ac:dyDescent="0.25">
      <c r="E542" s="13" t="s">
        <v>777</v>
      </c>
      <c r="F542" s="13" t="s">
        <v>778</v>
      </c>
      <c r="G542" s="13" t="s">
        <v>875</v>
      </c>
      <c r="H542" s="13" t="s">
        <v>876</v>
      </c>
      <c r="I542" s="13" t="s">
        <v>1405</v>
      </c>
    </row>
    <row r="543" spans="5:9" x14ac:dyDescent="0.25">
      <c r="E543" s="14" t="s">
        <v>777</v>
      </c>
      <c r="F543" s="14" t="s">
        <v>778</v>
      </c>
      <c r="G543" s="14" t="s">
        <v>875</v>
      </c>
      <c r="H543" s="14" t="s">
        <v>876</v>
      </c>
      <c r="I543" s="14" t="s">
        <v>1406</v>
      </c>
    </row>
    <row r="544" spans="5:9" x14ac:dyDescent="0.25">
      <c r="E544" s="13" t="s">
        <v>777</v>
      </c>
      <c r="F544" s="13" t="s">
        <v>778</v>
      </c>
      <c r="G544" s="13" t="s">
        <v>875</v>
      </c>
      <c r="H544" s="13" t="s">
        <v>876</v>
      </c>
      <c r="I544" s="13" t="s">
        <v>1407</v>
      </c>
    </row>
    <row r="545" spans="5:9" x14ac:dyDescent="0.25">
      <c r="E545" s="14" t="s">
        <v>777</v>
      </c>
      <c r="F545" s="14" t="s">
        <v>778</v>
      </c>
      <c r="G545" s="14" t="s">
        <v>875</v>
      </c>
      <c r="H545" s="14" t="s">
        <v>876</v>
      </c>
      <c r="I545" s="14" t="s">
        <v>1408</v>
      </c>
    </row>
    <row r="546" spans="5:9" x14ac:dyDescent="0.25">
      <c r="E546" s="13" t="s">
        <v>777</v>
      </c>
      <c r="F546" s="13" t="s">
        <v>778</v>
      </c>
      <c r="G546" s="13" t="s">
        <v>875</v>
      </c>
      <c r="H546" s="13" t="s">
        <v>876</v>
      </c>
      <c r="I546" s="13" t="s">
        <v>1409</v>
      </c>
    </row>
    <row r="547" spans="5:9" x14ac:dyDescent="0.25">
      <c r="E547" s="14" t="s">
        <v>777</v>
      </c>
      <c r="F547" s="14" t="s">
        <v>778</v>
      </c>
      <c r="G547" s="14" t="s">
        <v>875</v>
      </c>
      <c r="H547" s="14" t="s">
        <v>876</v>
      </c>
      <c r="I547" s="14" t="s">
        <v>1353</v>
      </c>
    </row>
    <row r="548" spans="5:9" x14ac:dyDescent="0.25">
      <c r="E548" s="13" t="s">
        <v>777</v>
      </c>
      <c r="F548" s="13" t="s">
        <v>778</v>
      </c>
      <c r="G548" s="13" t="s">
        <v>875</v>
      </c>
      <c r="H548" s="13" t="s">
        <v>876</v>
      </c>
      <c r="I548" s="13" t="s">
        <v>1410</v>
      </c>
    </row>
    <row r="549" spans="5:9" x14ac:dyDescent="0.25">
      <c r="E549" s="14" t="s">
        <v>777</v>
      </c>
      <c r="F549" s="14" t="s">
        <v>778</v>
      </c>
      <c r="G549" s="14" t="s">
        <v>875</v>
      </c>
      <c r="H549" s="14" t="s">
        <v>876</v>
      </c>
      <c r="I549" s="14" t="s">
        <v>1411</v>
      </c>
    </row>
    <row r="550" spans="5:9" x14ac:dyDescent="0.25">
      <c r="E550" s="13" t="s">
        <v>777</v>
      </c>
      <c r="F550" s="13" t="s">
        <v>778</v>
      </c>
      <c r="G550" s="13" t="s">
        <v>879</v>
      </c>
      <c r="H550" s="13" t="s">
        <v>880</v>
      </c>
      <c r="I550" s="13" t="s">
        <v>1412</v>
      </c>
    </row>
    <row r="551" spans="5:9" x14ac:dyDescent="0.25">
      <c r="E551" s="14" t="s">
        <v>777</v>
      </c>
      <c r="F551" s="14" t="s">
        <v>778</v>
      </c>
      <c r="G551" s="14" t="s">
        <v>879</v>
      </c>
      <c r="H551" s="14" t="s">
        <v>880</v>
      </c>
      <c r="I551" s="14" t="s">
        <v>1413</v>
      </c>
    </row>
    <row r="552" spans="5:9" x14ac:dyDescent="0.25">
      <c r="E552" s="13" t="s">
        <v>777</v>
      </c>
      <c r="F552" s="13" t="s">
        <v>778</v>
      </c>
      <c r="G552" s="13" t="s">
        <v>879</v>
      </c>
      <c r="H552" s="13" t="s">
        <v>880</v>
      </c>
      <c r="I552" s="13" t="s">
        <v>1320</v>
      </c>
    </row>
    <row r="553" spans="5:9" x14ac:dyDescent="0.25">
      <c r="E553" s="14" t="s">
        <v>777</v>
      </c>
      <c r="F553" s="14" t="s">
        <v>778</v>
      </c>
      <c r="G553" s="14" t="s">
        <v>879</v>
      </c>
      <c r="H553" s="14" t="s">
        <v>880</v>
      </c>
      <c r="I553" s="14" t="s">
        <v>1414</v>
      </c>
    </row>
    <row r="554" spans="5:9" x14ac:dyDescent="0.25">
      <c r="E554" s="13" t="s">
        <v>777</v>
      </c>
      <c r="F554" s="13" t="s">
        <v>778</v>
      </c>
      <c r="G554" s="13" t="s">
        <v>879</v>
      </c>
      <c r="H554" s="13" t="s">
        <v>880</v>
      </c>
      <c r="I554" s="13" t="s">
        <v>1415</v>
      </c>
    </row>
    <row r="555" spans="5:9" x14ac:dyDescent="0.25">
      <c r="E555" s="14" t="s">
        <v>777</v>
      </c>
      <c r="F555" s="14" t="s">
        <v>778</v>
      </c>
      <c r="G555" s="14" t="s">
        <v>879</v>
      </c>
      <c r="H555" s="14" t="s">
        <v>880</v>
      </c>
      <c r="I555" s="14" t="s">
        <v>1416</v>
      </c>
    </row>
    <row r="556" spans="5:9" x14ac:dyDescent="0.25">
      <c r="E556" s="13" t="s">
        <v>777</v>
      </c>
      <c r="F556" s="13" t="s">
        <v>778</v>
      </c>
      <c r="G556" s="13" t="s">
        <v>879</v>
      </c>
      <c r="H556" s="13" t="s">
        <v>880</v>
      </c>
      <c r="I556" s="13" t="s">
        <v>1417</v>
      </c>
    </row>
    <row r="557" spans="5:9" x14ac:dyDescent="0.25">
      <c r="E557" s="14" t="s">
        <v>777</v>
      </c>
      <c r="F557" s="14" t="s">
        <v>778</v>
      </c>
      <c r="G557" s="14" t="s">
        <v>879</v>
      </c>
      <c r="H557" s="14" t="s">
        <v>880</v>
      </c>
      <c r="I557" s="14" t="s">
        <v>1418</v>
      </c>
    </row>
    <row r="558" spans="5:9" x14ac:dyDescent="0.25">
      <c r="E558" s="13" t="s">
        <v>777</v>
      </c>
      <c r="F558" s="13" t="s">
        <v>778</v>
      </c>
      <c r="G558" s="13" t="s">
        <v>879</v>
      </c>
      <c r="H558" s="13" t="s">
        <v>880</v>
      </c>
      <c r="I558" s="13" t="s">
        <v>1419</v>
      </c>
    </row>
    <row r="559" spans="5:9" x14ac:dyDescent="0.25">
      <c r="E559" s="14" t="s">
        <v>777</v>
      </c>
      <c r="F559" s="14" t="s">
        <v>778</v>
      </c>
      <c r="G559" s="14" t="s">
        <v>879</v>
      </c>
      <c r="H559" s="14" t="s">
        <v>880</v>
      </c>
      <c r="I559" s="14" t="s">
        <v>1420</v>
      </c>
    </row>
    <row r="560" spans="5:9" x14ac:dyDescent="0.25">
      <c r="E560" s="13" t="s">
        <v>777</v>
      </c>
      <c r="F560" s="13" t="s">
        <v>778</v>
      </c>
      <c r="G560" s="13" t="s">
        <v>879</v>
      </c>
      <c r="H560" s="13" t="s">
        <v>880</v>
      </c>
      <c r="I560" s="13" t="s">
        <v>1421</v>
      </c>
    </row>
    <row r="561" spans="5:9" x14ac:dyDescent="0.25">
      <c r="E561" s="14" t="s">
        <v>777</v>
      </c>
      <c r="F561" s="14" t="s">
        <v>778</v>
      </c>
      <c r="G561" s="14" t="s">
        <v>879</v>
      </c>
      <c r="H561" s="14" t="s">
        <v>880</v>
      </c>
      <c r="I561" s="14" t="s">
        <v>1422</v>
      </c>
    </row>
    <row r="562" spans="5:9" x14ac:dyDescent="0.25">
      <c r="E562" s="13" t="s">
        <v>777</v>
      </c>
      <c r="F562" s="13" t="s">
        <v>778</v>
      </c>
      <c r="G562" s="13" t="s">
        <v>879</v>
      </c>
      <c r="H562" s="13" t="s">
        <v>880</v>
      </c>
      <c r="I562" s="13" t="s">
        <v>1423</v>
      </c>
    </row>
    <row r="563" spans="5:9" x14ac:dyDescent="0.25">
      <c r="E563" s="14" t="s">
        <v>777</v>
      </c>
      <c r="F563" s="14" t="s">
        <v>778</v>
      </c>
      <c r="G563" s="14" t="s">
        <v>879</v>
      </c>
      <c r="H563" s="14" t="s">
        <v>880</v>
      </c>
      <c r="I563" s="14" t="s">
        <v>1424</v>
      </c>
    </row>
    <row r="564" spans="5:9" x14ac:dyDescent="0.25">
      <c r="E564" s="13" t="s">
        <v>777</v>
      </c>
      <c r="F564" s="13" t="s">
        <v>778</v>
      </c>
      <c r="G564" s="13" t="s">
        <v>879</v>
      </c>
      <c r="H564" s="13" t="s">
        <v>880</v>
      </c>
      <c r="I564" s="13" t="s">
        <v>1425</v>
      </c>
    </row>
    <row r="565" spans="5:9" x14ac:dyDescent="0.25">
      <c r="E565" s="14" t="s">
        <v>777</v>
      </c>
      <c r="F565" s="14" t="s">
        <v>778</v>
      </c>
      <c r="G565" s="14" t="s">
        <v>879</v>
      </c>
      <c r="H565" s="14" t="s">
        <v>880</v>
      </c>
      <c r="I565" s="14" t="s">
        <v>1426</v>
      </c>
    </row>
    <row r="566" spans="5:9" x14ac:dyDescent="0.25">
      <c r="E566" s="13" t="s">
        <v>777</v>
      </c>
      <c r="F566" s="13" t="s">
        <v>778</v>
      </c>
      <c r="G566" s="13" t="s">
        <v>879</v>
      </c>
      <c r="H566" s="13" t="s">
        <v>880</v>
      </c>
      <c r="I566" s="13" t="s">
        <v>1427</v>
      </c>
    </row>
    <row r="567" spans="5:9" x14ac:dyDescent="0.25">
      <c r="E567" s="14" t="s">
        <v>777</v>
      </c>
      <c r="F567" s="14" t="s">
        <v>778</v>
      </c>
      <c r="G567" s="14" t="s">
        <v>883</v>
      </c>
      <c r="H567" s="14" t="s">
        <v>884</v>
      </c>
      <c r="I567" s="14" t="s">
        <v>1428</v>
      </c>
    </row>
    <row r="568" spans="5:9" x14ac:dyDescent="0.25">
      <c r="E568" s="13" t="s">
        <v>777</v>
      </c>
      <c r="F568" s="13" t="s">
        <v>778</v>
      </c>
      <c r="G568" s="13" t="s">
        <v>883</v>
      </c>
      <c r="H568" s="13" t="s">
        <v>884</v>
      </c>
      <c r="I568" s="13" t="s">
        <v>1429</v>
      </c>
    </row>
    <row r="569" spans="5:9" x14ac:dyDescent="0.25">
      <c r="E569" s="14" t="s">
        <v>777</v>
      </c>
      <c r="F569" s="14" t="s">
        <v>778</v>
      </c>
      <c r="G569" s="14" t="s">
        <v>883</v>
      </c>
      <c r="H569" s="14" t="s">
        <v>884</v>
      </c>
      <c r="I569" s="14" t="s">
        <v>1430</v>
      </c>
    </row>
    <row r="570" spans="5:9" x14ac:dyDescent="0.25">
      <c r="E570" s="13" t="s">
        <v>777</v>
      </c>
      <c r="F570" s="13" t="s">
        <v>778</v>
      </c>
      <c r="G570" s="13" t="s">
        <v>883</v>
      </c>
      <c r="H570" s="13" t="s">
        <v>884</v>
      </c>
      <c r="I570" s="13" t="s">
        <v>1111</v>
      </c>
    </row>
    <row r="571" spans="5:9" x14ac:dyDescent="0.25">
      <c r="E571" s="14" t="s">
        <v>777</v>
      </c>
      <c r="F571" s="14" t="s">
        <v>778</v>
      </c>
      <c r="G571" s="14" t="s">
        <v>883</v>
      </c>
      <c r="H571" s="14" t="s">
        <v>884</v>
      </c>
      <c r="I571" s="14" t="s">
        <v>1431</v>
      </c>
    </row>
    <row r="572" spans="5:9" x14ac:dyDescent="0.25">
      <c r="E572" s="13" t="s">
        <v>777</v>
      </c>
      <c r="F572" s="13" t="s">
        <v>778</v>
      </c>
      <c r="G572" s="13" t="s">
        <v>883</v>
      </c>
      <c r="H572" s="13" t="s">
        <v>884</v>
      </c>
      <c r="I572" s="13" t="s">
        <v>1432</v>
      </c>
    </row>
    <row r="573" spans="5:9" x14ac:dyDescent="0.25">
      <c r="E573" s="14" t="s">
        <v>777</v>
      </c>
      <c r="F573" s="14" t="s">
        <v>778</v>
      </c>
      <c r="G573" s="14" t="s">
        <v>883</v>
      </c>
      <c r="H573" s="14" t="s">
        <v>884</v>
      </c>
      <c r="I573" s="14" t="s">
        <v>1433</v>
      </c>
    </row>
    <row r="574" spans="5:9" x14ac:dyDescent="0.25">
      <c r="E574" s="13" t="s">
        <v>777</v>
      </c>
      <c r="F574" s="13" t="s">
        <v>778</v>
      </c>
      <c r="G574" s="13" t="s">
        <v>883</v>
      </c>
      <c r="H574" s="13" t="s">
        <v>884</v>
      </c>
      <c r="I574" s="13" t="s">
        <v>1434</v>
      </c>
    </row>
    <row r="575" spans="5:9" x14ac:dyDescent="0.25">
      <c r="E575" s="14" t="s">
        <v>777</v>
      </c>
      <c r="F575" s="14" t="s">
        <v>778</v>
      </c>
      <c r="G575" s="14" t="s">
        <v>883</v>
      </c>
      <c r="H575" s="14" t="s">
        <v>884</v>
      </c>
      <c r="I575" s="14" t="s">
        <v>1435</v>
      </c>
    </row>
    <row r="576" spans="5:9" x14ac:dyDescent="0.25">
      <c r="E576" s="13" t="s">
        <v>777</v>
      </c>
      <c r="F576" s="13" t="s">
        <v>778</v>
      </c>
      <c r="G576" s="13" t="s">
        <v>883</v>
      </c>
      <c r="H576" s="13" t="s">
        <v>884</v>
      </c>
      <c r="I576" s="13" t="s">
        <v>1436</v>
      </c>
    </row>
    <row r="577" spans="5:9" x14ac:dyDescent="0.25">
      <c r="E577" s="14" t="s">
        <v>777</v>
      </c>
      <c r="F577" s="14" t="s">
        <v>778</v>
      </c>
      <c r="G577" s="14" t="s">
        <v>883</v>
      </c>
      <c r="H577" s="14" t="s">
        <v>884</v>
      </c>
      <c r="I577" s="14" t="s">
        <v>1437</v>
      </c>
    </row>
    <row r="578" spans="5:9" x14ac:dyDescent="0.25">
      <c r="E578" s="13" t="s">
        <v>777</v>
      </c>
      <c r="F578" s="13" t="s">
        <v>778</v>
      </c>
      <c r="G578" s="13" t="s">
        <v>883</v>
      </c>
      <c r="H578" s="13" t="s">
        <v>884</v>
      </c>
      <c r="I578" s="13" t="s">
        <v>1438</v>
      </c>
    </row>
    <row r="579" spans="5:9" x14ac:dyDescent="0.25">
      <c r="E579" s="14" t="s">
        <v>777</v>
      </c>
      <c r="F579" s="14" t="s">
        <v>778</v>
      </c>
      <c r="G579" s="14" t="s">
        <v>883</v>
      </c>
      <c r="H579" s="14" t="s">
        <v>884</v>
      </c>
      <c r="I579" s="14" t="s">
        <v>1439</v>
      </c>
    </row>
    <row r="580" spans="5:9" x14ac:dyDescent="0.25">
      <c r="E580" s="13" t="s">
        <v>777</v>
      </c>
      <c r="F580" s="13" t="s">
        <v>778</v>
      </c>
      <c r="G580" s="13" t="s">
        <v>883</v>
      </c>
      <c r="H580" s="13" t="s">
        <v>884</v>
      </c>
      <c r="I580" s="13" t="s">
        <v>1440</v>
      </c>
    </row>
    <row r="581" spans="5:9" x14ac:dyDescent="0.25">
      <c r="E581" s="14" t="s">
        <v>777</v>
      </c>
      <c r="F581" s="14" t="s">
        <v>778</v>
      </c>
      <c r="G581" s="14" t="s">
        <v>883</v>
      </c>
      <c r="H581" s="14" t="s">
        <v>884</v>
      </c>
      <c r="I581" s="14" t="s">
        <v>1441</v>
      </c>
    </row>
    <row r="582" spans="5:9" x14ac:dyDescent="0.25">
      <c r="E582" s="13" t="s">
        <v>777</v>
      </c>
      <c r="F582" s="13" t="s">
        <v>778</v>
      </c>
      <c r="G582" s="13" t="s">
        <v>883</v>
      </c>
      <c r="H582" s="13" t="s">
        <v>884</v>
      </c>
      <c r="I582" s="13" t="s">
        <v>1442</v>
      </c>
    </row>
    <row r="583" spans="5:9" x14ac:dyDescent="0.25">
      <c r="E583" s="14" t="s">
        <v>777</v>
      </c>
      <c r="F583" s="14" t="s">
        <v>778</v>
      </c>
      <c r="G583" s="14" t="s">
        <v>883</v>
      </c>
      <c r="H583" s="14" t="s">
        <v>884</v>
      </c>
      <c r="I583" s="14" t="s">
        <v>1443</v>
      </c>
    </row>
    <row r="584" spans="5:9" x14ac:dyDescent="0.25">
      <c r="E584" s="13" t="s">
        <v>777</v>
      </c>
      <c r="F584" s="13" t="s">
        <v>778</v>
      </c>
      <c r="G584" s="13" t="s">
        <v>883</v>
      </c>
      <c r="H584" s="13" t="s">
        <v>884</v>
      </c>
      <c r="I584" s="13" t="s">
        <v>1444</v>
      </c>
    </row>
    <row r="585" spans="5:9" x14ac:dyDescent="0.25">
      <c r="E585" s="14" t="s">
        <v>777</v>
      </c>
      <c r="F585" s="14" t="s">
        <v>778</v>
      </c>
      <c r="G585" s="14" t="s">
        <v>883</v>
      </c>
      <c r="H585" s="14" t="s">
        <v>884</v>
      </c>
      <c r="I585" s="14" t="s">
        <v>1445</v>
      </c>
    </row>
    <row r="586" spans="5:9" x14ac:dyDescent="0.25">
      <c r="E586" s="13" t="s">
        <v>777</v>
      </c>
      <c r="F586" s="13" t="s">
        <v>778</v>
      </c>
      <c r="G586" s="13" t="s">
        <v>883</v>
      </c>
      <c r="H586" s="13" t="s">
        <v>884</v>
      </c>
      <c r="I586" s="13" t="s">
        <v>1339</v>
      </c>
    </row>
    <row r="587" spans="5:9" x14ac:dyDescent="0.25">
      <c r="E587" s="14" t="s">
        <v>777</v>
      </c>
      <c r="F587" s="14" t="s">
        <v>778</v>
      </c>
      <c r="G587" s="14" t="s">
        <v>883</v>
      </c>
      <c r="H587" s="14" t="s">
        <v>884</v>
      </c>
      <c r="I587" s="14" t="s">
        <v>1446</v>
      </c>
    </row>
    <row r="588" spans="5:9" x14ac:dyDescent="0.25">
      <c r="E588" s="13" t="s">
        <v>777</v>
      </c>
      <c r="F588" s="13" t="s">
        <v>778</v>
      </c>
      <c r="G588" s="13" t="s">
        <v>883</v>
      </c>
      <c r="H588" s="13" t="s">
        <v>884</v>
      </c>
      <c r="I588" s="13" t="s">
        <v>1447</v>
      </c>
    </row>
    <row r="589" spans="5:9" x14ac:dyDescent="0.25">
      <c r="E589" s="14" t="s">
        <v>777</v>
      </c>
      <c r="F589" s="14" t="s">
        <v>778</v>
      </c>
      <c r="G589" s="14" t="s">
        <v>883</v>
      </c>
      <c r="H589" s="14" t="s">
        <v>884</v>
      </c>
      <c r="I589" s="14" t="s">
        <v>1109</v>
      </c>
    </row>
    <row r="590" spans="5:9" x14ac:dyDescent="0.25">
      <c r="E590" s="13" t="s">
        <v>777</v>
      </c>
      <c r="F590" s="13" t="s">
        <v>778</v>
      </c>
      <c r="G590" s="13" t="s">
        <v>883</v>
      </c>
      <c r="H590" s="13" t="s">
        <v>884</v>
      </c>
      <c r="I590" s="13" t="s">
        <v>1448</v>
      </c>
    </row>
    <row r="591" spans="5:9" x14ac:dyDescent="0.25">
      <c r="E591" s="14" t="s">
        <v>777</v>
      </c>
      <c r="F591" s="14" t="s">
        <v>778</v>
      </c>
      <c r="G591" s="14" t="s">
        <v>887</v>
      </c>
      <c r="H591" s="14" t="s">
        <v>888</v>
      </c>
      <c r="I591" s="14" t="s">
        <v>1449</v>
      </c>
    </row>
    <row r="592" spans="5:9" x14ac:dyDescent="0.25">
      <c r="E592" s="13" t="s">
        <v>777</v>
      </c>
      <c r="F592" s="13" t="s">
        <v>778</v>
      </c>
      <c r="G592" s="13" t="s">
        <v>887</v>
      </c>
      <c r="H592" s="13" t="s">
        <v>888</v>
      </c>
      <c r="I592" s="13" t="s">
        <v>1450</v>
      </c>
    </row>
    <row r="593" spans="5:9" x14ac:dyDescent="0.25">
      <c r="E593" s="14" t="s">
        <v>777</v>
      </c>
      <c r="F593" s="14" t="s">
        <v>778</v>
      </c>
      <c r="G593" s="14" t="s">
        <v>887</v>
      </c>
      <c r="H593" s="14" t="s">
        <v>888</v>
      </c>
      <c r="I593" s="14" t="s">
        <v>1451</v>
      </c>
    </row>
    <row r="594" spans="5:9" x14ac:dyDescent="0.25">
      <c r="E594" s="13" t="s">
        <v>777</v>
      </c>
      <c r="F594" s="13" t="s">
        <v>778</v>
      </c>
      <c r="G594" s="13" t="s">
        <v>887</v>
      </c>
      <c r="H594" s="13" t="s">
        <v>888</v>
      </c>
      <c r="I594" s="13" t="s">
        <v>1452</v>
      </c>
    </row>
    <row r="595" spans="5:9" x14ac:dyDescent="0.25">
      <c r="E595" s="14" t="s">
        <v>777</v>
      </c>
      <c r="F595" s="14" t="s">
        <v>778</v>
      </c>
      <c r="G595" s="14" t="s">
        <v>887</v>
      </c>
      <c r="H595" s="14" t="s">
        <v>888</v>
      </c>
      <c r="I595" s="14" t="s">
        <v>1453</v>
      </c>
    </row>
    <row r="596" spans="5:9" x14ac:dyDescent="0.25">
      <c r="E596" s="13" t="s">
        <v>777</v>
      </c>
      <c r="F596" s="13" t="s">
        <v>778</v>
      </c>
      <c r="G596" s="13" t="s">
        <v>887</v>
      </c>
      <c r="H596" s="13" t="s">
        <v>888</v>
      </c>
      <c r="I596" s="13" t="s">
        <v>1454</v>
      </c>
    </row>
    <row r="597" spans="5:9" x14ac:dyDescent="0.25">
      <c r="E597" s="14" t="s">
        <v>777</v>
      </c>
      <c r="F597" s="14" t="s">
        <v>778</v>
      </c>
      <c r="G597" s="14" t="s">
        <v>887</v>
      </c>
      <c r="H597" s="14" t="s">
        <v>888</v>
      </c>
      <c r="I597" s="14" t="s">
        <v>1455</v>
      </c>
    </row>
    <row r="598" spans="5:9" x14ac:dyDescent="0.25">
      <c r="E598" s="13" t="s">
        <v>777</v>
      </c>
      <c r="F598" s="13" t="s">
        <v>778</v>
      </c>
      <c r="G598" s="13" t="s">
        <v>887</v>
      </c>
      <c r="H598" s="13" t="s">
        <v>888</v>
      </c>
      <c r="I598" s="13" t="s">
        <v>1329</v>
      </c>
    </row>
    <row r="599" spans="5:9" x14ac:dyDescent="0.25">
      <c r="E599" s="14" t="s">
        <v>777</v>
      </c>
      <c r="F599" s="14" t="s">
        <v>778</v>
      </c>
      <c r="G599" s="14" t="s">
        <v>887</v>
      </c>
      <c r="H599" s="14" t="s">
        <v>888</v>
      </c>
      <c r="I599" s="14" t="s">
        <v>1456</v>
      </c>
    </row>
    <row r="600" spans="5:9" x14ac:dyDescent="0.25">
      <c r="E600" s="13" t="s">
        <v>777</v>
      </c>
      <c r="F600" s="13" t="s">
        <v>778</v>
      </c>
      <c r="G600" s="13" t="s">
        <v>887</v>
      </c>
      <c r="H600" s="13" t="s">
        <v>888</v>
      </c>
      <c r="I600" s="13" t="s">
        <v>1457</v>
      </c>
    </row>
    <row r="601" spans="5:9" x14ac:dyDescent="0.25">
      <c r="E601" s="14" t="s">
        <v>777</v>
      </c>
      <c r="F601" s="14" t="s">
        <v>778</v>
      </c>
      <c r="G601" s="14" t="s">
        <v>887</v>
      </c>
      <c r="H601" s="14" t="s">
        <v>888</v>
      </c>
      <c r="I601" s="14" t="s">
        <v>1398</v>
      </c>
    </row>
    <row r="602" spans="5:9" x14ac:dyDescent="0.25">
      <c r="E602" s="13" t="s">
        <v>777</v>
      </c>
      <c r="F602" s="13" t="s">
        <v>778</v>
      </c>
      <c r="G602" s="13" t="s">
        <v>887</v>
      </c>
      <c r="H602" s="13" t="s">
        <v>888</v>
      </c>
      <c r="I602" s="13" t="s">
        <v>1458</v>
      </c>
    </row>
    <row r="603" spans="5:9" x14ac:dyDescent="0.25">
      <c r="E603" s="14" t="s">
        <v>777</v>
      </c>
      <c r="F603" s="14" t="s">
        <v>778</v>
      </c>
      <c r="G603" s="14" t="s">
        <v>887</v>
      </c>
      <c r="H603" s="14" t="s">
        <v>888</v>
      </c>
      <c r="I603" s="14" t="s">
        <v>1459</v>
      </c>
    </row>
    <row r="604" spans="5:9" x14ac:dyDescent="0.25">
      <c r="E604" s="13" t="s">
        <v>777</v>
      </c>
      <c r="F604" s="13" t="s">
        <v>778</v>
      </c>
      <c r="G604" s="13" t="s">
        <v>887</v>
      </c>
      <c r="H604" s="13" t="s">
        <v>888</v>
      </c>
      <c r="I604" s="13" t="s">
        <v>1460</v>
      </c>
    </row>
    <row r="605" spans="5:9" x14ac:dyDescent="0.25">
      <c r="E605" s="14" t="s">
        <v>777</v>
      </c>
      <c r="F605" s="14" t="s">
        <v>778</v>
      </c>
      <c r="G605" s="14" t="s">
        <v>887</v>
      </c>
      <c r="H605" s="14" t="s">
        <v>888</v>
      </c>
      <c r="I605" s="14" t="s">
        <v>1461</v>
      </c>
    </row>
    <row r="606" spans="5:9" x14ac:dyDescent="0.25">
      <c r="E606" s="13" t="s">
        <v>777</v>
      </c>
      <c r="F606" s="13" t="s">
        <v>778</v>
      </c>
      <c r="G606" s="13" t="s">
        <v>890</v>
      </c>
      <c r="H606" s="13" t="s">
        <v>891</v>
      </c>
      <c r="I606" s="13" t="s">
        <v>1462</v>
      </c>
    </row>
    <row r="607" spans="5:9" x14ac:dyDescent="0.25">
      <c r="E607" s="14" t="s">
        <v>777</v>
      </c>
      <c r="F607" s="14" t="s">
        <v>778</v>
      </c>
      <c r="G607" s="14" t="s">
        <v>890</v>
      </c>
      <c r="H607" s="14" t="s">
        <v>891</v>
      </c>
      <c r="I607" s="14" t="s">
        <v>1250</v>
      </c>
    </row>
    <row r="608" spans="5:9" x14ac:dyDescent="0.25">
      <c r="E608" s="13" t="s">
        <v>777</v>
      </c>
      <c r="F608" s="13" t="s">
        <v>778</v>
      </c>
      <c r="G608" s="13" t="s">
        <v>890</v>
      </c>
      <c r="H608" s="13" t="s">
        <v>891</v>
      </c>
      <c r="I608" s="13" t="s">
        <v>1463</v>
      </c>
    </row>
    <row r="609" spans="5:9" x14ac:dyDescent="0.25">
      <c r="E609" s="14" t="s">
        <v>777</v>
      </c>
      <c r="F609" s="14" t="s">
        <v>778</v>
      </c>
      <c r="G609" s="14" t="s">
        <v>890</v>
      </c>
      <c r="H609" s="14" t="s">
        <v>891</v>
      </c>
      <c r="I609" s="14" t="s">
        <v>1464</v>
      </c>
    </row>
    <row r="610" spans="5:9" x14ac:dyDescent="0.25">
      <c r="E610" s="13" t="s">
        <v>777</v>
      </c>
      <c r="F610" s="13" t="s">
        <v>778</v>
      </c>
      <c r="G610" s="13" t="s">
        <v>890</v>
      </c>
      <c r="H610" s="13" t="s">
        <v>891</v>
      </c>
      <c r="I610" s="13" t="s">
        <v>1465</v>
      </c>
    </row>
    <row r="611" spans="5:9" x14ac:dyDescent="0.25">
      <c r="E611" s="14" t="s">
        <v>777</v>
      </c>
      <c r="F611" s="14" t="s">
        <v>778</v>
      </c>
      <c r="G611" s="14" t="s">
        <v>890</v>
      </c>
      <c r="H611" s="14" t="s">
        <v>891</v>
      </c>
      <c r="I611" s="14" t="s">
        <v>1466</v>
      </c>
    </row>
    <row r="612" spans="5:9" x14ac:dyDescent="0.25">
      <c r="E612" s="13" t="s">
        <v>777</v>
      </c>
      <c r="F612" s="13" t="s">
        <v>778</v>
      </c>
      <c r="G612" s="13" t="s">
        <v>890</v>
      </c>
      <c r="H612" s="13" t="s">
        <v>891</v>
      </c>
      <c r="I612" s="13" t="s">
        <v>1457</v>
      </c>
    </row>
    <row r="613" spans="5:9" x14ac:dyDescent="0.25">
      <c r="E613" s="14" t="s">
        <v>777</v>
      </c>
      <c r="F613" s="14" t="s">
        <v>778</v>
      </c>
      <c r="G613" s="14" t="s">
        <v>890</v>
      </c>
      <c r="H613" s="14" t="s">
        <v>891</v>
      </c>
      <c r="I613" s="14" t="s">
        <v>1467</v>
      </c>
    </row>
    <row r="614" spans="5:9" x14ac:dyDescent="0.25">
      <c r="E614" s="13" t="s">
        <v>777</v>
      </c>
      <c r="F614" s="13" t="s">
        <v>778</v>
      </c>
      <c r="G614" s="13" t="s">
        <v>890</v>
      </c>
      <c r="H614" s="13" t="s">
        <v>891</v>
      </c>
      <c r="I614" s="13" t="s">
        <v>1468</v>
      </c>
    </row>
    <row r="615" spans="5:9" x14ac:dyDescent="0.25">
      <c r="E615" s="14" t="s">
        <v>777</v>
      </c>
      <c r="F615" s="14" t="s">
        <v>778</v>
      </c>
      <c r="G615" s="14" t="s">
        <v>890</v>
      </c>
      <c r="H615" s="14" t="s">
        <v>891</v>
      </c>
      <c r="I615" s="14" t="s">
        <v>1469</v>
      </c>
    </row>
    <row r="616" spans="5:9" x14ac:dyDescent="0.25">
      <c r="E616" s="13" t="s">
        <v>777</v>
      </c>
      <c r="F616" s="13" t="s">
        <v>778</v>
      </c>
      <c r="G616" s="13" t="s">
        <v>890</v>
      </c>
      <c r="H616" s="13" t="s">
        <v>891</v>
      </c>
      <c r="I616" s="13" t="s">
        <v>1470</v>
      </c>
    </row>
    <row r="617" spans="5:9" x14ac:dyDescent="0.25">
      <c r="E617" s="14" t="s">
        <v>777</v>
      </c>
      <c r="F617" s="14" t="s">
        <v>778</v>
      </c>
      <c r="G617" s="14" t="s">
        <v>894</v>
      </c>
      <c r="H617" s="14" t="s">
        <v>895</v>
      </c>
      <c r="I617" s="14" t="s">
        <v>1471</v>
      </c>
    </row>
    <row r="618" spans="5:9" x14ac:dyDescent="0.25">
      <c r="E618" s="13" t="s">
        <v>777</v>
      </c>
      <c r="F618" s="13" t="s">
        <v>778</v>
      </c>
      <c r="G618" s="13" t="s">
        <v>894</v>
      </c>
      <c r="H618" s="13" t="s">
        <v>895</v>
      </c>
      <c r="I618" s="13" t="s">
        <v>1472</v>
      </c>
    </row>
    <row r="619" spans="5:9" x14ac:dyDescent="0.25">
      <c r="E619" s="14" t="s">
        <v>777</v>
      </c>
      <c r="F619" s="14" t="s">
        <v>778</v>
      </c>
      <c r="G619" s="14" t="s">
        <v>894</v>
      </c>
      <c r="H619" s="14" t="s">
        <v>895</v>
      </c>
      <c r="I619" s="14" t="s">
        <v>1473</v>
      </c>
    </row>
    <row r="620" spans="5:9" x14ac:dyDescent="0.25">
      <c r="E620" s="13" t="s">
        <v>777</v>
      </c>
      <c r="F620" s="13" t="s">
        <v>778</v>
      </c>
      <c r="G620" s="13" t="s">
        <v>894</v>
      </c>
      <c r="H620" s="13" t="s">
        <v>895</v>
      </c>
      <c r="I620" s="13" t="s">
        <v>1474</v>
      </c>
    </row>
    <row r="621" spans="5:9" x14ac:dyDescent="0.25">
      <c r="E621" s="14" t="s">
        <v>777</v>
      </c>
      <c r="F621" s="14" t="s">
        <v>778</v>
      </c>
      <c r="G621" s="14" t="s">
        <v>894</v>
      </c>
      <c r="H621" s="14" t="s">
        <v>895</v>
      </c>
      <c r="I621" s="14" t="s">
        <v>1475</v>
      </c>
    </row>
    <row r="622" spans="5:9" x14ac:dyDescent="0.25">
      <c r="E622" s="13" t="s">
        <v>777</v>
      </c>
      <c r="F622" s="13" t="s">
        <v>778</v>
      </c>
      <c r="G622" s="13" t="s">
        <v>894</v>
      </c>
      <c r="H622" s="13" t="s">
        <v>895</v>
      </c>
      <c r="I622" s="13" t="s">
        <v>1476</v>
      </c>
    </row>
    <row r="623" spans="5:9" x14ac:dyDescent="0.25">
      <c r="E623" s="14" t="s">
        <v>777</v>
      </c>
      <c r="F623" s="14" t="s">
        <v>778</v>
      </c>
      <c r="G623" s="14" t="s">
        <v>894</v>
      </c>
      <c r="H623" s="14" t="s">
        <v>895</v>
      </c>
      <c r="I623" s="14" t="s">
        <v>1477</v>
      </c>
    </row>
    <row r="624" spans="5:9" x14ac:dyDescent="0.25">
      <c r="E624" s="13" t="s">
        <v>777</v>
      </c>
      <c r="F624" s="13" t="s">
        <v>778</v>
      </c>
      <c r="G624" s="13" t="s">
        <v>894</v>
      </c>
      <c r="H624" s="13" t="s">
        <v>895</v>
      </c>
      <c r="I624" s="13" t="s">
        <v>1478</v>
      </c>
    </row>
    <row r="625" spans="5:9" x14ac:dyDescent="0.25">
      <c r="E625" s="14" t="s">
        <v>777</v>
      </c>
      <c r="F625" s="14" t="s">
        <v>778</v>
      </c>
      <c r="G625" s="14" t="s">
        <v>894</v>
      </c>
      <c r="H625" s="14" t="s">
        <v>895</v>
      </c>
      <c r="I625" s="14" t="s">
        <v>1479</v>
      </c>
    </row>
    <row r="626" spans="5:9" x14ac:dyDescent="0.25">
      <c r="E626" s="13" t="s">
        <v>777</v>
      </c>
      <c r="F626" s="13" t="s">
        <v>778</v>
      </c>
      <c r="G626" s="13" t="s">
        <v>894</v>
      </c>
      <c r="H626" s="13" t="s">
        <v>895</v>
      </c>
      <c r="I626" s="13" t="s">
        <v>1480</v>
      </c>
    </row>
    <row r="627" spans="5:9" x14ac:dyDescent="0.25">
      <c r="E627" s="14" t="s">
        <v>777</v>
      </c>
      <c r="F627" s="14" t="s">
        <v>778</v>
      </c>
      <c r="G627" s="14" t="s">
        <v>894</v>
      </c>
      <c r="H627" s="14" t="s">
        <v>895</v>
      </c>
      <c r="I627" s="14" t="s">
        <v>1481</v>
      </c>
    </row>
    <row r="628" spans="5:9" x14ac:dyDescent="0.25">
      <c r="E628" s="13" t="s">
        <v>777</v>
      </c>
      <c r="F628" s="13" t="s">
        <v>778</v>
      </c>
      <c r="G628" s="13" t="s">
        <v>894</v>
      </c>
      <c r="H628" s="13" t="s">
        <v>895</v>
      </c>
      <c r="I628" s="13" t="s">
        <v>1482</v>
      </c>
    </row>
    <row r="629" spans="5:9" x14ac:dyDescent="0.25">
      <c r="E629" s="14" t="s">
        <v>777</v>
      </c>
      <c r="F629" s="14" t="s">
        <v>778</v>
      </c>
      <c r="G629" s="14" t="s">
        <v>894</v>
      </c>
      <c r="H629" s="14" t="s">
        <v>895</v>
      </c>
      <c r="I629" s="14" t="s">
        <v>1483</v>
      </c>
    </row>
    <row r="630" spans="5:9" x14ac:dyDescent="0.25">
      <c r="E630" s="13" t="s">
        <v>777</v>
      </c>
      <c r="F630" s="13" t="s">
        <v>778</v>
      </c>
      <c r="G630" s="13" t="s">
        <v>894</v>
      </c>
      <c r="H630" s="13" t="s">
        <v>895</v>
      </c>
      <c r="I630" s="13" t="s">
        <v>1484</v>
      </c>
    </row>
    <row r="631" spans="5:9" x14ac:dyDescent="0.25">
      <c r="E631" s="14" t="s">
        <v>777</v>
      </c>
      <c r="F631" s="14" t="s">
        <v>778</v>
      </c>
      <c r="G631" s="14" t="s">
        <v>894</v>
      </c>
      <c r="H631" s="14" t="s">
        <v>895</v>
      </c>
      <c r="I631" s="14" t="s">
        <v>1313</v>
      </c>
    </row>
    <row r="632" spans="5:9" x14ac:dyDescent="0.25">
      <c r="E632" s="13" t="s">
        <v>777</v>
      </c>
      <c r="F632" s="13" t="s">
        <v>778</v>
      </c>
      <c r="G632" s="13" t="s">
        <v>894</v>
      </c>
      <c r="H632" s="13" t="s">
        <v>895</v>
      </c>
      <c r="I632" s="13" t="s">
        <v>1457</v>
      </c>
    </row>
    <row r="633" spans="5:9" x14ac:dyDescent="0.25">
      <c r="E633" s="14" t="s">
        <v>777</v>
      </c>
      <c r="F633" s="14" t="s">
        <v>778</v>
      </c>
      <c r="G633" s="14" t="s">
        <v>894</v>
      </c>
      <c r="H633" s="14" t="s">
        <v>895</v>
      </c>
      <c r="I633" s="14" t="s">
        <v>1485</v>
      </c>
    </row>
    <row r="634" spans="5:9" x14ac:dyDescent="0.25">
      <c r="E634" s="13" t="s">
        <v>777</v>
      </c>
      <c r="F634" s="13" t="s">
        <v>778</v>
      </c>
      <c r="G634" s="13" t="s">
        <v>894</v>
      </c>
      <c r="H634" s="13" t="s">
        <v>895</v>
      </c>
      <c r="I634" s="13" t="s">
        <v>1486</v>
      </c>
    </row>
    <row r="635" spans="5:9" x14ac:dyDescent="0.25">
      <c r="E635" s="14" t="s">
        <v>777</v>
      </c>
      <c r="F635" s="14" t="s">
        <v>778</v>
      </c>
      <c r="G635" s="14" t="s">
        <v>894</v>
      </c>
      <c r="H635" s="14" t="s">
        <v>895</v>
      </c>
      <c r="I635" s="14" t="s">
        <v>1134</v>
      </c>
    </row>
    <row r="636" spans="5:9" x14ac:dyDescent="0.25">
      <c r="E636" s="13" t="s">
        <v>777</v>
      </c>
      <c r="F636" s="13" t="s">
        <v>778</v>
      </c>
      <c r="G636" s="13" t="s">
        <v>894</v>
      </c>
      <c r="H636" s="13" t="s">
        <v>895</v>
      </c>
      <c r="I636" s="13" t="s">
        <v>1151</v>
      </c>
    </row>
    <row r="637" spans="5:9" x14ac:dyDescent="0.25">
      <c r="E637" s="14" t="s">
        <v>777</v>
      </c>
      <c r="F637" s="14" t="s">
        <v>778</v>
      </c>
      <c r="G637" s="14" t="s">
        <v>898</v>
      </c>
      <c r="H637" s="14" t="s">
        <v>899</v>
      </c>
      <c r="I637" s="14" t="s">
        <v>1487</v>
      </c>
    </row>
    <row r="638" spans="5:9" x14ac:dyDescent="0.25">
      <c r="E638" s="13" t="s">
        <v>777</v>
      </c>
      <c r="F638" s="13" t="s">
        <v>778</v>
      </c>
      <c r="G638" s="13" t="s">
        <v>898</v>
      </c>
      <c r="H638" s="13" t="s">
        <v>899</v>
      </c>
      <c r="I638" s="13" t="s">
        <v>1488</v>
      </c>
    </row>
    <row r="639" spans="5:9" x14ac:dyDescent="0.25">
      <c r="E639" s="14" t="s">
        <v>777</v>
      </c>
      <c r="F639" s="14" t="s">
        <v>778</v>
      </c>
      <c r="G639" s="14" t="s">
        <v>898</v>
      </c>
      <c r="H639" s="14" t="s">
        <v>899</v>
      </c>
      <c r="I639" s="14" t="s">
        <v>1489</v>
      </c>
    </row>
    <row r="640" spans="5:9" x14ac:dyDescent="0.25">
      <c r="E640" s="13" t="s">
        <v>777</v>
      </c>
      <c r="F640" s="13" t="s">
        <v>778</v>
      </c>
      <c r="G640" s="13" t="s">
        <v>898</v>
      </c>
      <c r="H640" s="13" t="s">
        <v>899</v>
      </c>
      <c r="I640" s="13" t="s">
        <v>1490</v>
      </c>
    </row>
    <row r="641" spans="5:9" x14ac:dyDescent="0.25">
      <c r="E641" s="14" t="s">
        <v>777</v>
      </c>
      <c r="F641" s="14" t="s">
        <v>778</v>
      </c>
      <c r="G641" s="14" t="s">
        <v>898</v>
      </c>
      <c r="H641" s="14" t="s">
        <v>899</v>
      </c>
      <c r="I641" s="14" t="s">
        <v>1491</v>
      </c>
    </row>
    <row r="642" spans="5:9" x14ac:dyDescent="0.25">
      <c r="E642" s="13" t="s">
        <v>777</v>
      </c>
      <c r="F642" s="13" t="s">
        <v>778</v>
      </c>
      <c r="G642" s="13" t="s">
        <v>898</v>
      </c>
      <c r="H642" s="13" t="s">
        <v>899</v>
      </c>
      <c r="I642" s="13" t="s">
        <v>1492</v>
      </c>
    </row>
    <row r="643" spans="5:9" x14ac:dyDescent="0.25">
      <c r="E643" s="14" t="s">
        <v>777</v>
      </c>
      <c r="F643" s="14" t="s">
        <v>778</v>
      </c>
      <c r="G643" s="14" t="s">
        <v>898</v>
      </c>
      <c r="H643" s="14" t="s">
        <v>899</v>
      </c>
      <c r="I643" s="14" t="s">
        <v>1493</v>
      </c>
    </row>
    <row r="644" spans="5:9" x14ac:dyDescent="0.25">
      <c r="E644" s="13" t="s">
        <v>777</v>
      </c>
      <c r="F644" s="13" t="s">
        <v>778</v>
      </c>
      <c r="G644" s="13" t="s">
        <v>898</v>
      </c>
      <c r="H644" s="13" t="s">
        <v>899</v>
      </c>
      <c r="I644" s="13" t="s">
        <v>1494</v>
      </c>
    </row>
    <row r="645" spans="5:9" x14ac:dyDescent="0.25">
      <c r="E645" s="14" t="s">
        <v>777</v>
      </c>
      <c r="F645" s="14" t="s">
        <v>778</v>
      </c>
      <c r="G645" s="14" t="s">
        <v>898</v>
      </c>
      <c r="H645" s="14" t="s">
        <v>899</v>
      </c>
      <c r="I645" s="14" t="s">
        <v>1495</v>
      </c>
    </row>
    <row r="646" spans="5:9" x14ac:dyDescent="0.25">
      <c r="E646" s="13" t="s">
        <v>777</v>
      </c>
      <c r="F646" s="13" t="s">
        <v>778</v>
      </c>
      <c r="G646" s="13" t="s">
        <v>898</v>
      </c>
      <c r="H646" s="13" t="s">
        <v>899</v>
      </c>
      <c r="I646" s="13" t="s">
        <v>1496</v>
      </c>
    </row>
    <row r="647" spans="5:9" x14ac:dyDescent="0.25">
      <c r="E647" s="14" t="s">
        <v>777</v>
      </c>
      <c r="F647" s="14" t="s">
        <v>778</v>
      </c>
      <c r="G647" s="14" t="s">
        <v>898</v>
      </c>
      <c r="H647" s="14" t="s">
        <v>899</v>
      </c>
      <c r="I647" s="14" t="s">
        <v>1497</v>
      </c>
    </row>
    <row r="648" spans="5:9" x14ac:dyDescent="0.25">
      <c r="E648" s="13" t="s">
        <v>777</v>
      </c>
      <c r="F648" s="13" t="s">
        <v>778</v>
      </c>
      <c r="G648" s="13" t="s">
        <v>898</v>
      </c>
      <c r="H648" s="13" t="s">
        <v>899</v>
      </c>
      <c r="I648" s="13" t="s">
        <v>1498</v>
      </c>
    </row>
    <row r="649" spans="5:9" x14ac:dyDescent="0.25">
      <c r="E649" s="14" t="s">
        <v>777</v>
      </c>
      <c r="F649" s="14" t="s">
        <v>778</v>
      </c>
      <c r="G649" s="14" t="s">
        <v>898</v>
      </c>
      <c r="H649" s="14" t="s">
        <v>899</v>
      </c>
      <c r="I649" s="14" t="s">
        <v>1499</v>
      </c>
    </row>
    <row r="650" spans="5:9" x14ac:dyDescent="0.25">
      <c r="E650" s="13" t="s">
        <v>777</v>
      </c>
      <c r="F650" s="13" t="s">
        <v>778</v>
      </c>
      <c r="G650" s="13" t="s">
        <v>898</v>
      </c>
      <c r="H650" s="13" t="s">
        <v>899</v>
      </c>
      <c r="I650" s="13" t="s">
        <v>1500</v>
      </c>
    </row>
    <row r="651" spans="5:9" x14ac:dyDescent="0.25">
      <c r="E651" s="14" t="s">
        <v>777</v>
      </c>
      <c r="F651" s="14" t="s">
        <v>778</v>
      </c>
      <c r="G651" s="14" t="s">
        <v>898</v>
      </c>
      <c r="H651" s="14" t="s">
        <v>899</v>
      </c>
      <c r="I651" s="14" t="s">
        <v>1501</v>
      </c>
    </row>
    <row r="652" spans="5:9" x14ac:dyDescent="0.25">
      <c r="E652" s="13" t="s">
        <v>777</v>
      </c>
      <c r="F652" s="13" t="s">
        <v>778</v>
      </c>
      <c r="G652" s="13" t="s">
        <v>898</v>
      </c>
      <c r="H652" s="13" t="s">
        <v>899</v>
      </c>
      <c r="I652" s="13" t="s">
        <v>1502</v>
      </c>
    </row>
    <row r="653" spans="5:9" x14ac:dyDescent="0.25">
      <c r="E653" s="14" t="s">
        <v>777</v>
      </c>
      <c r="F653" s="14" t="s">
        <v>778</v>
      </c>
      <c r="G653" s="14" t="s">
        <v>898</v>
      </c>
      <c r="H653" s="14" t="s">
        <v>899</v>
      </c>
      <c r="I653" s="14" t="s">
        <v>1503</v>
      </c>
    </row>
    <row r="654" spans="5:9" x14ac:dyDescent="0.25">
      <c r="E654" s="13" t="s">
        <v>777</v>
      </c>
      <c r="F654" s="13" t="s">
        <v>778</v>
      </c>
      <c r="G654" s="13" t="s">
        <v>898</v>
      </c>
      <c r="H654" s="13" t="s">
        <v>899</v>
      </c>
      <c r="I654" s="13" t="s">
        <v>1504</v>
      </c>
    </row>
    <row r="655" spans="5:9" x14ac:dyDescent="0.25">
      <c r="E655" s="14" t="s">
        <v>777</v>
      </c>
      <c r="F655" s="14" t="s">
        <v>778</v>
      </c>
      <c r="G655" s="14" t="s">
        <v>898</v>
      </c>
      <c r="H655" s="14" t="s">
        <v>899</v>
      </c>
      <c r="I655" s="14" t="s">
        <v>1505</v>
      </c>
    </row>
    <row r="656" spans="5:9" x14ac:dyDescent="0.25">
      <c r="E656" s="13" t="s">
        <v>777</v>
      </c>
      <c r="F656" s="13" t="s">
        <v>778</v>
      </c>
      <c r="G656" s="13" t="s">
        <v>898</v>
      </c>
      <c r="H656" s="13" t="s">
        <v>899</v>
      </c>
      <c r="I656" s="13" t="s">
        <v>1506</v>
      </c>
    </row>
    <row r="657" spans="5:9" x14ac:dyDescent="0.25">
      <c r="E657" s="14" t="s">
        <v>777</v>
      </c>
      <c r="F657" s="14" t="s">
        <v>778</v>
      </c>
      <c r="G657" s="14" t="s">
        <v>898</v>
      </c>
      <c r="H657" s="14" t="s">
        <v>899</v>
      </c>
      <c r="I657" s="14" t="s">
        <v>1507</v>
      </c>
    </row>
    <row r="658" spans="5:9" x14ac:dyDescent="0.25">
      <c r="E658" s="13" t="s">
        <v>777</v>
      </c>
      <c r="F658" s="13" t="s">
        <v>778</v>
      </c>
      <c r="G658" s="13" t="s">
        <v>898</v>
      </c>
      <c r="H658" s="13" t="s">
        <v>899</v>
      </c>
      <c r="I658" s="13" t="s">
        <v>1332</v>
      </c>
    </row>
    <row r="659" spans="5:9" x14ac:dyDescent="0.25">
      <c r="E659" s="14" t="s">
        <v>777</v>
      </c>
      <c r="F659" s="14" t="s">
        <v>778</v>
      </c>
      <c r="G659" s="14" t="s">
        <v>898</v>
      </c>
      <c r="H659" s="14" t="s">
        <v>899</v>
      </c>
      <c r="I659" s="14" t="s">
        <v>1508</v>
      </c>
    </row>
    <row r="660" spans="5:9" x14ac:dyDescent="0.25">
      <c r="E660" s="13" t="s">
        <v>777</v>
      </c>
      <c r="F660" s="13" t="s">
        <v>778</v>
      </c>
      <c r="G660" s="13" t="s">
        <v>898</v>
      </c>
      <c r="H660" s="13" t="s">
        <v>899</v>
      </c>
      <c r="I660" s="13" t="s">
        <v>1509</v>
      </c>
    </row>
    <row r="661" spans="5:9" x14ac:dyDescent="0.25">
      <c r="E661" s="14" t="s">
        <v>777</v>
      </c>
      <c r="F661" s="14" t="s">
        <v>778</v>
      </c>
      <c r="G661" s="14" t="s">
        <v>898</v>
      </c>
      <c r="H661" s="14" t="s">
        <v>899</v>
      </c>
      <c r="I661" s="14" t="s">
        <v>1510</v>
      </c>
    </row>
    <row r="662" spans="5:9" x14ac:dyDescent="0.25">
      <c r="E662" s="13" t="s">
        <v>777</v>
      </c>
      <c r="F662" s="13" t="s">
        <v>778</v>
      </c>
      <c r="G662" s="13" t="s">
        <v>898</v>
      </c>
      <c r="H662" s="13" t="s">
        <v>899</v>
      </c>
      <c r="I662" s="13" t="s">
        <v>1511</v>
      </c>
    </row>
    <row r="663" spans="5:9" x14ac:dyDescent="0.25">
      <c r="E663" s="14" t="s">
        <v>777</v>
      </c>
      <c r="F663" s="14" t="s">
        <v>778</v>
      </c>
      <c r="G663" s="14" t="s">
        <v>898</v>
      </c>
      <c r="H663" s="14" t="s">
        <v>899</v>
      </c>
      <c r="I663" s="14" t="s">
        <v>1512</v>
      </c>
    </row>
    <row r="664" spans="5:9" x14ac:dyDescent="0.25">
      <c r="E664" s="13" t="s">
        <v>777</v>
      </c>
      <c r="F664" s="13" t="s">
        <v>778</v>
      </c>
      <c r="G664" s="13" t="s">
        <v>898</v>
      </c>
      <c r="H664" s="13" t="s">
        <v>899</v>
      </c>
      <c r="I664" s="13" t="s">
        <v>1513</v>
      </c>
    </row>
    <row r="665" spans="5:9" x14ac:dyDescent="0.25">
      <c r="E665" s="14" t="s">
        <v>777</v>
      </c>
      <c r="F665" s="14" t="s">
        <v>778</v>
      </c>
      <c r="G665" s="14" t="s">
        <v>898</v>
      </c>
      <c r="H665" s="14" t="s">
        <v>899</v>
      </c>
      <c r="I665" s="14" t="s">
        <v>1514</v>
      </c>
    </row>
    <row r="666" spans="5:9" x14ac:dyDescent="0.25">
      <c r="E666" s="13" t="s">
        <v>777</v>
      </c>
      <c r="F666" s="13" t="s">
        <v>778</v>
      </c>
      <c r="G666" s="13" t="s">
        <v>898</v>
      </c>
      <c r="H666" s="13" t="s">
        <v>899</v>
      </c>
      <c r="I666" s="13" t="s">
        <v>1515</v>
      </c>
    </row>
    <row r="667" spans="5:9" x14ac:dyDescent="0.25">
      <c r="E667" s="14" t="s">
        <v>777</v>
      </c>
      <c r="F667" s="14" t="s">
        <v>778</v>
      </c>
      <c r="G667" s="14" t="s">
        <v>898</v>
      </c>
      <c r="H667" s="14" t="s">
        <v>899</v>
      </c>
      <c r="I667" s="14" t="s">
        <v>1516</v>
      </c>
    </row>
    <row r="668" spans="5:9" x14ac:dyDescent="0.25">
      <c r="E668" s="13" t="s">
        <v>777</v>
      </c>
      <c r="F668" s="13" t="s">
        <v>778</v>
      </c>
      <c r="G668" s="13" t="s">
        <v>898</v>
      </c>
      <c r="H668" s="13" t="s">
        <v>899</v>
      </c>
      <c r="I668" s="13" t="s">
        <v>1517</v>
      </c>
    </row>
    <row r="669" spans="5:9" x14ac:dyDescent="0.25">
      <c r="E669" s="14" t="s">
        <v>777</v>
      </c>
      <c r="F669" s="14" t="s">
        <v>778</v>
      </c>
      <c r="G669" s="14" t="s">
        <v>898</v>
      </c>
      <c r="H669" s="14" t="s">
        <v>899</v>
      </c>
      <c r="I669" s="14" t="s">
        <v>1518</v>
      </c>
    </row>
    <row r="670" spans="5:9" x14ac:dyDescent="0.25">
      <c r="E670" s="13" t="s">
        <v>777</v>
      </c>
      <c r="F670" s="13" t="s">
        <v>778</v>
      </c>
      <c r="G670" s="13" t="s">
        <v>898</v>
      </c>
      <c r="H670" s="13" t="s">
        <v>899</v>
      </c>
      <c r="I670" s="13" t="s">
        <v>1519</v>
      </c>
    </row>
    <row r="671" spans="5:9" x14ac:dyDescent="0.25">
      <c r="E671" s="14" t="s">
        <v>777</v>
      </c>
      <c r="F671" s="14" t="s">
        <v>778</v>
      </c>
      <c r="G671" s="14" t="s">
        <v>898</v>
      </c>
      <c r="H671" s="14" t="s">
        <v>899</v>
      </c>
      <c r="I671" s="14" t="s">
        <v>1520</v>
      </c>
    </row>
    <row r="672" spans="5:9" x14ac:dyDescent="0.25">
      <c r="E672" s="13" t="s">
        <v>777</v>
      </c>
      <c r="F672" s="13" t="s">
        <v>778</v>
      </c>
      <c r="G672" s="13" t="s">
        <v>902</v>
      </c>
      <c r="H672" s="13" t="s">
        <v>903</v>
      </c>
      <c r="I672" s="13" t="s">
        <v>1521</v>
      </c>
    </row>
    <row r="673" spans="5:9" x14ac:dyDescent="0.25">
      <c r="E673" s="14" t="s">
        <v>777</v>
      </c>
      <c r="F673" s="14" t="s">
        <v>778</v>
      </c>
      <c r="G673" s="14" t="s">
        <v>902</v>
      </c>
      <c r="H673" s="14" t="s">
        <v>903</v>
      </c>
      <c r="I673" s="14" t="s">
        <v>1522</v>
      </c>
    </row>
    <row r="674" spans="5:9" x14ac:dyDescent="0.25">
      <c r="E674" s="13" t="s">
        <v>777</v>
      </c>
      <c r="F674" s="13" t="s">
        <v>778</v>
      </c>
      <c r="G674" s="13" t="s">
        <v>902</v>
      </c>
      <c r="H674" s="13" t="s">
        <v>903</v>
      </c>
      <c r="I674" s="13" t="s">
        <v>1523</v>
      </c>
    </row>
    <row r="675" spans="5:9" x14ac:dyDescent="0.25">
      <c r="E675" s="14" t="s">
        <v>777</v>
      </c>
      <c r="F675" s="14" t="s">
        <v>778</v>
      </c>
      <c r="G675" s="14" t="s">
        <v>902</v>
      </c>
      <c r="H675" s="14" t="s">
        <v>903</v>
      </c>
      <c r="I675" s="14" t="s">
        <v>1524</v>
      </c>
    </row>
    <row r="676" spans="5:9" x14ac:dyDescent="0.25">
      <c r="E676" s="13" t="s">
        <v>777</v>
      </c>
      <c r="F676" s="13" t="s">
        <v>778</v>
      </c>
      <c r="G676" s="13" t="s">
        <v>902</v>
      </c>
      <c r="H676" s="13" t="s">
        <v>903</v>
      </c>
      <c r="I676" s="13" t="s">
        <v>1525</v>
      </c>
    </row>
    <row r="677" spans="5:9" x14ac:dyDescent="0.25">
      <c r="E677" s="14" t="s">
        <v>777</v>
      </c>
      <c r="F677" s="14" t="s">
        <v>778</v>
      </c>
      <c r="G677" s="14" t="s">
        <v>902</v>
      </c>
      <c r="H677" s="14" t="s">
        <v>903</v>
      </c>
      <c r="I677" s="14" t="s">
        <v>1526</v>
      </c>
    </row>
    <row r="678" spans="5:9" x14ac:dyDescent="0.25">
      <c r="E678" s="13" t="s">
        <v>777</v>
      </c>
      <c r="F678" s="13" t="s">
        <v>778</v>
      </c>
      <c r="G678" s="13" t="s">
        <v>902</v>
      </c>
      <c r="H678" s="13" t="s">
        <v>903</v>
      </c>
      <c r="I678" s="13" t="s">
        <v>1527</v>
      </c>
    </row>
    <row r="679" spans="5:9" x14ac:dyDescent="0.25">
      <c r="E679" s="14" t="s">
        <v>777</v>
      </c>
      <c r="F679" s="14" t="s">
        <v>778</v>
      </c>
      <c r="G679" s="14" t="s">
        <v>902</v>
      </c>
      <c r="H679" s="14" t="s">
        <v>903</v>
      </c>
      <c r="I679" s="14" t="s">
        <v>1528</v>
      </c>
    </row>
    <row r="680" spans="5:9" x14ac:dyDescent="0.25">
      <c r="E680" s="13" t="s">
        <v>777</v>
      </c>
      <c r="F680" s="13" t="s">
        <v>778</v>
      </c>
      <c r="G680" s="13" t="s">
        <v>902</v>
      </c>
      <c r="H680" s="13" t="s">
        <v>903</v>
      </c>
      <c r="I680" s="13" t="s">
        <v>902</v>
      </c>
    </row>
    <row r="681" spans="5:9" x14ac:dyDescent="0.25">
      <c r="E681" s="14" t="s">
        <v>777</v>
      </c>
      <c r="F681" s="14" t="s">
        <v>778</v>
      </c>
      <c r="G681" s="14" t="s">
        <v>902</v>
      </c>
      <c r="H681" s="14" t="s">
        <v>903</v>
      </c>
      <c r="I681" s="14" t="s">
        <v>1529</v>
      </c>
    </row>
    <row r="682" spans="5:9" x14ac:dyDescent="0.25">
      <c r="E682" s="13" t="s">
        <v>777</v>
      </c>
      <c r="F682" s="13" t="s">
        <v>778</v>
      </c>
      <c r="G682" s="13" t="s">
        <v>902</v>
      </c>
      <c r="H682" s="13" t="s">
        <v>903</v>
      </c>
      <c r="I682" s="13" t="s">
        <v>1530</v>
      </c>
    </row>
    <row r="683" spans="5:9" x14ac:dyDescent="0.25">
      <c r="E683" s="14" t="s">
        <v>777</v>
      </c>
      <c r="F683" s="14" t="s">
        <v>778</v>
      </c>
      <c r="G683" s="14" t="s">
        <v>902</v>
      </c>
      <c r="H683" s="14" t="s">
        <v>903</v>
      </c>
      <c r="I683" s="14" t="s">
        <v>1531</v>
      </c>
    </row>
    <row r="684" spans="5:9" x14ac:dyDescent="0.25">
      <c r="E684" s="13" t="s">
        <v>777</v>
      </c>
      <c r="F684" s="13" t="s">
        <v>778</v>
      </c>
      <c r="G684" s="13" t="s">
        <v>906</v>
      </c>
      <c r="H684" s="13" t="s">
        <v>907</v>
      </c>
      <c r="I684" s="13" t="s">
        <v>1532</v>
      </c>
    </row>
    <row r="685" spans="5:9" x14ac:dyDescent="0.25">
      <c r="E685" s="14" t="s">
        <v>777</v>
      </c>
      <c r="F685" s="14" t="s">
        <v>778</v>
      </c>
      <c r="G685" s="14" t="s">
        <v>906</v>
      </c>
      <c r="H685" s="14" t="s">
        <v>907</v>
      </c>
      <c r="I685" s="14" t="s">
        <v>1533</v>
      </c>
    </row>
    <row r="686" spans="5:9" x14ac:dyDescent="0.25">
      <c r="E686" s="13" t="s">
        <v>777</v>
      </c>
      <c r="F686" s="13" t="s">
        <v>778</v>
      </c>
      <c r="G686" s="13" t="s">
        <v>906</v>
      </c>
      <c r="H686" s="13" t="s">
        <v>907</v>
      </c>
      <c r="I686" s="13" t="s">
        <v>1534</v>
      </c>
    </row>
    <row r="687" spans="5:9" x14ac:dyDescent="0.25">
      <c r="E687" s="14" t="s">
        <v>777</v>
      </c>
      <c r="F687" s="14" t="s">
        <v>778</v>
      </c>
      <c r="G687" s="14" t="s">
        <v>906</v>
      </c>
      <c r="H687" s="14" t="s">
        <v>907</v>
      </c>
      <c r="I687" s="14" t="s">
        <v>1535</v>
      </c>
    </row>
    <row r="688" spans="5:9" x14ac:dyDescent="0.25">
      <c r="E688" s="13" t="s">
        <v>777</v>
      </c>
      <c r="F688" s="13" t="s">
        <v>778</v>
      </c>
      <c r="G688" s="13" t="s">
        <v>906</v>
      </c>
      <c r="H688" s="13" t="s">
        <v>907</v>
      </c>
      <c r="I688" s="13" t="s">
        <v>1536</v>
      </c>
    </row>
    <row r="689" spans="5:9" x14ac:dyDescent="0.25">
      <c r="E689" s="14" t="s">
        <v>777</v>
      </c>
      <c r="F689" s="14" t="s">
        <v>778</v>
      </c>
      <c r="G689" s="14" t="s">
        <v>906</v>
      </c>
      <c r="H689" s="14" t="s">
        <v>907</v>
      </c>
      <c r="I689" s="14" t="s">
        <v>1537</v>
      </c>
    </row>
    <row r="690" spans="5:9" x14ac:dyDescent="0.25">
      <c r="E690" s="13" t="s">
        <v>777</v>
      </c>
      <c r="F690" s="13" t="s">
        <v>778</v>
      </c>
      <c r="G690" s="13" t="s">
        <v>906</v>
      </c>
      <c r="H690" s="13" t="s">
        <v>907</v>
      </c>
      <c r="I690" s="13" t="s">
        <v>1538</v>
      </c>
    </row>
    <row r="691" spans="5:9" x14ac:dyDescent="0.25">
      <c r="E691" s="14" t="s">
        <v>777</v>
      </c>
      <c r="F691" s="14" t="s">
        <v>778</v>
      </c>
      <c r="G691" s="14" t="s">
        <v>906</v>
      </c>
      <c r="H691" s="14" t="s">
        <v>907</v>
      </c>
      <c r="I691" s="14" t="s">
        <v>1539</v>
      </c>
    </row>
    <row r="692" spans="5:9" x14ac:dyDescent="0.25">
      <c r="E692" s="13" t="s">
        <v>777</v>
      </c>
      <c r="F692" s="13" t="s">
        <v>778</v>
      </c>
      <c r="G692" s="13" t="s">
        <v>906</v>
      </c>
      <c r="H692" s="13" t="s">
        <v>907</v>
      </c>
      <c r="I692" s="13" t="s">
        <v>1540</v>
      </c>
    </row>
    <row r="693" spans="5:9" x14ac:dyDescent="0.25">
      <c r="E693" s="14" t="s">
        <v>777</v>
      </c>
      <c r="F693" s="14" t="s">
        <v>778</v>
      </c>
      <c r="G693" s="14" t="s">
        <v>906</v>
      </c>
      <c r="H693" s="14" t="s">
        <v>907</v>
      </c>
      <c r="I693" s="14" t="s">
        <v>1541</v>
      </c>
    </row>
    <row r="694" spans="5:9" x14ac:dyDescent="0.25">
      <c r="E694" s="13" t="s">
        <v>777</v>
      </c>
      <c r="F694" s="13" t="s">
        <v>778</v>
      </c>
      <c r="G694" s="13" t="s">
        <v>906</v>
      </c>
      <c r="H694" s="13" t="s">
        <v>907</v>
      </c>
      <c r="I694" s="13" t="s">
        <v>1542</v>
      </c>
    </row>
    <row r="695" spans="5:9" x14ac:dyDescent="0.25">
      <c r="E695" s="14" t="s">
        <v>777</v>
      </c>
      <c r="F695" s="14" t="s">
        <v>778</v>
      </c>
      <c r="G695" s="14" t="s">
        <v>906</v>
      </c>
      <c r="H695" s="14" t="s">
        <v>907</v>
      </c>
      <c r="I695" s="14" t="s">
        <v>1543</v>
      </c>
    </row>
    <row r="696" spans="5:9" x14ac:dyDescent="0.25">
      <c r="E696" s="13" t="s">
        <v>777</v>
      </c>
      <c r="F696" s="13" t="s">
        <v>778</v>
      </c>
      <c r="G696" s="13" t="s">
        <v>906</v>
      </c>
      <c r="H696" s="13" t="s">
        <v>907</v>
      </c>
      <c r="I696" s="13" t="s">
        <v>1544</v>
      </c>
    </row>
    <row r="697" spans="5:9" x14ac:dyDescent="0.25">
      <c r="E697" s="14" t="s">
        <v>777</v>
      </c>
      <c r="F697" s="14" t="s">
        <v>778</v>
      </c>
      <c r="G697" s="14" t="s">
        <v>906</v>
      </c>
      <c r="H697" s="14" t="s">
        <v>907</v>
      </c>
      <c r="I697" s="14" t="s">
        <v>1545</v>
      </c>
    </row>
    <row r="698" spans="5:9" x14ac:dyDescent="0.25">
      <c r="E698" s="13" t="s">
        <v>777</v>
      </c>
      <c r="F698" s="13" t="s">
        <v>778</v>
      </c>
      <c r="G698" s="13" t="s">
        <v>906</v>
      </c>
      <c r="H698" s="13" t="s">
        <v>907</v>
      </c>
      <c r="I698" s="13" t="s">
        <v>1546</v>
      </c>
    </row>
    <row r="699" spans="5:9" x14ac:dyDescent="0.25">
      <c r="E699" s="14" t="s">
        <v>777</v>
      </c>
      <c r="F699" s="14" t="s">
        <v>778</v>
      </c>
      <c r="G699" s="14" t="s">
        <v>906</v>
      </c>
      <c r="H699" s="14" t="s">
        <v>907</v>
      </c>
      <c r="I699" s="14" t="s">
        <v>1547</v>
      </c>
    </row>
    <row r="700" spans="5:9" x14ac:dyDescent="0.25">
      <c r="E700" s="13" t="s">
        <v>777</v>
      </c>
      <c r="F700" s="13" t="s">
        <v>778</v>
      </c>
      <c r="G700" s="13" t="s">
        <v>906</v>
      </c>
      <c r="H700" s="13" t="s">
        <v>907</v>
      </c>
      <c r="I700" s="13" t="s">
        <v>1548</v>
      </c>
    </row>
    <row r="701" spans="5:9" x14ac:dyDescent="0.25">
      <c r="E701" s="14" t="s">
        <v>777</v>
      </c>
      <c r="F701" s="14" t="s">
        <v>778</v>
      </c>
      <c r="G701" s="14" t="s">
        <v>906</v>
      </c>
      <c r="H701" s="14" t="s">
        <v>907</v>
      </c>
      <c r="I701" s="14" t="s">
        <v>1549</v>
      </c>
    </row>
    <row r="702" spans="5:9" x14ac:dyDescent="0.25">
      <c r="E702" s="13" t="s">
        <v>777</v>
      </c>
      <c r="F702" s="13" t="s">
        <v>778</v>
      </c>
      <c r="G702" s="13" t="s">
        <v>906</v>
      </c>
      <c r="H702" s="13" t="s">
        <v>907</v>
      </c>
      <c r="I702" s="13" t="s">
        <v>1550</v>
      </c>
    </row>
    <row r="703" spans="5:9" x14ac:dyDescent="0.25">
      <c r="E703" s="14" t="s">
        <v>777</v>
      </c>
      <c r="F703" s="14" t="s">
        <v>778</v>
      </c>
      <c r="G703" s="14" t="s">
        <v>906</v>
      </c>
      <c r="H703" s="14" t="s">
        <v>907</v>
      </c>
      <c r="I703" s="14" t="s">
        <v>1551</v>
      </c>
    </row>
    <row r="704" spans="5:9" x14ac:dyDescent="0.25">
      <c r="E704" s="13" t="s">
        <v>777</v>
      </c>
      <c r="F704" s="13" t="s">
        <v>778</v>
      </c>
      <c r="G704" s="13" t="s">
        <v>906</v>
      </c>
      <c r="H704" s="13" t="s">
        <v>907</v>
      </c>
      <c r="I704" s="13" t="s">
        <v>1552</v>
      </c>
    </row>
    <row r="705" spans="5:9" x14ac:dyDescent="0.25">
      <c r="E705" s="14" t="s">
        <v>777</v>
      </c>
      <c r="F705" s="14" t="s">
        <v>778</v>
      </c>
      <c r="G705" s="14" t="s">
        <v>906</v>
      </c>
      <c r="H705" s="14" t="s">
        <v>907</v>
      </c>
      <c r="I705" s="14" t="s">
        <v>1553</v>
      </c>
    </row>
    <row r="706" spans="5:9" x14ac:dyDescent="0.25">
      <c r="E706" s="13" t="s">
        <v>777</v>
      </c>
      <c r="F706" s="13" t="s">
        <v>778</v>
      </c>
      <c r="G706" s="13" t="s">
        <v>906</v>
      </c>
      <c r="H706" s="13" t="s">
        <v>907</v>
      </c>
      <c r="I706" s="13" t="s">
        <v>1554</v>
      </c>
    </row>
    <row r="707" spans="5:9" x14ac:dyDescent="0.25">
      <c r="E707" s="14" t="s">
        <v>777</v>
      </c>
      <c r="F707" s="14" t="s">
        <v>778</v>
      </c>
      <c r="G707" s="14" t="s">
        <v>906</v>
      </c>
      <c r="H707" s="14" t="s">
        <v>907</v>
      </c>
      <c r="I707" s="14" t="s">
        <v>1555</v>
      </c>
    </row>
    <row r="708" spans="5:9" x14ac:dyDescent="0.25">
      <c r="E708" s="13" t="s">
        <v>777</v>
      </c>
      <c r="F708" s="13" t="s">
        <v>778</v>
      </c>
      <c r="G708" s="13" t="s">
        <v>906</v>
      </c>
      <c r="H708" s="13" t="s">
        <v>907</v>
      </c>
      <c r="I708" s="13" t="s">
        <v>1556</v>
      </c>
    </row>
    <row r="709" spans="5:9" x14ac:dyDescent="0.25">
      <c r="E709" s="14" t="s">
        <v>777</v>
      </c>
      <c r="F709" s="14" t="s">
        <v>778</v>
      </c>
      <c r="G709" s="14" t="s">
        <v>906</v>
      </c>
      <c r="H709" s="14" t="s">
        <v>907</v>
      </c>
      <c r="I709" s="14" t="s">
        <v>1557</v>
      </c>
    </row>
    <row r="710" spans="5:9" x14ac:dyDescent="0.25">
      <c r="E710" s="13" t="s">
        <v>777</v>
      </c>
      <c r="F710" s="13" t="s">
        <v>778</v>
      </c>
      <c r="G710" s="13" t="s">
        <v>906</v>
      </c>
      <c r="H710" s="13" t="s">
        <v>907</v>
      </c>
      <c r="I710" s="13" t="s">
        <v>1558</v>
      </c>
    </row>
    <row r="711" spans="5:9" x14ac:dyDescent="0.25">
      <c r="E711" s="14" t="s">
        <v>777</v>
      </c>
      <c r="F711" s="14" t="s">
        <v>778</v>
      </c>
      <c r="G711" s="14" t="s">
        <v>910</v>
      </c>
      <c r="H711" s="14" t="s">
        <v>911</v>
      </c>
      <c r="I711" s="14" t="s">
        <v>1559</v>
      </c>
    </row>
    <row r="712" spans="5:9" x14ac:dyDescent="0.25">
      <c r="E712" s="13" t="s">
        <v>777</v>
      </c>
      <c r="F712" s="13" t="s">
        <v>778</v>
      </c>
      <c r="G712" s="13" t="s">
        <v>910</v>
      </c>
      <c r="H712" s="13" t="s">
        <v>911</v>
      </c>
      <c r="I712" s="13" t="s">
        <v>1560</v>
      </c>
    </row>
    <row r="713" spans="5:9" x14ac:dyDescent="0.25">
      <c r="E713" s="14" t="s">
        <v>777</v>
      </c>
      <c r="F713" s="14" t="s">
        <v>778</v>
      </c>
      <c r="G713" s="14" t="s">
        <v>910</v>
      </c>
      <c r="H713" s="14" t="s">
        <v>911</v>
      </c>
      <c r="I713" s="14" t="s">
        <v>1561</v>
      </c>
    </row>
    <row r="714" spans="5:9" x14ac:dyDescent="0.25">
      <c r="E714" s="13" t="s">
        <v>777</v>
      </c>
      <c r="F714" s="13" t="s">
        <v>778</v>
      </c>
      <c r="G714" s="13" t="s">
        <v>910</v>
      </c>
      <c r="H714" s="13" t="s">
        <v>911</v>
      </c>
      <c r="I714" s="13" t="s">
        <v>824</v>
      </c>
    </row>
    <row r="715" spans="5:9" x14ac:dyDescent="0.25">
      <c r="E715" s="14" t="s">
        <v>777</v>
      </c>
      <c r="F715" s="14" t="s">
        <v>778</v>
      </c>
      <c r="G715" s="14" t="s">
        <v>910</v>
      </c>
      <c r="H715" s="14" t="s">
        <v>911</v>
      </c>
      <c r="I715" s="14" t="s">
        <v>1562</v>
      </c>
    </row>
    <row r="716" spans="5:9" x14ac:dyDescent="0.25">
      <c r="E716" s="13" t="s">
        <v>777</v>
      </c>
      <c r="F716" s="13" t="s">
        <v>778</v>
      </c>
      <c r="G716" s="13" t="s">
        <v>910</v>
      </c>
      <c r="H716" s="13" t="s">
        <v>911</v>
      </c>
      <c r="I716" s="13" t="s">
        <v>1563</v>
      </c>
    </row>
    <row r="717" spans="5:9" x14ac:dyDescent="0.25">
      <c r="E717" s="14" t="s">
        <v>777</v>
      </c>
      <c r="F717" s="14" t="s">
        <v>778</v>
      </c>
      <c r="G717" s="14" t="s">
        <v>910</v>
      </c>
      <c r="H717" s="14" t="s">
        <v>911</v>
      </c>
      <c r="I717" s="14" t="s">
        <v>1564</v>
      </c>
    </row>
    <row r="718" spans="5:9" x14ac:dyDescent="0.25">
      <c r="E718" s="13" t="s">
        <v>777</v>
      </c>
      <c r="F718" s="13" t="s">
        <v>778</v>
      </c>
      <c r="G718" s="13" t="s">
        <v>910</v>
      </c>
      <c r="H718" s="13" t="s">
        <v>911</v>
      </c>
      <c r="I718" s="13" t="s">
        <v>1565</v>
      </c>
    </row>
    <row r="719" spans="5:9" x14ac:dyDescent="0.25">
      <c r="E719" s="14" t="s">
        <v>777</v>
      </c>
      <c r="F719" s="14" t="s">
        <v>778</v>
      </c>
      <c r="G719" s="14" t="s">
        <v>910</v>
      </c>
      <c r="H719" s="14" t="s">
        <v>911</v>
      </c>
      <c r="I719" s="14" t="s">
        <v>1288</v>
      </c>
    </row>
    <row r="720" spans="5:9" x14ac:dyDescent="0.25">
      <c r="E720" s="13" t="s">
        <v>777</v>
      </c>
      <c r="F720" s="13" t="s">
        <v>778</v>
      </c>
      <c r="G720" s="13" t="s">
        <v>910</v>
      </c>
      <c r="H720" s="13" t="s">
        <v>911</v>
      </c>
      <c r="I720" s="13" t="s">
        <v>1566</v>
      </c>
    </row>
    <row r="721" spans="5:9" x14ac:dyDescent="0.25">
      <c r="E721" s="14" t="s">
        <v>777</v>
      </c>
      <c r="F721" s="14" t="s">
        <v>778</v>
      </c>
      <c r="G721" s="14" t="s">
        <v>910</v>
      </c>
      <c r="H721" s="14" t="s">
        <v>911</v>
      </c>
      <c r="I721" s="14" t="s">
        <v>1567</v>
      </c>
    </row>
    <row r="722" spans="5:9" x14ac:dyDescent="0.25">
      <c r="E722" s="13" t="s">
        <v>777</v>
      </c>
      <c r="F722" s="13" t="s">
        <v>778</v>
      </c>
      <c r="G722" s="13" t="s">
        <v>910</v>
      </c>
      <c r="H722" s="13" t="s">
        <v>911</v>
      </c>
      <c r="I722" s="13" t="s">
        <v>1568</v>
      </c>
    </row>
    <row r="723" spans="5:9" x14ac:dyDescent="0.25">
      <c r="E723" s="14" t="s">
        <v>777</v>
      </c>
      <c r="F723" s="14" t="s">
        <v>778</v>
      </c>
      <c r="G723" s="14" t="s">
        <v>910</v>
      </c>
      <c r="H723" s="14" t="s">
        <v>911</v>
      </c>
      <c r="I723" s="14" t="s">
        <v>1569</v>
      </c>
    </row>
    <row r="724" spans="5:9" x14ac:dyDescent="0.25">
      <c r="E724" s="13" t="s">
        <v>777</v>
      </c>
      <c r="F724" s="13" t="s">
        <v>778</v>
      </c>
      <c r="G724" s="13" t="s">
        <v>910</v>
      </c>
      <c r="H724" s="13" t="s">
        <v>911</v>
      </c>
      <c r="I724" s="13" t="s">
        <v>1570</v>
      </c>
    </row>
    <row r="725" spans="5:9" x14ac:dyDescent="0.25">
      <c r="E725" s="14" t="s">
        <v>777</v>
      </c>
      <c r="F725" s="14" t="s">
        <v>778</v>
      </c>
      <c r="G725" s="14" t="s">
        <v>910</v>
      </c>
      <c r="H725" s="14" t="s">
        <v>911</v>
      </c>
      <c r="I725" s="14" t="s">
        <v>1571</v>
      </c>
    </row>
    <row r="726" spans="5:9" x14ac:dyDescent="0.25">
      <c r="E726" s="13" t="s">
        <v>777</v>
      </c>
      <c r="F726" s="13" t="s">
        <v>778</v>
      </c>
      <c r="G726" s="13" t="s">
        <v>910</v>
      </c>
      <c r="H726" s="13" t="s">
        <v>911</v>
      </c>
      <c r="I726" s="13" t="s">
        <v>1572</v>
      </c>
    </row>
    <row r="727" spans="5:9" x14ac:dyDescent="0.25">
      <c r="E727" s="14" t="s">
        <v>777</v>
      </c>
      <c r="F727" s="14" t="s">
        <v>778</v>
      </c>
      <c r="G727" s="14" t="s">
        <v>910</v>
      </c>
      <c r="H727" s="14" t="s">
        <v>911</v>
      </c>
      <c r="I727" s="14" t="s">
        <v>1573</v>
      </c>
    </row>
    <row r="728" spans="5:9" x14ac:dyDescent="0.25">
      <c r="E728" s="13" t="s">
        <v>777</v>
      </c>
      <c r="F728" s="13" t="s">
        <v>778</v>
      </c>
      <c r="G728" s="13" t="s">
        <v>910</v>
      </c>
      <c r="H728" s="13" t="s">
        <v>911</v>
      </c>
      <c r="I728" s="13" t="s">
        <v>1574</v>
      </c>
    </row>
    <row r="729" spans="5:9" x14ac:dyDescent="0.25">
      <c r="E729" s="14" t="s">
        <v>777</v>
      </c>
      <c r="F729" s="14" t="s">
        <v>778</v>
      </c>
      <c r="G729" s="14" t="s">
        <v>910</v>
      </c>
      <c r="H729" s="14" t="s">
        <v>911</v>
      </c>
      <c r="I729" s="14" t="s">
        <v>1575</v>
      </c>
    </row>
    <row r="730" spans="5:9" x14ac:dyDescent="0.25">
      <c r="E730" s="13" t="s">
        <v>777</v>
      </c>
      <c r="F730" s="13" t="s">
        <v>778</v>
      </c>
      <c r="G730" s="13" t="s">
        <v>910</v>
      </c>
      <c r="H730" s="13" t="s">
        <v>911</v>
      </c>
      <c r="I730" s="13" t="s">
        <v>1576</v>
      </c>
    </row>
    <row r="731" spans="5:9" x14ac:dyDescent="0.25">
      <c r="E731" s="14" t="s">
        <v>777</v>
      </c>
      <c r="F731" s="14" t="s">
        <v>778</v>
      </c>
      <c r="G731" s="14" t="s">
        <v>910</v>
      </c>
      <c r="H731" s="14" t="s">
        <v>911</v>
      </c>
      <c r="I731" s="14" t="s">
        <v>1577</v>
      </c>
    </row>
    <row r="732" spans="5:9" x14ac:dyDescent="0.25">
      <c r="E732" s="13" t="s">
        <v>777</v>
      </c>
      <c r="F732" s="13" t="s">
        <v>778</v>
      </c>
      <c r="G732" s="13" t="s">
        <v>910</v>
      </c>
      <c r="H732" s="13" t="s">
        <v>911</v>
      </c>
      <c r="I732" s="13" t="s">
        <v>1578</v>
      </c>
    </row>
    <row r="733" spans="5:9" x14ac:dyDescent="0.25">
      <c r="E733" s="14" t="s">
        <v>777</v>
      </c>
      <c r="F733" s="14" t="s">
        <v>778</v>
      </c>
      <c r="G733" s="14" t="s">
        <v>910</v>
      </c>
      <c r="H733" s="14" t="s">
        <v>911</v>
      </c>
      <c r="I733" s="14" t="s">
        <v>1579</v>
      </c>
    </row>
    <row r="734" spans="5:9" x14ac:dyDescent="0.25">
      <c r="E734" s="13" t="s">
        <v>777</v>
      </c>
      <c r="F734" s="13" t="s">
        <v>778</v>
      </c>
      <c r="G734" s="13" t="s">
        <v>910</v>
      </c>
      <c r="H734" s="13" t="s">
        <v>911</v>
      </c>
      <c r="I734" s="13" t="s">
        <v>1580</v>
      </c>
    </row>
    <row r="735" spans="5:9" x14ac:dyDescent="0.25">
      <c r="E735" s="14" t="s">
        <v>777</v>
      </c>
      <c r="F735" s="14" t="s">
        <v>778</v>
      </c>
      <c r="G735" s="14" t="s">
        <v>910</v>
      </c>
      <c r="H735" s="14" t="s">
        <v>911</v>
      </c>
      <c r="I735" s="14" t="s">
        <v>1581</v>
      </c>
    </row>
    <row r="736" spans="5:9" x14ac:dyDescent="0.25">
      <c r="E736" s="13" t="s">
        <v>777</v>
      </c>
      <c r="F736" s="13" t="s">
        <v>778</v>
      </c>
      <c r="G736" s="13" t="s">
        <v>914</v>
      </c>
      <c r="H736" s="13" t="s">
        <v>915</v>
      </c>
      <c r="I736" s="13" t="s">
        <v>1582</v>
      </c>
    </row>
    <row r="737" spans="5:9" x14ac:dyDescent="0.25">
      <c r="E737" s="14" t="s">
        <v>777</v>
      </c>
      <c r="F737" s="14" t="s">
        <v>778</v>
      </c>
      <c r="G737" s="14" t="s">
        <v>914</v>
      </c>
      <c r="H737" s="14" t="s">
        <v>915</v>
      </c>
      <c r="I737" s="14" t="s">
        <v>1583</v>
      </c>
    </row>
    <row r="738" spans="5:9" x14ac:dyDescent="0.25">
      <c r="E738" s="13" t="s">
        <v>777</v>
      </c>
      <c r="F738" s="13" t="s">
        <v>778</v>
      </c>
      <c r="G738" s="13" t="s">
        <v>914</v>
      </c>
      <c r="H738" s="13" t="s">
        <v>915</v>
      </c>
      <c r="I738" s="13" t="s">
        <v>1584</v>
      </c>
    </row>
    <row r="739" spans="5:9" x14ac:dyDescent="0.25">
      <c r="E739" s="14" t="s">
        <v>777</v>
      </c>
      <c r="F739" s="14" t="s">
        <v>778</v>
      </c>
      <c r="G739" s="14" t="s">
        <v>914</v>
      </c>
      <c r="H739" s="14" t="s">
        <v>915</v>
      </c>
      <c r="I739" s="14" t="s">
        <v>1585</v>
      </c>
    </row>
    <row r="740" spans="5:9" x14ac:dyDescent="0.25">
      <c r="E740" s="13" t="s">
        <v>777</v>
      </c>
      <c r="F740" s="13" t="s">
        <v>778</v>
      </c>
      <c r="G740" s="13" t="s">
        <v>914</v>
      </c>
      <c r="H740" s="13" t="s">
        <v>915</v>
      </c>
      <c r="I740" s="13" t="s">
        <v>1586</v>
      </c>
    </row>
    <row r="741" spans="5:9" x14ac:dyDescent="0.25">
      <c r="E741" s="14" t="s">
        <v>777</v>
      </c>
      <c r="F741" s="14" t="s">
        <v>778</v>
      </c>
      <c r="G741" s="14" t="s">
        <v>914</v>
      </c>
      <c r="H741" s="14" t="s">
        <v>915</v>
      </c>
      <c r="I741" s="14" t="s">
        <v>1587</v>
      </c>
    </row>
    <row r="742" spans="5:9" x14ac:dyDescent="0.25">
      <c r="E742" s="13" t="s">
        <v>777</v>
      </c>
      <c r="F742" s="13" t="s">
        <v>778</v>
      </c>
      <c r="G742" s="13" t="s">
        <v>914</v>
      </c>
      <c r="H742" s="13" t="s">
        <v>915</v>
      </c>
      <c r="I742" s="13" t="s">
        <v>1451</v>
      </c>
    </row>
    <row r="743" spans="5:9" x14ac:dyDescent="0.25">
      <c r="E743" s="14" t="s">
        <v>777</v>
      </c>
      <c r="F743" s="14" t="s">
        <v>778</v>
      </c>
      <c r="G743" s="14" t="s">
        <v>914</v>
      </c>
      <c r="H743" s="14" t="s">
        <v>915</v>
      </c>
      <c r="I743" s="14" t="s">
        <v>1588</v>
      </c>
    </row>
    <row r="744" spans="5:9" x14ac:dyDescent="0.25">
      <c r="E744" s="13" t="s">
        <v>777</v>
      </c>
      <c r="F744" s="13" t="s">
        <v>778</v>
      </c>
      <c r="G744" s="13" t="s">
        <v>914</v>
      </c>
      <c r="H744" s="13" t="s">
        <v>915</v>
      </c>
      <c r="I744" s="13" t="s">
        <v>1589</v>
      </c>
    </row>
    <row r="745" spans="5:9" x14ac:dyDescent="0.25">
      <c r="E745" s="14" t="s">
        <v>777</v>
      </c>
      <c r="F745" s="14" t="s">
        <v>778</v>
      </c>
      <c r="G745" s="14" t="s">
        <v>914</v>
      </c>
      <c r="H745" s="14" t="s">
        <v>915</v>
      </c>
      <c r="I745" s="14" t="s">
        <v>1590</v>
      </c>
    </row>
    <row r="746" spans="5:9" x14ac:dyDescent="0.25">
      <c r="E746" s="13" t="s">
        <v>777</v>
      </c>
      <c r="F746" s="13" t="s">
        <v>778</v>
      </c>
      <c r="G746" s="13" t="s">
        <v>914</v>
      </c>
      <c r="H746" s="13" t="s">
        <v>915</v>
      </c>
      <c r="I746" s="13" t="s">
        <v>1591</v>
      </c>
    </row>
    <row r="747" spans="5:9" x14ac:dyDescent="0.25">
      <c r="E747" s="14" t="s">
        <v>777</v>
      </c>
      <c r="F747" s="14" t="s">
        <v>778</v>
      </c>
      <c r="G747" s="14" t="s">
        <v>914</v>
      </c>
      <c r="H747" s="14" t="s">
        <v>915</v>
      </c>
      <c r="I747" s="14" t="s">
        <v>1592</v>
      </c>
    </row>
    <row r="748" spans="5:9" x14ac:dyDescent="0.25">
      <c r="E748" s="13" t="s">
        <v>777</v>
      </c>
      <c r="F748" s="13" t="s">
        <v>778</v>
      </c>
      <c r="G748" s="13" t="s">
        <v>914</v>
      </c>
      <c r="H748" s="13" t="s">
        <v>915</v>
      </c>
      <c r="I748" s="13" t="s">
        <v>1593</v>
      </c>
    </row>
    <row r="749" spans="5:9" x14ac:dyDescent="0.25">
      <c r="E749" s="14" t="s">
        <v>777</v>
      </c>
      <c r="F749" s="14" t="s">
        <v>778</v>
      </c>
      <c r="G749" s="14" t="s">
        <v>914</v>
      </c>
      <c r="H749" s="14" t="s">
        <v>915</v>
      </c>
      <c r="I749" s="14" t="s">
        <v>1594</v>
      </c>
    </row>
    <row r="750" spans="5:9" x14ac:dyDescent="0.25">
      <c r="E750" s="13" t="s">
        <v>777</v>
      </c>
      <c r="F750" s="13" t="s">
        <v>778</v>
      </c>
      <c r="G750" s="13" t="s">
        <v>914</v>
      </c>
      <c r="H750" s="13" t="s">
        <v>915</v>
      </c>
      <c r="I750" s="13" t="s">
        <v>1595</v>
      </c>
    </row>
    <row r="751" spans="5:9" x14ac:dyDescent="0.25">
      <c r="E751" s="14" t="s">
        <v>777</v>
      </c>
      <c r="F751" s="14" t="s">
        <v>778</v>
      </c>
      <c r="G751" s="14" t="s">
        <v>914</v>
      </c>
      <c r="H751" s="14" t="s">
        <v>915</v>
      </c>
      <c r="I751" s="14" t="s">
        <v>1528</v>
      </c>
    </row>
    <row r="752" spans="5:9" x14ac:dyDescent="0.25">
      <c r="E752" s="13" t="s">
        <v>777</v>
      </c>
      <c r="F752" s="13" t="s">
        <v>778</v>
      </c>
      <c r="G752" s="13" t="s">
        <v>914</v>
      </c>
      <c r="H752" s="13" t="s">
        <v>915</v>
      </c>
      <c r="I752" s="13" t="s">
        <v>1596</v>
      </c>
    </row>
    <row r="753" spans="5:9" x14ac:dyDescent="0.25">
      <c r="E753" s="14" t="s">
        <v>777</v>
      </c>
      <c r="F753" s="14" t="s">
        <v>778</v>
      </c>
      <c r="G753" s="14" t="s">
        <v>914</v>
      </c>
      <c r="H753" s="14" t="s">
        <v>915</v>
      </c>
      <c r="I753" s="14" t="s">
        <v>1597</v>
      </c>
    </row>
    <row r="754" spans="5:9" x14ac:dyDescent="0.25">
      <c r="E754" s="13" t="s">
        <v>777</v>
      </c>
      <c r="F754" s="13" t="s">
        <v>778</v>
      </c>
      <c r="G754" s="13" t="s">
        <v>914</v>
      </c>
      <c r="H754" s="13" t="s">
        <v>915</v>
      </c>
      <c r="I754" s="13" t="s">
        <v>1598</v>
      </c>
    </row>
    <row r="755" spans="5:9" x14ac:dyDescent="0.25">
      <c r="E755" s="14" t="s">
        <v>777</v>
      </c>
      <c r="F755" s="14" t="s">
        <v>778</v>
      </c>
      <c r="G755" s="14" t="s">
        <v>914</v>
      </c>
      <c r="H755" s="14" t="s">
        <v>915</v>
      </c>
      <c r="I755" s="14" t="s">
        <v>1599</v>
      </c>
    </row>
    <row r="756" spans="5:9" x14ac:dyDescent="0.25">
      <c r="E756" s="13" t="s">
        <v>777</v>
      </c>
      <c r="F756" s="13" t="s">
        <v>778</v>
      </c>
      <c r="G756" s="13" t="s">
        <v>914</v>
      </c>
      <c r="H756" s="13" t="s">
        <v>915</v>
      </c>
      <c r="I756" s="13" t="s">
        <v>1600</v>
      </c>
    </row>
    <row r="757" spans="5:9" x14ac:dyDescent="0.25">
      <c r="E757" s="14" t="s">
        <v>777</v>
      </c>
      <c r="F757" s="14" t="s">
        <v>778</v>
      </c>
      <c r="G757" s="14" t="s">
        <v>914</v>
      </c>
      <c r="H757" s="14" t="s">
        <v>915</v>
      </c>
      <c r="I757" s="14" t="s">
        <v>1601</v>
      </c>
    </row>
    <row r="758" spans="5:9" x14ac:dyDescent="0.25">
      <c r="E758" s="13" t="s">
        <v>777</v>
      </c>
      <c r="F758" s="13" t="s">
        <v>778</v>
      </c>
      <c r="G758" s="13" t="s">
        <v>914</v>
      </c>
      <c r="H758" s="13" t="s">
        <v>915</v>
      </c>
      <c r="I758" s="13" t="s">
        <v>1602</v>
      </c>
    </row>
    <row r="759" spans="5:9" x14ac:dyDescent="0.25">
      <c r="E759" s="14" t="s">
        <v>777</v>
      </c>
      <c r="F759" s="14" t="s">
        <v>778</v>
      </c>
      <c r="G759" s="14" t="s">
        <v>914</v>
      </c>
      <c r="H759" s="14" t="s">
        <v>915</v>
      </c>
      <c r="I759" s="14" t="s">
        <v>1603</v>
      </c>
    </row>
    <row r="760" spans="5:9" x14ac:dyDescent="0.25">
      <c r="E760" s="13" t="s">
        <v>777</v>
      </c>
      <c r="F760" s="13" t="s">
        <v>778</v>
      </c>
      <c r="G760" s="13" t="s">
        <v>918</v>
      </c>
      <c r="H760" s="13" t="s">
        <v>919</v>
      </c>
      <c r="I760" s="13" t="s">
        <v>985</v>
      </c>
    </row>
    <row r="761" spans="5:9" x14ac:dyDescent="0.25">
      <c r="E761" s="14" t="s">
        <v>777</v>
      </c>
      <c r="F761" s="14" t="s">
        <v>778</v>
      </c>
      <c r="G761" s="14" t="s">
        <v>918</v>
      </c>
      <c r="H761" s="14" t="s">
        <v>919</v>
      </c>
      <c r="I761" s="14" t="s">
        <v>1604</v>
      </c>
    </row>
    <row r="762" spans="5:9" x14ac:dyDescent="0.25">
      <c r="E762" s="13" t="s">
        <v>777</v>
      </c>
      <c r="F762" s="13" t="s">
        <v>778</v>
      </c>
      <c r="G762" s="13" t="s">
        <v>918</v>
      </c>
      <c r="H762" s="13" t="s">
        <v>919</v>
      </c>
      <c r="I762" s="13" t="s">
        <v>1605</v>
      </c>
    </row>
    <row r="763" spans="5:9" x14ac:dyDescent="0.25">
      <c r="E763" s="14" t="s">
        <v>777</v>
      </c>
      <c r="F763" s="14" t="s">
        <v>778</v>
      </c>
      <c r="G763" s="14" t="s">
        <v>918</v>
      </c>
      <c r="H763" s="14" t="s">
        <v>919</v>
      </c>
      <c r="I763" s="14" t="s">
        <v>1606</v>
      </c>
    </row>
    <row r="764" spans="5:9" x14ac:dyDescent="0.25">
      <c r="E764" s="13" t="s">
        <v>777</v>
      </c>
      <c r="F764" s="13" t="s">
        <v>778</v>
      </c>
      <c r="G764" s="13" t="s">
        <v>918</v>
      </c>
      <c r="H764" s="13" t="s">
        <v>919</v>
      </c>
      <c r="I764" s="13" t="s">
        <v>1607</v>
      </c>
    </row>
    <row r="765" spans="5:9" x14ac:dyDescent="0.25">
      <c r="E765" s="14" t="s">
        <v>777</v>
      </c>
      <c r="F765" s="14" t="s">
        <v>778</v>
      </c>
      <c r="G765" s="14" t="s">
        <v>918</v>
      </c>
      <c r="H765" s="14" t="s">
        <v>919</v>
      </c>
      <c r="I765" s="14" t="s">
        <v>1608</v>
      </c>
    </row>
    <row r="766" spans="5:9" x14ac:dyDescent="0.25">
      <c r="E766" s="13" t="s">
        <v>777</v>
      </c>
      <c r="F766" s="13" t="s">
        <v>778</v>
      </c>
      <c r="G766" s="13" t="s">
        <v>918</v>
      </c>
      <c r="H766" s="13" t="s">
        <v>919</v>
      </c>
      <c r="I766" s="13" t="s">
        <v>1609</v>
      </c>
    </row>
    <row r="767" spans="5:9" x14ac:dyDescent="0.25">
      <c r="E767" s="14" t="s">
        <v>777</v>
      </c>
      <c r="F767" s="14" t="s">
        <v>778</v>
      </c>
      <c r="G767" s="14" t="s">
        <v>918</v>
      </c>
      <c r="H767" s="14" t="s">
        <v>919</v>
      </c>
      <c r="I767" s="14" t="s">
        <v>1610</v>
      </c>
    </row>
    <row r="768" spans="5:9" x14ac:dyDescent="0.25">
      <c r="E768" s="13" t="s">
        <v>777</v>
      </c>
      <c r="F768" s="13" t="s">
        <v>778</v>
      </c>
      <c r="G768" s="13" t="s">
        <v>918</v>
      </c>
      <c r="H768" s="13" t="s">
        <v>919</v>
      </c>
      <c r="I768" s="13" t="s">
        <v>1611</v>
      </c>
    </row>
    <row r="769" spans="5:9" x14ac:dyDescent="0.25">
      <c r="E769" s="14" t="s">
        <v>777</v>
      </c>
      <c r="F769" s="14" t="s">
        <v>778</v>
      </c>
      <c r="G769" s="14" t="s">
        <v>918</v>
      </c>
      <c r="H769" s="14" t="s">
        <v>919</v>
      </c>
      <c r="I769" s="14" t="s">
        <v>1612</v>
      </c>
    </row>
    <row r="770" spans="5:9" x14ac:dyDescent="0.25">
      <c r="E770" s="13" t="s">
        <v>777</v>
      </c>
      <c r="F770" s="13" t="s">
        <v>778</v>
      </c>
      <c r="G770" s="13" t="s">
        <v>918</v>
      </c>
      <c r="H770" s="13" t="s">
        <v>919</v>
      </c>
      <c r="I770" s="13" t="s">
        <v>1613</v>
      </c>
    </row>
    <row r="771" spans="5:9" x14ac:dyDescent="0.25">
      <c r="E771" s="14" t="s">
        <v>777</v>
      </c>
      <c r="F771" s="14" t="s">
        <v>778</v>
      </c>
      <c r="G771" s="14" t="s">
        <v>918</v>
      </c>
      <c r="H771" s="14" t="s">
        <v>919</v>
      </c>
      <c r="I771" s="14" t="s">
        <v>1614</v>
      </c>
    </row>
    <row r="772" spans="5:9" x14ac:dyDescent="0.25">
      <c r="E772" s="13" t="s">
        <v>777</v>
      </c>
      <c r="F772" s="13" t="s">
        <v>778</v>
      </c>
      <c r="G772" s="13" t="s">
        <v>918</v>
      </c>
      <c r="H772" s="13" t="s">
        <v>919</v>
      </c>
      <c r="I772" s="13" t="s">
        <v>1004</v>
      </c>
    </row>
    <row r="773" spans="5:9" x14ac:dyDescent="0.25">
      <c r="E773" s="14" t="s">
        <v>777</v>
      </c>
      <c r="F773" s="14" t="s">
        <v>778</v>
      </c>
      <c r="G773" s="14" t="s">
        <v>918</v>
      </c>
      <c r="H773" s="14" t="s">
        <v>919</v>
      </c>
      <c r="I773" s="14" t="s">
        <v>1497</v>
      </c>
    </row>
    <row r="774" spans="5:9" x14ac:dyDescent="0.25">
      <c r="E774" s="13" t="s">
        <v>777</v>
      </c>
      <c r="F774" s="13" t="s">
        <v>778</v>
      </c>
      <c r="G774" s="13" t="s">
        <v>918</v>
      </c>
      <c r="H774" s="13" t="s">
        <v>919</v>
      </c>
      <c r="I774" s="13" t="s">
        <v>1615</v>
      </c>
    </row>
    <row r="775" spans="5:9" x14ac:dyDescent="0.25">
      <c r="E775" s="14" t="s">
        <v>777</v>
      </c>
      <c r="F775" s="14" t="s">
        <v>778</v>
      </c>
      <c r="G775" s="14" t="s">
        <v>918</v>
      </c>
      <c r="H775" s="14" t="s">
        <v>919</v>
      </c>
      <c r="I775" s="14" t="s">
        <v>1616</v>
      </c>
    </row>
    <row r="776" spans="5:9" x14ac:dyDescent="0.25">
      <c r="E776" s="13" t="s">
        <v>777</v>
      </c>
      <c r="F776" s="13" t="s">
        <v>778</v>
      </c>
      <c r="G776" s="13" t="s">
        <v>918</v>
      </c>
      <c r="H776" s="13" t="s">
        <v>919</v>
      </c>
      <c r="I776" s="13" t="s">
        <v>1617</v>
      </c>
    </row>
    <row r="777" spans="5:9" x14ac:dyDescent="0.25">
      <c r="E777" s="14" t="s">
        <v>777</v>
      </c>
      <c r="F777" s="14" t="s">
        <v>778</v>
      </c>
      <c r="G777" s="14" t="s">
        <v>918</v>
      </c>
      <c r="H777" s="14" t="s">
        <v>919</v>
      </c>
      <c r="I777" s="14" t="s">
        <v>1618</v>
      </c>
    </row>
    <row r="778" spans="5:9" x14ac:dyDescent="0.25">
      <c r="E778" s="13" t="s">
        <v>777</v>
      </c>
      <c r="F778" s="13" t="s">
        <v>778</v>
      </c>
      <c r="G778" s="13" t="s">
        <v>918</v>
      </c>
      <c r="H778" s="13" t="s">
        <v>919</v>
      </c>
      <c r="I778" s="13" t="s">
        <v>1570</v>
      </c>
    </row>
    <row r="779" spans="5:9" x14ac:dyDescent="0.25">
      <c r="E779" s="14" t="s">
        <v>777</v>
      </c>
      <c r="F779" s="14" t="s">
        <v>778</v>
      </c>
      <c r="G779" s="14" t="s">
        <v>918</v>
      </c>
      <c r="H779" s="14" t="s">
        <v>919</v>
      </c>
      <c r="I779" s="14" t="s">
        <v>1619</v>
      </c>
    </row>
    <row r="780" spans="5:9" x14ac:dyDescent="0.25">
      <c r="E780" s="13" t="s">
        <v>777</v>
      </c>
      <c r="F780" s="13" t="s">
        <v>778</v>
      </c>
      <c r="G780" s="13" t="s">
        <v>918</v>
      </c>
      <c r="H780" s="13" t="s">
        <v>919</v>
      </c>
      <c r="I780" s="13" t="s">
        <v>1620</v>
      </c>
    </row>
    <row r="781" spans="5:9" x14ac:dyDescent="0.25">
      <c r="E781" s="14" t="s">
        <v>777</v>
      </c>
      <c r="F781" s="14" t="s">
        <v>778</v>
      </c>
      <c r="G781" s="14" t="s">
        <v>918</v>
      </c>
      <c r="H781" s="14" t="s">
        <v>919</v>
      </c>
      <c r="I781" s="14" t="s">
        <v>1621</v>
      </c>
    </row>
    <row r="782" spans="5:9" x14ac:dyDescent="0.25">
      <c r="E782" s="13" t="s">
        <v>777</v>
      </c>
      <c r="F782" s="13" t="s">
        <v>778</v>
      </c>
      <c r="G782" s="13" t="s">
        <v>918</v>
      </c>
      <c r="H782" s="13" t="s">
        <v>919</v>
      </c>
      <c r="I782" s="13" t="s">
        <v>1622</v>
      </c>
    </row>
    <row r="783" spans="5:9" x14ac:dyDescent="0.25">
      <c r="E783" s="14" t="s">
        <v>777</v>
      </c>
      <c r="F783" s="14" t="s">
        <v>778</v>
      </c>
      <c r="G783" s="14" t="s">
        <v>918</v>
      </c>
      <c r="H783" s="14" t="s">
        <v>919</v>
      </c>
      <c r="I783" s="14" t="s">
        <v>1623</v>
      </c>
    </row>
    <row r="784" spans="5:9" x14ac:dyDescent="0.25">
      <c r="E784" s="13" t="s">
        <v>777</v>
      </c>
      <c r="F784" s="13" t="s">
        <v>778</v>
      </c>
      <c r="G784" s="13" t="s">
        <v>918</v>
      </c>
      <c r="H784" s="13" t="s">
        <v>919</v>
      </c>
      <c r="I784" s="13" t="s">
        <v>1624</v>
      </c>
    </row>
    <row r="785" spans="5:9" x14ac:dyDescent="0.25">
      <c r="E785" s="14" t="s">
        <v>777</v>
      </c>
      <c r="F785" s="14" t="s">
        <v>778</v>
      </c>
      <c r="G785" s="14" t="s">
        <v>918</v>
      </c>
      <c r="H785" s="14" t="s">
        <v>919</v>
      </c>
      <c r="I785" s="14" t="s">
        <v>1625</v>
      </c>
    </row>
    <row r="786" spans="5:9" x14ac:dyDescent="0.25">
      <c r="E786" s="13" t="s">
        <v>777</v>
      </c>
      <c r="F786" s="13" t="s">
        <v>778</v>
      </c>
      <c r="G786" s="13" t="s">
        <v>918</v>
      </c>
      <c r="H786" s="13" t="s">
        <v>919</v>
      </c>
      <c r="I786" s="13" t="s">
        <v>1556</v>
      </c>
    </row>
    <row r="787" spans="5:9" x14ac:dyDescent="0.25">
      <c r="E787" s="14" t="s">
        <v>777</v>
      </c>
      <c r="F787" s="14" t="s">
        <v>778</v>
      </c>
      <c r="G787" s="14" t="s">
        <v>918</v>
      </c>
      <c r="H787" s="14" t="s">
        <v>919</v>
      </c>
      <c r="I787" s="14" t="s">
        <v>1626</v>
      </c>
    </row>
    <row r="788" spans="5:9" x14ac:dyDescent="0.25">
      <c r="E788" s="13" t="s">
        <v>777</v>
      </c>
      <c r="F788" s="13" t="s">
        <v>778</v>
      </c>
      <c r="G788" s="13" t="s">
        <v>918</v>
      </c>
      <c r="H788" s="13" t="s">
        <v>919</v>
      </c>
      <c r="I788" s="13" t="s">
        <v>1627</v>
      </c>
    </row>
  </sheetData>
  <sheetProtection password="CA9C"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8C02EBBE2573408E0C50EC393FFD0C" ma:contentTypeVersion="13" ma:contentTypeDescription="Create a new document." ma:contentTypeScope="" ma:versionID="43db2d6b71fa00f046a9eac423282053">
  <xsd:schema xmlns:xsd="http://www.w3.org/2001/XMLSchema" xmlns:xs="http://www.w3.org/2001/XMLSchema" xmlns:p="http://schemas.microsoft.com/office/2006/metadata/properties" xmlns:ns3="b4524f45-bbd1-4f4f-bcc7-32f6926a8d0f" xmlns:ns4="1e37c670-c964-4ee0-a5dc-5e93aaf116b8" targetNamespace="http://schemas.microsoft.com/office/2006/metadata/properties" ma:root="true" ma:fieldsID="19ee5ceb106ae66db92c8e1279650a82" ns3:_="" ns4:_="">
    <xsd:import namespace="b4524f45-bbd1-4f4f-bcc7-32f6926a8d0f"/>
    <xsd:import namespace="1e37c670-c964-4ee0-a5dc-5e93aaf116b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524f45-bbd1-4f4f-bcc7-32f6926a8d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37c670-c964-4ee0-a5dc-5e93aaf116b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b4524f45-bbd1-4f4f-bcc7-32f6926a8d0f" xsi:nil="true"/>
  </documentManagement>
</p:properties>
</file>

<file path=customXml/itemProps1.xml><?xml version="1.0" encoding="utf-8"?>
<ds:datastoreItem xmlns:ds="http://schemas.openxmlformats.org/officeDocument/2006/customXml" ds:itemID="{61C959EF-F287-4CE9-BD6F-D9AAC05A5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524f45-bbd1-4f4f-bcc7-32f6926a8d0f"/>
    <ds:schemaRef ds:uri="1e37c670-c964-4ee0-a5dc-5e93aaf116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0FD918-27C0-47C5-B4C9-36F5B0E7995C}">
  <ds:schemaRefs>
    <ds:schemaRef ds:uri="http://schemas.microsoft.com/DataMashup"/>
  </ds:schemaRefs>
</ds:datastoreItem>
</file>

<file path=customXml/itemProps3.xml><?xml version="1.0" encoding="utf-8"?>
<ds:datastoreItem xmlns:ds="http://schemas.openxmlformats.org/officeDocument/2006/customXml" ds:itemID="{1021E7D7-1CD4-4353-9DAE-3A894CE0BEE5}">
  <ds:schemaRefs>
    <ds:schemaRef ds:uri="http://schemas.microsoft.com/sharepoint/v3/contenttype/forms"/>
  </ds:schemaRefs>
</ds:datastoreItem>
</file>

<file path=customXml/itemProps4.xml><?xml version="1.0" encoding="utf-8"?>
<ds:datastoreItem xmlns:ds="http://schemas.openxmlformats.org/officeDocument/2006/customXml" ds:itemID="{B3AFA4A5-427B-4362-A4BA-6ECC65E06CEC}">
  <ds:schemaRefs>
    <ds:schemaRef ds:uri="http://schemas.microsoft.com/office/2006/metadata/properties"/>
    <ds:schemaRef ds:uri="http://schemas.microsoft.com/office/infopath/2007/PartnerControls"/>
    <ds:schemaRef ds:uri="b4524f45-bbd1-4f4f-bcc7-32f6926a8d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78</vt:i4>
      </vt:variant>
    </vt:vector>
  </HeadingPairs>
  <TitlesOfParts>
    <vt:vector size="91" baseType="lpstr">
      <vt:lpstr>Def</vt:lpstr>
      <vt:lpstr>PHC</vt:lpstr>
      <vt:lpstr>MCH</vt:lpstr>
      <vt:lpstr>IYCF Counselling_Database</vt:lpstr>
      <vt:lpstr>AwarenessRaising</vt:lpstr>
      <vt:lpstr>Nutrition Screening Under 5yr</vt:lpstr>
      <vt:lpstr>Referral</vt:lpstr>
      <vt:lpstr>Data_validation</vt:lpstr>
      <vt:lpstr>Meeting</vt:lpstr>
      <vt:lpstr>Nutrition Screening (PLW)</vt:lpstr>
      <vt:lpstr>CFRM</vt:lpstr>
      <vt:lpstr>Assistive Device Support</vt:lpstr>
      <vt:lpstr>Location</vt:lpstr>
      <vt:lpstr>ag</vt:lpstr>
      <vt:lpstr>bawlake</vt:lpstr>
      <vt:lpstr>demoso</vt:lpstr>
      <vt:lpstr>ECC</vt:lpstr>
      <vt:lpstr>EmOC</vt:lpstr>
      <vt:lpstr>ess</vt:lpstr>
      <vt:lpstr>ethnicity</vt:lpstr>
      <vt:lpstr>facility_type</vt:lpstr>
      <vt:lpstr>fp_method</vt:lpstr>
      <vt:lpstr>health_org</vt:lpstr>
      <vt:lpstr>ho_tawng_ho_tao</vt:lpstr>
      <vt:lpstr>hopong</vt:lpstr>
      <vt:lpstr>hpasawng</vt:lpstr>
      <vt:lpstr>hpruso</vt:lpstr>
      <vt:lpstr>hrp</vt:lpstr>
      <vt:lpstr>hsihseng</vt:lpstr>
      <vt:lpstr>kalaw</vt:lpstr>
      <vt:lpstr>kayah</vt:lpstr>
      <vt:lpstr>kayin</vt:lpstr>
      <vt:lpstr>kengtung</vt:lpstr>
      <vt:lpstr>kunghing</vt:lpstr>
      <vt:lpstr>Kyauktaw</vt:lpstr>
      <vt:lpstr>kyethi</vt:lpstr>
      <vt:lpstr>laihka</vt:lpstr>
      <vt:lpstr>langkho</vt:lpstr>
      <vt:lpstr>lawksawk</vt:lpstr>
      <vt:lpstr>loikaw</vt:lpstr>
      <vt:lpstr>loilen</vt:lpstr>
      <vt:lpstr>Malnutrition</vt:lpstr>
      <vt:lpstr>mawkmai</vt:lpstr>
      <vt:lpstr>mese</vt:lpstr>
      <vt:lpstr>met</vt:lpstr>
      <vt:lpstr>mong_hpen</vt:lpstr>
      <vt:lpstr>mong_hpyak</vt:lpstr>
      <vt:lpstr>mong_pawk</vt:lpstr>
      <vt:lpstr>monghsat</vt:lpstr>
      <vt:lpstr>monghsu</vt:lpstr>
      <vt:lpstr>mongkaing</vt:lpstr>
      <vt:lpstr>mongkar</vt:lpstr>
      <vt:lpstr>mongkhet</vt:lpstr>
      <vt:lpstr>mongla</vt:lpstr>
      <vt:lpstr>mongnai</vt:lpstr>
      <vt:lpstr>mongpan</vt:lpstr>
      <vt:lpstr>mongping</vt:lpstr>
      <vt:lpstr>mongton</vt:lpstr>
      <vt:lpstr>mongyang</vt:lpstr>
      <vt:lpstr>mongyawng</vt:lpstr>
      <vt:lpstr>MraukU</vt:lpstr>
      <vt:lpstr>Muslim</vt:lpstr>
      <vt:lpstr>Myebon</vt:lpstr>
      <vt:lpstr>namHpai</vt:lpstr>
      <vt:lpstr>nangsang</vt:lpstr>
      <vt:lpstr>nss</vt:lpstr>
      <vt:lpstr>nyaungshwe</vt:lpstr>
      <vt:lpstr>oct</vt:lpstr>
      <vt:lpstr>orate</vt:lpstr>
      <vt:lpstr>org_name</vt:lpstr>
      <vt:lpstr>Other</vt:lpstr>
      <vt:lpstr>pekon</vt:lpstr>
      <vt:lpstr>pindaya</vt:lpstr>
      <vt:lpstr>pinlaung</vt:lpstr>
      <vt:lpstr>place_type</vt:lpstr>
      <vt:lpstr>pwd</vt:lpstr>
      <vt:lpstr>q</vt:lpstr>
      <vt:lpstr>shadaw</vt:lpstr>
      <vt:lpstr>sss</vt:lpstr>
      <vt:lpstr>state_name</vt:lpstr>
      <vt:lpstr>sub</vt:lpstr>
      <vt:lpstr>t_awareness</vt:lpstr>
      <vt:lpstr>t_nutri_plw</vt:lpstr>
      <vt:lpstr>t_u5nutriscreening</vt:lpstr>
      <vt:lpstr>tachileik</vt:lpstr>
      <vt:lpstr>taunggyi</vt:lpstr>
      <vt:lpstr>thandaunggyi</vt:lpstr>
      <vt:lpstr>trate</vt:lpstr>
      <vt:lpstr>tsp</vt:lpstr>
      <vt:lpstr>types_of_delivery_cases</vt:lpstr>
      <vt:lpstr>ywangan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Aung Kyaw  Thet (RI/MMR)</dc:creator>
  <cp:keywords/>
  <dc:description/>
  <cp:lastModifiedBy>User</cp:lastModifiedBy>
  <cp:revision/>
  <cp:lastPrinted>2026-02-08T05:33:28Z</cp:lastPrinted>
  <dcterms:created xsi:type="dcterms:W3CDTF">2024-07-01T08:33:37Z</dcterms:created>
  <dcterms:modified xsi:type="dcterms:W3CDTF">2026-02-26T14:51:18Z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0x010100658C02EBBE2573408E0C50EC393FFD0C</vt:lpwstr>
  </property>
</Properties>
</file>